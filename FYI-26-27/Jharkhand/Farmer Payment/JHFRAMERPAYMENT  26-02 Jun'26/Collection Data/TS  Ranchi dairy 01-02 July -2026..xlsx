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e549db5c14e5e3/Desktop/Daya daily work/TS reconcellation/26-27/Apr'26/"/>
    </mc:Choice>
  </mc:AlternateContent>
  <xr:revisionPtr revIDLastSave="1502" documentId="13_ncr:1_{5E9B6A37-E873-4BC8-8522-2CA3BBBB13C1}" xr6:coauthVersionLast="47" xr6:coauthVersionMax="47" xr10:uidLastSave="{5A37F91B-B982-4A5A-B337-A77249EE787B}"/>
  <bookViews>
    <workbookView xWindow="-120" yWindow="-120" windowWidth="29040" windowHeight="15720" tabRatio="605" xr2:uid="{00000000-000D-0000-FFFF-FFFF00000000}"/>
  </bookViews>
  <sheets>
    <sheet name="Daily Losses" sheetId="21" r:id="rId1"/>
    <sheet name="Sheet1" sheetId="1" r:id="rId2"/>
    <sheet name="July 26" sheetId="28" r:id="rId3"/>
    <sheet name="Nov 25" sheetId="27" state="hidden" r:id="rId4"/>
    <sheet name="Oct 25" sheetId="25" state="hidden" r:id="rId5"/>
    <sheet name="Itki" sheetId="2" r:id="rId6"/>
    <sheet name="ItkiTanker" sheetId="11" state="hidden" r:id="rId7"/>
    <sheet name="Pali" sheetId="3" r:id="rId8"/>
    <sheet name="Pali Tanker" sheetId="12" state="hidden" r:id="rId9"/>
    <sheet name="Hisri" sheetId="4" r:id="rId10"/>
    <sheet name="Hisri Tanker" sheetId="13" state="hidden" r:id="rId11"/>
    <sheet name="Choriya" sheetId="6" r:id="rId12"/>
    <sheet name="Choreya Tanker" sheetId="15" state="hidden" r:id="rId13"/>
    <sheet name="Aug-25" sheetId="24" state="hidden" r:id="rId14"/>
    <sheet name="Orja" sheetId="5" r:id="rId15"/>
    <sheet name="Ormj Tank" sheetId="17" state="hidden" r:id="rId16"/>
    <sheet name="Piragutu" sheetId="8" r:id="rId17"/>
    <sheet name="Pira Tank" sheetId="18" state="hidden" r:id="rId18"/>
    <sheet name="Bhandra" sheetId="19" r:id="rId19"/>
    <sheet name="Bhandra Tank" sheetId="20" state="hidden" r:id="rId20"/>
    <sheet name="Chanho" sheetId="22" r:id="rId21"/>
    <sheet name="Chanho Tank" sheetId="23" state="hidden" r:id="rId22"/>
    <sheet name="Sheet2" sheetId="10" r:id="rId23"/>
    <sheet name="Baski" sheetId="7" r:id="rId24"/>
    <sheet name="Chart1" sheetId="29" r:id="rId25"/>
    <sheet name="Baski Tanker" sheetId="16" state="hidden" r:id="rId26"/>
  </sheets>
  <definedNames>
    <definedName name="_xlnm._FilterDatabase" localSheetId="13" hidden="1">'Aug-25'!$A$3:$AD$298</definedName>
    <definedName name="_xlnm._FilterDatabase" localSheetId="25" hidden="1">'Baski Tanker'!$A$1:$AB$61</definedName>
    <definedName name="_xlnm._FilterDatabase" localSheetId="19" hidden="1">'Bhandra Tank'!$A$1:$AB$55</definedName>
    <definedName name="_xlnm._FilterDatabase" localSheetId="21" hidden="1">'Chanho Tank'!$A$1:$AB$55</definedName>
    <definedName name="_xlnm._FilterDatabase" localSheetId="12" hidden="1">'Choreya Tanker'!$A$1:$AB$61</definedName>
    <definedName name="_xlnm._FilterDatabase" localSheetId="10" hidden="1">'Hisri Tanker'!$A$1:$AB$58</definedName>
    <definedName name="_xlnm._FilterDatabase" localSheetId="2" hidden="1">'July 26'!$A$3:$AE$17</definedName>
    <definedName name="_xlnm._FilterDatabase" localSheetId="3" hidden="1">'Nov 25'!$A$3:$AD$143</definedName>
    <definedName name="_xlnm._FilterDatabase" localSheetId="4" hidden="1">'Oct 25'!$A$3:$AD$266</definedName>
    <definedName name="_xlnm._FilterDatabase" localSheetId="15" hidden="1">'Ormj Tank'!$A$1:$AB$64</definedName>
    <definedName name="_xlnm._FilterDatabase" localSheetId="7" hidden="1">Pali!$A$3:$AW$68</definedName>
    <definedName name="_xlnm._FilterDatabase" localSheetId="8" hidden="1">'Pali Tanker'!$A$1:$AB$61</definedName>
    <definedName name="_xlnm._FilterDatabase" localSheetId="17" hidden="1">'Pira Tank'!$A$1:$AB$58</definedName>
    <definedName name="_xlnm.Print_Area" localSheetId="13">'Aug-25'!#REF!</definedName>
    <definedName name="_xlnm.Print_Area" localSheetId="2">'July 26'!#REF!</definedName>
    <definedName name="_xlnm.Print_Area" localSheetId="3">'Nov 25'!#REF!</definedName>
    <definedName name="_xlnm.Print_Area" localSheetId="4">'Oct 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28" l="1"/>
  <c r="O13" i="28" s="1"/>
  <c r="M13" i="28"/>
  <c r="V13" i="28"/>
  <c r="U13" i="28"/>
  <c r="P13" i="28" s="1"/>
  <c r="N13" i="28" s="1"/>
  <c r="M16" i="28"/>
  <c r="M15" i="28"/>
  <c r="M14" i="28"/>
  <c r="M12" i="28"/>
  <c r="M11" i="28"/>
  <c r="M4" i="28"/>
  <c r="M6" i="28"/>
  <c r="M7" i="28"/>
  <c r="M5" i="28"/>
  <c r="G33" i="28"/>
  <c r="K33" i="28"/>
  <c r="L33" i="28"/>
  <c r="M33" i="28"/>
  <c r="Y33" i="28" s="1"/>
  <c r="G34" i="28"/>
  <c r="K34" i="28"/>
  <c r="L34" i="28"/>
  <c r="M34" i="28"/>
  <c r="Y34" i="28"/>
  <c r="G35" i="28"/>
  <c r="K35" i="28"/>
  <c r="L35" i="28"/>
  <c r="M35" i="28"/>
  <c r="Y35" i="28"/>
  <c r="G36" i="28"/>
  <c r="K36" i="28"/>
  <c r="L36" i="28"/>
  <c r="M36" i="28"/>
  <c r="Y36" i="28"/>
  <c r="G37" i="28"/>
  <c r="K37" i="28"/>
  <c r="L37" i="28"/>
  <c r="M37" i="28"/>
  <c r="Y37" i="28" s="1"/>
  <c r="G38" i="28"/>
  <c r="K38" i="28"/>
  <c r="L38" i="28"/>
  <c r="M38" i="28"/>
  <c r="Y38" i="28" s="1"/>
  <c r="G39" i="28"/>
  <c r="K39" i="28"/>
  <c r="L39" i="28"/>
  <c r="M39" i="28"/>
  <c r="Y39" i="28"/>
  <c r="G40" i="28"/>
  <c r="K40" i="28"/>
  <c r="L40" i="28"/>
  <c r="M40" i="28"/>
  <c r="Y40" i="28"/>
  <c r="G41" i="28"/>
  <c r="K41" i="28"/>
  <c r="L41" i="28"/>
  <c r="M41" i="28"/>
  <c r="Y41" i="28"/>
  <c r="G42" i="28"/>
  <c r="K42" i="28"/>
  <c r="L42" i="28"/>
  <c r="M42" i="28"/>
  <c r="Y42" i="28"/>
  <c r="G43" i="28"/>
  <c r="K43" i="28"/>
  <c r="L43" i="28"/>
  <c r="M43" i="28"/>
  <c r="Y43" i="28"/>
  <c r="G44" i="28"/>
  <c r="K44" i="28"/>
  <c r="L44" i="28"/>
  <c r="M44" i="28"/>
  <c r="Y44" i="28" s="1"/>
  <c r="G45" i="28"/>
  <c r="K45" i="28"/>
  <c r="L45" i="28"/>
  <c r="M45" i="28"/>
  <c r="Y45" i="28" s="1"/>
  <c r="G46" i="28"/>
  <c r="K46" i="28"/>
  <c r="L46" i="28"/>
  <c r="M46" i="28"/>
  <c r="Y46" i="28"/>
  <c r="G47" i="28"/>
  <c r="K47" i="28"/>
  <c r="L47" i="28"/>
  <c r="M47" i="28"/>
  <c r="Y47" i="28" s="1"/>
  <c r="G48" i="28"/>
  <c r="K48" i="28"/>
  <c r="L48" i="28"/>
  <c r="M48" i="28"/>
  <c r="Y48" i="28" s="1"/>
  <c r="G49" i="28"/>
  <c r="K49" i="28"/>
  <c r="L49" i="28"/>
  <c r="M49" i="28"/>
  <c r="Y49" i="28" s="1"/>
  <c r="G50" i="28"/>
  <c r="K50" i="28"/>
  <c r="L50" i="28"/>
  <c r="M50" i="28"/>
  <c r="Y50" i="28" s="1"/>
  <c r="G51" i="28"/>
  <c r="K51" i="28"/>
  <c r="L51" i="28"/>
  <c r="M51" i="28"/>
  <c r="Y51" i="28" s="1"/>
  <c r="G52" i="28"/>
  <c r="K52" i="28"/>
  <c r="L52" i="28"/>
  <c r="M52" i="28"/>
  <c r="Y52" i="28" s="1"/>
  <c r="G53" i="28"/>
  <c r="K53" i="28"/>
  <c r="L53" i="28"/>
  <c r="M53" i="28"/>
  <c r="Y53" i="28"/>
  <c r="G54" i="28"/>
  <c r="K54" i="28"/>
  <c r="L54" i="28"/>
  <c r="M54" i="28"/>
  <c r="Y54" i="28" s="1"/>
  <c r="G55" i="28"/>
  <c r="K55" i="28"/>
  <c r="L55" i="28"/>
  <c r="M55" i="28"/>
  <c r="Y55" i="28" s="1"/>
  <c r="G56" i="28"/>
  <c r="K56" i="28"/>
  <c r="L56" i="28"/>
  <c r="M56" i="28"/>
  <c r="Y56" i="28" s="1"/>
  <c r="G57" i="28"/>
  <c r="K57" i="28"/>
  <c r="L57" i="28"/>
  <c r="M57" i="28"/>
  <c r="Y57" i="28" s="1"/>
  <c r="G58" i="28"/>
  <c r="K58" i="28"/>
  <c r="L58" i="28"/>
  <c r="M58" i="28"/>
  <c r="Y58" i="28" s="1"/>
  <c r="G59" i="28"/>
  <c r="K59" i="28"/>
  <c r="L59" i="28"/>
  <c r="M59" i="28"/>
  <c r="Y59" i="28" s="1"/>
  <c r="G60" i="28"/>
  <c r="K60" i="28"/>
  <c r="L60" i="28"/>
  <c r="M60" i="28"/>
  <c r="Y60" i="28" s="1"/>
  <c r="G61" i="28"/>
  <c r="K61" i="28"/>
  <c r="L61" i="28"/>
  <c r="M61" i="28"/>
  <c r="Y61" i="28" s="1"/>
  <c r="G62" i="28"/>
  <c r="K62" i="28"/>
  <c r="L62" i="28"/>
  <c r="M62" i="28"/>
  <c r="Y62" i="28" s="1"/>
  <c r="G63" i="28"/>
  <c r="K63" i="28"/>
  <c r="L63" i="28"/>
  <c r="M63" i="28"/>
  <c r="Y63" i="28" s="1"/>
  <c r="G64" i="28"/>
  <c r="K64" i="28"/>
  <c r="L64" i="28"/>
  <c r="M64" i="28"/>
  <c r="Y64" i="28" s="1"/>
  <c r="G65" i="28"/>
  <c r="K65" i="28"/>
  <c r="L65" i="28"/>
  <c r="M65" i="28"/>
  <c r="Y65" i="28" s="1"/>
  <c r="G66" i="28"/>
  <c r="K66" i="28"/>
  <c r="L66" i="28"/>
  <c r="M66" i="28"/>
  <c r="Y66" i="28" s="1"/>
  <c r="G67" i="28"/>
  <c r="K67" i="28"/>
  <c r="L67" i="28"/>
  <c r="M67" i="28"/>
  <c r="Y67" i="28" s="1"/>
  <c r="G68" i="28"/>
  <c r="K68" i="28"/>
  <c r="L68" i="28"/>
  <c r="M68" i="28"/>
  <c r="Y68" i="28" s="1"/>
  <c r="G69" i="28"/>
  <c r="K69" i="28"/>
  <c r="L69" i="28"/>
  <c r="M69" i="28"/>
  <c r="Y69" i="28" s="1"/>
  <c r="G70" i="28"/>
  <c r="K70" i="28"/>
  <c r="L70" i="28"/>
  <c r="M70" i="28"/>
  <c r="Y70" i="28" s="1"/>
  <c r="G71" i="28"/>
  <c r="K71" i="28"/>
  <c r="L71" i="28"/>
  <c r="M71" i="28"/>
  <c r="Y71" i="28" s="1"/>
  <c r="G72" i="28"/>
  <c r="K72" i="28"/>
  <c r="L72" i="28"/>
  <c r="M72" i="28"/>
  <c r="Y72" i="28" s="1"/>
  <c r="G73" i="28"/>
  <c r="K73" i="28"/>
  <c r="L73" i="28"/>
  <c r="M73" i="28"/>
  <c r="Y73" i="28" s="1"/>
  <c r="G74" i="28"/>
  <c r="K74" i="28"/>
  <c r="L74" i="28"/>
  <c r="M74" i="28"/>
  <c r="Y74" i="28" s="1"/>
  <c r="G75" i="28"/>
  <c r="K75" i="28"/>
  <c r="L75" i="28"/>
  <c r="M75" i="28"/>
  <c r="Y75" i="28" s="1"/>
  <c r="G76" i="28"/>
  <c r="K76" i="28"/>
  <c r="L76" i="28"/>
  <c r="M76" i="28"/>
  <c r="Y76" i="28" s="1"/>
  <c r="G77" i="28"/>
  <c r="K77" i="28"/>
  <c r="L77" i="28"/>
  <c r="M77" i="28"/>
  <c r="Y77" i="28" s="1"/>
  <c r="G78" i="28"/>
  <c r="K78" i="28"/>
  <c r="L78" i="28"/>
  <c r="M78" i="28"/>
  <c r="Y78" i="28" s="1"/>
  <c r="G79" i="28"/>
  <c r="K79" i="28"/>
  <c r="L79" i="28"/>
  <c r="M79" i="28"/>
  <c r="Y79" i="28" s="1"/>
  <c r="G80" i="28"/>
  <c r="K80" i="28"/>
  <c r="L80" i="28"/>
  <c r="M80" i="28"/>
  <c r="Y80" i="28" s="1"/>
  <c r="G81" i="28"/>
  <c r="K81" i="28"/>
  <c r="L81" i="28"/>
  <c r="M81" i="28"/>
  <c r="Y81" i="28" s="1"/>
  <c r="G82" i="28"/>
  <c r="K82" i="28"/>
  <c r="L82" i="28"/>
  <c r="M82" i="28"/>
  <c r="Y82" i="28" s="1"/>
  <c r="G83" i="28"/>
  <c r="K83" i="28"/>
  <c r="L83" i="28"/>
  <c r="M83" i="28"/>
  <c r="Y83" i="28" s="1"/>
  <c r="G84" i="28"/>
  <c r="K84" i="28"/>
  <c r="L84" i="28"/>
  <c r="M84" i="28"/>
  <c r="Y84" i="28" s="1"/>
  <c r="G85" i="28"/>
  <c r="K85" i="28"/>
  <c r="L85" i="28"/>
  <c r="M85" i="28"/>
  <c r="Y85" i="28" s="1"/>
  <c r="G86" i="28"/>
  <c r="K86" i="28"/>
  <c r="L86" i="28"/>
  <c r="M86" i="28"/>
  <c r="Y86" i="28" s="1"/>
  <c r="G87" i="28"/>
  <c r="K87" i="28"/>
  <c r="L87" i="28"/>
  <c r="M87" i="28"/>
  <c r="Y87" i="28" s="1"/>
  <c r="G88" i="28"/>
  <c r="K88" i="28"/>
  <c r="L88" i="28"/>
  <c r="M88" i="28"/>
  <c r="Y88" i="28" s="1"/>
  <c r="G89" i="28"/>
  <c r="K89" i="28"/>
  <c r="L89" i="28"/>
  <c r="M89" i="28"/>
  <c r="Y89" i="28" s="1"/>
  <c r="G90" i="28"/>
  <c r="K90" i="28"/>
  <c r="L90" i="28"/>
  <c r="M90" i="28"/>
  <c r="Y90" i="28"/>
  <c r="G91" i="28"/>
  <c r="K91" i="28"/>
  <c r="L91" i="28"/>
  <c r="M91" i="28"/>
  <c r="Y91" i="28"/>
  <c r="G92" i="28"/>
  <c r="K92" i="28"/>
  <c r="L92" i="28"/>
  <c r="M92" i="28"/>
  <c r="Y92" i="28" s="1"/>
  <c r="G93" i="28"/>
  <c r="K93" i="28"/>
  <c r="L93" i="28"/>
  <c r="M93" i="28"/>
  <c r="Y93" i="28" s="1"/>
  <c r="G94" i="28"/>
  <c r="K94" i="28"/>
  <c r="L94" i="28"/>
  <c r="M94" i="28"/>
  <c r="Y94" i="28" s="1"/>
  <c r="G95" i="28"/>
  <c r="K95" i="28"/>
  <c r="L95" i="28"/>
  <c r="M95" i="28"/>
  <c r="Y95" i="28" s="1"/>
  <c r="G96" i="28"/>
  <c r="K96" i="28"/>
  <c r="L96" i="28"/>
  <c r="M96" i="28"/>
  <c r="Y96" i="28" s="1"/>
  <c r="G97" i="28"/>
  <c r="K97" i="28"/>
  <c r="L97" i="28"/>
  <c r="M97" i="28"/>
  <c r="Y97" i="28" s="1"/>
  <c r="G98" i="28"/>
  <c r="K98" i="28"/>
  <c r="L98" i="28"/>
  <c r="M98" i="28"/>
  <c r="Y98" i="28"/>
  <c r="G99" i="28"/>
  <c r="K99" i="28"/>
  <c r="L99" i="28"/>
  <c r="M99" i="28"/>
  <c r="Y99" i="28" s="1"/>
  <c r="G100" i="28"/>
  <c r="K100" i="28"/>
  <c r="L100" i="28"/>
  <c r="M100" i="28"/>
  <c r="Y100" i="28" s="1"/>
  <c r="G101" i="28"/>
  <c r="K101" i="28"/>
  <c r="L101" i="28"/>
  <c r="M101" i="28"/>
  <c r="Y101" i="28" s="1"/>
  <c r="G102" i="28"/>
  <c r="K102" i="28"/>
  <c r="L102" i="28"/>
  <c r="M102" i="28"/>
  <c r="Y102" i="28" s="1"/>
  <c r="G103" i="28"/>
  <c r="K103" i="28"/>
  <c r="L103" i="28"/>
  <c r="M103" i="28"/>
  <c r="Y103" i="28" s="1"/>
  <c r="G104" i="28"/>
  <c r="K104" i="28"/>
  <c r="L104" i="28"/>
  <c r="M104" i="28"/>
  <c r="Y104" i="28"/>
  <c r="G105" i="28"/>
  <c r="K105" i="28"/>
  <c r="L105" i="28"/>
  <c r="M105" i="28"/>
  <c r="Y105" i="28" s="1"/>
  <c r="G106" i="28"/>
  <c r="K106" i="28"/>
  <c r="L106" i="28"/>
  <c r="M106" i="28"/>
  <c r="Y106" i="28" s="1"/>
  <c r="G107" i="28"/>
  <c r="K107" i="28"/>
  <c r="L107" i="28"/>
  <c r="M107" i="28"/>
  <c r="Y107" i="28" s="1"/>
  <c r="G108" i="28"/>
  <c r="K108" i="28"/>
  <c r="L108" i="28"/>
  <c r="M108" i="28"/>
  <c r="Y108" i="28" s="1"/>
  <c r="G109" i="28"/>
  <c r="K109" i="28"/>
  <c r="L109" i="28"/>
  <c r="M109" i="28"/>
  <c r="Y109" i="28" s="1"/>
  <c r="G110" i="28"/>
  <c r="K110" i="28"/>
  <c r="L110" i="28"/>
  <c r="M110" i="28"/>
  <c r="Y110" i="28" s="1"/>
  <c r="G111" i="28"/>
  <c r="K111" i="28"/>
  <c r="L111" i="28"/>
  <c r="M111" i="28"/>
  <c r="Y111" i="28" s="1"/>
  <c r="G112" i="28"/>
  <c r="K112" i="28"/>
  <c r="L112" i="28"/>
  <c r="M112" i="28"/>
  <c r="Y112" i="28" s="1"/>
  <c r="G113" i="28"/>
  <c r="K113" i="28"/>
  <c r="L113" i="28"/>
  <c r="M113" i="28"/>
  <c r="Y113" i="28" s="1"/>
  <c r="G114" i="28"/>
  <c r="K114" i="28"/>
  <c r="L114" i="28"/>
  <c r="M114" i="28"/>
  <c r="Y114" i="28" s="1"/>
  <c r="G115" i="28"/>
  <c r="K115" i="28"/>
  <c r="L115" i="28"/>
  <c r="M115" i="28"/>
  <c r="Y115" i="28" s="1"/>
  <c r="G116" i="28"/>
  <c r="K116" i="28"/>
  <c r="L116" i="28"/>
  <c r="M116" i="28"/>
  <c r="Y116" i="28" s="1"/>
  <c r="G117" i="28"/>
  <c r="K117" i="28"/>
  <c r="L117" i="28"/>
  <c r="M117" i="28"/>
  <c r="Y117" i="28" s="1"/>
  <c r="G118" i="28"/>
  <c r="K118" i="28"/>
  <c r="L118" i="28"/>
  <c r="M118" i="28"/>
  <c r="Y118" i="28" s="1"/>
  <c r="G119" i="28"/>
  <c r="K119" i="28"/>
  <c r="L119" i="28"/>
  <c r="M119" i="28"/>
  <c r="Y119" i="28" s="1"/>
  <c r="G120" i="28"/>
  <c r="K120" i="28"/>
  <c r="L120" i="28"/>
  <c r="M120" i="28"/>
  <c r="Y120" i="28" s="1"/>
  <c r="G121" i="28"/>
  <c r="K121" i="28"/>
  <c r="L121" i="28"/>
  <c r="M121" i="28"/>
  <c r="Y121" i="28" s="1"/>
  <c r="G122" i="28"/>
  <c r="K122" i="28"/>
  <c r="L122" i="28"/>
  <c r="M122" i="28"/>
  <c r="Y122" i="28" s="1"/>
  <c r="D61" i="4"/>
  <c r="E61" i="4"/>
  <c r="F61" i="4"/>
  <c r="D62" i="22"/>
  <c r="E62" i="22"/>
  <c r="F62" i="22"/>
  <c r="AK55" i="8"/>
  <c r="D54" i="8"/>
  <c r="E54" i="8"/>
  <c r="F54" i="8"/>
  <c r="S63" i="5"/>
  <c r="T63" i="5"/>
  <c r="AA63" i="5"/>
  <c r="AB63" i="5"/>
  <c r="AF63" i="5"/>
  <c r="AG63" i="5"/>
  <c r="AK63" i="5"/>
  <c r="AL63" i="5"/>
  <c r="S64" i="5"/>
  <c r="T64" i="5"/>
  <c r="AA64" i="5"/>
  <c r="AB64" i="5"/>
  <c r="AF64" i="5"/>
  <c r="AG64" i="5"/>
  <c r="AK64" i="5"/>
  <c r="AL64" i="5"/>
  <c r="AN64" i="5"/>
  <c r="AO64" i="5"/>
  <c r="AP64" i="5" s="1"/>
  <c r="AQ64" i="5"/>
  <c r="AR64" i="5"/>
  <c r="S65" i="5"/>
  <c r="T65" i="5"/>
  <c r="AA65" i="5"/>
  <c r="AB65" i="5"/>
  <c r="AF65" i="5"/>
  <c r="AG65" i="5"/>
  <c r="AK65" i="5"/>
  <c r="AL65" i="5"/>
  <c r="X66" i="5"/>
  <c r="AC66" i="5"/>
  <c r="W70" i="5"/>
  <c r="AT46" i="5"/>
  <c r="D62" i="5"/>
  <c r="E62" i="5"/>
  <c r="F62" i="5"/>
  <c r="D54" i="3"/>
  <c r="E54" i="3"/>
  <c r="F54" i="3"/>
  <c r="D54" i="5"/>
  <c r="E54" i="5"/>
  <c r="F54" i="5"/>
  <c r="D54" i="19"/>
  <c r="E54" i="19"/>
  <c r="F54" i="19"/>
  <c r="D54" i="2"/>
  <c r="E54" i="2"/>
  <c r="F54" i="2"/>
  <c r="D54" i="4"/>
  <c r="E54" i="4"/>
  <c r="F54" i="4"/>
  <c r="D54" i="22"/>
  <c r="E54" i="22"/>
  <c r="F54" i="22"/>
  <c r="G18" i="28"/>
  <c r="K18" i="28"/>
  <c r="L18" i="28"/>
  <c r="M18" i="28"/>
  <c r="Y18" i="28" s="1"/>
  <c r="G19" i="28"/>
  <c r="K19" i="28"/>
  <c r="L19" i="28"/>
  <c r="M19" i="28"/>
  <c r="Y19" i="28" s="1"/>
  <c r="G20" i="28"/>
  <c r="K20" i="28"/>
  <c r="L20" i="28"/>
  <c r="M20" i="28"/>
  <c r="Y20" i="28" s="1"/>
  <c r="G21" i="28"/>
  <c r="K21" i="28"/>
  <c r="L21" i="28"/>
  <c r="M21" i="28"/>
  <c r="Y21" i="28"/>
  <c r="G22" i="28"/>
  <c r="K22" i="28"/>
  <c r="L22" i="28"/>
  <c r="M22" i="28"/>
  <c r="Y22" i="28" s="1"/>
  <c r="G23" i="28"/>
  <c r="K23" i="28"/>
  <c r="L23" i="28"/>
  <c r="M23" i="28"/>
  <c r="Y23" i="28" s="1"/>
  <c r="G24" i="28"/>
  <c r="K24" i="28"/>
  <c r="L24" i="28"/>
  <c r="M24" i="28"/>
  <c r="Y24" i="28" s="1"/>
  <c r="G25" i="28"/>
  <c r="K25" i="28"/>
  <c r="L25" i="28"/>
  <c r="M25" i="28"/>
  <c r="Y25" i="28"/>
  <c r="G26" i="28"/>
  <c r="K26" i="28"/>
  <c r="L26" i="28"/>
  <c r="M26" i="28"/>
  <c r="Y26" i="28" s="1"/>
  <c r="G27" i="28"/>
  <c r="K27" i="28"/>
  <c r="L27" i="28"/>
  <c r="M27" i="28"/>
  <c r="Y27" i="28" s="1"/>
  <c r="G28" i="28"/>
  <c r="K28" i="28"/>
  <c r="L28" i="28"/>
  <c r="M28" i="28"/>
  <c r="Y28" i="28" s="1"/>
  <c r="G29" i="28"/>
  <c r="K29" i="28"/>
  <c r="L29" i="28"/>
  <c r="M29" i="28"/>
  <c r="Y29" i="28" s="1"/>
  <c r="G30" i="28"/>
  <c r="K30" i="28"/>
  <c r="L30" i="28"/>
  <c r="M30" i="28"/>
  <c r="Y30" i="28" s="1"/>
  <c r="G31" i="28"/>
  <c r="K31" i="28"/>
  <c r="L31" i="28"/>
  <c r="M31" i="28"/>
  <c r="Y31" i="28" s="1"/>
  <c r="G32" i="28"/>
  <c r="K32" i="28"/>
  <c r="L32" i="28"/>
  <c r="M32" i="28"/>
  <c r="Y32" i="28" s="1"/>
  <c r="D52" i="6"/>
  <c r="E52" i="6"/>
  <c r="F52" i="6"/>
  <c r="G52" i="6"/>
  <c r="D53" i="19"/>
  <c r="E53" i="19"/>
  <c r="F53" i="19"/>
  <c r="D53" i="8"/>
  <c r="E53" i="8"/>
  <c r="F53" i="8"/>
  <c r="H25" i="10"/>
  <c r="C25" i="10"/>
  <c r="D40" i="5"/>
  <c r="G40" i="5" s="1"/>
  <c r="E40" i="5"/>
  <c r="F40" i="5"/>
  <c r="D46" i="6"/>
  <c r="E46" i="6"/>
  <c r="F46" i="6"/>
  <c r="D40" i="19"/>
  <c r="E40" i="19"/>
  <c r="F40" i="19"/>
  <c r="F39" i="19"/>
  <c r="D53" i="3"/>
  <c r="E53" i="3"/>
  <c r="F53" i="3"/>
  <c r="D52" i="3"/>
  <c r="E52" i="3"/>
  <c r="F52" i="3"/>
  <c r="D51" i="3"/>
  <c r="E51" i="3"/>
  <c r="F51" i="3"/>
  <c r="D40" i="3"/>
  <c r="E40" i="3"/>
  <c r="F40" i="3"/>
  <c r="D52" i="4"/>
  <c r="E52" i="4"/>
  <c r="F52" i="4"/>
  <c r="D46" i="22"/>
  <c r="E46" i="22"/>
  <c r="F46" i="22"/>
  <c r="D52" i="2"/>
  <c r="E52" i="2"/>
  <c r="F52" i="2"/>
  <c r="D40" i="8"/>
  <c r="E40" i="8"/>
  <c r="F40" i="8"/>
  <c r="AF59" i="22"/>
  <c r="AG59" i="22"/>
  <c r="AK59" i="22"/>
  <c r="AF60" i="22"/>
  <c r="AG60" i="22"/>
  <c r="AK60" i="22"/>
  <c r="AF61" i="22"/>
  <c r="AG61" i="22"/>
  <c r="AK61" i="22"/>
  <c r="AF62" i="22"/>
  <c r="AG62" i="22"/>
  <c r="AK62" i="22"/>
  <c r="AF63" i="22"/>
  <c r="AG63" i="22"/>
  <c r="AK63" i="22"/>
  <c r="AF64" i="22"/>
  <c r="AG64" i="22"/>
  <c r="AK64" i="22"/>
  <c r="AF65" i="22"/>
  <c r="AG65" i="22"/>
  <c r="AK65" i="22"/>
  <c r="R47" i="22"/>
  <c r="S47" i="22"/>
  <c r="T47" i="22"/>
  <c r="AA47" i="22"/>
  <c r="AB47" i="22"/>
  <c r="AF47" i="22"/>
  <c r="AG47" i="22"/>
  <c r="D40" i="6"/>
  <c r="E40" i="6"/>
  <c r="F40" i="6"/>
  <c r="D41" i="6"/>
  <c r="E41" i="6"/>
  <c r="F41" i="6"/>
  <c r="D42" i="6"/>
  <c r="E42" i="6"/>
  <c r="F42" i="6"/>
  <c r="D43" i="6"/>
  <c r="E43" i="6"/>
  <c r="F43" i="6"/>
  <c r="D44" i="6"/>
  <c r="E44" i="6"/>
  <c r="F44" i="6"/>
  <c r="D40" i="4"/>
  <c r="E40" i="4"/>
  <c r="F40" i="4"/>
  <c r="D40" i="2"/>
  <c r="E40" i="2"/>
  <c r="F40" i="2"/>
  <c r="D40" i="22"/>
  <c r="E40" i="22"/>
  <c r="F40" i="22"/>
  <c r="D38" i="5"/>
  <c r="E38" i="5"/>
  <c r="F38" i="5"/>
  <c r="G38" i="5"/>
  <c r="D39" i="5"/>
  <c r="E39" i="5"/>
  <c r="F39" i="5"/>
  <c r="G39" i="5"/>
  <c r="D34" i="6"/>
  <c r="E34" i="6"/>
  <c r="F34" i="6"/>
  <c r="D39" i="8"/>
  <c r="E39" i="8"/>
  <c r="F39" i="8"/>
  <c r="D26" i="4"/>
  <c r="E26" i="4"/>
  <c r="F26" i="4"/>
  <c r="G26" i="4"/>
  <c r="D38" i="19"/>
  <c r="E38" i="19"/>
  <c r="F38" i="19"/>
  <c r="D39" i="19"/>
  <c r="E39" i="19"/>
  <c r="D37" i="8"/>
  <c r="E37" i="8"/>
  <c r="F37" i="8"/>
  <c r="D37" i="3"/>
  <c r="E37" i="3"/>
  <c r="F37" i="3"/>
  <c r="D34" i="5"/>
  <c r="E34" i="5"/>
  <c r="F34" i="5"/>
  <c r="D26" i="19"/>
  <c r="E26" i="19"/>
  <c r="F26" i="19"/>
  <c r="T34" i="2"/>
  <c r="D30" i="2"/>
  <c r="E30" i="2"/>
  <c r="F30" i="2"/>
  <c r="D28" i="8"/>
  <c r="E28" i="8"/>
  <c r="F28" i="8"/>
  <c r="D29" i="8"/>
  <c r="E29" i="8"/>
  <c r="F29" i="8"/>
  <c r="S28" i="6"/>
  <c r="D26" i="6"/>
  <c r="E26" i="6"/>
  <c r="F26" i="6"/>
  <c r="D26" i="2"/>
  <c r="E26" i="2"/>
  <c r="F26" i="2"/>
  <c r="D26" i="8"/>
  <c r="E26" i="8"/>
  <c r="F26" i="8"/>
  <c r="D26" i="22"/>
  <c r="E26" i="22"/>
  <c r="F26" i="22"/>
  <c r="D26" i="5"/>
  <c r="E26" i="5"/>
  <c r="F26" i="5"/>
  <c r="D24" i="19"/>
  <c r="E24" i="19"/>
  <c r="F24" i="19"/>
  <c r="D25" i="4"/>
  <c r="E25" i="4"/>
  <c r="F25" i="4"/>
  <c r="D21" i="8"/>
  <c r="E21" i="8"/>
  <c r="F21" i="8"/>
  <c r="D12" i="6"/>
  <c r="E12" i="6"/>
  <c r="F12" i="6"/>
  <c r="D12" i="4"/>
  <c r="E12" i="4"/>
  <c r="F12" i="4"/>
  <c r="D12" i="3"/>
  <c r="E12" i="3"/>
  <c r="F12" i="3"/>
  <c r="D12" i="2"/>
  <c r="E12" i="2"/>
  <c r="F12" i="2"/>
  <c r="D12" i="5"/>
  <c r="E12" i="5"/>
  <c r="F12" i="5"/>
  <c r="D12" i="19"/>
  <c r="E12" i="19"/>
  <c r="F12" i="19"/>
  <c r="AK21" i="22"/>
  <c r="D12" i="8"/>
  <c r="E12" i="8"/>
  <c r="F12" i="8"/>
  <c r="D12" i="22"/>
  <c r="E12" i="22"/>
  <c r="F12" i="22"/>
  <c r="D10" i="3"/>
  <c r="E10" i="3"/>
  <c r="F10" i="3"/>
  <c r="D11" i="22"/>
  <c r="E11" i="22"/>
  <c r="F11" i="22"/>
  <c r="D7" i="3"/>
  <c r="E7" i="3"/>
  <c r="F7" i="3"/>
  <c r="D10" i="8"/>
  <c r="E10" i="8"/>
  <c r="F10" i="8"/>
  <c r="D11" i="5"/>
  <c r="E11" i="5"/>
  <c r="F11" i="5"/>
  <c r="M17" i="28"/>
  <c r="R5" i="4"/>
  <c r="V14" i="28"/>
  <c r="U14" i="28"/>
  <c r="V11" i="28"/>
  <c r="U11" i="28"/>
  <c r="D60" i="3"/>
  <c r="E60" i="3"/>
  <c r="F60" i="3"/>
  <c r="D61" i="3"/>
  <c r="E61" i="3"/>
  <c r="F61" i="3"/>
  <c r="D62" i="3"/>
  <c r="E62" i="3"/>
  <c r="F62" i="3"/>
  <c r="D63" i="3"/>
  <c r="E63" i="3"/>
  <c r="F63" i="3"/>
  <c r="D65" i="3"/>
  <c r="E65" i="3"/>
  <c r="F65" i="3"/>
  <c r="D62" i="4"/>
  <c r="E62" i="4"/>
  <c r="F62" i="4"/>
  <c r="D63" i="4"/>
  <c r="E63" i="4"/>
  <c r="F63" i="4"/>
  <c r="D60" i="19"/>
  <c r="E60" i="19"/>
  <c r="F60" i="19"/>
  <c r="D60" i="8"/>
  <c r="E60" i="8"/>
  <c r="F60" i="8"/>
  <c r="D61" i="8"/>
  <c r="E61" i="8"/>
  <c r="F61" i="8"/>
  <c r="D62" i="8"/>
  <c r="E62" i="8"/>
  <c r="F62" i="8"/>
  <c r="D63" i="8"/>
  <c r="E63" i="8"/>
  <c r="F63" i="8"/>
  <c r="D65" i="8"/>
  <c r="E65" i="8"/>
  <c r="F65" i="8"/>
  <c r="D60" i="5"/>
  <c r="E60" i="5"/>
  <c r="F60" i="5"/>
  <c r="D61" i="5"/>
  <c r="E61" i="5"/>
  <c r="F61" i="5"/>
  <c r="D63" i="5"/>
  <c r="AR63" i="5" s="1"/>
  <c r="E63" i="5"/>
  <c r="F63" i="5"/>
  <c r="F65" i="5"/>
  <c r="D60" i="4"/>
  <c r="E60" i="4"/>
  <c r="F60" i="4"/>
  <c r="D60" i="22"/>
  <c r="E60" i="22"/>
  <c r="F60" i="22"/>
  <c r="D60" i="2"/>
  <c r="E60" i="2"/>
  <c r="F60" i="2"/>
  <c r="D64" i="6"/>
  <c r="E64" i="6"/>
  <c r="F64" i="6"/>
  <c r="D60" i="6"/>
  <c r="E60" i="6"/>
  <c r="F60" i="6"/>
  <c r="D46" i="19"/>
  <c r="E46" i="19"/>
  <c r="F46" i="19"/>
  <c r="D57" i="3"/>
  <c r="E57" i="3"/>
  <c r="F57" i="3"/>
  <c r="D53" i="6"/>
  <c r="E53" i="6"/>
  <c r="F53" i="6"/>
  <c r="D46" i="5"/>
  <c r="E46" i="5"/>
  <c r="F46" i="5"/>
  <c r="D46" i="4"/>
  <c r="E46" i="4"/>
  <c r="F46" i="4"/>
  <c r="R55" i="8"/>
  <c r="D46" i="8"/>
  <c r="E46" i="8"/>
  <c r="F46" i="8"/>
  <c r="D58" i="2"/>
  <c r="E58" i="2"/>
  <c r="F58" i="2"/>
  <c r="D46" i="3"/>
  <c r="E46" i="3"/>
  <c r="F46" i="3"/>
  <c r="D46" i="2"/>
  <c r="E46" i="2"/>
  <c r="F46" i="2"/>
  <c r="D45" i="19"/>
  <c r="E45" i="19"/>
  <c r="F45" i="19"/>
  <c r="AA49" i="22"/>
  <c r="D45" i="22"/>
  <c r="E45" i="22"/>
  <c r="F45" i="22"/>
  <c r="D44" i="4"/>
  <c r="E44" i="4"/>
  <c r="F44" i="4"/>
  <c r="D32" i="22"/>
  <c r="E32" i="22"/>
  <c r="F32" i="22"/>
  <c r="D32" i="5"/>
  <c r="E32" i="5"/>
  <c r="F32" i="5"/>
  <c r="I42" i="6"/>
  <c r="D32" i="4"/>
  <c r="E32" i="4"/>
  <c r="F32" i="4"/>
  <c r="D32" i="19"/>
  <c r="E32" i="19"/>
  <c r="F32" i="19"/>
  <c r="D32" i="8"/>
  <c r="E32" i="8"/>
  <c r="F32" i="8"/>
  <c r="D32" i="3"/>
  <c r="E32" i="3"/>
  <c r="F32" i="3"/>
  <c r="D32" i="2"/>
  <c r="E32" i="2"/>
  <c r="F32" i="2"/>
  <c r="D32" i="6"/>
  <c r="E32" i="6"/>
  <c r="F32" i="6"/>
  <c r="D65" i="5" l="1"/>
  <c r="J25" i="10"/>
  <c r="I25" i="10"/>
  <c r="D25" i="10"/>
  <c r="E25" i="10"/>
  <c r="D65" i="22"/>
  <c r="E65" i="22"/>
  <c r="E64" i="22"/>
  <c r="D64" i="22"/>
  <c r="G44" i="6"/>
  <c r="G64" i="19"/>
  <c r="D31" i="2"/>
  <c r="E31" i="2"/>
  <c r="F31" i="2"/>
  <c r="D22" i="8"/>
  <c r="E22" i="8"/>
  <c r="F22" i="8"/>
  <c r="D23" i="8"/>
  <c r="E23" i="8"/>
  <c r="F23" i="8"/>
  <c r="D24" i="8"/>
  <c r="E24" i="8"/>
  <c r="F24" i="8"/>
  <c r="AK30" i="3"/>
  <c r="D24" i="3"/>
  <c r="E24" i="3"/>
  <c r="F24" i="3"/>
  <c r="D18" i="19"/>
  <c r="E18" i="19"/>
  <c r="F18" i="19"/>
  <c r="D23" i="6"/>
  <c r="E23" i="6"/>
  <c r="F23" i="6"/>
  <c r="D28" i="22"/>
  <c r="E28" i="22"/>
  <c r="F28" i="22"/>
  <c r="D28" i="2"/>
  <c r="E28" i="2"/>
  <c r="F28" i="2"/>
  <c r="AR65" i="5" l="1"/>
  <c r="F65" i="22"/>
  <c r="F64" i="22"/>
  <c r="G28" i="2"/>
  <c r="L125" i="16"/>
  <c r="K125" i="16"/>
  <c r="L124" i="16"/>
  <c r="K124" i="16"/>
  <c r="L123" i="16"/>
  <c r="K123" i="16"/>
  <c r="L122" i="16"/>
  <c r="K122" i="16"/>
  <c r="L121" i="16"/>
  <c r="K121" i="16"/>
  <c r="L120" i="16"/>
  <c r="K120" i="16"/>
  <c r="L119" i="16"/>
  <c r="K119" i="16"/>
  <c r="AA118" i="16"/>
  <c r="Z118" i="16"/>
  <c r="AA117" i="16"/>
  <c r="Z117" i="16"/>
  <c r="AA115" i="16"/>
  <c r="Z115" i="16"/>
  <c r="AA114" i="16"/>
  <c r="Z114" i="16"/>
  <c r="AA112" i="16"/>
  <c r="Z112" i="16"/>
  <c r="AA111" i="16"/>
  <c r="Z111" i="16"/>
  <c r="AA109" i="16"/>
  <c r="Z109" i="16"/>
  <c r="Q109" i="16"/>
  <c r="L109" i="16"/>
  <c r="U109" i="16" s="1"/>
  <c r="S109" i="16" s="1"/>
  <c r="K109" i="16"/>
  <c r="T109" i="16" s="1"/>
  <c r="R109" i="16" s="1"/>
  <c r="AA108" i="16"/>
  <c r="Z108" i="16"/>
  <c r="Q108" i="16"/>
  <c r="P108" i="16"/>
  <c r="L108" i="16"/>
  <c r="U108" i="16" s="1"/>
  <c r="S108" i="16" s="1"/>
  <c r="K108" i="16"/>
  <c r="T108" i="16" s="1"/>
  <c r="R108" i="16" s="1"/>
  <c r="AA106" i="16"/>
  <c r="Z106" i="16"/>
  <c r="Q106" i="16"/>
  <c r="L106" i="16"/>
  <c r="U106" i="16" s="1"/>
  <c r="S106" i="16" s="1"/>
  <c r="K106" i="16"/>
  <c r="AA105" i="16"/>
  <c r="Z105" i="16"/>
  <c r="Q105" i="16"/>
  <c r="P105" i="16"/>
  <c r="L105" i="16"/>
  <c r="K105" i="16"/>
  <c r="AA103" i="16"/>
  <c r="Z103" i="16"/>
  <c r="AA102" i="16"/>
  <c r="Z102" i="16"/>
  <c r="AA100" i="16"/>
  <c r="Z100" i="16"/>
  <c r="AA99" i="16"/>
  <c r="Z99" i="16"/>
  <c r="AA97" i="16"/>
  <c r="Z97" i="16"/>
  <c r="AA96" i="16"/>
  <c r="Z96" i="16"/>
  <c r="AA94" i="16"/>
  <c r="Z94" i="16"/>
  <c r="AA93" i="16"/>
  <c r="Z93" i="16"/>
  <c r="AA91" i="16"/>
  <c r="Z91" i="16"/>
  <c r="Q91" i="16"/>
  <c r="L91" i="16"/>
  <c r="K91" i="16"/>
  <c r="AA90" i="16"/>
  <c r="Z90" i="16"/>
  <c r="Q90" i="16"/>
  <c r="P90" i="16"/>
  <c r="L90" i="16"/>
  <c r="K90" i="16"/>
  <c r="AA88" i="16"/>
  <c r="Z88" i="16"/>
  <c r="Q88" i="16"/>
  <c r="L88" i="16"/>
  <c r="K88" i="16"/>
  <c r="T88" i="16" s="1"/>
  <c r="R88" i="16" s="1"/>
  <c r="AA87" i="16"/>
  <c r="Z87" i="16"/>
  <c r="Q87" i="16"/>
  <c r="P87" i="16"/>
  <c r="L87" i="16"/>
  <c r="U87" i="16" s="1"/>
  <c r="S87" i="16" s="1"/>
  <c r="K87" i="16"/>
  <c r="T87" i="16" s="1"/>
  <c r="R87" i="16" s="1"/>
  <c r="AA85" i="16"/>
  <c r="Z85" i="16"/>
  <c r="Q85" i="16"/>
  <c r="L85" i="16"/>
  <c r="K85" i="16"/>
  <c r="AA84" i="16"/>
  <c r="U84" i="16" s="1"/>
  <c r="Z84" i="16"/>
  <c r="T84" i="16"/>
  <c r="Q84" i="16"/>
  <c r="P84" i="16"/>
  <c r="AA82" i="16"/>
  <c r="U82" i="16" s="1"/>
  <c r="Z82" i="16"/>
  <c r="T82" i="16"/>
  <c r="Q82" i="16"/>
  <c r="P82" i="16"/>
  <c r="AA81" i="16"/>
  <c r="U81" i="16" s="1"/>
  <c r="Z81" i="16"/>
  <c r="T81" i="16"/>
  <c r="Q81" i="16"/>
  <c r="P81" i="16"/>
  <c r="AA79" i="16"/>
  <c r="U79" i="16" s="1"/>
  <c r="Z79" i="16"/>
  <c r="T79" i="16"/>
  <c r="Q79" i="16"/>
  <c r="P79" i="16"/>
  <c r="AA78" i="16"/>
  <c r="U78" i="16" s="1"/>
  <c r="Z78" i="16"/>
  <c r="T78" i="16"/>
  <c r="Q78" i="16"/>
  <c r="P78" i="16"/>
  <c r="AA76" i="16"/>
  <c r="U76" i="16" s="1"/>
  <c r="Z76" i="16"/>
  <c r="T76" i="16"/>
  <c r="Q76" i="16"/>
  <c r="P76" i="16"/>
  <c r="AA75" i="16"/>
  <c r="U75" i="16" s="1"/>
  <c r="Z75" i="16"/>
  <c r="T75" i="16"/>
  <c r="Q75" i="16"/>
  <c r="P75" i="16"/>
  <c r="AA73" i="16"/>
  <c r="U73" i="16" s="1"/>
  <c r="Z73" i="16"/>
  <c r="T73" i="16"/>
  <c r="Q73" i="16"/>
  <c r="AA72" i="16"/>
  <c r="U72" i="16" s="1"/>
  <c r="Z72" i="16"/>
  <c r="T72" i="16" s="1"/>
  <c r="Q72" i="16"/>
  <c r="P72" i="16"/>
  <c r="AA70" i="16"/>
  <c r="U70" i="16" s="1"/>
  <c r="Z70" i="16"/>
  <c r="T70" i="16" s="1"/>
  <c r="Q70" i="16"/>
  <c r="P70" i="16"/>
  <c r="AA69" i="16"/>
  <c r="U69" i="16" s="1"/>
  <c r="Z69" i="16"/>
  <c r="T69" i="16" s="1"/>
  <c r="Q69" i="16"/>
  <c r="P69" i="16"/>
  <c r="AA67" i="16"/>
  <c r="U67" i="16" s="1"/>
  <c r="Z67" i="16"/>
  <c r="T67" i="16" s="1"/>
  <c r="Q67" i="16"/>
  <c r="P67" i="16"/>
  <c r="AA66" i="16"/>
  <c r="U66" i="16" s="1"/>
  <c r="Z66" i="16"/>
  <c r="T66" i="16" s="1"/>
  <c r="Q66" i="16"/>
  <c r="P66" i="16"/>
  <c r="AA64" i="16"/>
  <c r="U64" i="16" s="1"/>
  <c r="Z64" i="16"/>
  <c r="T64" i="16" s="1"/>
  <c r="Q64" i="16"/>
  <c r="P64" i="16"/>
  <c r="AA63" i="16"/>
  <c r="U63" i="16" s="1"/>
  <c r="Z63" i="16"/>
  <c r="T63" i="16" s="1"/>
  <c r="Q63" i="16"/>
  <c r="P63" i="16"/>
  <c r="AA61" i="16"/>
  <c r="U61" i="16" s="1"/>
  <c r="Z61" i="16"/>
  <c r="T61" i="16" s="1"/>
  <c r="Q61" i="16"/>
  <c r="P61" i="16"/>
  <c r="AA60" i="16"/>
  <c r="U60" i="16" s="1"/>
  <c r="Z60" i="16"/>
  <c r="T60" i="16" s="1"/>
  <c r="Q60" i="16"/>
  <c r="P60" i="16"/>
  <c r="AA58" i="16"/>
  <c r="U58" i="16" s="1"/>
  <c r="Z58" i="16"/>
  <c r="T58" i="16" s="1"/>
  <c r="Q58" i="16"/>
  <c r="P58" i="16"/>
  <c r="AA57" i="16"/>
  <c r="U57" i="16" s="1"/>
  <c r="Z57" i="16"/>
  <c r="T57" i="16" s="1"/>
  <c r="Q57" i="16"/>
  <c r="P57" i="16"/>
  <c r="AA55" i="16"/>
  <c r="U55" i="16" s="1"/>
  <c r="Z55" i="16"/>
  <c r="T55" i="16" s="1"/>
  <c r="Q55" i="16"/>
  <c r="AA54" i="16"/>
  <c r="Z54" i="16"/>
  <c r="T54" i="16" s="1"/>
  <c r="U54" i="16"/>
  <c r="Q54" i="16"/>
  <c r="P54" i="16"/>
  <c r="AA52" i="16"/>
  <c r="Z52" i="16"/>
  <c r="T52" i="16" s="1"/>
  <c r="U52" i="16"/>
  <c r="Q52" i="16"/>
  <c r="P52" i="16"/>
  <c r="AA51" i="16"/>
  <c r="Z51" i="16"/>
  <c r="T51" i="16" s="1"/>
  <c r="U51" i="16"/>
  <c r="Q51" i="16"/>
  <c r="P51" i="16"/>
  <c r="AA49" i="16"/>
  <c r="Z49" i="16"/>
  <c r="T49" i="16" s="1"/>
  <c r="U49" i="16"/>
  <c r="Q49" i="16"/>
  <c r="P49" i="16"/>
  <c r="AA48" i="16"/>
  <c r="Z48" i="16"/>
  <c r="T48" i="16" s="1"/>
  <c r="U48" i="16"/>
  <c r="Q48" i="16"/>
  <c r="P48" i="16"/>
  <c r="AA46" i="16"/>
  <c r="Z46" i="16"/>
  <c r="T46" i="16" s="1"/>
  <c r="U46" i="16"/>
  <c r="Q46" i="16"/>
  <c r="P46" i="16"/>
  <c r="AA45" i="16"/>
  <c r="Z45" i="16"/>
  <c r="T45" i="16" s="1"/>
  <c r="U45" i="16"/>
  <c r="Q45" i="16"/>
  <c r="P45" i="16"/>
  <c r="P44" i="16"/>
  <c r="AA43" i="16"/>
  <c r="U43" i="16" s="1"/>
  <c r="Z43" i="16"/>
  <c r="T43" i="16" s="1"/>
  <c r="Q43" i="16"/>
  <c r="P43" i="16"/>
  <c r="AA42" i="16"/>
  <c r="U42" i="16" s="1"/>
  <c r="Z42" i="16"/>
  <c r="T42" i="16" s="1"/>
  <c r="Q42" i="16"/>
  <c r="P42" i="16"/>
  <c r="AA40" i="16"/>
  <c r="U40" i="16" s="1"/>
  <c r="Z40" i="16"/>
  <c r="T40" i="16" s="1"/>
  <c r="Q40" i="16"/>
  <c r="P40" i="16"/>
  <c r="AA39" i="16"/>
  <c r="U39" i="16" s="1"/>
  <c r="Z39" i="16"/>
  <c r="T39" i="16" s="1"/>
  <c r="Q39" i="16"/>
  <c r="P39" i="16"/>
  <c r="AA37" i="16"/>
  <c r="U37" i="16" s="1"/>
  <c r="Z37" i="16"/>
  <c r="T37" i="16" s="1"/>
  <c r="Q37" i="16"/>
  <c r="P37" i="16"/>
  <c r="AA36" i="16"/>
  <c r="U36" i="16" s="1"/>
  <c r="Z36" i="16"/>
  <c r="T36" i="16" s="1"/>
  <c r="Q36" i="16"/>
  <c r="P36" i="16"/>
  <c r="AA34" i="16"/>
  <c r="U34" i="16" s="1"/>
  <c r="Z34" i="16"/>
  <c r="T34" i="16" s="1"/>
  <c r="Q34" i="16"/>
  <c r="P34" i="16"/>
  <c r="AA33" i="16"/>
  <c r="U33" i="16" s="1"/>
  <c r="Z33" i="16"/>
  <c r="T33" i="16" s="1"/>
  <c r="Q33" i="16"/>
  <c r="P33" i="16"/>
  <c r="AA31" i="16"/>
  <c r="U31" i="16" s="1"/>
  <c r="Z31" i="16"/>
  <c r="T31" i="16" s="1"/>
  <c r="Q31" i="16"/>
  <c r="P31" i="16"/>
  <c r="AA30" i="16"/>
  <c r="U30" i="16" s="1"/>
  <c r="Z30" i="16"/>
  <c r="T30" i="16" s="1"/>
  <c r="Q30" i="16"/>
  <c r="P30" i="16"/>
  <c r="AA28" i="16"/>
  <c r="U28" i="16" s="1"/>
  <c r="Z28" i="16"/>
  <c r="T28" i="16" s="1"/>
  <c r="Q28" i="16"/>
  <c r="P28" i="16"/>
  <c r="AA27" i="16"/>
  <c r="U27" i="16" s="1"/>
  <c r="Z27" i="16"/>
  <c r="T27" i="16" s="1"/>
  <c r="Q27" i="16"/>
  <c r="P27" i="16"/>
  <c r="AA25" i="16"/>
  <c r="U25" i="16" s="1"/>
  <c r="Z25" i="16"/>
  <c r="T25" i="16" s="1"/>
  <c r="Q25" i="16"/>
  <c r="AA24" i="16"/>
  <c r="Z24" i="16"/>
  <c r="T24" i="16" s="1"/>
  <c r="U24" i="16"/>
  <c r="Q24" i="16"/>
  <c r="P24" i="16"/>
  <c r="AA22" i="16"/>
  <c r="Z22" i="16"/>
  <c r="T22" i="16" s="1"/>
  <c r="U22" i="16"/>
  <c r="Q22" i="16"/>
  <c r="P22" i="16"/>
  <c r="AA21" i="16"/>
  <c r="Z21" i="16"/>
  <c r="T21" i="16" s="1"/>
  <c r="U21" i="16"/>
  <c r="Q21" i="16"/>
  <c r="P21" i="16"/>
  <c r="AA19" i="16"/>
  <c r="Z19" i="16"/>
  <c r="T19" i="16" s="1"/>
  <c r="U19" i="16"/>
  <c r="Q19" i="16"/>
  <c r="P19" i="16"/>
  <c r="AA18" i="16"/>
  <c r="Z18" i="16"/>
  <c r="T18" i="16" s="1"/>
  <c r="U18" i="16"/>
  <c r="Q18" i="16"/>
  <c r="P18" i="16"/>
  <c r="AA16" i="16"/>
  <c r="Z16" i="16"/>
  <c r="T16" i="16" s="1"/>
  <c r="U16" i="16"/>
  <c r="Q16" i="16"/>
  <c r="P16" i="16"/>
  <c r="AA15" i="16"/>
  <c r="Z15" i="16"/>
  <c r="T15" i="16" s="1"/>
  <c r="U15" i="16"/>
  <c r="Q15" i="16"/>
  <c r="P15" i="16"/>
  <c r="AA13" i="16"/>
  <c r="Z13" i="16"/>
  <c r="T13" i="16" s="1"/>
  <c r="U13" i="16"/>
  <c r="Q13" i="16"/>
  <c r="P13" i="16"/>
  <c r="AA12" i="16"/>
  <c r="Z12" i="16"/>
  <c r="T12" i="16" s="1"/>
  <c r="U12" i="16"/>
  <c r="Q12" i="16"/>
  <c r="P12" i="16"/>
  <c r="AA10" i="16"/>
  <c r="Z10" i="16"/>
  <c r="T10" i="16" s="1"/>
  <c r="U10" i="16"/>
  <c r="Q10" i="16"/>
  <c r="P10" i="16"/>
  <c r="AA9" i="16"/>
  <c r="Z9" i="16"/>
  <c r="T9" i="16" s="1"/>
  <c r="U9" i="16"/>
  <c r="Q9" i="16"/>
  <c r="P9" i="16"/>
  <c r="AA7" i="16"/>
  <c r="Z7" i="16"/>
  <c r="T7" i="16" s="1"/>
  <c r="U7" i="16"/>
  <c r="P7" i="16"/>
  <c r="AA6" i="16"/>
  <c r="Z6" i="16"/>
  <c r="T6" i="16" s="1"/>
  <c r="U6" i="16"/>
  <c r="Q6" i="16"/>
  <c r="S6" i="16" s="1"/>
  <c r="P6" i="16"/>
  <c r="AA4" i="16"/>
  <c r="Z4" i="16"/>
  <c r="T4" i="16" s="1"/>
  <c r="U4" i="16"/>
  <c r="Q4" i="16"/>
  <c r="S4" i="16" s="1"/>
  <c r="P4" i="16"/>
  <c r="AA3" i="16"/>
  <c r="Z3" i="16"/>
  <c r="U3" i="16"/>
  <c r="T3" i="16"/>
  <c r="Q3" i="16"/>
  <c r="P3" i="16"/>
  <c r="J66" i="7"/>
  <c r="AR65" i="7"/>
  <c r="AR64" i="7"/>
  <c r="AR63" i="7"/>
  <c r="AR62" i="7"/>
  <c r="AR61" i="7"/>
  <c r="AR60" i="7"/>
  <c r="AR59" i="7"/>
  <c r="AR58" i="7"/>
  <c r="AR57" i="7"/>
  <c r="AR56" i="7"/>
  <c r="AW55" i="7"/>
  <c r="AV55" i="7"/>
  <c r="AU55" i="7"/>
  <c r="AT55" i="7"/>
  <c r="AS55" i="7"/>
  <c r="AR55" i="7"/>
  <c r="AR54" i="7"/>
  <c r="AR53" i="7"/>
  <c r="AR52" i="7"/>
  <c r="AR51" i="7"/>
  <c r="AR50" i="7"/>
  <c r="AR49" i="7"/>
  <c r="AR48" i="7"/>
  <c r="AR47" i="7"/>
  <c r="AR46" i="7"/>
  <c r="AR45" i="7"/>
  <c r="AR44" i="7"/>
  <c r="AR43" i="7"/>
  <c r="AR42" i="7"/>
  <c r="AS41" i="7"/>
  <c r="AR41" i="7"/>
  <c r="AR40" i="7"/>
  <c r="AR39" i="7"/>
  <c r="AR38" i="7"/>
  <c r="AL37" i="7"/>
  <c r="AK37" i="7"/>
  <c r="AG37" i="7"/>
  <c r="AF37" i="7"/>
  <c r="AB37" i="7"/>
  <c r="AA37" i="7"/>
  <c r="T37" i="7"/>
  <c r="S37" i="7"/>
  <c r="R37" i="7"/>
  <c r="I37" i="7"/>
  <c r="F37" i="7"/>
  <c r="E37" i="7"/>
  <c r="D37" i="7"/>
  <c r="AL36" i="7"/>
  <c r="AK36" i="7"/>
  <c r="AG36" i="7"/>
  <c r="AF36" i="7"/>
  <c r="AB36" i="7"/>
  <c r="AA36" i="7"/>
  <c r="T36" i="7"/>
  <c r="S36" i="7"/>
  <c r="R36" i="7"/>
  <c r="I36" i="7"/>
  <c r="F36" i="7"/>
  <c r="E36" i="7"/>
  <c r="D36" i="7"/>
  <c r="AL35" i="7"/>
  <c r="AK35" i="7"/>
  <c r="AG35" i="7"/>
  <c r="AF35" i="7"/>
  <c r="AB35" i="7"/>
  <c r="AA35" i="7"/>
  <c r="T35" i="7"/>
  <c r="S35" i="7"/>
  <c r="R35" i="7"/>
  <c r="I35" i="7"/>
  <c r="F35" i="7"/>
  <c r="E35" i="7"/>
  <c r="D35" i="7"/>
  <c r="AL34" i="7"/>
  <c r="AK34" i="7"/>
  <c r="AG34" i="7"/>
  <c r="AF34" i="7"/>
  <c r="AB34" i="7"/>
  <c r="AA34" i="7"/>
  <c r="T34" i="7"/>
  <c r="S34" i="7"/>
  <c r="R34" i="7"/>
  <c r="I34" i="7"/>
  <c r="F34" i="7"/>
  <c r="E34" i="7"/>
  <c r="D34" i="7"/>
  <c r="AL33" i="7"/>
  <c r="AK33" i="7"/>
  <c r="AG33" i="7"/>
  <c r="AF33" i="7"/>
  <c r="AB33" i="7"/>
  <c r="AA33" i="7"/>
  <c r="T33" i="7"/>
  <c r="S33" i="7"/>
  <c r="R33" i="7"/>
  <c r="I33" i="7"/>
  <c r="F33" i="7"/>
  <c r="E33" i="7"/>
  <c r="D33" i="7"/>
  <c r="AL32" i="7"/>
  <c r="AK32" i="7"/>
  <c r="AG32" i="7"/>
  <c r="AF32" i="7"/>
  <c r="AB32" i="7"/>
  <c r="AA32" i="7"/>
  <c r="T32" i="7"/>
  <c r="S32" i="7"/>
  <c r="R32" i="7"/>
  <c r="I32" i="7"/>
  <c r="F32" i="7"/>
  <c r="E32" i="7"/>
  <c r="D32" i="7"/>
  <c r="AM32" i="7" s="1"/>
  <c r="AL31" i="7"/>
  <c r="AK31" i="7"/>
  <c r="AG31" i="7"/>
  <c r="AF31" i="7"/>
  <c r="AB31" i="7"/>
  <c r="AA31" i="7"/>
  <c r="T31" i="7"/>
  <c r="S31" i="7"/>
  <c r="R31" i="7"/>
  <c r="I31" i="7"/>
  <c r="F31" i="7"/>
  <c r="E31" i="7"/>
  <c r="D31" i="7"/>
  <c r="AL30" i="7"/>
  <c r="AK30" i="7"/>
  <c r="AG30" i="7"/>
  <c r="AF30" i="7"/>
  <c r="AB30" i="7"/>
  <c r="AA30" i="7"/>
  <c r="T30" i="7"/>
  <c r="S30" i="7"/>
  <c r="R30" i="7"/>
  <c r="I30" i="7"/>
  <c r="F30" i="7"/>
  <c r="E30" i="7"/>
  <c r="D30" i="7"/>
  <c r="AL29" i="7"/>
  <c r="AK29" i="7"/>
  <c r="AG29" i="7"/>
  <c r="AF29" i="7"/>
  <c r="AB29" i="7"/>
  <c r="AA29" i="7"/>
  <c r="T29" i="7"/>
  <c r="S29" i="7"/>
  <c r="R29" i="7"/>
  <c r="I29" i="7"/>
  <c r="F29" i="7"/>
  <c r="E29" i="7"/>
  <c r="D29" i="7"/>
  <c r="H29" i="7" s="1"/>
  <c r="AO29" i="7" s="1"/>
  <c r="AL28" i="7"/>
  <c r="AK28" i="7"/>
  <c r="AG28" i="7"/>
  <c r="AF28" i="7"/>
  <c r="AB28" i="7"/>
  <c r="AA28" i="7"/>
  <c r="T28" i="7"/>
  <c r="S28" i="7"/>
  <c r="R28" i="7"/>
  <c r="I28" i="7"/>
  <c r="F28" i="7"/>
  <c r="E28" i="7"/>
  <c r="D28" i="7"/>
  <c r="AS27" i="7"/>
  <c r="AL27" i="7"/>
  <c r="AK27" i="7"/>
  <c r="AG27" i="7"/>
  <c r="AF27" i="7"/>
  <c r="AB27" i="7"/>
  <c r="AA27" i="7"/>
  <c r="T27" i="7"/>
  <c r="S27" i="7"/>
  <c r="R27" i="7"/>
  <c r="I27" i="7"/>
  <c r="F27" i="7"/>
  <c r="E27" i="7"/>
  <c r="D27" i="7"/>
  <c r="AL26" i="7"/>
  <c r="AK26" i="7"/>
  <c r="AG26" i="7"/>
  <c r="AF26" i="7"/>
  <c r="AB26" i="7"/>
  <c r="AA26" i="7"/>
  <c r="T26" i="7"/>
  <c r="S26" i="7"/>
  <c r="R26" i="7"/>
  <c r="I26" i="7"/>
  <c r="F26" i="7"/>
  <c r="E26" i="7"/>
  <c r="D26" i="7"/>
  <c r="AL25" i="7"/>
  <c r="AK25" i="7"/>
  <c r="AG25" i="7"/>
  <c r="AF25" i="7"/>
  <c r="AB25" i="7"/>
  <c r="AA25" i="7"/>
  <c r="T25" i="7"/>
  <c r="S25" i="7"/>
  <c r="R25" i="7"/>
  <c r="I25" i="7"/>
  <c r="F25" i="7"/>
  <c r="E25" i="7"/>
  <c r="D25" i="7"/>
  <c r="AL24" i="7"/>
  <c r="AK24" i="7"/>
  <c r="AG24" i="7"/>
  <c r="AF24" i="7"/>
  <c r="AB24" i="7"/>
  <c r="AA24" i="7"/>
  <c r="T24" i="7"/>
  <c r="S24" i="7"/>
  <c r="R24" i="7"/>
  <c r="I24" i="7"/>
  <c r="F24" i="7"/>
  <c r="E24" i="7"/>
  <c r="D24" i="7"/>
  <c r="AL23" i="7"/>
  <c r="AK23" i="7"/>
  <c r="AG23" i="7"/>
  <c r="AF23" i="7"/>
  <c r="AB23" i="7"/>
  <c r="AA23" i="7"/>
  <c r="T23" i="7"/>
  <c r="S23" i="7"/>
  <c r="R23" i="7"/>
  <c r="I23" i="7"/>
  <c r="F23" i="7"/>
  <c r="E23" i="7"/>
  <c r="D23" i="7"/>
  <c r="AL22" i="7"/>
  <c r="AK22" i="7"/>
  <c r="AG22" i="7"/>
  <c r="AF22" i="7"/>
  <c r="AB22" i="7"/>
  <c r="AA22" i="7"/>
  <c r="T22" i="7"/>
  <c r="S22" i="7"/>
  <c r="R22" i="7"/>
  <c r="I22" i="7"/>
  <c r="F22" i="7"/>
  <c r="E22" i="7"/>
  <c r="D22" i="7"/>
  <c r="AM22" i="7" s="1"/>
  <c r="AL21" i="7"/>
  <c r="AK21" i="7"/>
  <c r="AG21" i="7"/>
  <c r="AF21" i="7"/>
  <c r="AB21" i="7"/>
  <c r="AA21" i="7"/>
  <c r="T21" i="7"/>
  <c r="S21" i="7"/>
  <c r="R21" i="7"/>
  <c r="I21" i="7"/>
  <c r="F21" i="7"/>
  <c r="E21" i="7"/>
  <c r="D21" i="7"/>
  <c r="AL20" i="7"/>
  <c r="AK20" i="7"/>
  <c r="AG20" i="7"/>
  <c r="AF20" i="7"/>
  <c r="AB20" i="7"/>
  <c r="AA20" i="7"/>
  <c r="T20" i="7"/>
  <c r="S20" i="7"/>
  <c r="R20" i="7"/>
  <c r="I20" i="7"/>
  <c r="F20" i="7"/>
  <c r="E20" i="7"/>
  <c r="D20" i="7"/>
  <c r="AR20" i="7" s="1"/>
  <c r="AL19" i="7"/>
  <c r="AK19" i="7"/>
  <c r="AG19" i="7"/>
  <c r="AF19" i="7"/>
  <c r="AB19" i="7"/>
  <c r="AA19" i="7"/>
  <c r="T19" i="7"/>
  <c r="S19" i="7"/>
  <c r="R19" i="7"/>
  <c r="I19" i="7"/>
  <c r="F19" i="7"/>
  <c r="E19" i="7"/>
  <c r="D19" i="7"/>
  <c r="H19" i="7" s="1"/>
  <c r="AL18" i="7"/>
  <c r="AK18" i="7"/>
  <c r="AG18" i="7"/>
  <c r="AF18" i="7"/>
  <c r="AB18" i="7"/>
  <c r="AA18" i="7"/>
  <c r="T18" i="7"/>
  <c r="S18" i="7"/>
  <c r="R18" i="7"/>
  <c r="I18" i="7"/>
  <c r="F18" i="7"/>
  <c r="E18" i="7"/>
  <c r="D18" i="7"/>
  <c r="AL17" i="7"/>
  <c r="AK17" i="7"/>
  <c r="AG17" i="7"/>
  <c r="AF17" i="7"/>
  <c r="AB17" i="7"/>
  <c r="AA17" i="7"/>
  <c r="T17" i="7"/>
  <c r="S17" i="7"/>
  <c r="R17" i="7"/>
  <c r="I17" i="7"/>
  <c r="F17" i="7"/>
  <c r="E17" i="7"/>
  <c r="D17" i="7"/>
  <c r="AR17" i="7" s="1"/>
  <c r="AL16" i="7"/>
  <c r="AK16" i="7"/>
  <c r="AG16" i="7"/>
  <c r="AF16" i="7"/>
  <c r="AB16" i="7"/>
  <c r="AA16" i="7"/>
  <c r="T16" i="7"/>
  <c r="S16" i="7"/>
  <c r="R16" i="7"/>
  <c r="I16" i="7"/>
  <c r="F16" i="7"/>
  <c r="E16" i="7"/>
  <c r="D16" i="7"/>
  <c r="AL15" i="7"/>
  <c r="AK15" i="7"/>
  <c r="AG15" i="7"/>
  <c r="AF15" i="7"/>
  <c r="AB15" i="7"/>
  <c r="AA15" i="7"/>
  <c r="T15" i="7"/>
  <c r="S15" i="7"/>
  <c r="R15" i="7"/>
  <c r="I15" i="7"/>
  <c r="F15" i="7"/>
  <c r="E15" i="7"/>
  <c r="D15" i="7"/>
  <c r="AL14" i="7"/>
  <c r="AK14" i="7"/>
  <c r="AG14" i="7"/>
  <c r="AF14" i="7"/>
  <c r="AB14" i="7"/>
  <c r="AA14" i="7"/>
  <c r="T14" i="7"/>
  <c r="S14" i="7"/>
  <c r="R14" i="7"/>
  <c r="I14" i="7"/>
  <c r="F14" i="7"/>
  <c r="E14" i="7"/>
  <c r="D14" i="7"/>
  <c r="AS13" i="7"/>
  <c r="AL13" i="7"/>
  <c r="AK13" i="7"/>
  <c r="AG13" i="7"/>
  <c r="AF13" i="7"/>
  <c r="AB13" i="7"/>
  <c r="AA13" i="7"/>
  <c r="T13" i="7"/>
  <c r="S13" i="7"/>
  <c r="R13" i="7"/>
  <c r="I13" i="7"/>
  <c r="F13" i="7"/>
  <c r="E13" i="7"/>
  <c r="D13" i="7"/>
  <c r="AL12" i="7"/>
  <c r="AK12" i="7"/>
  <c r="AG12" i="7"/>
  <c r="AF12" i="7"/>
  <c r="AB12" i="7"/>
  <c r="AA12" i="7"/>
  <c r="T12" i="7"/>
  <c r="S12" i="7"/>
  <c r="R12" i="7"/>
  <c r="I12" i="7"/>
  <c r="F12" i="7"/>
  <c r="E12" i="7"/>
  <c r="D12" i="7"/>
  <c r="H12" i="7" s="1"/>
  <c r="AO12" i="7" s="1"/>
  <c r="AL11" i="7"/>
  <c r="AK11" i="7"/>
  <c r="AG11" i="7"/>
  <c r="AF11" i="7"/>
  <c r="AB11" i="7"/>
  <c r="AA11" i="7"/>
  <c r="T11" i="7"/>
  <c r="S11" i="7"/>
  <c r="R11" i="7"/>
  <c r="I11" i="7"/>
  <c r="F11" i="7"/>
  <c r="E11" i="7"/>
  <c r="D11" i="7"/>
  <c r="AM11" i="7" s="1"/>
  <c r="AL10" i="7"/>
  <c r="AK10" i="7"/>
  <c r="AG10" i="7"/>
  <c r="AF10" i="7"/>
  <c r="AB10" i="7"/>
  <c r="AA10" i="7"/>
  <c r="T10" i="7"/>
  <c r="S10" i="7"/>
  <c r="R10" i="7"/>
  <c r="I10" i="7"/>
  <c r="F10" i="7"/>
  <c r="E10" i="7"/>
  <c r="D10" i="7"/>
  <c r="AL9" i="7"/>
  <c r="AK9" i="7"/>
  <c r="AG9" i="7"/>
  <c r="AF9" i="7"/>
  <c r="AB9" i="7"/>
  <c r="AA9" i="7"/>
  <c r="T9" i="7"/>
  <c r="S9" i="7"/>
  <c r="R9" i="7"/>
  <c r="I9" i="7"/>
  <c r="F9" i="7"/>
  <c r="E9" i="7"/>
  <c r="D9" i="7"/>
  <c r="AR9" i="7" s="1"/>
  <c r="AL8" i="7"/>
  <c r="AK8" i="7"/>
  <c r="AG8" i="7"/>
  <c r="AF8" i="7"/>
  <c r="AB8" i="7"/>
  <c r="AA8" i="7"/>
  <c r="T8" i="7"/>
  <c r="S8" i="7"/>
  <c r="R8" i="7"/>
  <c r="I8" i="7"/>
  <c r="F8" i="7"/>
  <c r="E8" i="7"/>
  <c r="D8" i="7"/>
  <c r="AL7" i="7"/>
  <c r="AK7" i="7"/>
  <c r="AG7" i="7"/>
  <c r="AF7" i="7"/>
  <c r="AB7" i="7"/>
  <c r="AA7" i="7"/>
  <c r="T7" i="7"/>
  <c r="S7" i="7"/>
  <c r="R7" i="7"/>
  <c r="I7" i="7"/>
  <c r="F7" i="7"/>
  <c r="E7" i="7"/>
  <c r="D7" i="7"/>
  <c r="AL6" i="7"/>
  <c r="AK6" i="7"/>
  <c r="AG6" i="7"/>
  <c r="AF6" i="7"/>
  <c r="AB6" i="7"/>
  <c r="AA6" i="7"/>
  <c r="T6" i="7"/>
  <c r="S6" i="7"/>
  <c r="R6" i="7"/>
  <c r="I6" i="7"/>
  <c r="F6" i="7"/>
  <c r="E6" i="7"/>
  <c r="D6" i="7"/>
  <c r="B6" i="7"/>
  <c r="B8" i="7" s="1"/>
  <c r="A6" i="7"/>
  <c r="AL5" i="7"/>
  <c r="AK5" i="7"/>
  <c r="AG5" i="7"/>
  <c r="AF5" i="7"/>
  <c r="AB5" i="7"/>
  <c r="AA5" i="7"/>
  <c r="T5" i="7"/>
  <c r="S5" i="7"/>
  <c r="R5" i="7"/>
  <c r="I5" i="7"/>
  <c r="F5" i="7"/>
  <c r="E5" i="7"/>
  <c r="D5" i="7"/>
  <c r="B5" i="7"/>
  <c r="AR4" i="7"/>
  <c r="AL4" i="7"/>
  <c r="AK4" i="7"/>
  <c r="AG4" i="7"/>
  <c r="AF4" i="7"/>
  <c r="AB4" i="7"/>
  <c r="AA4" i="7"/>
  <c r="T4" i="7"/>
  <c r="S4" i="7"/>
  <c r="R4" i="7"/>
  <c r="AM4" i="7" s="1"/>
  <c r="I4" i="7"/>
  <c r="H4" i="7"/>
  <c r="AO4" i="7" s="1"/>
  <c r="G4" i="7"/>
  <c r="A4" i="7"/>
  <c r="AP1" i="7"/>
  <c r="W12" i="10"/>
  <c r="R12" i="10"/>
  <c r="M12" i="10"/>
  <c r="O12" i="10" s="1"/>
  <c r="H12" i="10"/>
  <c r="J12" i="10" s="1"/>
  <c r="C12" i="10"/>
  <c r="L119" i="23"/>
  <c r="K119" i="23"/>
  <c r="L118" i="23"/>
  <c r="K118" i="23"/>
  <c r="L117" i="23"/>
  <c r="K117" i="23"/>
  <c r="L116" i="23"/>
  <c r="K116" i="23"/>
  <c r="L115" i="23"/>
  <c r="K115" i="23"/>
  <c r="L114" i="23"/>
  <c r="K114" i="23"/>
  <c r="L113" i="23"/>
  <c r="K113" i="23"/>
  <c r="AA112" i="23"/>
  <c r="Z112" i="23"/>
  <c r="AA111" i="23"/>
  <c r="Z111" i="23"/>
  <c r="AA109" i="23"/>
  <c r="Z109" i="23"/>
  <c r="AA108" i="23"/>
  <c r="Z108" i="23"/>
  <c r="AA106" i="23"/>
  <c r="Z106" i="23"/>
  <c r="AA105" i="23"/>
  <c r="Z105" i="23"/>
  <c r="AA103" i="23"/>
  <c r="Z103" i="23"/>
  <c r="Q103" i="23"/>
  <c r="L103" i="23"/>
  <c r="U103" i="23" s="1"/>
  <c r="S103" i="23" s="1"/>
  <c r="K103" i="23"/>
  <c r="AA102" i="23"/>
  <c r="Z102" i="23"/>
  <c r="Q102" i="23"/>
  <c r="P102" i="23"/>
  <c r="L102" i="23"/>
  <c r="K102" i="23"/>
  <c r="AA100" i="23"/>
  <c r="Z100" i="23"/>
  <c r="Q100" i="23"/>
  <c r="L100" i="23"/>
  <c r="K100" i="23"/>
  <c r="AA99" i="23"/>
  <c r="Z99" i="23"/>
  <c r="Q99" i="23"/>
  <c r="P99" i="23"/>
  <c r="L99" i="23"/>
  <c r="K99" i="23"/>
  <c r="T99" i="23" s="1"/>
  <c r="R99" i="23" s="1"/>
  <c r="AA97" i="23"/>
  <c r="Z97" i="23"/>
  <c r="AA96" i="23"/>
  <c r="Z96" i="23"/>
  <c r="AA94" i="23"/>
  <c r="Z94" i="23"/>
  <c r="AA93" i="23"/>
  <c r="Z93" i="23"/>
  <c r="AA91" i="23"/>
  <c r="Z91" i="23"/>
  <c r="AA90" i="23"/>
  <c r="Z90" i="23"/>
  <c r="AA88" i="23"/>
  <c r="Z88" i="23"/>
  <c r="AA87" i="23"/>
  <c r="Z87" i="23"/>
  <c r="AA85" i="23"/>
  <c r="Z85" i="23"/>
  <c r="Q85" i="23"/>
  <c r="L85" i="23"/>
  <c r="K85" i="23"/>
  <c r="AA84" i="23"/>
  <c r="Z84" i="23"/>
  <c r="Q84" i="23"/>
  <c r="P84" i="23"/>
  <c r="L84" i="23"/>
  <c r="K84" i="23"/>
  <c r="T84" i="23" s="1"/>
  <c r="R84" i="23" s="1"/>
  <c r="AA82" i="23"/>
  <c r="Z82" i="23"/>
  <c r="Q82" i="23"/>
  <c r="L82" i="23"/>
  <c r="K82" i="23"/>
  <c r="AA81" i="23"/>
  <c r="Z81" i="23"/>
  <c r="Q81" i="23"/>
  <c r="P81" i="23"/>
  <c r="L81" i="23"/>
  <c r="K81" i="23"/>
  <c r="AA79" i="23"/>
  <c r="U79" i="23" s="1"/>
  <c r="Z79" i="23"/>
  <c r="T79" i="23"/>
  <c r="Q79" i="23"/>
  <c r="AA78" i="23"/>
  <c r="U78" i="23" s="1"/>
  <c r="Z78" i="23"/>
  <c r="T78" i="23" s="1"/>
  <c r="Q78" i="23"/>
  <c r="P78" i="23"/>
  <c r="AA76" i="23"/>
  <c r="U76" i="23" s="1"/>
  <c r="Z76" i="23"/>
  <c r="T76" i="23" s="1"/>
  <c r="Q76" i="23"/>
  <c r="P76" i="23"/>
  <c r="AA75" i="23"/>
  <c r="U75" i="23" s="1"/>
  <c r="Z75" i="23"/>
  <c r="T75" i="23" s="1"/>
  <c r="Q75" i="23"/>
  <c r="P75" i="23"/>
  <c r="AA73" i="23"/>
  <c r="U73" i="23" s="1"/>
  <c r="Z73" i="23"/>
  <c r="T73" i="23" s="1"/>
  <c r="Q73" i="23"/>
  <c r="AA72" i="23"/>
  <c r="U72" i="23" s="1"/>
  <c r="Z72" i="23"/>
  <c r="T72" i="23" s="1"/>
  <c r="Q72" i="23"/>
  <c r="P72" i="23"/>
  <c r="AA70" i="23"/>
  <c r="U70" i="23" s="1"/>
  <c r="Z70" i="23"/>
  <c r="T70" i="23" s="1"/>
  <c r="Q70" i="23"/>
  <c r="AA69" i="23"/>
  <c r="U69" i="23" s="1"/>
  <c r="Z69" i="23"/>
  <c r="T69" i="23" s="1"/>
  <c r="Q69" i="23"/>
  <c r="P69" i="23"/>
  <c r="AA67" i="23"/>
  <c r="U67" i="23" s="1"/>
  <c r="Z67" i="23"/>
  <c r="T67" i="23" s="1"/>
  <c r="Q67" i="23"/>
  <c r="AA66" i="23"/>
  <c r="Z66" i="23"/>
  <c r="T66" i="23" s="1"/>
  <c r="U66" i="23"/>
  <c r="Q66" i="23"/>
  <c r="P66" i="23"/>
  <c r="AA64" i="23"/>
  <c r="Z64" i="23"/>
  <c r="T64" i="23" s="1"/>
  <c r="U64" i="23"/>
  <c r="Q64" i="23"/>
  <c r="P64" i="23"/>
  <c r="AA63" i="23"/>
  <c r="Z63" i="23"/>
  <c r="T63" i="23" s="1"/>
  <c r="U63" i="23"/>
  <c r="Q63" i="23"/>
  <c r="P63" i="23"/>
  <c r="AA61" i="23"/>
  <c r="Z61" i="23"/>
  <c r="T61" i="23" s="1"/>
  <c r="U61" i="23"/>
  <c r="Q61" i="23"/>
  <c r="P61" i="23"/>
  <c r="AA60" i="23"/>
  <c r="Z60" i="23"/>
  <c r="T60" i="23" s="1"/>
  <c r="U60" i="23"/>
  <c r="Q60" i="23"/>
  <c r="P60" i="23"/>
  <c r="AA58" i="23"/>
  <c r="Z58" i="23"/>
  <c r="T58" i="23" s="1"/>
  <c r="U58" i="23"/>
  <c r="Q58" i="23"/>
  <c r="P58" i="23"/>
  <c r="AA57" i="23"/>
  <c r="Z57" i="23"/>
  <c r="T57" i="23" s="1"/>
  <c r="U57" i="23"/>
  <c r="Q57" i="23"/>
  <c r="P57" i="23"/>
  <c r="AA55" i="23"/>
  <c r="Z55" i="23"/>
  <c r="T55" i="23" s="1"/>
  <c r="U55" i="23"/>
  <c r="Q55" i="23"/>
  <c r="P55" i="23"/>
  <c r="AA54" i="23"/>
  <c r="Z54" i="23"/>
  <c r="T54" i="23" s="1"/>
  <c r="U54" i="23"/>
  <c r="Q54" i="23"/>
  <c r="P54" i="23"/>
  <c r="AA52" i="23"/>
  <c r="Z52" i="23"/>
  <c r="T52" i="23" s="1"/>
  <c r="U52" i="23"/>
  <c r="Q52" i="23"/>
  <c r="AA51" i="23"/>
  <c r="U51" i="23" s="1"/>
  <c r="Z51" i="23"/>
  <c r="T51" i="23"/>
  <c r="Q51" i="23"/>
  <c r="P51" i="23"/>
  <c r="AA49" i="23"/>
  <c r="U49" i="23" s="1"/>
  <c r="Z49" i="23"/>
  <c r="T49" i="23"/>
  <c r="Q49" i="23"/>
  <c r="P49" i="23"/>
  <c r="AA48" i="23"/>
  <c r="U48" i="23" s="1"/>
  <c r="Z48" i="23"/>
  <c r="T48" i="23"/>
  <c r="Q48" i="23"/>
  <c r="P48" i="23"/>
  <c r="AA46" i="23"/>
  <c r="U46" i="23" s="1"/>
  <c r="Z46" i="23"/>
  <c r="T46" i="23"/>
  <c r="Q46" i="23"/>
  <c r="P46" i="23"/>
  <c r="AA45" i="23"/>
  <c r="U45" i="23" s="1"/>
  <c r="Z45" i="23"/>
  <c r="T45" i="23"/>
  <c r="Q45" i="23"/>
  <c r="P45" i="23"/>
  <c r="AA43" i="23"/>
  <c r="U43" i="23" s="1"/>
  <c r="Z43" i="23"/>
  <c r="T43" i="23"/>
  <c r="Q43" i="23"/>
  <c r="AA42" i="23"/>
  <c r="Z42" i="23"/>
  <c r="T42" i="23" s="1"/>
  <c r="U42" i="23"/>
  <c r="Q42" i="23"/>
  <c r="S42" i="23" s="1"/>
  <c r="P42" i="23"/>
  <c r="AA40" i="23"/>
  <c r="Z40" i="23"/>
  <c r="T40" i="23" s="1"/>
  <c r="U40" i="23"/>
  <c r="Q40" i="23"/>
  <c r="S40" i="23" s="1"/>
  <c r="P40" i="23"/>
  <c r="AA39" i="23"/>
  <c r="Z39" i="23"/>
  <c r="T39" i="23" s="1"/>
  <c r="U39" i="23"/>
  <c r="Q39" i="23"/>
  <c r="S39" i="23" s="1"/>
  <c r="P39" i="23"/>
  <c r="AA37" i="23"/>
  <c r="Z37" i="23"/>
  <c r="T37" i="23" s="1"/>
  <c r="U37" i="23"/>
  <c r="Q37" i="23"/>
  <c r="S37" i="23" s="1"/>
  <c r="P37" i="23"/>
  <c r="AA36" i="23"/>
  <c r="Z36" i="23"/>
  <c r="T36" i="23" s="1"/>
  <c r="U36" i="23"/>
  <c r="Q36" i="23"/>
  <c r="S36" i="23" s="1"/>
  <c r="P36" i="23"/>
  <c r="AA34" i="23"/>
  <c r="Z34" i="23"/>
  <c r="T34" i="23" s="1"/>
  <c r="U34" i="23"/>
  <c r="Q34" i="23"/>
  <c r="S34" i="23" s="1"/>
  <c r="P34" i="23"/>
  <c r="AA33" i="23"/>
  <c r="Z33" i="23"/>
  <c r="T33" i="23" s="1"/>
  <c r="U33" i="23"/>
  <c r="Q33" i="23"/>
  <c r="S33" i="23" s="1"/>
  <c r="P33" i="23"/>
  <c r="AA31" i="23"/>
  <c r="Z31" i="23"/>
  <c r="T31" i="23" s="1"/>
  <c r="U31" i="23"/>
  <c r="Q31" i="23"/>
  <c r="S31" i="23" s="1"/>
  <c r="AA30" i="23"/>
  <c r="Z30" i="23"/>
  <c r="U30" i="23"/>
  <c r="T30" i="23"/>
  <c r="Q30" i="23"/>
  <c r="R30" i="23" s="1"/>
  <c r="P30" i="23"/>
  <c r="AA28" i="23"/>
  <c r="Z28" i="23"/>
  <c r="U28" i="23"/>
  <c r="T28" i="23"/>
  <c r="Q28" i="23"/>
  <c r="R28" i="23" s="1"/>
  <c r="P28" i="23"/>
  <c r="AA27" i="23"/>
  <c r="Z27" i="23"/>
  <c r="U27" i="23"/>
  <c r="T27" i="23"/>
  <c r="Q27" i="23"/>
  <c r="R27" i="23" s="1"/>
  <c r="P27" i="23"/>
  <c r="AA25" i="23"/>
  <c r="Z25" i="23"/>
  <c r="U25" i="23"/>
  <c r="T25" i="23"/>
  <c r="Q25" i="23"/>
  <c r="R25" i="23" s="1"/>
  <c r="P25" i="23"/>
  <c r="AA24" i="23"/>
  <c r="Z24" i="23"/>
  <c r="U24" i="23"/>
  <c r="T24" i="23"/>
  <c r="Q24" i="23"/>
  <c r="R24" i="23" s="1"/>
  <c r="P24" i="23"/>
  <c r="AA22" i="23"/>
  <c r="Z22" i="23"/>
  <c r="U22" i="23"/>
  <c r="T22" i="23"/>
  <c r="Q22" i="23"/>
  <c r="R22" i="23" s="1"/>
  <c r="P22" i="23"/>
  <c r="AA21" i="23"/>
  <c r="Z21" i="23"/>
  <c r="U21" i="23"/>
  <c r="T21" i="23"/>
  <c r="Q21" i="23"/>
  <c r="R21" i="23" s="1"/>
  <c r="P21" i="23"/>
  <c r="AA19" i="23"/>
  <c r="Z19" i="23"/>
  <c r="U19" i="23"/>
  <c r="T19" i="23"/>
  <c r="Q19" i="23"/>
  <c r="R19" i="23" s="1"/>
  <c r="P19" i="23"/>
  <c r="AA18" i="23"/>
  <c r="Z18" i="23"/>
  <c r="U18" i="23"/>
  <c r="T18" i="23"/>
  <c r="Q18" i="23"/>
  <c r="R18" i="23" s="1"/>
  <c r="P18" i="23"/>
  <c r="AA16" i="23"/>
  <c r="Z16" i="23"/>
  <c r="U16" i="23"/>
  <c r="T16" i="23"/>
  <c r="Q16" i="23"/>
  <c r="R16" i="23" s="1"/>
  <c r="P16" i="23"/>
  <c r="AA15" i="23"/>
  <c r="Z15" i="23"/>
  <c r="U15" i="23"/>
  <c r="T15" i="23"/>
  <c r="Q15" i="23"/>
  <c r="R15" i="23" s="1"/>
  <c r="P15" i="23"/>
  <c r="AA13" i="23"/>
  <c r="Z13" i="23"/>
  <c r="U13" i="23"/>
  <c r="T13" i="23"/>
  <c r="Q13" i="23"/>
  <c r="R13" i="23" s="1"/>
  <c r="P13" i="23"/>
  <c r="AA12" i="23"/>
  <c r="Z12" i="23"/>
  <c r="T12" i="23" s="1"/>
  <c r="U12" i="23"/>
  <c r="Q12" i="23"/>
  <c r="P12" i="23"/>
  <c r="AA10" i="23"/>
  <c r="Z10" i="23"/>
  <c r="U10" i="23"/>
  <c r="T10" i="23"/>
  <c r="Q10" i="23"/>
  <c r="R10" i="23" s="1"/>
  <c r="P10" i="23"/>
  <c r="AA9" i="23"/>
  <c r="Z9" i="23"/>
  <c r="U9" i="23"/>
  <c r="T9" i="23"/>
  <c r="Q9" i="23"/>
  <c r="R9" i="23" s="1"/>
  <c r="P9" i="23"/>
  <c r="AA7" i="23"/>
  <c r="Z7" i="23"/>
  <c r="U7" i="23"/>
  <c r="T7" i="23"/>
  <c r="Q7" i="23"/>
  <c r="R7" i="23" s="1"/>
  <c r="P7" i="23"/>
  <c r="AA6" i="23"/>
  <c r="Z6" i="23"/>
  <c r="U6" i="23"/>
  <c r="T6" i="23"/>
  <c r="Q6" i="23"/>
  <c r="R6" i="23" s="1"/>
  <c r="P6" i="23"/>
  <c r="AA4" i="23"/>
  <c r="Z4" i="23"/>
  <c r="U4" i="23"/>
  <c r="T4" i="23"/>
  <c r="Q4" i="23"/>
  <c r="R4" i="23" s="1"/>
  <c r="P4" i="23"/>
  <c r="AA3" i="23"/>
  <c r="Z3" i="23"/>
  <c r="U3" i="23"/>
  <c r="T3" i="23"/>
  <c r="Q3" i="23"/>
  <c r="R3" i="23" s="1"/>
  <c r="P3" i="23"/>
  <c r="AC66" i="22"/>
  <c r="X66" i="22"/>
  <c r="J66" i="22"/>
  <c r="K66" i="22" s="1"/>
  <c r="AL65" i="22"/>
  <c r="AB65" i="22"/>
  <c r="AA65" i="22"/>
  <c r="T65" i="22"/>
  <c r="S65" i="22"/>
  <c r="R65" i="22"/>
  <c r="I65" i="22"/>
  <c r="AR64" i="22"/>
  <c r="AL64" i="22"/>
  <c r="AB64" i="22"/>
  <c r="AA64" i="22"/>
  <c r="T64" i="22"/>
  <c r="S64" i="22"/>
  <c r="R64" i="22"/>
  <c r="AM64" i="22" s="1"/>
  <c r="I64" i="22"/>
  <c r="H64" i="22"/>
  <c r="AO64" i="22" s="1"/>
  <c r="G64" i="22"/>
  <c r="AL63" i="22"/>
  <c r="AB63" i="22"/>
  <c r="AA63" i="22"/>
  <c r="T63" i="22"/>
  <c r="S63" i="22"/>
  <c r="R63" i="22"/>
  <c r="I63" i="22"/>
  <c r="F63" i="22"/>
  <c r="E63" i="22"/>
  <c r="D63" i="22"/>
  <c r="AL62" i="22"/>
  <c r="AB62" i="22"/>
  <c r="AA62" i="22"/>
  <c r="T62" i="22"/>
  <c r="S62" i="22"/>
  <c r="R62" i="22"/>
  <c r="I62" i="22"/>
  <c r="AL61" i="22"/>
  <c r="AB61" i="22"/>
  <c r="AA61" i="22"/>
  <c r="T61" i="22"/>
  <c r="S61" i="22"/>
  <c r="R61" i="22"/>
  <c r="I61" i="22"/>
  <c r="F61" i="22"/>
  <c r="E61" i="22"/>
  <c r="D61" i="22"/>
  <c r="AL60" i="22"/>
  <c r="AB60" i="22"/>
  <c r="AA60" i="22"/>
  <c r="T60" i="22"/>
  <c r="S60" i="22"/>
  <c r="R60" i="22"/>
  <c r="I60" i="22"/>
  <c r="AL59" i="22"/>
  <c r="AB59" i="22"/>
  <c r="AA59" i="22"/>
  <c r="T59" i="22"/>
  <c r="S59" i="22"/>
  <c r="R59" i="22"/>
  <c r="I59" i="22"/>
  <c r="F59" i="22"/>
  <c r="E59" i="22"/>
  <c r="D59" i="22"/>
  <c r="AL58" i="22"/>
  <c r="AK58" i="22"/>
  <c r="AG58" i="22"/>
  <c r="AF58" i="22"/>
  <c r="AB58" i="22"/>
  <c r="AA58" i="22"/>
  <c r="T58" i="22"/>
  <c r="S58" i="22"/>
  <c r="R58" i="22"/>
  <c r="I58" i="22"/>
  <c r="F58" i="22"/>
  <c r="E58" i="22"/>
  <c r="D58" i="22"/>
  <c r="AL57" i="22"/>
  <c r="AK57" i="22"/>
  <c r="AG57" i="22"/>
  <c r="AF57" i="22"/>
  <c r="AB57" i="22"/>
  <c r="AA57" i="22"/>
  <c r="T57" i="22"/>
  <c r="S57" i="22"/>
  <c r="R57" i="22"/>
  <c r="I57" i="22"/>
  <c r="F57" i="22"/>
  <c r="E57" i="22"/>
  <c r="D57" i="22"/>
  <c r="AL56" i="22"/>
  <c r="AK56" i="22"/>
  <c r="AG56" i="22"/>
  <c r="AF56" i="22"/>
  <c r="AB56" i="22"/>
  <c r="AA56" i="22"/>
  <c r="T56" i="22"/>
  <c r="S56" i="22"/>
  <c r="R56" i="22"/>
  <c r="I56" i="22"/>
  <c r="F56" i="22"/>
  <c r="E56" i="22"/>
  <c r="D56" i="22"/>
  <c r="AL55" i="22"/>
  <c r="AK55" i="22"/>
  <c r="AG55" i="22"/>
  <c r="AF55" i="22"/>
  <c r="AB55" i="22"/>
  <c r="AA55" i="22"/>
  <c r="T55" i="22"/>
  <c r="S55" i="22"/>
  <c r="R55" i="22"/>
  <c r="I55" i="22"/>
  <c r="F55" i="22"/>
  <c r="E55" i="22"/>
  <c r="D55" i="22"/>
  <c r="AL54" i="22"/>
  <c r="AK54" i="22"/>
  <c r="AG54" i="22"/>
  <c r="AF54" i="22"/>
  <c r="AB54" i="22"/>
  <c r="AA54" i="22"/>
  <c r="T54" i="22"/>
  <c r="S54" i="22"/>
  <c r="R54" i="22"/>
  <c r="I54" i="22"/>
  <c r="AL53" i="22"/>
  <c r="AK53" i="22"/>
  <c r="AG53" i="22"/>
  <c r="AF53" i="22"/>
  <c r="AB53" i="22"/>
  <c r="AA53" i="22"/>
  <c r="T53" i="22"/>
  <c r="S53" i="22"/>
  <c r="R53" i="22"/>
  <c r="I53" i="22"/>
  <c r="F53" i="22"/>
  <c r="E53" i="22"/>
  <c r="D53" i="22"/>
  <c r="AL52" i="22"/>
  <c r="AK52" i="22"/>
  <c r="AG52" i="22"/>
  <c r="AF52" i="22"/>
  <c r="AB52" i="22"/>
  <c r="AA52" i="22"/>
  <c r="T52" i="22"/>
  <c r="S52" i="22"/>
  <c r="R52" i="22"/>
  <c r="I52" i="22"/>
  <c r="F52" i="22"/>
  <c r="E52" i="22"/>
  <c r="D52" i="22"/>
  <c r="AL51" i="22"/>
  <c r="AK51" i="22"/>
  <c r="AG51" i="22"/>
  <c r="AF51" i="22"/>
  <c r="AB51" i="22"/>
  <c r="AA51" i="22"/>
  <c r="T51" i="22"/>
  <c r="S51" i="22"/>
  <c r="R51" i="22"/>
  <c r="I51" i="22"/>
  <c r="F51" i="22"/>
  <c r="E51" i="22"/>
  <c r="D51" i="22"/>
  <c r="AL50" i="22"/>
  <c r="AK50" i="22"/>
  <c r="AG50" i="22"/>
  <c r="AF50" i="22"/>
  <c r="AB50" i="22"/>
  <c r="AA50" i="22"/>
  <c r="T50" i="22"/>
  <c r="S50" i="22"/>
  <c r="R50" i="22"/>
  <c r="I50" i="22"/>
  <c r="F50" i="22"/>
  <c r="E50" i="22"/>
  <c r="D50" i="22"/>
  <c r="AL49" i="22"/>
  <c r="AK49" i="22"/>
  <c r="AG49" i="22"/>
  <c r="AF49" i="22"/>
  <c r="AB49" i="22"/>
  <c r="T49" i="22"/>
  <c r="S49" i="22"/>
  <c r="R49" i="22"/>
  <c r="I49" i="22"/>
  <c r="F49" i="22"/>
  <c r="E49" i="22"/>
  <c r="D49" i="22"/>
  <c r="AL48" i="22"/>
  <c r="AK48" i="22"/>
  <c r="AG48" i="22"/>
  <c r="AF48" i="22"/>
  <c r="AB48" i="22"/>
  <c r="AA48" i="22"/>
  <c r="T48" i="22"/>
  <c r="S48" i="22"/>
  <c r="R48" i="22"/>
  <c r="I48" i="22"/>
  <c r="F48" i="22"/>
  <c r="E48" i="22"/>
  <c r="D48" i="22"/>
  <c r="AL47" i="22"/>
  <c r="AK47" i="22"/>
  <c r="I47" i="22"/>
  <c r="F47" i="22"/>
  <c r="E47" i="22"/>
  <c r="D47" i="22"/>
  <c r="AL46" i="22"/>
  <c r="AK46" i="22"/>
  <c r="AG46" i="22"/>
  <c r="AF46" i="22"/>
  <c r="AB46" i="22"/>
  <c r="AA46" i="22"/>
  <c r="T46" i="22"/>
  <c r="S46" i="22"/>
  <c r="R46" i="22"/>
  <c r="I46" i="22"/>
  <c r="AL45" i="22"/>
  <c r="AK45" i="22"/>
  <c r="AG45" i="22"/>
  <c r="AF45" i="22"/>
  <c r="AB45" i="22"/>
  <c r="AA45" i="22"/>
  <c r="T45" i="22"/>
  <c r="S45" i="22"/>
  <c r="R45" i="22"/>
  <c r="I45" i="22"/>
  <c r="AL44" i="22"/>
  <c r="AK44" i="22"/>
  <c r="AG44" i="22"/>
  <c r="AF44" i="22"/>
  <c r="AB44" i="22"/>
  <c r="AA44" i="22"/>
  <c r="T44" i="22"/>
  <c r="S44" i="22"/>
  <c r="R44" i="22"/>
  <c r="I44" i="22"/>
  <c r="F44" i="22"/>
  <c r="E44" i="22"/>
  <c r="D44" i="22"/>
  <c r="AL43" i="22"/>
  <c r="AK43" i="22"/>
  <c r="AG43" i="22"/>
  <c r="AF43" i="22"/>
  <c r="AB43" i="22"/>
  <c r="AA43" i="22"/>
  <c r="T43" i="22"/>
  <c r="S43" i="22"/>
  <c r="R43" i="22"/>
  <c r="I43" i="22"/>
  <c r="F43" i="22"/>
  <c r="E43" i="22"/>
  <c r="D43" i="22"/>
  <c r="AL42" i="22"/>
  <c r="AK42" i="22"/>
  <c r="AG42" i="22"/>
  <c r="AF42" i="22"/>
  <c r="AB42" i="22"/>
  <c r="AA42" i="22"/>
  <c r="T42" i="22"/>
  <c r="S42" i="22"/>
  <c r="R42" i="22"/>
  <c r="I42" i="22"/>
  <c r="F42" i="22"/>
  <c r="E42" i="22"/>
  <c r="D42" i="22"/>
  <c r="AL41" i="22"/>
  <c r="AK41" i="22"/>
  <c r="AG41" i="22"/>
  <c r="AF41" i="22"/>
  <c r="AB41" i="22"/>
  <c r="AA41" i="22"/>
  <c r="T41" i="22"/>
  <c r="S41" i="22"/>
  <c r="R41" i="22"/>
  <c r="I41" i="22"/>
  <c r="F41" i="22"/>
  <c r="E41" i="22"/>
  <c r="D41" i="22"/>
  <c r="AL40" i="22"/>
  <c r="AK40" i="22"/>
  <c r="AG40" i="22"/>
  <c r="AF40" i="22"/>
  <c r="AB40" i="22"/>
  <c r="AA40" i="22"/>
  <c r="T40" i="22"/>
  <c r="S40" i="22"/>
  <c r="R40" i="22"/>
  <c r="I40" i="22"/>
  <c r="AL39" i="22"/>
  <c r="AK39" i="22"/>
  <c r="AG39" i="22"/>
  <c r="AF39" i="22"/>
  <c r="AB39" i="22"/>
  <c r="AA39" i="22"/>
  <c r="T39" i="22"/>
  <c r="S39" i="22"/>
  <c r="R39" i="22"/>
  <c r="I39" i="22"/>
  <c r="F39" i="22"/>
  <c r="E39" i="22"/>
  <c r="D39" i="22"/>
  <c r="AL38" i="22"/>
  <c r="AK38" i="22"/>
  <c r="AG38" i="22"/>
  <c r="AF38" i="22"/>
  <c r="AB38" i="22"/>
  <c r="AA38" i="22"/>
  <c r="T38" i="22"/>
  <c r="S38" i="22"/>
  <c r="R38" i="22"/>
  <c r="I38" i="22"/>
  <c r="F38" i="22"/>
  <c r="E38" i="22"/>
  <c r="D38" i="22"/>
  <c r="AL37" i="22"/>
  <c r="AK37" i="22"/>
  <c r="AG37" i="22"/>
  <c r="AF37" i="22"/>
  <c r="AB37" i="22"/>
  <c r="AA37" i="22"/>
  <c r="T37" i="22"/>
  <c r="S37" i="22"/>
  <c r="R37" i="22"/>
  <c r="I37" i="22"/>
  <c r="F37" i="22"/>
  <c r="E37" i="22"/>
  <c r="D37" i="22"/>
  <c r="AL36" i="22"/>
  <c r="AK36" i="22"/>
  <c r="AG36" i="22"/>
  <c r="AF36" i="22"/>
  <c r="AB36" i="22"/>
  <c r="AA36" i="22"/>
  <c r="T36" i="22"/>
  <c r="S36" i="22"/>
  <c r="R36" i="22"/>
  <c r="I36" i="22"/>
  <c r="F36" i="22"/>
  <c r="E36" i="22"/>
  <c r="D36" i="22"/>
  <c r="AL35" i="22"/>
  <c r="AK35" i="22"/>
  <c r="AG35" i="22"/>
  <c r="AF35" i="22"/>
  <c r="AB35" i="22"/>
  <c r="AA35" i="22"/>
  <c r="T35" i="22"/>
  <c r="S35" i="22"/>
  <c r="R35" i="22"/>
  <c r="I35" i="22"/>
  <c r="F35" i="22"/>
  <c r="E35" i="22"/>
  <c r="D35" i="22"/>
  <c r="AL34" i="22"/>
  <c r="AK34" i="22"/>
  <c r="AG34" i="22"/>
  <c r="AF34" i="22"/>
  <c r="AB34" i="22"/>
  <c r="AA34" i="22"/>
  <c r="T34" i="22"/>
  <c r="S34" i="22"/>
  <c r="R34" i="22"/>
  <c r="I34" i="22"/>
  <c r="F34" i="22"/>
  <c r="E34" i="22"/>
  <c r="D34" i="22"/>
  <c r="AL33" i="22"/>
  <c r="AK33" i="22"/>
  <c r="AG33" i="22"/>
  <c r="AF33" i="22"/>
  <c r="AB33" i="22"/>
  <c r="AA33" i="22"/>
  <c r="T33" i="22"/>
  <c r="S33" i="22"/>
  <c r="R33" i="22"/>
  <c r="I33" i="22"/>
  <c r="F33" i="22"/>
  <c r="E33" i="22"/>
  <c r="D33" i="22"/>
  <c r="AL32" i="22"/>
  <c r="AK32" i="22"/>
  <c r="AG32" i="22"/>
  <c r="AF32" i="22"/>
  <c r="AB32" i="22"/>
  <c r="AA32" i="22"/>
  <c r="T32" i="22"/>
  <c r="S32" i="22"/>
  <c r="R32" i="22"/>
  <c r="AM32" i="22" s="1"/>
  <c r="I32" i="22"/>
  <c r="AL31" i="22"/>
  <c r="AK31" i="22"/>
  <c r="AG31" i="22"/>
  <c r="AF31" i="22"/>
  <c r="AB31" i="22"/>
  <c r="AA31" i="22"/>
  <c r="T31" i="22"/>
  <c r="S31" i="22"/>
  <c r="R31" i="22"/>
  <c r="I31" i="22"/>
  <c r="F31" i="22"/>
  <c r="E31" i="22"/>
  <c r="D31" i="22"/>
  <c r="AL30" i="22"/>
  <c r="AK30" i="22"/>
  <c r="AG30" i="22"/>
  <c r="AF30" i="22"/>
  <c r="AB30" i="22"/>
  <c r="AA30" i="22"/>
  <c r="T30" i="22"/>
  <c r="S30" i="22"/>
  <c r="R30" i="22"/>
  <c r="I30" i="22"/>
  <c r="F30" i="22"/>
  <c r="E30" i="22"/>
  <c r="D30" i="22"/>
  <c r="AL29" i="22"/>
  <c r="AK29" i="22"/>
  <c r="AG29" i="22"/>
  <c r="AF29" i="22"/>
  <c r="AB29" i="22"/>
  <c r="AA29" i="22"/>
  <c r="T29" i="22"/>
  <c r="S29" i="22"/>
  <c r="R29" i="22"/>
  <c r="I29" i="22"/>
  <c r="F29" i="22"/>
  <c r="E29" i="22"/>
  <c r="D29" i="22"/>
  <c r="AR28" i="22"/>
  <c r="AL28" i="22"/>
  <c r="AK28" i="22"/>
  <c r="AG28" i="22"/>
  <c r="AF28" i="22"/>
  <c r="AB28" i="22"/>
  <c r="AA28" i="22"/>
  <c r="T28" i="22"/>
  <c r="S28" i="22"/>
  <c r="R28" i="22"/>
  <c r="AM28" i="22" s="1"/>
  <c r="I28" i="22"/>
  <c r="H28" i="22"/>
  <c r="G28" i="22"/>
  <c r="AL27" i="22"/>
  <c r="AK27" i="22"/>
  <c r="AG27" i="22"/>
  <c r="AF27" i="22"/>
  <c r="AB27" i="22"/>
  <c r="AA27" i="22"/>
  <c r="T27" i="22"/>
  <c r="S27" i="22"/>
  <c r="R27" i="22"/>
  <c r="I27" i="22"/>
  <c r="F27" i="22"/>
  <c r="E27" i="22"/>
  <c r="D27" i="22"/>
  <c r="H27" i="22" s="1"/>
  <c r="AL26" i="22"/>
  <c r="AK26" i="22"/>
  <c r="AG26" i="22"/>
  <c r="AF26" i="22"/>
  <c r="AB26" i="22"/>
  <c r="AA26" i="22"/>
  <c r="T26" i="22"/>
  <c r="S26" i="22"/>
  <c r="R26" i="22"/>
  <c r="I26" i="22"/>
  <c r="AL25" i="22"/>
  <c r="AK25" i="22"/>
  <c r="AG25" i="22"/>
  <c r="AF25" i="22"/>
  <c r="AB25" i="22"/>
  <c r="AA25" i="22"/>
  <c r="T25" i="22"/>
  <c r="S25" i="22"/>
  <c r="R25" i="22"/>
  <c r="I25" i="22"/>
  <c r="F25" i="22"/>
  <c r="E25" i="22"/>
  <c r="D25" i="22"/>
  <c r="AL24" i="22"/>
  <c r="AK24" i="22"/>
  <c r="AG24" i="22"/>
  <c r="AF24" i="22"/>
  <c r="AB24" i="22"/>
  <c r="AA24" i="22"/>
  <c r="T24" i="22"/>
  <c r="S24" i="22"/>
  <c r="R24" i="22"/>
  <c r="I24" i="22"/>
  <c r="F24" i="22"/>
  <c r="E24" i="22"/>
  <c r="D24" i="22"/>
  <c r="AR24" i="22" s="1"/>
  <c r="AL23" i="22"/>
  <c r="AK23" i="22"/>
  <c r="AG23" i="22"/>
  <c r="AF23" i="22"/>
  <c r="AB23" i="22"/>
  <c r="AA23" i="22"/>
  <c r="T23" i="22"/>
  <c r="S23" i="22"/>
  <c r="R23" i="22"/>
  <c r="I23" i="22"/>
  <c r="F23" i="22"/>
  <c r="E23" i="22"/>
  <c r="D23" i="22"/>
  <c r="AL22" i="22"/>
  <c r="AK22" i="22"/>
  <c r="AG22" i="22"/>
  <c r="AF22" i="22"/>
  <c r="AB22" i="22"/>
  <c r="AA22" i="22"/>
  <c r="T22" i="22"/>
  <c r="S22" i="22"/>
  <c r="R22" i="22"/>
  <c r="I22" i="22"/>
  <c r="F22" i="22"/>
  <c r="E22" i="22"/>
  <c r="D22" i="22"/>
  <c r="AL21" i="22"/>
  <c r="AG21" i="22"/>
  <c r="AF21" i="22"/>
  <c r="AB21" i="22"/>
  <c r="AA21" i="22"/>
  <c r="T21" i="22"/>
  <c r="S21" i="22"/>
  <c r="R21" i="22"/>
  <c r="I21" i="22"/>
  <c r="F21" i="22"/>
  <c r="E21" i="22"/>
  <c r="D21" i="22"/>
  <c r="AL20" i="22"/>
  <c r="AK20" i="22"/>
  <c r="AG20" i="22"/>
  <c r="AF20" i="22"/>
  <c r="AB20" i="22"/>
  <c r="AA20" i="22"/>
  <c r="T20" i="22"/>
  <c r="S20" i="22"/>
  <c r="R20" i="22"/>
  <c r="I20" i="22"/>
  <c r="F20" i="22"/>
  <c r="E20" i="22"/>
  <c r="D20" i="22"/>
  <c r="AL19" i="22"/>
  <c r="AK19" i="22"/>
  <c r="AG19" i="22"/>
  <c r="AF19" i="22"/>
  <c r="AB19" i="22"/>
  <c r="AA19" i="22"/>
  <c r="T19" i="22"/>
  <c r="S19" i="22"/>
  <c r="R19" i="22"/>
  <c r="I19" i="22"/>
  <c r="F19" i="22"/>
  <c r="E19" i="22"/>
  <c r="D19" i="22"/>
  <c r="H19" i="22" s="1"/>
  <c r="AL18" i="22"/>
  <c r="AK18" i="22"/>
  <c r="AG18" i="22"/>
  <c r="AF18" i="22"/>
  <c r="AB18" i="22"/>
  <c r="AA18" i="22"/>
  <c r="T18" i="22"/>
  <c r="S18" i="22"/>
  <c r="R18" i="22"/>
  <c r="I18" i="22"/>
  <c r="F18" i="22"/>
  <c r="E18" i="22"/>
  <c r="D18" i="22"/>
  <c r="AR18" i="22" s="1"/>
  <c r="AL17" i="22"/>
  <c r="AK17" i="22"/>
  <c r="AG17" i="22"/>
  <c r="AF17" i="22"/>
  <c r="AB17" i="22"/>
  <c r="AA17" i="22"/>
  <c r="T17" i="22"/>
  <c r="S17" i="22"/>
  <c r="R17" i="22"/>
  <c r="I17" i="22"/>
  <c r="F17" i="22"/>
  <c r="E17" i="22"/>
  <c r="D17" i="22"/>
  <c r="H17" i="22" s="1"/>
  <c r="AL16" i="22"/>
  <c r="AK16" i="22"/>
  <c r="AG16" i="22"/>
  <c r="AF16" i="22"/>
  <c r="AB16" i="22"/>
  <c r="AA16" i="22"/>
  <c r="T16" i="22"/>
  <c r="S16" i="22"/>
  <c r="R16" i="22"/>
  <c r="I16" i="22"/>
  <c r="F16" i="22"/>
  <c r="E16" i="22"/>
  <c r="D16" i="22"/>
  <c r="AL15" i="22"/>
  <c r="AK15" i="22"/>
  <c r="AG15" i="22"/>
  <c r="AF15" i="22"/>
  <c r="AB15" i="22"/>
  <c r="AA15" i="22"/>
  <c r="T15" i="22"/>
  <c r="S15" i="22"/>
  <c r="R15" i="22"/>
  <c r="I15" i="22"/>
  <c r="F15" i="22"/>
  <c r="E15" i="22"/>
  <c r="D15" i="22"/>
  <c r="AL14" i="22"/>
  <c r="AK14" i="22"/>
  <c r="AG14" i="22"/>
  <c r="AF14" i="22"/>
  <c r="AB14" i="22"/>
  <c r="AA14" i="22"/>
  <c r="T14" i="22"/>
  <c r="S14" i="22"/>
  <c r="R14" i="22"/>
  <c r="I14" i="22"/>
  <c r="F14" i="22"/>
  <c r="E14" i="22"/>
  <c r="D14" i="22"/>
  <c r="AR14" i="22" s="1"/>
  <c r="AY13" i="22"/>
  <c r="AT13" i="22"/>
  <c r="AL13" i="22"/>
  <c r="AK13" i="22"/>
  <c r="AG13" i="22"/>
  <c r="AF13" i="22"/>
  <c r="AB13" i="22"/>
  <c r="AA13" i="22"/>
  <c r="T13" i="22"/>
  <c r="S13" i="22"/>
  <c r="R13" i="22"/>
  <c r="I13" i="22"/>
  <c r="F13" i="22"/>
  <c r="E13" i="22"/>
  <c r="D13" i="22"/>
  <c r="H13" i="22" s="1"/>
  <c r="AL12" i="22"/>
  <c r="AK12" i="22"/>
  <c r="AG12" i="22"/>
  <c r="AF12" i="22"/>
  <c r="AB12" i="22"/>
  <c r="AA12" i="22"/>
  <c r="T12" i="22"/>
  <c r="S12" i="22"/>
  <c r="R12" i="22"/>
  <c r="I12" i="22"/>
  <c r="H12" i="22"/>
  <c r="AL11" i="22"/>
  <c r="AK11" i="22"/>
  <c r="AG11" i="22"/>
  <c r="AF11" i="22"/>
  <c r="AB11" i="22"/>
  <c r="AA11" i="22"/>
  <c r="T11" i="22"/>
  <c r="S11" i="22"/>
  <c r="R11" i="22"/>
  <c r="I11" i="22"/>
  <c r="AR11" i="22"/>
  <c r="AL10" i="22"/>
  <c r="AK10" i="22"/>
  <c r="AG10" i="22"/>
  <c r="AF10" i="22"/>
  <c r="AB10" i="22"/>
  <c r="AA10" i="22"/>
  <c r="T10" i="22"/>
  <c r="S10" i="22"/>
  <c r="R10" i="22"/>
  <c r="I10" i="22"/>
  <c r="F10" i="22"/>
  <c r="E10" i="22"/>
  <c r="D10" i="22"/>
  <c r="AM10" i="22" s="1"/>
  <c r="AL9" i="22"/>
  <c r="AK9" i="22"/>
  <c r="AG9" i="22"/>
  <c r="AF9" i="22"/>
  <c r="AB9" i="22"/>
  <c r="AA9" i="22"/>
  <c r="T9" i="22"/>
  <c r="S9" i="22"/>
  <c r="R9" i="22"/>
  <c r="I9" i="22"/>
  <c r="F9" i="22"/>
  <c r="E9" i="22"/>
  <c r="D9" i="22"/>
  <c r="AR9" i="22" s="1"/>
  <c r="AL8" i="22"/>
  <c r="AK8" i="22"/>
  <c r="AG8" i="22"/>
  <c r="AF8" i="22"/>
  <c r="AB8" i="22"/>
  <c r="AA8" i="22"/>
  <c r="T8" i="22"/>
  <c r="S8" i="22"/>
  <c r="R8" i="22"/>
  <c r="I8" i="22"/>
  <c r="AL7" i="22"/>
  <c r="AK7" i="22"/>
  <c r="AG7" i="22"/>
  <c r="AF7" i="22"/>
  <c r="AB7" i="22"/>
  <c r="AA7" i="22"/>
  <c r="T7" i="22"/>
  <c r="S7" i="22"/>
  <c r="R7" i="22"/>
  <c r="I7" i="22"/>
  <c r="F7" i="22"/>
  <c r="E7" i="22"/>
  <c r="D7" i="22"/>
  <c r="AR7" i="22" s="1"/>
  <c r="AL6" i="22"/>
  <c r="AK6" i="22"/>
  <c r="AG6" i="22"/>
  <c r="AF6" i="22"/>
  <c r="AB6" i="22"/>
  <c r="AA6" i="22"/>
  <c r="T6" i="22"/>
  <c r="S6" i="22"/>
  <c r="R6" i="22"/>
  <c r="I6" i="22"/>
  <c r="F6" i="22"/>
  <c r="E6" i="22"/>
  <c r="D6" i="22"/>
  <c r="AR6" i="22" s="1"/>
  <c r="B6" i="22"/>
  <c r="B8" i="22" s="1"/>
  <c r="B10" i="22" s="1"/>
  <c r="B12" i="22" s="1"/>
  <c r="B14" i="22" s="1"/>
  <c r="B16" i="22" s="1"/>
  <c r="B18" i="22" s="1"/>
  <c r="B20" i="22" s="1"/>
  <c r="B22" i="22" s="1"/>
  <c r="B24" i="22" s="1"/>
  <c r="B26" i="22" s="1"/>
  <c r="B28" i="22" s="1"/>
  <c r="B30" i="22" s="1"/>
  <c r="B32" i="22" s="1"/>
  <c r="B34" i="22" s="1"/>
  <c r="B36" i="22" s="1"/>
  <c r="B38" i="22" s="1"/>
  <c r="B40" i="22" s="1"/>
  <c r="B42" i="22" s="1"/>
  <c r="B44" i="22" s="1"/>
  <c r="B46" i="22" s="1"/>
  <c r="B48" i="22" s="1"/>
  <c r="B50" i="22" s="1"/>
  <c r="B52" i="22" s="1"/>
  <c r="B54" i="22" s="1"/>
  <c r="B56" i="22" s="1"/>
  <c r="B58" i="22" s="1"/>
  <c r="B60" i="22" s="1"/>
  <c r="B62" i="22" s="1"/>
  <c r="B64" i="22" s="1"/>
  <c r="AL5" i="22"/>
  <c r="AK5" i="22"/>
  <c r="AG5" i="22"/>
  <c r="AF5" i="22"/>
  <c r="AB5" i="22"/>
  <c r="AA5" i="22"/>
  <c r="T5" i="22"/>
  <c r="S5" i="22"/>
  <c r="R5" i="22"/>
  <c r="I5" i="22"/>
  <c r="F5" i="22"/>
  <c r="E5" i="22"/>
  <c r="D5" i="22"/>
  <c r="B5" i="22"/>
  <c r="B7" i="22" s="1"/>
  <c r="B9" i="22" s="1"/>
  <c r="B11" i="22" s="1"/>
  <c r="B13" i="22" s="1"/>
  <c r="B15" i="22" s="1"/>
  <c r="B17" i="22" s="1"/>
  <c r="B19" i="22" s="1"/>
  <c r="B21" i="22" s="1"/>
  <c r="B23" i="22" s="1"/>
  <c r="B25" i="22" s="1"/>
  <c r="B27" i="22" s="1"/>
  <c r="B29" i="22" s="1"/>
  <c r="B31" i="22" s="1"/>
  <c r="B33" i="22" s="1"/>
  <c r="B35" i="22" s="1"/>
  <c r="B37" i="22" s="1"/>
  <c r="B39" i="22" s="1"/>
  <c r="B41" i="22" s="1"/>
  <c r="B43" i="22" s="1"/>
  <c r="B45" i="22" s="1"/>
  <c r="B47" i="22" s="1"/>
  <c r="B49" i="22" s="1"/>
  <c r="B51" i="22" s="1"/>
  <c r="B53" i="22" s="1"/>
  <c r="B55" i="22" s="1"/>
  <c r="B57" i="22" s="1"/>
  <c r="B59" i="22" s="1"/>
  <c r="B61" i="22" s="1"/>
  <c r="B63" i="22" s="1"/>
  <c r="B65" i="22" s="1"/>
  <c r="AR4" i="22"/>
  <c r="AL4" i="22"/>
  <c r="AK4" i="22"/>
  <c r="AG4" i="22"/>
  <c r="AF4" i="22"/>
  <c r="AB4" i="22"/>
  <c r="AA4" i="22"/>
  <c r="T4" i="22"/>
  <c r="S4" i="22"/>
  <c r="R4" i="22"/>
  <c r="AM4" i="22" s="1"/>
  <c r="I4" i="22"/>
  <c r="H4" i="22"/>
  <c r="G4" i="22"/>
  <c r="AP1" i="22"/>
  <c r="AA112" i="20"/>
  <c r="Z112" i="20"/>
  <c r="AA111" i="20"/>
  <c r="Z111" i="20"/>
  <c r="AA109" i="20"/>
  <c r="Z109" i="20"/>
  <c r="AA108" i="20"/>
  <c r="Z108" i="20"/>
  <c r="AA106" i="20"/>
  <c r="Z106" i="20"/>
  <c r="AA105" i="20"/>
  <c r="Z105" i="20"/>
  <c r="AA103" i="20"/>
  <c r="U103" i="20" s="1"/>
  <c r="Z103" i="20"/>
  <c r="T103" i="20" s="1"/>
  <c r="Q103" i="20"/>
  <c r="AA102" i="20"/>
  <c r="U102" i="20" s="1"/>
  <c r="Z102" i="20"/>
  <c r="T102" i="20" s="1"/>
  <c r="Q102" i="20"/>
  <c r="P102" i="20"/>
  <c r="AA100" i="20"/>
  <c r="U100" i="20" s="1"/>
  <c r="Z100" i="20"/>
  <c r="T100" i="20" s="1"/>
  <c r="Q100" i="20"/>
  <c r="AA99" i="20"/>
  <c r="U99" i="20" s="1"/>
  <c r="Z99" i="20"/>
  <c r="T99" i="20" s="1"/>
  <c r="Q99" i="20"/>
  <c r="P99" i="20"/>
  <c r="AA97" i="20"/>
  <c r="Z97" i="20"/>
  <c r="AA96" i="20"/>
  <c r="Z96" i="20"/>
  <c r="AA94" i="20"/>
  <c r="Z94" i="20"/>
  <c r="AA93" i="20"/>
  <c r="Z93" i="20"/>
  <c r="AA91" i="20"/>
  <c r="Z91" i="20"/>
  <c r="AA90" i="20"/>
  <c r="Z90" i="20"/>
  <c r="AA88" i="20"/>
  <c r="Z88" i="20"/>
  <c r="AA87" i="20"/>
  <c r="Z87" i="20"/>
  <c r="AA85" i="20"/>
  <c r="U85" i="20" s="1"/>
  <c r="Z85" i="20"/>
  <c r="T85" i="20" s="1"/>
  <c r="Q85" i="20"/>
  <c r="AA84" i="20"/>
  <c r="Z84" i="20"/>
  <c r="T84" i="20" s="1"/>
  <c r="U84" i="20"/>
  <c r="Q84" i="20"/>
  <c r="P84" i="20"/>
  <c r="AA82" i="20"/>
  <c r="Z82" i="20"/>
  <c r="T82" i="20" s="1"/>
  <c r="U82" i="20"/>
  <c r="Q82" i="20"/>
  <c r="AA81" i="20"/>
  <c r="Z81" i="20"/>
  <c r="U81" i="20"/>
  <c r="T81" i="20"/>
  <c r="Q81" i="20"/>
  <c r="P81" i="20"/>
  <c r="AA79" i="20"/>
  <c r="Z79" i="20"/>
  <c r="U79" i="20"/>
  <c r="T79" i="20"/>
  <c r="Q79" i="20"/>
  <c r="AA78" i="20"/>
  <c r="Z78" i="20"/>
  <c r="U78" i="20"/>
  <c r="T78" i="20"/>
  <c r="Q78" i="20"/>
  <c r="S78" i="20" s="1"/>
  <c r="P78" i="20"/>
  <c r="AA76" i="20"/>
  <c r="Z76" i="20"/>
  <c r="U76" i="20"/>
  <c r="T76" i="20"/>
  <c r="Q76" i="20"/>
  <c r="S76" i="20" s="1"/>
  <c r="P76" i="20"/>
  <c r="AA75" i="20"/>
  <c r="Z75" i="20"/>
  <c r="U75" i="20"/>
  <c r="T75" i="20"/>
  <c r="Q75" i="20"/>
  <c r="S75" i="20" s="1"/>
  <c r="P75" i="20"/>
  <c r="AA73" i="20"/>
  <c r="Z73" i="20"/>
  <c r="U73" i="20"/>
  <c r="T73" i="20"/>
  <c r="Q73" i="20"/>
  <c r="S73" i="20" s="1"/>
  <c r="AA72" i="20"/>
  <c r="Z72" i="20"/>
  <c r="U72" i="20"/>
  <c r="T72" i="20"/>
  <c r="Q72" i="20"/>
  <c r="P72" i="20"/>
  <c r="AA70" i="20"/>
  <c r="Z70" i="20"/>
  <c r="U70" i="20"/>
  <c r="T70" i="20"/>
  <c r="Q70" i="20"/>
  <c r="AA69" i="20"/>
  <c r="U69" i="20" s="1"/>
  <c r="Z69" i="20"/>
  <c r="T69" i="20"/>
  <c r="Q69" i="20"/>
  <c r="R69" i="20" s="1"/>
  <c r="P69" i="20"/>
  <c r="AA67" i="20"/>
  <c r="U67" i="20" s="1"/>
  <c r="Z67" i="20"/>
  <c r="T67" i="20"/>
  <c r="Q67" i="20"/>
  <c r="R67" i="20" s="1"/>
  <c r="AA66" i="20"/>
  <c r="U66" i="20" s="1"/>
  <c r="Z66" i="20"/>
  <c r="T66" i="20" s="1"/>
  <c r="Q66" i="20"/>
  <c r="P66" i="20"/>
  <c r="AA64" i="20"/>
  <c r="U64" i="20" s="1"/>
  <c r="Z64" i="20"/>
  <c r="T64" i="20" s="1"/>
  <c r="Q64" i="20"/>
  <c r="P64" i="20"/>
  <c r="AA63" i="20"/>
  <c r="U63" i="20" s="1"/>
  <c r="Z63" i="20"/>
  <c r="T63" i="20" s="1"/>
  <c r="Q63" i="20"/>
  <c r="P63" i="20"/>
  <c r="AA61" i="20"/>
  <c r="U61" i="20" s="1"/>
  <c r="Z61" i="20"/>
  <c r="T61" i="20" s="1"/>
  <c r="Q61" i="20"/>
  <c r="P61" i="20"/>
  <c r="AA60" i="20"/>
  <c r="U60" i="20" s="1"/>
  <c r="Z60" i="20"/>
  <c r="T60" i="20" s="1"/>
  <c r="Q60" i="20"/>
  <c r="P60" i="20"/>
  <c r="AA58" i="20"/>
  <c r="U58" i="20" s="1"/>
  <c r="Z58" i="20"/>
  <c r="T58" i="20" s="1"/>
  <c r="Q58" i="20"/>
  <c r="P58" i="20"/>
  <c r="AA57" i="20"/>
  <c r="U57" i="20" s="1"/>
  <c r="Z57" i="20"/>
  <c r="T57" i="20" s="1"/>
  <c r="Q57" i="20"/>
  <c r="P57" i="20"/>
  <c r="AA55" i="20"/>
  <c r="U55" i="20" s="1"/>
  <c r="Z55" i="20"/>
  <c r="T55" i="20" s="1"/>
  <c r="Q55" i="20"/>
  <c r="P55" i="20"/>
  <c r="AA54" i="20"/>
  <c r="U54" i="20" s="1"/>
  <c r="Z54" i="20"/>
  <c r="T54" i="20" s="1"/>
  <c r="Q54" i="20"/>
  <c r="AA52" i="20"/>
  <c r="U52" i="20" s="1"/>
  <c r="Z52" i="20"/>
  <c r="T52" i="20" s="1"/>
  <c r="Q52" i="20"/>
  <c r="AA51" i="20"/>
  <c r="U51" i="20" s="1"/>
  <c r="Z51" i="20"/>
  <c r="T51" i="20" s="1"/>
  <c r="Q51" i="20"/>
  <c r="AA49" i="20"/>
  <c r="Z49" i="20"/>
  <c r="T49" i="20" s="1"/>
  <c r="U49" i="20"/>
  <c r="Q49" i="20"/>
  <c r="P49" i="20"/>
  <c r="AA48" i="20"/>
  <c r="Z48" i="20"/>
  <c r="T48" i="20" s="1"/>
  <c r="U48" i="20"/>
  <c r="Q48" i="20"/>
  <c r="P48" i="20"/>
  <c r="AA46" i="20"/>
  <c r="Z46" i="20"/>
  <c r="T46" i="20" s="1"/>
  <c r="U46" i="20"/>
  <c r="Q46" i="20"/>
  <c r="P46" i="20"/>
  <c r="AA45" i="20"/>
  <c r="Z45" i="20"/>
  <c r="T45" i="20" s="1"/>
  <c r="U45" i="20"/>
  <c r="Q45" i="20"/>
  <c r="P45" i="20"/>
  <c r="AA43" i="20"/>
  <c r="Z43" i="20"/>
  <c r="T43" i="20" s="1"/>
  <c r="U43" i="20"/>
  <c r="Q43" i="20"/>
  <c r="AA42" i="20"/>
  <c r="Z42" i="20"/>
  <c r="U42" i="20"/>
  <c r="T42" i="20"/>
  <c r="Q42" i="20"/>
  <c r="P42" i="20"/>
  <c r="AA40" i="20"/>
  <c r="Z40" i="20"/>
  <c r="U40" i="20"/>
  <c r="T40" i="20"/>
  <c r="Q40" i="20"/>
  <c r="P40" i="20"/>
  <c r="AA39" i="20"/>
  <c r="Z39" i="20"/>
  <c r="U39" i="20"/>
  <c r="T39" i="20"/>
  <c r="Q39" i="20"/>
  <c r="P39" i="20"/>
  <c r="AA37" i="20"/>
  <c r="Z37" i="20"/>
  <c r="U37" i="20"/>
  <c r="T37" i="20"/>
  <c r="Q37" i="20"/>
  <c r="P37" i="20"/>
  <c r="AA36" i="20"/>
  <c r="Z36" i="20"/>
  <c r="U36" i="20"/>
  <c r="T36" i="20"/>
  <c r="Q36" i="20"/>
  <c r="P36" i="20"/>
  <c r="AA34" i="20"/>
  <c r="Z34" i="20"/>
  <c r="U34" i="20"/>
  <c r="T34" i="20"/>
  <c r="Q34" i="20"/>
  <c r="P34" i="20"/>
  <c r="AA33" i="20"/>
  <c r="Z33" i="20"/>
  <c r="U33" i="20"/>
  <c r="T33" i="20"/>
  <c r="Q33" i="20"/>
  <c r="P33" i="20"/>
  <c r="AA31" i="20"/>
  <c r="Z31" i="20"/>
  <c r="U31" i="20"/>
  <c r="T31" i="20"/>
  <c r="Q31" i="20"/>
  <c r="AA30" i="20"/>
  <c r="Z30" i="20"/>
  <c r="U30" i="20"/>
  <c r="T30" i="20"/>
  <c r="Q30" i="20"/>
  <c r="S30" i="20" s="1"/>
  <c r="P30" i="20"/>
  <c r="AA28" i="20"/>
  <c r="Z28" i="20"/>
  <c r="U28" i="20"/>
  <c r="T28" i="20"/>
  <c r="Q28" i="20"/>
  <c r="S28" i="20" s="1"/>
  <c r="P28" i="20"/>
  <c r="AA27" i="20"/>
  <c r="Z27" i="20"/>
  <c r="U27" i="20"/>
  <c r="T27" i="20"/>
  <c r="Q27" i="20"/>
  <c r="S27" i="20" s="1"/>
  <c r="P27" i="20"/>
  <c r="AA25" i="20"/>
  <c r="Z25" i="20"/>
  <c r="U25" i="20"/>
  <c r="T25" i="20"/>
  <c r="Q25" i="20"/>
  <c r="S25" i="20" s="1"/>
  <c r="P25" i="20"/>
  <c r="AA24" i="20"/>
  <c r="Z24" i="20"/>
  <c r="U24" i="20"/>
  <c r="T24" i="20"/>
  <c r="Q24" i="20"/>
  <c r="S24" i="20" s="1"/>
  <c r="P24" i="20"/>
  <c r="AA22" i="20"/>
  <c r="Z22" i="20"/>
  <c r="U22" i="20"/>
  <c r="T22" i="20"/>
  <c r="Q22" i="20"/>
  <c r="S22" i="20" s="1"/>
  <c r="P22" i="20"/>
  <c r="AA21" i="20"/>
  <c r="Z21" i="20"/>
  <c r="U21" i="20"/>
  <c r="T21" i="20"/>
  <c r="Q21" i="20"/>
  <c r="S21" i="20" s="1"/>
  <c r="P21" i="20"/>
  <c r="AA19" i="20"/>
  <c r="Z19" i="20"/>
  <c r="U19" i="20"/>
  <c r="T19" i="20"/>
  <c r="Q19" i="20"/>
  <c r="S19" i="20" s="1"/>
  <c r="P19" i="20"/>
  <c r="AA18" i="20"/>
  <c r="Z18" i="20"/>
  <c r="U18" i="20"/>
  <c r="T18" i="20"/>
  <c r="Q18" i="20"/>
  <c r="S18" i="20" s="1"/>
  <c r="P18" i="20"/>
  <c r="AA16" i="20"/>
  <c r="Z16" i="20"/>
  <c r="U16" i="20"/>
  <c r="T16" i="20"/>
  <c r="Q16" i="20"/>
  <c r="S16" i="20" s="1"/>
  <c r="P16" i="20"/>
  <c r="AA15" i="20"/>
  <c r="Z15" i="20"/>
  <c r="U15" i="20"/>
  <c r="T15" i="20"/>
  <c r="Q15" i="20"/>
  <c r="S15" i="20" s="1"/>
  <c r="P15" i="20"/>
  <c r="AA13" i="20"/>
  <c r="Z13" i="20"/>
  <c r="U13" i="20"/>
  <c r="T13" i="20"/>
  <c r="Q13" i="20"/>
  <c r="S13" i="20" s="1"/>
  <c r="P13" i="20"/>
  <c r="AA12" i="20"/>
  <c r="Z12" i="20"/>
  <c r="U12" i="20"/>
  <c r="T12" i="20"/>
  <c r="Q12" i="20"/>
  <c r="S12" i="20" s="1"/>
  <c r="P12" i="20"/>
  <c r="AA10" i="20"/>
  <c r="Z10" i="20"/>
  <c r="U10" i="20"/>
  <c r="T10" i="20"/>
  <c r="Q10" i="20"/>
  <c r="S10" i="20" s="1"/>
  <c r="P10" i="20"/>
  <c r="AA9" i="20"/>
  <c r="Z9" i="20"/>
  <c r="U9" i="20"/>
  <c r="T9" i="20"/>
  <c r="Q9" i="20"/>
  <c r="S9" i="20" s="1"/>
  <c r="P9" i="20"/>
  <c r="AA7" i="20"/>
  <c r="Z7" i="20"/>
  <c r="U7" i="20"/>
  <c r="T7" i="20"/>
  <c r="Q7" i="20"/>
  <c r="S7" i="20" s="1"/>
  <c r="P7" i="20"/>
  <c r="AA6" i="20"/>
  <c r="Z6" i="20"/>
  <c r="U6" i="20"/>
  <c r="T6" i="20"/>
  <c r="Q6" i="20"/>
  <c r="S6" i="20" s="1"/>
  <c r="P6" i="20"/>
  <c r="AA4" i="20"/>
  <c r="Z4" i="20"/>
  <c r="U4" i="20"/>
  <c r="T4" i="20"/>
  <c r="Q4" i="20"/>
  <c r="S4" i="20" s="1"/>
  <c r="P4" i="20"/>
  <c r="AA3" i="20"/>
  <c r="Z3" i="20"/>
  <c r="U3" i="20"/>
  <c r="T3" i="20"/>
  <c r="Q3" i="20"/>
  <c r="S3" i="20" s="1"/>
  <c r="P3" i="20"/>
  <c r="AC66" i="19"/>
  <c r="X66" i="19"/>
  <c r="AL65" i="19"/>
  <c r="AK65" i="19"/>
  <c r="AG65" i="19"/>
  <c r="AF65" i="19"/>
  <c r="AB65" i="19"/>
  <c r="AA65" i="19"/>
  <c r="F65" i="19"/>
  <c r="E65" i="19"/>
  <c r="D65" i="19"/>
  <c r="AL64" i="19"/>
  <c r="AK64" i="19"/>
  <c r="AG64" i="19"/>
  <c r="AF64" i="19"/>
  <c r="AB64" i="19"/>
  <c r="AA64" i="19"/>
  <c r="H64" i="19"/>
  <c r="AL63" i="19"/>
  <c r="AK63" i="19"/>
  <c r="AG63" i="19"/>
  <c r="AF63" i="19"/>
  <c r="AB63" i="19"/>
  <c r="AA63" i="19"/>
  <c r="F63" i="19"/>
  <c r="E63" i="19"/>
  <c r="D63" i="19"/>
  <c r="AL62" i="19"/>
  <c r="AK62" i="19"/>
  <c r="AG62" i="19"/>
  <c r="AF62" i="19"/>
  <c r="AB62" i="19"/>
  <c r="AA62" i="19"/>
  <c r="AL61" i="19"/>
  <c r="AK61" i="19"/>
  <c r="AG61" i="19"/>
  <c r="AF61" i="19"/>
  <c r="AB61" i="19"/>
  <c r="AA61" i="19"/>
  <c r="F61" i="19"/>
  <c r="E61" i="19"/>
  <c r="D61" i="19"/>
  <c r="AL60" i="19"/>
  <c r="AK60" i="19"/>
  <c r="AG60" i="19"/>
  <c r="AF60" i="19"/>
  <c r="AB60" i="19"/>
  <c r="AA60" i="19"/>
  <c r="H60" i="19"/>
  <c r="AL59" i="19"/>
  <c r="AK59" i="19"/>
  <c r="AG59" i="19"/>
  <c r="AF59" i="19"/>
  <c r="AB59" i="19"/>
  <c r="AA59" i="19"/>
  <c r="T59" i="19"/>
  <c r="S59" i="19"/>
  <c r="R59" i="19"/>
  <c r="I59" i="19"/>
  <c r="F59" i="19"/>
  <c r="E59" i="19"/>
  <c r="D59" i="19"/>
  <c r="AL58" i="19"/>
  <c r="AK58" i="19"/>
  <c r="AG58" i="19"/>
  <c r="AF58" i="19"/>
  <c r="AB58" i="19"/>
  <c r="AA58" i="19"/>
  <c r="T58" i="19"/>
  <c r="S58" i="19"/>
  <c r="R58" i="19"/>
  <c r="I58" i="19"/>
  <c r="F58" i="19"/>
  <c r="E58" i="19"/>
  <c r="D58" i="19"/>
  <c r="AL57" i="19"/>
  <c r="AK57" i="19"/>
  <c r="AG57" i="19"/>
  <c r="AF57" i="19"/>
  <c r="AB57" i="19"/>
  <c r="AA57" i="19"/>
  <c r="T57" i="19"/>
  <c r="S57" i="19"/>
  <c r="R57" i="19"/>
  <c r="I57" i="19"/>
  <c r="F57" i="19"/>
  <c r="E57" i="19"/>
  <c r="D57" i="19"/>
  <c r="H57" i="19" s="1"/>
  <c r="AO57" i="19" s="1"/>
  <c r="AL56" i="19"/>
  <c r="AK56" i="19"/>
  <c r="AG56" i="19"/>
  <c r="AF56" i="19"/>
  <c r="AB56" i="19"/>
  <c r="AA56" i="19"/>
  <c r="T56" i="19"/>
  <c r="S56" i="19"/>
  <c r="R56" i="19"/>
  <c r="I56" i="19"/>
  <c r="F56" i="19"/>
  <c r="E56" i="19"/>
  <c r="D56" i="19"/>
  <c r="AS55" i="19"/>
  <c r="AL55" i="19"/>
  <c r="AK55" i="19"/>
  <c r="AG55" i="19"/>
  <c r="AF55" i="19"/>
  <c r="AB55" i="19"/>
  <c r="AA55" i="19"/>
  <c r="T55" i="19"/>
  <c r="S55" i="19"/>
  <c r="R55" i="19"/>
  <c r="I55" i="19"/>
  <c r="F55" i="19"/>
  <c r="E55" i="19"/>
  <c r="D55" i="19"/>
  <c r="AL54" i="19"/>
  <c r="AK54" i="19"/>
  <c r="AG54" i="19"/>
  <c r="AF54" i="19"/>
  <c r="AB54" i="19"/>
  <c r="AA54" i="19"/>
  <c r="T54" i="19"/>
  <c r="S54" i="19"/>
  <c r="R54" i="19"/>
  <c r="I54" i="19"/>
  <c r="AL53" i="19"/>
  <c r="AK53" i="19"/>
  <c r="AG53" i="19"/>
  <c r="AF53" i="19"/>
  <c r="AB53" i="19"/>
  <c r="AA53" i="19"/>
  <c r="T53" i="19"/>
  <c r="S53" i="19"/>
  <c r="R53" i="19"/>
  <c r="I53" i="19"/>
  <c r="AR53" i="19"/>
  <c r="AL52" i="19"/>
  <c r="AK52" i="19"/>
  <c r="AG52" i="19"/>
  <c r="AF52" i="19"/>
  <c r="AB52" i="19"/>
  <c r="AA52" i="19"/>
  <c r="T52" i="19"/>
  <c r="S52" i="19"/>
  <c r="R52" i="19"/>
  <c r="I52" i="19"/>
  <c r="F52" i="19"/>
  <c r="E52" i="19"/>
  <c r="D52" i="19"/>
  <c r="AL51" i="19"/>
  <c r="AK51" i="19"/>
  <c r="AG51" i="19"/>
  <c r="AF51" i="19"/>
  <c r="AB51" i="19"/>
  <c r="AA51" i="19"/>
  <c r="T51" i="19"/>
  <c r="S51" i="19"/>
  <c r="R51" i="19"/>
  <c r="I51" i="19"/>
  <c r="F51" i="19"/>
  <c r="E51" i="19"/>
  <c r="D51" i="19"/>
  <c r="AL50" i="19"/>
  <c r="AK50" i="19"/>
  <c r="AG50" i="19"/>
  <c r="AF50" i="19"/>
  <c r="AB50" i="19"/>
  <c r="AA50" i="19"/>
  <c r="T50" i="19"/>
  <c r="S50" i="19"/>
  <c r="R50" i="19"/>
  <c r="I50" i="19"/>
  <c r="F50" i="19"/>
  <c r="E50" i="19"/>
  <c r="D50" i="19"/>
  <c r="H50" i="19" s="1"/>
  <c r="AL49" i="19"/>
  <c r="AK49" i="19"/>
  <c r="AG49" i="19"/>
  <c r="AF49" i="19"/>
  <c r="AB49" i="19"/>
  <c r="AA49" i="19"/>
  <c r="T49" i="19"/>
  <c r="S49" i="19"/>
  <c r="R49" i="19"/>
  <c r="I49" i="19"/>
  <c r="F49" i="19"/>
  <c r="E49" i="19"/>
  <c r="D49" i="19"/>
  <c r="AL48" i="19"/>
  <c r="AK48" i="19"/>
  <c r="AG48" i="19"/>
  <c r="AF48" i="19"/>
  <c r="AB48" i="19"/>
  <c r="AA48" i="19"/>
  <c r="T48" i="19"/>
  <c r="S48" i="19"/>
  <c r="R48" i="19"/>
  <c r="I48" i="19"/>
  <c r="F48" i="19"/>
  <c r="E48" i="19"/>
  <c r="D48" i="19"/>
  <c r="AL47" i="19"/>
  <c r="AK47" i="19"/>
  <c r="AG47" i="19"/>
  <c r="AF47" i="19"/>
  <c r="AB47" i="19"/>
  <c r="AA47" i="19"/>
  <c r="T47" i="19"/>
  <c r="S47" i="19"/>
  <c r="R47" i="19"/>
  <c r="I47" i="19"/>
  <c r="F47" i="19"/>
  <c r="E47" i="19"/>
  <c r="D47" i="19"/>
  <c r="H47" i="19" s="1"/>
  <c r="AO47" i="19" s="1"/>
  <c r="AL46" i="19"/>
  <c r="AK46" i="19"/>
  <c r="AG46" i="19"/>
  <c r="AF46" i="19"/>
  <c r="AB46" i="19"/>
  <c r="AA46" i="19"/>
  <c r="T46" i="19"/>
  <c r="S46" i="19"/>
  <c r="R46" i="19"/>
  <c r="I46" i="19"/>
  <c r="AL45" i="19"/>
  <c r="AK45" i="19"/>
  <c r="AG45" i="19"/>
  <c r="AF45" i="19"/>
  <c r="AB45" i="19"/>
  <c r="AA45" i="19"/>
  <c r="T45" i="19"/>
  <c r="S45" i="19"/>
  <c r="R45" i="19"/>
  <c r="I45" i="19"/>
  <c r="AL44" i="19"/>
  <c r="AK44" i="19"/>
  <c r="AG44" i="19"/>
  <c r="AF44" i="19"/>
  <c r="AB44" i="19"/>
  <c r="AA44" i="19"/>
  <c r="T44" i="19"/>
  <c r="S44" i="19"/>
  <c r="R44" i="19"/>
  <c r="I44" i="19"/>
  <c r="F44" i="19"/>
  <c r="E44" i="19"/>
  <c r="D44" i="19"/>
  <c r="H44" i="19" s="1"/>
  <c r="AO44" i="19" s="1"/>
  <c r="AL43" i="19"/>
  <c r="AK43" i="19"/>
  <c r="AG43" i="19"/>
  <c r="AF43" i="19"/>
  <c r="AB43" i="19"/>
  <c r="AA43" i="19"/>
  <c r="T43" i="19"/>
  <c r="S43" i="19"/>
  <c r="R43" i="19"/>
  <c r="I43" i="19"/>
  <c r="F43" i="19"/>
  <c r="E43" i="19"/>
  <c r="D43" i="19"/>
  <c r="AL42" i="19"/>
  <c r="AK42" i="19"/>
  <c r="AG42" i="19"/>
  <c r="AF42" i="19"/>
  <c r="AB42" i="19"/>
  <c r="AA42" i="19"/>
  <c r="T42" i="19"/>
  <c r="S42" i="19"/>
  <c r="R42" i="19"/>
  <c r="I42" i="19"/>
  <c r="F42" i="19"/>
  <c r="E42" i="19"/>
  <c r="D42" i="19"/>
  <c r="AS41" i="19"/>
  <c r="AL41" i="19"/>
  <c r="AK41" i="19"/>
  <c r="AG41" i="19"/>
  <c r="AF41" i="19"/>
  <c r="AB41" i="19"/>
  <c r="AA41" i="19"/>
  <c r="T41" i="19"/>
  <c r="S41" i="19"/>
  <c r="R41" i="19"/>
  <c r="I41" i="19"/>
  <c r="F41" i="19"/>
  <c r="E41" i="19"/>
  <c r="D41" i="19"/>
  <c r="H41" i="19" s="1"/>
  <c r="AO41" i="19" s="1"/>
  <c r="AL40" i="19"/>
  <c r="AK40" i="19"/>
  <c r="AG40" i="19"/>
  <c r="AF40" i="19"/>
  <c r="AB40" i="19"/>
  <c r="AA40" i="19"/>
  <c r="T40" i="19"/>
  <c r="S40" i="19"/>
  <c r="R40" i="19"/>
  <c r="I40" i="19"/>
  <c r="AL39" i="19"/>
  <c r="AK39" i="19"/>
  <c r="AG39" i="19"/>
  <c r="AF39" i="19"/>
  <c r="AB39" i="19"/>
  <c r="T39" i="19"/>
  <c r="S39" i="19"/>
  <c r="R39" i="19"/>
  <c r="I39" i="19"/>
  <c r="AL38" i="19"/>
  <c r="AK38" i="19"/>
  <c r="AG38" i="19"/>
  <c r="AF38" i="19"/>
  <c r="AB38" i="19"/>
  <c r="AA38" i="19"/>
  <c r="T38" i="19"/>
  <c r="S38" i="19"/>
  <c r="R38" i="19"/>
  <c r="I38" i="19"/>
  <c r="AL37" i="19"/>
  <c r="AK37" i="19"/>
  <c r="AG37" i="19"/>
  <c r="AF37" i="19"/>
  <c r="AB37" i="19"/>
  <c r="AA37" i="19"/>
  <c r="T37" i="19"/>
  <c r="S37" i="19"/>
  <c r="R37" i="19"/>
  <c r="I37" i="19"/>
  <c r="F37" i="19"/>
  <c r="E37" i="19"/>
  <c r="D37" i="19"/>
  <c r="AL36" i="19"/>
  <c r="AK36" i="19"/>
  <c r="AG36" i="19"/>
  <c r="AF36" i="19"/>
  <c r="AB36" i="19"/>
  <c r="AA36" i="19"/>
  <c r="T36" i="19"/>
  <c r="S36" i="19"/>
  <c r="R36" i="19"/>
  <c r="I36" i="19"/>
  <c r="F36" i="19"/>
  <c r="E36" i="19"/>
  <c r="D36" i="19"/>
  <c r="H36" i="19" s="1"/>
  <c r="AO36" i="19" s="1"/>
  <c r="AL35" i="19"/>
  <c r="AK35" i="19"/>
  <c r="AG35" i="19"/>
  <c r="AF35" i="19"/>
  <c r="AB35" i="19"/>
  <c r="AA35" i="19"/>
  <c r="T35" i="19"/>
  <c r="S35" i="19"/>
  <c r="R35" i="19"/>
  <c r="I35" i="19"/>
  <c r="F35" i="19"/>
  <c r="E35" i="19"/>
  <c r="D35" i="19"/>
  <c r="AL34" i="19"/>
  <c r="AK34" i="19"/>
  <c r="AG34" i="19"/>
  <c r="AF34" i="19"/>
  <c r="AB34" i="19"/>
  <c r="AA34" i="19"/>
  <c r="T34" i="19"/>
  <c r="S34" i="19"/>
  <c r="R34" i="19"/>
  <c r="I34" i="19"/>
  <c r="F34" i="19"/>
  <c r="E34" i="19"/>
  <c r="D34" i="19"/>
  <c r="AL33" i="19"/>
  <c r="AK33" i="19"/>
  <c r="AG33" i="19"/>
  <c r="AF33" i="19"/>
  <c r="AB33" i="19"/>
  <c r="AA33" i="19"/>
  <c r="T33" i="19"/>
  <c r="S33" i="19"/>
  <c r="R33" i="19"/>
  <c r="I33" i="19"/>
  <c r="F33" i="19"/>
  <c r="E33" i="19"/>
  <c r="D33" i="19"/>
  <c r="H33" i="19" s="1"/>
  <c r="AO33" i="19" s="1"/>
  <c r="AR32" i="19"/>
  <c r="AL32" i="19"/>
  <c r="AK32" i="19"/>
  <c r="AG32" i="19"/>
  <c r="AF32" i="19"/>
  <c r="AB32" i="19"/>
  <c r="AA32" i="19"/>
  <c r="T32" i="19"/>
  <c r="S32" i="19"/>
  <c r="R32" i="19"/>
  <c r="I32" i="19"/>
  <c r="G32" i="19"/>
  <c r="AL31" i="19"/>
  <c r="AK31" i="19"/>
  <c r="AG31" i="19"/>
  <c r="AF31" i="19"/>
  <c r="AB31" i="19"/>
  <c r="AA31" i="19"/>
  <c r="T31" i="19"/>
  <c r="S31" i="19"/>
  <c r="R31" i="19"/>
  <c r="I31" i="19"/>
  <c r="F31" i="19"/>
  <c r="E31" i="19"/>
  <c r="D31" i="19"/>
  <c r="AL30" i="19"/>
  <c r="AK30" i="19"/>
  <c r="AG30" i="19"/>
  <c r="AF30" i="19"/>
  <c r="AB30" i="19"/>
  <c r="AA30" i="19"/>
  <c r="T30" i="19"/>
  <c r="S30" i="19"/>
  <c r="R30" i="19"/>
  <c r="I30" i="19"/>
  <c r="F30" i="19"/>
  <c r="E30" i="19"/>
  <c r="D30" i="19"/>
  <c r="AM30" i="19" s="1"/>
  <c r="AL29" i="19"/>
  <c r="AK29" i="19"/>
  <c r="AG29" i="19"/>
  <c r="AF29" i="19"/>
  <c r="AB29" i="19"/>
  <c r="AA29" i="19"/>
  <c r="T29" i="19"/>
  <c r="S29" i="19"/>
  <c r="R29" i="19"/>
  <c r="I29" i="19"/>
  <c r="F29" i="19"/>
  <c r="E29" i="19"/>
  <c r="D29" i="19"/>
  <c r="H29" i="19" s="1"/>
  <c r="AL28" i="19"/>
  <c r="AK28" i="19"/>
  <c r="AG28" i="19"/>
  <c r="AF28" i="19"/>
  <c r="AB28" i="19"/>
  <c r="AA28" i="19"/>
  <c r="T28" i="19"/>
  <c r="S28" i="19"/>
  <c r="R28" i="19"/>
  <c r="I28" i="19"/>
  <c r="F28" i="19"/>
  <c r="E28" i="19"/>
  <c r="D28" i="19"/>
  <c r="AS27" i="19"/>
  <c r="AL27" i="19"/>
  <c r="AK27" i="19"/>
  <c r="AG27" i="19"/>
  <c r="AF27" i="19"/>
  <c r="AB27" i="19"/>
  <c r="AA27" i="19"/>
  <c r="T27" i="19"/>
  <c r="S27" i="19"/>
  <c r="R27" i="19"/>
  <c r="I27" i="19"/>
  <c r="F27" i="19"/>
  <c r="E27" i="19"/>
  <c r="D27" i="19"/>
  <c r="AL26" i="19"/>
  <c r="AK26" i="19"/>
  <c r="AG26" i="19"/>
  <c r="AF26" i="19"/>
  <c r="AB26" i="19"/>
  <c r="AA26" i="19"/>
  <c r="T26" i="19"/>
  <c r="S26" i="19"/>
  <c r="R26" i="19"/>
  <c r="I26" i="19"/>
  <c r="AR26" i="19"/>
  <c r="AL25" i="19"/>
  <c r="AK25" i="19"/>
  <c r="AG25" i="19"/>
  <c r="AF25" i="19"/>
  <c r="AB25" i="19"/>
  <c r="AA25" i="19"/>
  <c r="T25" i="19"/>
  <c r="S25" i="19"/>
  <c r="R25" i="19"/>
  <c r="I25" i="19"/>
  <c r="F25" i="19"/>
  <c r="E25" i="19"/>
  <c r="D25" i="19"/>
  <c r="AR25" i="19" s="1"/>
  <c r="AL24" i="19"/>
  <c r="AK24" i="19"/>
  <c r="AG24" i="19"/>
  <c r="AF24" i="19"/>
  <c r="AB24" i="19"/>
  <c r="AA24" i="19"/>
  <c r="T24" i="19"/>
  <c r="S24" i="19"/>
  <c r="R24" i="19"/>
  <c r="I24" i="19"/>
  <c r="AR24" i="19"/>
  <c r="AL23" i="19"/>
  <c r="AK23" i="19"/>
  <c r="AG23" i="19"/>
  <c r="AF23" i="19"/>
  <c r="AB23" i="19"/>
  <c r="AA23" i="19"/>
  <c r="T23" i="19"/>
  <c r="S23" i="19"/>
  <c r="R23" i="19"/>
  <c r="I23" i="19"/>
  <c r="F23" i="19"/>
  <c r="E23" i="19"/>
  <c r="D23" i="19"/>
  <c r="AL22" i="19"/>
  <c r="AK22" i="19"/>
  <c r="AG22" i="19"/>
  <c r="AF22" i="19"/>
  <c r="AB22" i="19"/>
  <c r="AA22" i="19"/>
  <c r="T22" i="19"/>
  <c r="S22" i="19"/>
  <c r="R22" i="19"/>
  <c r="I22" i="19"/>
  <c r="F22" i="19"/>
  <c r="E22" i="19"/>
  <c r="D22" i="19"/>
  <c r="AR22" i="19" s="1"/>
  <c r="AL21" i="19"/>
  <c r="AK21" i="19"/>
  <c r="AG21" i="19"/>
  <c r="AF21" i="19"/>
  <c r="AB21" i="19"/>
  <c r="AA21" i="19"/>
  <c r="T21" i="19"/>
  <c r="S21" i="19"/>
  <c r="R21" i="19"/>
  <c r="I21" i="19"/>
  <c r="F21" i="19"/>
  <c r="E21" i="19"/>
  <c r="D21" i="19"/>
  <c r="G21" i="19" s="1"/>
  <c r="AL20" i="19"/>
  <c r="AK20" i="19"/>
  <c r="AG20" i="19"/>
  <c r="AF20" i="19"/>
  <c r="AB20" i="19"/>
  <c r="AA20" i="19"/>
  <c r="T20" i="19"/>
  <c r="S20" i="19"/>
  <c r="R20" i="19"/>
  <c r="I20" i="19"/>
  <c r="F20" i="19"/>
  <c r="E20" i="19"/>
  <c r="D20" i="19"/>
  <c r="AR20" i="19" s="1"/>
  <c r="AL19" i="19"/>
  <c r="AK19" i="19"/>
  <c r="AG19" i="19"/>
  <c r="AF19" i="19"/>
  <c r="AB19" i="19"/>
  <c r="AA19" i="19"/>
  <c r="T19" i="19"/>
  <c r="S19" i="19"/>
  <c r="R19" i="19"/>
  <c r="I19" i="19"/>
  <c r="F19" i="19"/>
  <c r="E19" i="19"/>
  <c r="D19" i="19"/>
  <c r="AM19" i="19" s="1"/>
  <c r="AR18" i="19"/>
  <c r="AL18" i="19"/>
  <c r="AK18" i="19"/>
  <c r="AG18" i="19"/>
  <c r="AF18" i="19"/>
  <c r="AB18" i="19"/>
  <c r="AA18" i="19"/>
  <c r="T18" i="19"/>
  <c r="S18" i="19"/>
  <c r="R18" i="19"/>
  <c r="AM18" i="19" s="1"/>
  <c r="I18" i="19"/>
  <c r="H18" i="19"/>
  <c r="G18" i="19"/>
  <c r="AL17" i="19"/>
  <c r="AK17" i="19"/>
  <c r="AG17" i="19"/>
  <c r="AF17" i="19"/>
  <c r="AB17" i="19"/>
  <c r="AA17" i="19"/>
  <c r="T17" i="19"/>
  <c r="S17" i="19"/>
  <c r="R17" i="19"/>
  <c r="I17" i="19"/>
  <c r="F17" i="19"/>
  <c r="E17" i="19"/>
  <c r="D17" i="19"/>
  <c r="AL16" i="19"/>
  <c r="AK16" i="19"/>
  <c r="AG16" i="19"/>
  <c r="AF16" i="19"/>
  <c r="AB16" i="19"/>
  <c r="AA16" i="19"/>
  <c r="T16" i="19"/>
  <c r="S16" i="19"/>
  <c r="R16" i="19"/>
  <c r="I16" i="19"/>
  <c r="F16" i="19"/>
  <c r="E16" i="19"/>
  <c r="D16" i="19"/>
  <c r="AL15" i="19"/>
  <c r="AK15" i="19"/>
  <c r="AG15" i="19"/>
  <c r="AF15" i="19"/>
  <c r="AB15" i="19"/>
  <c r="AA15" i="19"/>
  <c r="T15" i="19"/>
  <c r="S15" i="19"/>
  <c r="R15" i="19"/>
  <c r="I15" i="19"/>
  <c r="F15" i="19"/>
  <c r="E15" i="19"/>
  <c r="D15" i="19"/>
  <c r="AL14" i="19"/>
  <c r="AK14" i="19"/>
  <c r="AG14" i="19"/>
  <c r="AF14" i="19"/>
  <c r="AB14" i="19"/>
  <c r="AA14" i="19"/>
  <c r="T14" i="19"/>
  <c r="S14" i="19"/>
  <c r="R14" i="19"/>
  <c r="I14" i="19"/>
  <c r="F14" i="19"/>
  <c r="E14" i="19"/>
  <c r="D14" i="19"/>
  <c r="AS13" i="19"/>
  <c r="AL13" i="19"/>
  <c r="AK13" i="19"/>
  <c r="AG13" i="19"/>
  <c r="AF13" i="19"/>
  <c r="AB13" i="19"/>
  <c r="AA13" i="19"/>
  <c r="T13" i="19"/>
  <c r="S13" i="19"/>
  <c r="R13" i="19"/>
  <c r="I13" i="19"/>
  <c r="F13" i="19"/>
  <c r="E13" i="19"/>
  <c r="D13" i="19"/>
  <c r="AL12" i="19"/>
  <c r="AK12" i="19"/>
  <c r="AG12" i="19"/>
  <c r="AF12" i="19"/>
  <c r="AB12" i="19"/>
  <c r="AA12" i="19"/>
  <c r="T12" i="19"/>
  <c r="S12" i="19"/>
  <c r="R12" i="19"/>
  <c r="I12" i="19"/>
  <c r="AL11" i="19"/>
  <c r="AK11" i="19"/>
  <c r="AG11" i="19"/>
  <c r="AF11" i="19"/>
  <c r="AB11" i="19"/>
  <c r="AA11" i="19"/>
  <c r="T11" i="19"/>
  <c r="S11" i="19"/>
  <c r="R11" i="19"/>
  <c r="I11" i="19"/>
  <c r="F11" i="19"/>
  <c r="E11" i="19"/>
  <c r="D11" i="19"/>
  <c r="AL10" i="19"/>
  <c r="AK10" i="19"/>
  <c r="AG10" i="19"/>
  <c r="AF10" i="19"/>
  <c r="AB10" i="19"/>
  <c r="AA10" i="19"/>
  <c r="T10" i="19"/>
  <c r="S10" i="19"/>
  <c r="R10" i="19"/>
  <c r="I10" i="19"/>
  <c r="F10" i="19"/>
  <c r="E10" i="19"/>
  <c r="D10" i="19"/>
  <c r="AL9" i="19"/>
  <c r="AK9" i="19"/>
  <c r="AG9" i="19"/>
  <c r="AF9" i="19"/>
  <c r="AB9" i="19"/>
  <c r="AA9" i="19"/>
  <c r="T9" i="19"/>
  <c r="S9" i="19"/>
  <c r="R9" i="19"/>
  <c r="I9" i="19"/>
  <c r="F9" i="19"/>
  <c r="E9" i="19"/>
  <c r="D9" i="19"/>
  <c r="AL8" i="19"/>
  <c r="AK8" i="19"/>
  <c r="AG8" i="19"/>
  <c r="AF8" i="19"/>
  <c r="AB8" i="19"/>
  <c r="AA8" i="19"/>
  <c r="T8" i="19"/>
  <c r="S8" i="19"/>
  <c r="R8" i="19"/>
  <c r="I8" i="19"/>
  <c r="AR8" i="19"/>
  <c r="AL7" i="19"/>
  <c r="AK7" i="19"/>
  <c r="AG7" i="19"/>
  <c r="AF7" i="19"/>
  <c r="AB7" i="19"/>
  <c r="AA7" i="19"/>
  <c r="T7" i="19"/>
  <c r="S7" i="19"/>
  <c r="R7" i="19"/>
  <c r="I7" i="19"/>
  <c r="F7" i="19"/>
  <c r="E7" i="19"/>
  <c r="D7" i="19"/>
  <c r="AL6" i="19"/>
  <c r="AK6" i="19"/>
  <c r="AG6" i="19"/>
  <c r="AF6" i="19"/>
  <c r="AB6" i="19"/>
  <c r="AA6" i="19"/>
  <c r="T6" i="19"/>
  <c r="S6" i="19"/>
  <c r="R6" i="19"/>
  <c r="I6" i="19"/>
  <c r="F6" i="19"/>
  <c r="E6" i="19"/>
  <c r="D6" i="19"/>
  <c r="AM6" i="19" s="1"/>
  <c r="B6" i="19"/>
  <c r="B8" i="19" s="1"/>
  <c r="A6" i="19"/>
  <c r="AL5" i="19"/>
  <c r="AK5" i="19"/>
  <c r="AG5" i="19"/>
  <c r="AF5" i="19"/>
  <c r="AB5" i="19"/>
  <c r="AA5" i="19"/>
  <c r="T5" i="19"/>
  <c r="S5" i="19"/>
  <c r="R5" i="19"/>
  <c r="I5" i="19"/>
  <c r="F5" i="19"/>
  <c r="E5" i="19"/>
  <c r="D5" i="19"/>
  <c r="B5" i="19"/>
  <c r="B7" i="19" s="1"/>
  <c r="AR4" i="19"/>
  <c r="AL4" i="19"/>
  <c r="AK4" i="19"/>
  <c r="AG4" i="19"/>
  <c r="AF4" i="19"/>
  <c r="AB4" i="19"/>
  <c r="AA4" i="19"/>
  <c r="T4" i="19"/>
  <c r="S4" i="19"/>
  <c r="R4" i="19"/>
  <c r="AM4" i="19" s="1"/>
  <c r="I4" i="19"/>
  <c r="H4" i="19"/>
  <c r="G4" i="19"/>
  <c r="A4" i="19"/>
  <c r="AP1" i="19"/>
  <c r="L122" i="18"/>
  <c r="K122" i="18"/>
  <c r="L121" i="18"/>
  <c r="K121" i="18"/>
  <c r="L120" i="18"/>
  <c r="K120" i="18"/>
  <c r="L119" i="18"/>
  <c r="K119" i="18"/>
  <c r="L118" i="18"/>
  <c r="K118" i="18"/>
  <c r="L117" i="18"/>
  <c r="K117" i="18"/>
  <c r="L116" i="18"/>
  <c r="K116" i="18"/>
  <c r="AA115" i="18"/>
  <c r="Z115" i="18"/>
  <c r="AA114" i="18"/>
  <c r="Z114" i="18"/>
  <c r="AA112" i="18"/>
  <c r="Z112" i="18"/>
  <c r="AA111" i="18"/>
  <c r="Z111" i="18"/>
  <c r="AA109" i="18"/>
  <c r="Z109" i="18"/>
  <c r="AA108" i="18"/>
  <c r="Z108" i="18"/>
  <c r="AA106" i="18"/>
  <c r="Z106" i="18"/>
  <c r="L106" i="18"/>
  <c r="K106" i="18"/>
  <c r="AA105" i="18"/>
  <c r="Z105" i="18"/>
  <c r="L105" i="18"/>
  <c r="K105" i="18"/>
  <c r="AA103" i="18"/>
  <c r="Z103" i="18"/>
  <c r="L103" i="18"/>
  <c r="K103" i="18"/>
  <c r="AA102" i="18"/>
  <c r="Z102" i="18"/>
  <c r="L102" i="18"/>
  <c r="K102" i="18"/>
  <c r="AA100" i="18"/>
  <c r="Z100" i="18"/>
  <c r="AA99" i="18"/>
  <c r="Z99" i="18"/>
  <c r="AA97" i="18"/>
  <c r="U97" i="18" s="1"/>
  <c r="Z97" i="18"/>
  <c r="T97" i="18"/>
  <c r="Q97" i="18"/>
  <c r="AA96" i="18"/>
  <c r="U96" i="18" s="1"/>
  <c r="Z96" i="18"/>
  <c r="T96" i="18" s="1"/>
  <c r="Q96" i="18"/>
  <c r="P96" i="18"/>
  <c r="AA94" i="18"/>
  <c r="U94" i="18" s="1"/>
  <c r="Z94" i="18"/>
  <c r="T94" i="18" s="1"/>
  <c r="Q94" i="18"/>
  <c r="AA93" i="18"/>
  <c r="Z93" i="18"/>
  <c r="T93" i="18" s="1"/>
  <c r="U93" i="18"/>
  <c r="Q93" i="18"/>
  <c r="P93" i="18"/>
  <c r="AA91" i="18"/>
  <c r="Z91" i="18"/>
  <c r="T91" i="18" s="1"/>
  <c r="U91" i="18"/>
  <c r="Q91" i="18"/>
  <c r="AA90" i="18"/>
  <c r="Z90" i="18"/>
  <c r="U90" i="18"/>
  <c r="T90" i="18"/>
  <c r="Q90" i="18"/>
  <c r="P90" i="18"/>
  <c r="AA88" i="18"/>
  <c r="Z88" i="18"/>
  <c r="Q88" i="18"/>
  <c r="L88" i="18"/>
  <c r="U88" i="18" s="1"/>
  <c r="S88" i="18" s="1"/>
  <c r="K88" i="18"/>
  <c r="T88" i="18" s="1"/>
  <c r="R88" i="18" s="1"/>
  <c r="AA87" i="18"/>
  <c r="Z87" i="18"/>
  <c r="Q87" i="18"/>
  <c r="P87" i="18"/>
  <c r="L87" i="18"/>
  <c r="U87" i="18" s="1"/>
  <c r="S87" i="18" s="1"/>
  <c r="K87" i="18"/>
  <c r="AA85" i="18"/>
  <c r="U85" i="18" s="1"/>
  <c r="Z85" i="18"/>
  <c r="T85" i="18"/>
  <c r="Q85" i="18"/>
  <c r="AA84" i="18"/>
  <c r="U84" i="18" s="1"/>
  <c r="Z84" i="18"/>
  <c r="T84" i="18" s="1"/>
  <c r="Q84" i="18"/>
  <c r="P84" i="18"/>
  <c r="AA82" i="18"/>
  <c r="U82" i="18" s="1"/>
  <c r="Z82" i="18"/>
  <c r="T82" i="18" s="1"/>
  <c r="Q82" i="18"/>
  <c r="AA81" i="18"/>
  <c r="Z81" i="18"/>
  <c r="T81" i="18" s="1"/>
  <c r="U81" i="18"/>
  <c r="Q81" i="18"/>
  <c r="P81" i="18"/>
  <c r="AA79" i="18"/>
  <c r="Z79" i="18"/>
  <c r="T79" i="18" s="1"/>
  <c r="U79" i="18"/>
  <c r="Q79" i="18"/>
  <c r="AA78" i="18"/>
  <c r="Z78" i="18"/>
  <c r="U78" i="18"/>
  <c r="T78" i="18"/>
  <c r="Q78" i="18"/>
  <c r="P78" i="18"/>
  <c r="AA76" i="18"/>
  <c r="Z76" i="18"/>
  <c r="U76" i="18"/>
  <c r="T76" i="18"/>
  <c r="Q76" i="18"/>
  <c r="AA75" i="18"/>
  <c r="U75" i="18" s="1"/>
  <c r="Z75" i="18"/>
  <c r="T75" i="18"/>
  <c r="Q75" i="18"/>
  <c r="P75" i="18"/>
  <c r="AA73" i="18"/>
  <c r="U73" i="18" s="1"/>
  <c r="Z73" i="18"/>
  <c r="T73" i="18"/>
  <c r="Q73" i="18"/>
  <c r="AA72" i="18"/>
  <c r="U72" i="18" s="1"/>
  <c r="Z72" i="18"/>
  <c r="T72" i="18" s="1"/>
  <c r="Q72" i="18"/>
  <c r="P72" i="18"/>
  <c r="AA70" i="18"/>
  <c r="U70" i="18" s="1"/>
  <c r="Z70" i="18"/>
  <c r="T70" i="18" s="1"/>
  <c r="Q70" i="18"/>
  <c r="AA69" i="18"/>
  <c r="Z69" i="18"/>
  <c r="T69" i="18" s="1"/>
  <c r="U69" i="18"/>
  <c r="Q69" i="18"/>
  <c r="P69" i="18"/>
  <c r="AA67" i="18"/>
  <c r="Z67" i="18"/>
  <c r="T67" i="18" s="1"/>
  <c r="U67" i="18"/>
  <c r="Q67" i="18"/>
  <c r="AA66" i="18"/>
  <c r="Z66" i="18"/>
  <c r="U66" i="18"/>
  <c r="T66" i="18"/>
  <c r="Q66" i="18"/>
  <c r="P66" i="18"/>
  <c r="AA64" i="18"/>
  <c r="Z64" i="18"/>
  <c r="U64" i="18"/>
  <c r="T64" i="18"/>
  <c r="Q64" i="18"/>
  <c r="AA63" i="18"/>
  <c r="U63" i="18" s="1"/>
  <c r="Z63" i="18"/>
  <c r="T63" i="18"/>
  <c r="Q63" i="18"/>
  <c r="P63" i="18"/>
  <c r="AA61" i="18"/>
  <c r="U61" i="18" s="1"/>
  <c r="Z61" i="18"/>
  <c r="T61" i="18"/>
  <c r="Q61" i="18"/>
  <c r="AA60" i="18"/>
  <c r="U60" i="18" s="1"/>
  <c r="Z60" i="18"/>
  <c r="T60" i="18" s="1"/>
  <c r="Q60" i="18"/>
  <c r="P60" i="18"/>
  <c r="AA58" i="18"/>
  <c r="U58" i="18" s="1"/>
  <c r="Z58" i="18"/>
  <c r="T58" i="18" s="1"/>
  <c r="Q58" i="18"/>
  <c r="AA57" i="18"/>
  <c r="Z57" i="18"/>
  <c r="T57" i="18" s="1"/>
  <c r="U57" i="18"/>
  <c r="Q57" i="18"/>
  <c r="P57" i="18"/>
  <c r="AA55" i="18"/>
  <c r="Z55" i="18"/>
  <c r="T55" i="18" s="1"/>
  <c r="U55" i="18"/>
  <c r="Q55" i="18"/>
  <c r="AA54" i="18"/>
  <c r="Z54" i="18"/>
  <c r="U54" i="18"/>
  <c r="T54" i="18"/>
  <c r="Q54" i="18"/>
  <c r="P54" i="18"/>
  <c r="AA52" i="18"/>
  <c r="Z52" i="18"/>
  <c r="U52" i="18"/>
  <c r="T52" i="18"/>
  <c r="Q52" i="18"/>
  <c r="AA51" i="18"/>
  <c r="U51" i="18" s="1"/>
  <c r="Z51" i="18"/>
  <c r="T51" i="18"/>
  <c r="Q51" i="18"/>
  <c r="P51" i="18"/>
  <c r="AA49" i="18"/>
  <c r="U49" i="18" s="1"/>
  <c r="Z49" i="18"/>
  <c r="T49" i="18"/>
  <c r="Q49" i="18"/>
  <c r="AA48" i="18"/>
  <c r="U48" i="18" s="1"/>
  <c r="Z48" i="18"/>
  <c r="T48" i="18" s="1"/>
  <c r="Q48" i="18"/>
  <c r="P48" i="18"/>
  <c r="AA46" i="18"/>
  <c r="U46" i="18" s="1"/>
  <c r="Z46" i="18"/>
  <c r="T46" i="18" s="1"/>
  <c r="Q46" i="18"/>
  <c r="AA45" i="18"/>
  <c r="Z45" i="18"/>
  <c r="T45" i="18" s="1"/>
  <c r="U45" i="18"/>
  <c r="Q45" i="18"/>
  <c r="P45" i="18"/>
  <c r="AA43" i="18"/>
  <c r="Z43" i="18"/>
  <c r="T43" i="18" s="1"/>
  <c r="U43" i="18"/>
  <c r="Q43" i="18"/>
  <c r="P43" i="18"/>
  <c r="AA42" i="18"/>
  <c r="Z42" i="18"/>
  <c r="T42" i="18" s="1"/>
  <c r="U42" i="18"/>
  <c r="Q42" i="18"/>
  <c r="P42" i="18"/>
  <c r="AA40" i="18"/>
  <c r="Z40" i="18"/>
  <c r="T40" i="18" s="1"/>
  <c r="U40" i="18"/>
  <c r="Q40" i="18"/>
  <c r="AA39" i="18"/>
  <c r="Z39" i="18"/>
  <c r="U39" i="18"/>
  <c r="T39" i="18"/>
  <c r="Q39" i="18"/>
  <c r="P39" i="18"/>
  <c r="AA37" i="18"/>
  <c r="Z37" i="18"/>
  <c r="U37" i="18"/>
  <c r="T37" i="18"/>
  <c r="Q37" i="18"/>
  <c r="AA36" i="18"/>
  <c r="U36" i="18" s="1"/>
  <c r="Z36" i="18"/>
  <c r="T36" i="18"/>
  <c r="Q36" i="18"/>
  <c r="P36" i="18"/>
  <c r="AA34" i="18"/>
  <c r="U34" i="18" s="1"/>
  <c r="Z34" i="18"/>
  <c r="T34" i="18"/>
  <c r="Q34" i="18"/>
  <c r="P34" i="18"/>
  <c r="AA33" i="18"/>
  <c r="U33" i="18" s="1"/>
  <c r="Z33" i="18"/>
  <c r="T33" i="18"/>
  <c r="Q33" i="18"/>
  <c r="P33" i="18"/>
  <c r="AA31" i="18"/>
  <c r="U31" i="18" s="1"/>
  <c r="Z31" i="18"/>
  <c r="T31" i="18"/>
  <c r="Q31" i="18"/>
  <c r="P31" i="18"/>
  <c r="AA30" i="18"/>
  <c r="U30" i="18" s="1"/>
  <c r="Z30" i="18"/>
  <c r="T30" i="18"/>
  <c r="Q30" i="18"/>
  <c r="P30" i="18"/>
  <c r="AA28" i="18"/>
  <c r="U28" i="18" s="1"/>
  <c r="Z28" i="18"/>
  <c r="T28" i="18"/>
  <c r="Q28" i="18"/>
  <c r="P28" i="18"/>
  <c r="AA27" i="18"/>
  <c r="U27" i="18" s="1"/>
  <c r="Z27" i="18"/>
  <c r="T27" i="18"/>
  <c r="Q27" i="18"/>
  <c r="P27" i="18"/>
  <c r="AA25" i="18"/>
  <c r="U25" i="18" s="1"/>
  <c r="Z25" i="18"/>
  <c r="T25" i="18"/>
  <c r="Q25" i="18"/>
  <c r="P25" i="18"/>
  <c r="AA24" i="18"/>
  <c r="U24" i="18" s="1"/>
  <c r="Z24" i="18"/>
  <c r="T24" i="18"/>
  <c r="Q24" i="18"/>
  <c r="P24" i="18"/>
  <c r="AA22" i="18"/>
  <c r="U22" i="18" s="1"/>
  <c r="Z22" i="18"/>
  <c r="T22" i="18"/>
  <c r="Q22" i="18"/>
  <c r="P22" i="18"/>
  <c r="AA21" i="18"/>
  <c r="U21" i="18" s="1"/>
  <c r="Z21" i="18"/>
  <c r="T21" i="18"/>
  <c r="Q21" i="18"/>
  <c r="P21" i="18"/>
  <c r="AA19" i="18"/>
  <c r="U19" i="18" s="1"/>
  <c r="Z19" i="18"/>
  <c r="T19" i="18"/>
  <c r="Q19" i="18"/>
  <c r="P19" i="18"/>
  <c r="AA18" i="18"/>
  <c r="U18" i="18" s="1"/>
  <c r="Z18" i="18"/>
  <c r="T18" i="18"/>
  <c r="Q18" i="18"/>
  <c r="P18" i="18"/>
  <c r="AA16" i="18"/>
  <c r="U16" i="18" s="1"/>
  <c r="Z16" i="18"/>
  <c r="T16" i="18"/>
  <c r="Q16" i="18"/>
  <c r="P16" i="18"/>
  <c r="AA15" i="18"/>
  <c r="U15" i="18" s="1"/>
  <c r="Z15" i="18"/>
  <c r="T15" i="18"/>
  <c r="Q15" i="18"/>
  <c r="P15" i="18"/>
  <c r="AA13" i="18"/>
  <c r="U13" i="18" s="1"/>
  <c r="Z13" i="18"/>
  <c r="T13" i="18"/>
  <c r="Q13" i="18"/>
  <c r="P13" i="18"/>
  <c r="AA12" i="18"/>
  <c r="U12" i="18" s="1"/>
  <c r="Z12" i="18"/>
  <c r="T12" i="18"/>
  <c r="Q12" i="18"/>
  <c r="P12" i="18"/>
  <c r="AA10" i="18"/>
  <c r="U10" i="18" s="1"/>
  <c r="Z10" i="18"/>
  <c r="T10" i="18"/>
  <c r="Q10" i="18"/>
  <c r="P10" i="18"/>
  <c r="AA9" i="18"/>
  <c r="U9" i="18" s="1"/>
  <c r="Z9" i="18"/>
  <c r="T9" i="18"/>
  <c r="Q9" i="18"/>
  <c r="P9" i="18"/>
  <c r="AA7" i="18"/>
  <c r="U7" i="18" s="1"/>
  <c r="Z7" i="18"/>
  <c r="T7" i="18"/>
  <c r="Q7" i="18"/>
  <c r="P7" i="18"/>
  <c r="AA6" i="18"/>
  <c r="U6" i="18" s="1"/>
  <c r="Z6" i="18"/>
  <c r="T6" i="18"/>
  <c r="Q6" i="18"/>
  <c r="P6" i="18"/>
  <c r="AA4" i="18"/>
  <c r="U4" i="18" s="1"/>
  <c r="Z4" i="18"/>
  <c r="T4" i="18"/>
  <c r="Q4" i="18"/>
  <c r="P4" i="18"/>
  <c r="AA3" i="18"/>
  <c r="U3" i="18" s="1"/>
  <c r="Z3" i="18"/>
  <c r="T3" i="18"/>
  <c r="Q3" i="18"/>
  <c r="P3" i="18"/>
  <c r="AC66" i="8"/>
  <c r="X66" i="8"/>
  <c r="J66" i="8"/>
  <c r="AL65" i="8"/>
  <c r="AK65" i="8"/>
  <c r="AG65" i="8"/>
  <c r="AF65" i="8"/>
  <c r="AB65" i="8"/>
  <c r="AA65" i="8"/>
  <c r="T65" i="8"/>
  <c r="S65" i="8"/>
  <c r="R65" i="8"/>
  <c r="I65" i="8"/>
  <c r="AR65" i="8"/>
  <c r="AR64" i="8"/>
  <c r="AL64" i="8"/>
  <c r="AK64" i="8"/>
  <c r="AG64" i="8"/>
  <c r="AF64" i="8"/>
  <c r="AB64" i="8"/>
  <c r="AA64" i="8"/>
  <c r="T64" i="8"/>
  <c r="S64" i="8"/>
  <c r="R64" i="8"/>
  <c r="AM64" i="8" s="1"/>
  <c r="I64" i="8"/>
  <c r="H64" i="8"/>
  <c r="G64" i="8"/>
  <c r="AN64" i="8" s="1"/>
  <c r="AL63" i="8"/>
  <c r="AK63" i="8"/>
  <c r="AG63" i="8"/>
  <c r="AF63" i="8"/>
  <c r="AB63" i="8"/>
  <c r="AA63" i="8"/>
  <c r="T63" i="8"/>
  <c r="S63" i="8"/>
  <c r="R63" i="8"/>
  <c r="I63" i="8"/>
  <c r="AL62" i="8"/>
  <c r="AK62" i="8"/>
  <c r="AG62" i="8"/>
  <c r="AF62" i="8"/>
  <c r="AB62" i="8"/>
  <c r="AA62" i="8"/>
  <c r="T62" i="8"/>
  <c r="S62" i="8"/>
  <c r="R62" i="8"/>
  <c r="I62" i="8"/>
  <c r="AL61" i="8"/>
  <c r="AK61" i="8"/>
  <c r="AG61" i="8"/>
  <c r="AF61" i="8"/>
  <c r="AB61" i="8"/>
  <c r="AA61" i="8"/>
  <c r="T61" i="8"/>
  <c r="S61" i="8"/>
  <c r="R61" i="8"/>
  <c r="I61" i="8"/>
  <c r="AL60" i="8"/>
  <c r="AK60" i="8"/>
  <c r="AG60" i="8"/>
  <c r="AF60" i="8"/>
  <c r="AB60" i="8"/>
  <c r="AA60" i="8"/>
  <c r="T60" i="8"/>
  <c r="S60" i="8"/>
  <c r="R60" i="8"/>
  <c r="I60" i="8"/>
  <c r="AL59" i="8"/>
  <c r="AK59" i="8"/>
  <c r="AG59" i="8"/>
  <c r="AF59" i="8"/>
  <c r="AB59" i="8"/>
  <c r="AA59" i="8"/>
  <c r="T59" i="8"/>
  <c r="S59" i="8"/>
  <c r="R59" i="8"/>
  <c r="I59" i="8"/>
  <c r="F59" i="8"/>
  <c r="E59" i="8"/>
  <c r="D59" i="8"/>
  <c r="AL58" i="8"/>
  <c r="AK58" i="8"/>
  <c r="AG58" i="8"/>
  <c r="AF58" i="8"/>
  <c r="AB58" i="8"/>
  <c r="AA58" i="8"/>
  <c r="T58" i="8"/>
  <c r="S58" i="8"/>
  <c r="R58" i="8"/>
  <c r="I58" i="8"/>
  <c r="F58" i="8"/>
  <c r="E58" i="8"/>
  <c r="D58" i="8"/>
  <c r="AL57" i="8"/>
  <c r="AK57" i="8"/>
  <c r="AG57" i="8"/>
  <c r="AF57" i="8"/>
  <c r="AB57" i="8"/>
  <c r="AA57" i="8"/>
  <c r="T57" i="8"/>
  <c r="S57" i="8"/>
  <c r="R57" i="8"/>
  <c r="I57" i="8"/>
  <c r="F57" i="8"/>
  <c r="E57" i="8"/>
  <c r="D57" i="8"/>
  <c r="AL56" i="8"/>
  <c r="AK56" i="8"/>
  <c r="AG56" i="8"/>
  <c r="AF56" i="8"/>
  <c r="AB56" i="8"/>
  <c r="AA56" i="8"/>
  <c r="T56" i="8"/>
  <c r="S56" i="8"/>
  <c r="R56" i="8"/>
  <c r="I56" i="8"/>
  <c r="F56" i="8"/>
  <c r="E56" i="8"/>
  <c r="D56" i="8"/>
  <c r="H56" i="8" s="1"/>
  <c r="AS55" i="8"/>
  <c r="AL55" i="8"/>
  <c r="AG55" i="8"/>
  <c r="AF55" i="8"/>
  <c r="AB55" i="8"/>
  <c r="AA55" i="8"/>
  <c r="T55" i="8"/>
  <c r="S55" i="8"/>
  <c r="I55" i="8"/>
  <c r="F55" i="8"/>
  <c r="E55" i="8"/>
  <c r="D55" i="8"/>
  <c r="AL54" i="8"/>
  <c r="AK54" i="8"/>
  <c r="AG54" i="8"/>
  <c r="AF54" i="8"/>
  <c r="AB54" i="8"/>
  <c r="AA54" i="8"/>
  <c r="T54" i="8"/>
  <c r="S54" i="8"/>
  <c r="R54" i="8"/>
  <c r="I54" i="8"/>
  <c r="AL53" i="8"/>
  <c r="AK53" i="8"/>
  <c r="AG53" i="8"/>
  <c r="AF53" i="8"/>
  <c r="AB53" i="8"/>
  <c r="AA53" i="8"/>
  <c r="T53" i="8"/>
  <c r="S53" i="8"/>
  <c r="R53" i="8"/>
  <c r="I53" i="8"/>
  <c r="AL52" i="8"/>
  <c r="AK52" i="8"/>
  <c r="AG52" i="8"/>
  <c r="AF52" i="8"/>
  <c r="AB52" i="8"/>
  <c r="AA52" i="8"/>
  <c r="T52" i="8"/>
  <c r="S52" i="8"/>
  <c r="R52" i="8"/>
  <c r="I52" i="8"/>
  <c r="F52" i="8"/>
  <c r="E52" i="8"/>
  <c r="D52" i="8"/>
  <c r="AL51" i="8"/>
  <c r="AK51" i="8"/>
  <c r="AG51" i="8"/>
  <c r="AF51" i="8"/>
  <c r="AB51" i="8"/>
  <c r="AA51" i="8"/>
  <c r="T51" i="8"/>
  <c r="S51" i="8"/>
  <c r="R51" i="8"/>
  <c r="I51" i="8"/>
  <c r="F51" i="8"/>
  <c r="E51" i="8"/>
  <c r="D51" i="8"/>
  <c r="AL50" i="8"/>
  <c r="AK50" i="8"/>
  <c r="AG50" i="8"/>
  <c r="AF50" i="8"/>
  <c r="AB50" i="8"/>
  <c r="AA50" i="8"/>
  <c r="T50" i="8"/>
  <c r="S50" i="8"/>
  <c r="R50" i="8"/>
  <c r="I50" i="8"/>
  <c r="F50" i="8"/>
  <c r="E50" i="8"/>
  <c r="D50" i="8"/>
  <c r="AL49" i="8"/>
  <c r="AK49" i="8"/>
  <c r="AG49" i="8"/>
  <c r="AF49" i="8"/>
  <c r="AB49" i="8"/>
  <c r="AA49" i="8"/>
  <c r="T49" i="8"/>
  <c r="S49" i="8"/>
  <c r="R49" i="8"/>
  <c r="I49" i="8"/>
  <c r="F49" i="8"/>
  <c r="E49" i="8"/>
  <c r="D49" i="8"/>
  <c r="H49" i="8" s="1"/>
  <c r="AL48" i="8"/>
  <c r="AK48" i="8"/>
  <c r="AG48" i="8"/>
  <c r="AF48" i="8"/>
  <c r="AB48" i="8"/>
  <c r="AA48" i="8"/>
  <c r="T48" i="8"/>
  <c r="S48" i="8"/>
  <c r="R48" i="8"/>
  <c r="I48" i="8"/>
  <c r="F48" i="8"/>
  <c r="E48" i="8"/>
  <c r="D48" i="8"/>
  <c r="AL47" i="8"/>
  <c r="AK47" i="8"/>
  <c r="AG47" i="8"/>
  <c r="AF47" i="8"/>
  <c r="AB47" i="8"/>
  <c r="AA47" i="8"/>
  <c r="T47" i="8"/>
  <c r="S47" i="8"/>
  <c r="R47" i="8"/>
  <c r="I47" i="8"/>
  <c r="F47" i="8"/>
  <c r="E47" i="8"/>
  <c r="D47" i="8"/>
  <c r="AL46" i="8"/>
  <c r="AK46" i="8"/>
  <c r="AG46" i="8"/>
  <c r="AF46" i="8"/>
  <c r="AB46" i="8"/>
  <c r="AA46" i="8"/>
  <c r="T46" i="8"/>
  <c r="S46" i="8"/>
  <c r="R46" i="8"/>
  <c r="I46" i="8"/>
  <c r="H46" i="8"/>
  <c r="AL45" i="8"/>
  <c r="AK45" i="8"/>
  <c r="AG45" i="8"/>
  <c r="AF45" i="8"/>
  <c r="AB45" i="8"/>
  <c r="AA45" i="8"/>
  <c r="T45" i="8"/>
  <c r="S45" i="8"/>
  <c r="R45" i="8"/>
  <c r="I45" i="8"/>
  <c r="F45" i="8"/>
  <c r="E45" i="8"/>
  <c r="D45" i="8"/>
  <c r="AL44" i="8"/>
  <c r="AK44" i="8"/>
  <c r="AG44" i="8"/>
  <c r="AF44" i="8"/>
  <c r="AB44" i="8"/>
  <c r="AA44" i="8"/>
  <c r="T44" i="8"/>
  <c r="S44" i="8"/>
  <c r="R44" i="8"/>
  <c r="I44" i="8"/>
  <c r="F44" i="8"/>
  <c r="E44" i="8"/>
  <c r="D44" i="8"/>
  <c r="AL43" i="8"/>
  <c r="AK43" i="8"/>
  <c r="AG43" i="8"/>
  <c r="AF43" i="8"/>
  <c r="AB43" i="8"/>
  <c r="AA43" i="8"/>
  <c r="T43" i="8"/>
  <c r="S43" i="8"/>
  <c r="R43" i="8"/>
  <c r="I43" i="8"/>
  <c r="F43" i="8"/>
  <c r="E43" i="8"/>
  <c r="D43" i="8"/>
  <c r="AL42" i="8"/>
  <c r="AK42" i="8"/>
  <c r="AG42" i="8"/>
  <c r="AF42" i="8"/>
  <c r="AB42" i="8"/>
  <c r="AA42" i="8"/>
  <c r="T42" i="8"/>
  <c r="S42" i="8"/>
  <c r="R42" i="8"/>
  <c r="I42" i="8"/>
  <c r="F42" i="8"/>
  <c r="E42" i="8"/>
  <c r="D42" i="8"/>
  <c r="AS41" i="8"/>
  <c r="AL41" i="8"/>
  <c r="AK41" i="8"/>
  <c r="AG41" i="8"/>
  <c r="AF41" i="8"/>
  <c r="AB41" i="8"/>
  <c r="AA41" i="8"/>
  <c r="T41" i="8"/>
  <c r="S41" i="8"/>
  <c r="R41" i="8"/>
  <c r="I41" i="8"/>
  <c r="F41" i="8"/>
  <c r="E41" i="8"/>
  <c r="D41" i="8"/>
  <c r="AL40" i="8"/>
  <c r="AK40" i="8"/>
  <c r="AG40" i="8"/>
  <c r="AF40" i="8"/>
  <c r="AB40" i="8"/>
  <c r="AA40" i="8"/>
  <c r="T40" i="8"/>
  <c r="S40" i="8"/>
  <c r="R40" i="8"/>
  <c r="I40" i="8"/>
  <c r="AL39" i="8"/>
  <c r="AK39" i="8"/>
  <c r="AG39" i="8"/>
  <c r="AF39" i="8"/>
  <c r="AB39" i="8"/>
  <c r="AA39" i="8"/>
  <c r="T39" i="8"/>
  <c r="S39" i="8"/>
  <c r="R39" i="8"/>
  <c r="I39" i="8"/>
  <c r="AL38" i="8"/>
  <c r="AK38" i="8"/>
  <c r="AG38" i="8"/>
  <c r="AF38" i="8"/>
  <c r="AB38" i="8"/>
  <c r="AA38" i="8"/>
  <c r="T38" i="8"/>
  <c r="S38" i="8"/>
  <c r="R38" i="8"/>
  <c r="I38" i="8"/>
  <c r="F38" i="8"/>
  <c r="E38" i="8"/>
  <c r="D38" i="8"/>
  <c r="AL37" i="8"/>
  <c r="AK37" i="8"/>
  <c r="AG37" i="8"/>
  <c r="AF37" i="8"/>
  <c r="AB37" i="8"/>
  <c r="AA37" i="8"/>
  <c r="T37" i="8"/>
  <c r="S37" i="8"/>
  <c r="R37" i="8"/>
  <c r="I37" i="8"/>
  <c r="AL36" i="8"/>
  <c r="AK36" i="8"/>
  <c r="AG36" i="8"/>
  <c r="AF36" i="8"/>
  <c r="AB36" i="8"/>
  <c r="AA36" i="8"/>
  <c r="T36" i="8"/>
  <c r="S36" i="8"/>
  <c r="R36" i="8"/>
  <c r="I36" i="8"/>
  <c r="F36" i="8"/>
  <c r="E36" i="8"/>
  <c r="D36" i="8"/>
  <c r="AL35" i="8"/>
  <c r="AK35" i="8"/>
  <c r="AG35" i="8"/>
  <c r="AF35" i="8"/>
  <c r="AB35" i="8"/>
  <c r="AA35" i="8"/>
  <c r="T35" i="8"/>
  <c r="S35" i="8"/>
  <c r="R35" i="8"/>
  <c r="I35" i="8"/>
  <c r="F35" i="8"/>
  <c r="E35" i="8"/>
  <c r="D35" i="8"/>
  <c r="AL34" i="8"/>
  <c r="AK34" i="8"/>
  <c r="AG34" i="8"/>
  <c r="AF34" i="8"/>
  <c r="AB34" i="8"/>
  <c r="AA34" i="8"/>
  <c r="T34" i="8"/>
  <c r="S34" i="8"/>
  <c r="R34" i="8"/>
  <c r="I34" i="8"/>
  <c r="F34" i="8"/>
  <c r="E34" i="8"/>
  <c r="D34" i="8"/>
  <c r="H34" i="8" s="1"/>
  <c r="AO34" i="8" s="1"/>
  <c r="AL33" i="8"/>
  <c r="AK33" i="8"/>
  <c r="AG33" i="8"/>
  <c r="AF33" i="8"/>
  <c r="AB33" i="8"/>
  <c r="AA33" i="8"/>
  <c r="T33" i="8"/>
  <c r="S33" i="8"/>
  <c r="R33" i="8"/>
  <c r="I33" i="8"/>
  <c r="F33" i="8"/>
  <c r="E33" i="8"/>
  <c r="D33" i="8"/>
  <c r="AL32" i="8"/>
  <c r="AK32" i="8"/>
  <c r="AG32" i="8"/>
  <c r="AF32" i="8"/>
  <c r="AB32" i="8"/>
  <c r="AA32" i="8"/>
  <c r="T32" i="8"/>
  <c r="S32" i="8"/>
  <c r="R32" i="8"/>
  <c r="AM32" i="8" s="1"/>
  <c r="I32" i="8"/>
  <c r="H32" i="8"/>
  <c r="AR32" i="8"/>
  <c r="AL31" i="8"/>
  <c r="AK31" i="8"/>
  <c r="AG31" i="8"/>
  <c r="AF31" i="8"/>
  <c r="AB31" i="8"/>
  <c r="AA31" i="8"/>
  <c r="T31" i="8"/>
  <c r="S31" i="8"/>
  <c r="R31" i="8"/>
  <c r="I31" i="8"/>
  <c r="F31" i="8"/>
  <c r="E31" i="8"/>
  <c r="D31" i="8"/>
  <c r="AR31" i="8" s="1"/>
  <c r="AL30" i="8"/>
  <c r="AK30" i="8"/>
  <c r="AG30" i="8"/>
  <c r="AF30" i="8"/>
  <c r="AB30" i="8"/>
  <c r="AA30" i="8"/>
  <c r="T30" i="8"/>
  <c r="S30" i="8"/>
  <c r="R30" i="8"/>
  <c r="I30" i="8"/>
  <c r="F30" i="8"/>
  <c r="E30" i="8"/>
  <c r="D30" i="8"/>
  <c r="AR30" i="8" s="1"/>
  <c r="AL29" i="8"/>
  <c r="AK29" i="8"/>
  <c r="AG29" i="8"/>
  <c r="AF29" i="8"/>
  <c r="AB29" i="8"/>
  <c r="AA29" i="8"/>
  <c r="T29" i="8"/>
  <c r="S29" i="8"/>
  <c r="R29" i="8"/>
  <c r="I29" i="8"/>
  <c r="AL28" i="8"/>
  <c r="AK28" i="8"/>
  <c r="AG28" i="8"/>
  <c r="AF28" i="8"/>
  <c r="AB28" i="8"/>
  <c r="AA28" i="8"/>
  <c r="T28" i="8"/>
  <c r="S28" i="8"/>
  <c r="R28" i="8"/>
  <c r="I28" i="8"/>
  <c r="AR28" i="8"/>
  <c r="AS27" i="8"/>
  <c r="AL27" i="8"/>
  <c r="AK27" i="8"/>
  <c r="AG27" i="8"/>
  <c r="AF27" i="8"/>
  <c r="AB27" i="8"/>
  <c r="AA27" i="8"/>
  <c r="T27" i="8"/>
  <c r="S27" i="8"/>
  <c r="R27" i="8"/>
  <c r="I27" i="8"/>
  <c r="F27" i="8"/>
  <c r="E27" i="8"/>
  <c r="D27" i="8"/>
  <c r="AL26" i="8"/>
  <c r="AK26" i="8"/>
  <c r="AG26" i="8"/>
  <c r="AF26" i="8"/>
  <c r="AB26" i="8"/>
  <c r="AA26" i="8"/>
  <c r="T26" i="8"/>
  <c r="S26" i="8"/>
  <c r="R26" i="8"/>
  <c r="I26" i="8"/>
  <c r="AL25" i="8"/>
  <c r="AK25" i="8"/>
  <c r="AG25" i="8"/>
  <c r="AF25" i="8"/>
  <c r="AB25" i="8"/>
  <c r="AA25" i="8"/>
  <c r="T25" i="8"/>
  <c r="S25" i="8"/>
  <c r="R25" i="8"/>
  <c r="I25" i="8"/>
  <c r="F25" i="8"/>
  <c r="E25" i="8"/>
  <c r="D25" i="8"/>
  <c r="AR25" i="8" s="1"/>
  <c r="AR24" i="8"/>
  <c r="AL24" i="8"/>
  <c r="AK24" i="8"/>
  <c r="AG24" i="8"/>
  <c r="AF24" i="8"/>
  <c r="AB24" i="8"/>
  <c r="AA24" i="8"/>
  <c r="T24" i="8"/>
  <c r="S24" i="8"/>
  <c r="R24" i="8"/>
  <c r="AM24" i="8" s="1"/>
  <c r="I24" i="8"/>
  <c r="H24" i="8"/>
  <c r="G24" i="8"/>
  <c r="AR23" i="8"/>
  <c r="AL23" i="8"/>
  <c r="AK23" i="8"/>
  <c r="AG23" i="8"/>
  <c r="AF23" i="8"/>
  <c r="AB23" i="8"/>
  <c r="AA23" i="8"/>
  <c r="T23" i="8"/>
  <c r="S23" i="8"/>
  <c r="R23" i="8"/>
  <c r="AM23" i="8" s="1"/>
  <c r="I23" i="8"/>
  <c r="H23" i="8"/>
  <c r="G23" i="8"/>
  <c r="AR22" i="8"/>
  <c r="AL22" i="8"/>
  <c r="AK22" i="8"/>
  <c r="AG22" i="8"/>
  <c r="AF22" i="8"/>
  <c r="AB22" i="8"/>
  <c r="AA22" i="8"/>
  <c r="T22" i="8"/>
  <c r="S22" i="8"/>
  <c r="R22" i="8"/>
  <c r="AM22" i="8" s="1"/>
  <c r="I22" i="8"/>
  <c r="H22" i="8"/>
  <c r="G22" i="8"/>
  <c r="AL21" i="8"/>
  <c r="AK21" i="8"/>
  <c r="AG21" i="8"/>
  <c r="AF21" i="8"/>
  <c r="AB21" i="8"/>
  <c r="AA21" i="8"/>
  <c r="T21" i="8"/>
  <c r="S21" i="8"/>
  <c r="R21" i="8"/>
  <c r="I21" i="8"/>
  <c r="AR21" i="8"/>
  <c r="AL20" i="8"/>
  <c r="AK20" i="8"/>
  <c r="AG20" i="8"/>
  <c r="AF20" i="8"/>
  <c r="AB20" i="8"/>
  <c r="AA20" i="8"/>
  <c r="T20" i="8"/>
  <c r="S20" i="8"/>
  <c r="R20" i="8"/>
  <c r="I20" i="8"/>
  <c r="F20" i="8"/>
  <c r="E20" i="8"/>
  <c r="D20" i="8"/>
  <c r="H20" i="8" s="1"/>
  <c r="AL19" i="8"/>
  <c r="AK19" i="8"/>
  <c r="AG19" i="8"/>
  <c r="AF19" i="8"/>
  <c r="AB19" i="8"/>
  <c r="AA19" i="8"/>
  <c r="T19" i="8"/>
  <c r="S19" i="8"/>
  <c r="R19" i="8"/>
  <c r="I19" i="8"/>
  <c r="F19" i="8"/>
  <c r="E19" i="8"/>
  <c r="D19" i="8"/>
  <c r="AL18" i="8"/>
  <c r="AK18" i="8"/>
  <c r="AG18" i="8"/>
  <c r="AF18" i="8"/>
  <c r="AB18" i="8"/>
  <c r="AA18" i="8"/>
  <c r="T18" i="8"/>
  <c r="S18" i="8"/>
  <c r="R18" i="8"/>
  <c r="I18" i="8"/>
  <c r="F18" i="8"/>
  <c r="E18" i="8"/>
  <c r="D18" i="8"/>
  <c r="AL17" i="8"/>
  <c r="AK17" i="8"/>
  <c r="AG17" i="8"/>
  <c r="AF17" i="8"/>
  <c r="AB17" i="8"/>
  <c r="AA17" i="8"/>
  <c r="T17" i="8"/>
  <c r="S17" i="8"/>
  <c r="R17" i="8"/>
  <c r="I17" i="8"/>
  <c r="F17" i="8"/>
  <c r="E17" i="8"/>
  <c r="D17" i="8"/>
  <c r="AL16" i="8"/>
  <c r="AK16" i="8"/>
  <c r="AG16" i="8"/>
  <c r="AF16" i="8"/>
  <c r="AB16" i="8"/>
  <c r="AA16" i="8"/>
  <c r="T16" i="8"/>
  <c r="S16" i="8"/>
  <c r="R16" i="8"/>
  <c r="I16" i="8"/>
  <c r="F16" i="8"/>
  <c r="E16" i="8"/>
  <c r="D16" i="8"/>
  <c r="AL15" i="8"/>
  <c r="AK15" i="8"/>
  <c r="AG15" i="8"/>
  <c r="AF15" i="8"/>
  <c r="AB15" i="8"/>
  <c r="AA15" i="8"/>
  <c r="T15" i="8"/>
  <c r="S15" i="8"/>
  <c r="R15" i="8"/>
  <c r="I15" i="8"/>
  <c r="F15" i="8"/>
  <c r="E15" i="8"/>
  <c r="D15" i="8"/>
  <c r="AM15" i="8" s="1"/>
  <c r="AL14" i="8"/>
  <c r="AK14" i="8"/>
  <c r="AG14" i="8"/>
  <c r="AF14" i="8"/>
  <c r="AB14" i="8"/>
  <c r="AA14" i="8"/>
  <c r="T14" i="8"/>
  <c r="S14" i="8"/>
  <c r="R14" i="8"/>
  <c r="I14" i="8"/>
  <c r="F14" i="8"/>
  <c r="E14" i="8"/>
  <c r="D14" i="8"/>
  <c r="AS13" i="8"/>
  <c r="AL13" i="8"/>
  <c r="AK13" i="8"/>
  <c r="AG13" i="8"/>
  <c r="AF13" i="8"/>
  <c r="AB13" i="8"/>
  <c r="AA13" i="8"/>
  <c r="T13" i="8"/>
  <c r="S13" i="8"/>
  <c r="R13" i="8"/>
  <c r="I13" i="8"/>
  <c r="F13" i="8"/>
  <c r="E13" i="8"/>
  <c r="D13" i="8"/>
  <c r="AR13" i="8" s="1"/>
  <c r="AL12" i="8"/>
  <c r="AK12" i="8"/>
  <c r="AG12" i="8"/>
  <c r="AF12" i="8"/>
  <c r="AB12" i="8"/>
  <c r="AA12" i="8"/>
  <c r="T12" i="8"/>
  <c r="S12" i="8"/>
  <c r="R12" i="8"/>
  <c r="I12" i="8"/>
  <c r="AL11" i="8"/>
  <c r="AK11" i="8"/>
  <c r="AG11" i="8"/>
  <c r="AF11" i="8"/>
  <c r="AB11" i="8"/>
  <c r="AA11" i="8"/>
  <c r="T11" i="8"/>
  <c r="S11" i="8"/>
  <c r="R11" i="8"/>
  <c r="I11" i="8"/>
  <c r="F11" i="8"/>
  <c r="E11" i="8"/>
  <c r="D11" i="8"/>
  <c r="AR11" i="8" s="1"/>
  <c r="AL10" i="8"/>
  <c r="AK10" i="8"/>
  <c r="AG10" i="8"/>
  <c r="AF10" i="8"/>
  <c r="AB10" i="8"/>
  <c r="AA10" i="8"/>
  <c r="T10" i="8"/>
  <c r="S10" i="8"/>
  <c r="R10" i="8"/>
  <c r="I10" i="8"/>
  <c r="AL9" i="8"/>
  <c r="AK9" i="8"/>
  <c r="AG9" i="8"/>
  <c r="AF9" i="8"/>
  <c r="AB9" i="8"/>
  <c r="AA9" i="8"/>
  <c r="T9" i="8"/>
  <c r="S9" i="8"/>
  <c r="R9" i="8"/>
  <c r="I9" i="8"/>
  <c r="F9" i="8"/>
  <c r="E9" i="8"/>
  <c r="D9" i="8"/>
  <c r="AL8" i="8"/>
  <c r="AK8" i="8"/>
  <c r="AG8" i="8"/>
  <c r="AF8" i="8"/>
  <c r="AB8" i="8"/>
  <c r="AA8" i="8"/>
  <c r="T8" i="8"/>
  <c r="S8" i="8"/>
  <c r="R8" i="8"/>
  <c r="I8" i="8"/>
  <c r="AL7" i="8"/>
  <c r="AK7" i="8"/>
  <c r="AG7" i="8"/>
  <c r="AF7" i="8"/>
  <c r="AB7" i="8"/>
  <c r="AA7" i="8"/>
  <c r="T7" i="8"/>
  <c r="S7" i="8"/>
  <c r="R7" i="8"/>
  <c r="I7" i="8"/>
  <c r="F7" i="8"/>
  <c r="E7" i="8"/>
  <c r="D7" i="8"/>
  <c r="AL6" i="8"/>
  <c r="AK6" i="8"/>
  <c r="AG6" i="8"/>
  <c r="AF6" i="8"/>
  <c r="AB6" i="8"/>
  <c r="AA6" i="8"/>
  <c r="T6" i="8"/>
  <c r="S6" i="8"/>
  <c r="R6" i="8"/>
  <c r="I6" i="8"/>
  <c r="F6" i="8"/>
  <c r="E6" i="8"/>
  <c r="D6" i="8"/>
  <c r="B6" i="8"/>
  <c r="AL5" i="8"/>
  <c r="AK5" i="8"/>
  <c r="AG5" i="8"/>
  <c r="AF5" i="8"/>
  <c r="AB5" i="8"/>
  <c r="AA5" i="8"/>
  <c r="T5" i="8"/>
  <c r="S5" i="8"/>
  <c r="R5" i="8"/>
  <c r="I5" i="8"/>
  <c r="F5" i="8"/>
  <c r="E5" i="8"/>
  <c r="D5" i="8"/>
  <c r="B5" i="8"/>
  <c r="B7" i="8" s="1"/>
  <c r="A5" i="8"/>
  <c r="AR4" i="8"/>
  <c r="AL4" i="8"/>
  <c r="AK4" i="8"/>
  <c r="AG4" i="8"/>
  <c r="AF4" i="8"/>
  <c r="AB4" i="8"/>
  <c r="AA4" i="8"/>
  <c r="T4" i="8"/>
  <c r="S4" i="8"/>
  <c r="R4" i="8"/>
  <c r="AM4" i="8" s="1"/>
  <c r="I4" i="8"/>
  <c r="H4" i="8"/>
  <c r="AO4" i="8" s="1"/>
  <c r="G4" i="8"/>
  <c r="A4" i="8"/>
  <c r="AP1" i="8"/>
  <c r="AA196" i="17"/>
  <c r="Z196" i="17"/>
  <c r="AA195" i="17"/>
  <c r="Z195" i="17"/>
  <c r="AA193" i="17"/>
  <c r="Z193" i="17"/>
  <c r="T193" i="17" s="1"/>
  <c r="U193" i="17"/>
  <c r="Q193" i="17"/>
  <c r="AA192" i="17"/>
  <c r="Z192" i="17"/>
  <c r="U192" i="17"/>
  <c r="T192" i="17"/>
  <c r="Q192" i="17"/>
  <c r="P192" i="17"/>
  <c r="AA190" i="17"/>
  <c r="Z190" i="17"/>
  <c r="U190" i="17"/>
  <c r="T190" i="17"/>
  <c r="Q190" i="17"/>
  <c r="AA189" i="17"/>
  <c r="Z189" i="17"/>
  <c r="U189" i="17"/>
  <c r="T189" i="17"/>
  <c r="Q189" i="17"/>
  <c r="S189" i="17" s="1"/>
  <c r="P189" i="17"/>
  <c r="AA187" i="17"/>
  <c r="Z187" i="17"/>
  <c r="U187" i="17"/>
  <c r="T187" i="17"/>
  <c r="Q187" i="17"/>
  <c r="S187" i="17" s="1"/>
  <c r="AA186" i="17"/>
  <c r="U186" i="17" s="1"/>
  <c r="Z186" i="17"/>
  <c r="T186" i="17"/>
  <c r="Q186" i="17"/>
  <c r="P186" i="17"/>
  <c r="AA184" i="17"/>
  <c r="U184" i="17" s="1"/>
  <c r="Z184" i="17"/>
  <c r="T184" i="17"/>
  <c r="Q184" i="17"/>
  <c r="R184" i="17" s="1"/>
  <c r="AA183" i="17"/>
  <c r="Z183" i="17"/>
  <c r="T183" i="17" s="1"/>
  <c r="U183" i="17"/>
  <c r="Q183" i="17"/>
  <c r="S183" i="17" s="1"/>
  <c r="P183" i="17"/>
  <c r="AA181" i="17"/>
  <c r="Z181" i="17"/>
  <c r="T181" i="17" s="1"/>
  <c r="U181" i="17"/>
  <c r="Q181" i="17"/>
  <c r="S181" i="17" s="1"/>
  <c r="AA180" i="17"/>
  <c r="U180" i="17" s="1"/>
  <c r="Z180" i="17"/>
  <c r="T180" i="17"/>
  <c r="Q180" i="17"/>
  <c r="R180" i="17" s="1"/>
  <c r="P180" i="17"/>
  <c r="AA178" i="17"/>
  <c r="U178" i="17" s="1"/>
  <c r="Z178" i="17"/>
  <c r="T178" i="17"/>
  <c r="Q178" i="17"/>
  <c r="AA177" i="17"/>
  <c r="U177" i="17" s="1"/>
  <c r="Z177" i="17"/>
  <c r="T177" i="17" s="1"/>
  <c r="Q177" i="17"/>
  <c r="P177" i="17"/>
  <c r="AA175" i="17"/>
  <c r="U175" i="17" s="1"/>
  <c r="Z175" i="17"/>
  <c r="T175" i="17" s="1"/>
  <c r="Q175" i="17"/>
  <c r="AA174" i="17"/>
  <c r="U174" i="17" s="1"/>
  <c r="Z174" i="17"/>
  <c r="T174" i="17" s="1"/>
  <c r="Q174" i="17"/>
  <c r="P174" i="17"/>
  <c r="AA172" i="17"/>
  <c r="U172" i="17" s="1"/>
  <c r="Z172" i="17"/>
  <c r="T172" i="17" s="1"/>
  <c r="Q172" i="17"/>
  <c r="AA171" i="17"/>
  <c r="Z171" i="17"/>
  <c r="T171" i="17" s="1"/>
  <c r="U171" i="17"/>
  <c r="Q171" i="17"/>
  <c r="P171" i="17"/>
  <c r="AA169" i="17"/>
  <c r="Z169" i="17"/>
  <c r="T169" i="17" s="1"/>
  <c r="U169" i="17"/>
  <c r="Q169" i="17"/>
  <c r="AA168" i="17"/>
  <c r="Z168" i="17"/>
  <c r="U168" i="17"/>
  <c r="T168" i="17"/>
  <c r="Q168" i="17"/>
  <c r="P168" i="17"/>
  <c r="AA166" i="17"/>
  <c r="Z166" i="17"/>
  <c r="U166" i="17"/>
  <c r="T166" i="17"/>
  <c r="Q166" i="17"/>
  <c r="AA165" i="17"/>
  <c r="Z165" i="17"/>
  <c r="U165" i="17"/>
  <c r="T165" i="17"/>
  <c r="Q165" i="17"/>
  <c r="S165" i="17" s="1"/>
  <c r="P165" i="17"/>
  <c r="AA163" i="17"/>
  <c r="Z163" i="17"/>
  <c r="U163" i="17"/>
  <c r="T163" i="17"/>
  <c r="Q163" i="17"/>
  <c r="S163" i="17" s="1"/>
  <c r="AA162" i="17"/>
  <c r="Z162" i="17"/>
  <c r="U162" i="17"/>
  <c r="T162" i="17"/>
  <c r="Q162" i="17"/>
  <c r="P162" i="17"/>
  <c r="AA160" i="17"/>
  <c r="Z160" i="17"/>
  <c r="U160" i="17"/>
  <c r="T160" i="17"/>
  <c r="Q160" i="17"/>
  <c r="AA159" i="17"/>
  <c r="Z159" i="17"/>
  <c r="U159" i="17"/>
  <c r="T159" i="17"/>
  <c r="Q159" i="17"/>
  <c r="P159" i="17"/>
  <c r="AA157" i="17"/>
  <c r="Z157" i="17"/>
  <c r="U157" i="17"/>
  <c r="T157" i="17"/>
  <c r="Q157" i="17"/>
  <c r="AA156" i="17"/>
  <c r="U156" i="17" s="1"/>
  <c r="Z156" i="17"/>
  <c r="T156" i="17"/>
  <c r="Q156" i="17"/>
  <c r="R156" i="17" s="1"/>
  <c r="P156" i="17"/>
  <c r="AA154" i="17"/>
  <c r="U154" i="17" s="1"/>
  <c r="Z154" i="17"/>
  <c r="T154" i="17"/>
  <c r="Q154" i="17"/>
  <c r="R154" i="17" s="1"/>
  <c r="AA153" i="17"/>
  <c r="U153" i="17" s="1"/>
  <c r="Z153" i="17"/>
  <c r="T153" i="17" s="1"/>
  <c r="Q153" i="17"/>
  <c r="P153" i="17"/>
  <c r="AA151" i="17"/>
  <c r="U151" i="17" s="1"/>
  <c r="Z151" i="17"/>
  <c r="T151" i="17" s="1"/>
  <c r="Q151" i="17"/>
  <c r="AA150" i="17"/>
  <c r="U150" i="17" s="1"/>
  <c r="Z150" i="17"/>
  <c r="T150" i="17" s="1"/>
  <c r="Q150" i="17"/>
  <c r="P150" i="17"/>
  <c r="AA148" i="17"/>
  <c r="U148" i="17" s="1"/>
  <c r="Z148" i="17"/>
  <c r="T148" i="17" s="1"/>
  <c r="Q148" i="17"/>
  <c r="AA147" i="17"/>
  <c r="Z147" i="17"/>
  <c r="T147" i="17" s="1"/>
  <c r="U147" i="17"/>
  <c r="Q147" i="17"/>
  <c r="P147" i="17"/>
  <c r="AA145" i="17"/>
  <c r="Z145" i="17"/>
  <c r="T145" i="17" s="1"/>
  <c r="U145" i="17"/>
  <c r="Q145" i="17"/>
  <c r="P145" i="17"/>
  <c r="AA144" i="17"/>
  <c r="Z144" i="17"/>
  <c r="T144" i="17" s="1"/>
  <c r="U144" i="17"/>
  <c r="Q144" i="17"/>
  <c r="P144" i="17"/>
  <c r="AA142" i="17"/>
  <c r="Z142" i="17"/>
  <c r="T142" i="17" s="1"/>
  <c r="U142" i="17"/>
  <c r="Q142" i="17"/>
  <c r="AA141" i="17"/>
  <c r="Z141" i="17"/>
  <c r="U141" i="17"/>
  <c r="T141" i="17"/>
  <c r="Q141" i="17"/>
  <c r="P141" i="17"/>
  <c r="AA139" i="17"/>
  <c r="Z139" i="17"/>
  <c r="U139" i="17"/>
  <c r="T139" i="17"/>
  <c r="Q139" i="17"/>
  <c r="AA138" i="17"/>
  <c r="Z138" i="17"/>
  <c r="U138" i="17"/>
  <c r="T138" i="17"/>
  <c r="Q138" i="17"/>
  <c r="S138" i="17" s="1"/>
  <c r="P138" i="17"/>
  <c r="AA136" i="17"/>
  <c r="Z136" i="17"/>
  <c r="U136" i="17"/>
  <c r="T136" i="17"/>
  <c r="Q136" i="17"/>
  <c r="S136" i="17" s="1"/>
  <c r="P136" i="17"/>
  <c r="AA135" i="17"/>
  <c r="Z135" i="17"/>
  <c r="U135" i="17"/>
  <c r="T135" i="17"/>
  <c r="Q135" i="17"/>
  <c r="S135" i="17" s="1"/>
  <c r="P135" i="17"/>
  <c r="AA133" i="17"/>
  <c r="Z133" i="17"/>
  <c r="U133" i="17"/>
  <c r="T133" i="17"/>
  <c r="Q133" i="17"/>
  <c r="S133" i="17" s="1"/>
  <c r="P133" i="17"/>
  <c r="AA132" i="17"/>
  <c r="Z132" i="17"/>
  <c r="U132" i="17"/>
  <c r="T132" i="17"/>
  <c r="Q132" i="17"/>
  <c r="S132" i="17" s="1"/>
  <c r="P132" i="17"/>
  <c r="AA130" i="17"/>
  <c r="Z130" i="17"/>
  <c r="U130" i="17"/>
  <c r="T130" i="17"/>
  <c r="Q130" i="17"/>
  <c r="S130" i="17" s="1"/>
  <c r="P130" i="17"/>
  <c r="AA129" i="17"/>
  <c r="Z129" i="17"/>
  <c r="U129" i="17"/>
  <c r="T129" i="17"/>
  <c r="Q129" i="17"/>
  <c r="S129" i="17" s="1"/>
  <c r="P129" i="17"/>
  <c r="AA127" i="17"/>
  <c r="Z127" i="17"/>
  <c r="U127" i="17"/>
  <c r="T127" i="17"/>
  <c r="Q127" i="17"/>
  <c r="S127" i="17" s="1"/>
  <c r="AA126" i="17"/>
  <c r="Z126" i="17"/>
  <c r="U126" i="17"/>
  <c r="T126" i="17"/>
  <c r="Q126" i="17"/>
  <c r="P126" i="17"/>
  <c r="AA124" i="17"/>
  <c r="Z124" i="17"/>
  <c r="U124" i="17"/>
  <c r="T124" i="17"/>
  <c r="Q124" i="17"/>
  <c r="P124" i="17"/>
  <c r="AA123" i="17"/>
  <c r="Z123" i="17"/>
  <c r="U123" i="17"/>
  <c r="T123" i="17"/>
  <c r="Q123" i="17"/>
  <c r="P123" i="17"/>
  <c r="AA121" i="17"/>
  <c r="Z121" i="17"/>
  <c r="U121" i="17"/>
  <c r="T121" i="17"/>
  <c r="Q121" i="17"/>
  <c r="P121" i="17"/>
  <c r="AA120" i="17"/>
  <c r="Z120" i="17"/>
  <c r="U120" i="17"/>
  <c r="T120" i="17"/>
  <c r="Q120" i="17"/>
  <c r="P120" i="17"/>
  <c r="AA118" i="17"/>
  <c r="Z118" i="17"/>
  <c r="U118" i="17"/>
  <c r="T118" i="17"/>
  <c r="Q118" i="17"/>
  <c r="P118" i="17"/>
  <c r="AA117" i="17"/>
  <c r="Z117" i="17"/>
  <c r="U117" i="17"/>
  <c r="T117" i="17"/>
  <c r="Q117" i="17"/>
  <c r="P117" i="17"/>
  <c r="AA115" i="17"/>
  <c r="Z115" i="17"/>
  <c r="U115" i="17"/>
  <c r="T115" i="17"/>
  <c r="Q115" i="17"/>
  <c r="P115" i="17"/>
  <c r="AA114" i="17"/>
  <c r="Z114" i="17"/>
  <c r="U114" i="17"/>
  <c r="T114" i="17"/>
  <c r="Q114" i="17"/>
  <c r="P114" i="17"/>
  <c r="AA112" i="17"/>
  <c r="Z112" i="17"/>
  <c r="U112" i="17"/>
  <c r="T112" i="17"/>
  <c r="Q112" i="17"/>
  <c r="P112" i="17"/>
  <c r="AA111" i="17"/>
  <c r="Z111" i="17"/>
  <c r="U111" i="17"/>
  <c r="T111" i="17"/>
  <c r="Q111" i="17"/>
  <c r="P111" i="17"/>
  <c r="AA109" i="17"/>
  <c r="Z109" i="17"/>
  <c r="U109" i="17"/>
  <c r="T109" i="17"/>
  <c r="Q109" i="17"/>
  <c r="AA108" i="17"/>
  <c r="Z108" i="17"/>
  <c r="U108" i="17"/>
  <c r="T108" i="17"/>
  <c r="Q108" i="17"/>
  <c r="P108" i="17"/>
  <c r="AA106" i="17"/>
  <c r="Z106" i="17"/>
  <c r="U106" i="17"/>
  <c r="T106" i="17"/>
  <c r="Q106" i="17"/>
  <c r="P106" i="17"/>
  <c r="AA105" i="17"/>
  <c r="Z105" i="17"/>
  <c r="U105" i="17"/>
  <c r="T105" i="17"/>
  <c r="Q105" i="17"/>
  <c r="P105" i="17"/>
  <c r="AA103" i="17"/>
  <c r="Z103" i="17"/>
  <c r="U103" i="17"/>
  <c r="T103" i="17"/>
  <c r="Q103" i="17"/>
  <c r="P103" i="17"/>
  <c r="AA102" i="17"/>
  <c r="Z102" i="17"/>
  <c r="U102" i="17"/>
  <c r="T102" i="17"/>
  <c r="Q102" i="17"/>
  <c r="P102" i="17"/>
  <c r="AA100" i="17"/>
  <c r="Z100" i="17"/>
  <c r="U100" i="17"/>
  <c r="T100" i="17"/>
  <c r="Q100" i="17"/>
  <c r="P100" i="17"/>
  <c r="AA99" i="17"/>
  <c r="Z99" i="17"/>
  <c r="U99" i="17"/>
  <c r="T99" i="17"/>
  <c r="Q99" i="17"/>
  <c r="P99" i="17"/>
  <c r="AA97" i="17"/>
  <c r="Z97" i="17"/>
  <c r="U97" i="17"/>
  <c r="T97" i="17"/>
  <c r="Q97" i="17"/>
  <c r="P97" i="17"/>
  <c r="AA96" i="17"/>
  <c r="Z96" i="17"/>
  <c r="T96" i="17" s="1"/>
  <c r="U96" i="17"/>
  <c r="Q96" i="17"/>
  <c r="S96" i="17" s="1"/>
  <c r="P96" i="17"/>
  <c r="AA94" i="17"/>
  <c r="Z94" i="17"/>
  <c r="T94" i="17" s="1"/>
  <c r="U94" i="17"/>
  <c r="Q94" i="17"/>
  <c r="S94" i="17" s="1"/>
  <c r="P94" i="17"/>
  <c r="AA93" i="17"/>
  <c r="Z93" i="17"/>
  <c r="T93" i="17" s="1"/>
  <c r="U93" i="17"/>
  <c r="Q93" i="17"/>
  <c r="S93" i="17" s="1"/>
  <c r="P93" i="17"/>
  <c r="AA91" i="17"/>
  <c r="Z91" i="17"/>
  <c r="T91" i="17" s="1"/>
  <c r="U91" i="17"/>
  <c r="Q91" i="17"/>
  <c r="P91" i="17"/>
  <c r="AA90" i="17"/>
  <c r="Z90" i="17"/>
  <c r="T90" i="17" s="1"/>
  <c r="U90" i="17"/>
  <c r="Q90" i="17"/>
  <c r="P90" i="17"/>
  <c r="U88" i="17"/>
  <c r="T88" i="17"/>
  <c r="Q88" i="17"/>
  <c r="S88" i="17" s="1"/>
  <c r="P88" i="17"/>
  <c r="U87" i="17"/>
  <c r="T87" i="17"/>
  <c r="Q87" i="17"/>
  <c r="R87" i="17" s="1"/>
  <c r="P87" i="17"/>
  <c r="AA85" i="17"/>
  <c r="Z85" i="17"/>
  <c r="T85" i="17" s="1"/>
  <c r="U85" i="17"/>
  <c r="Q85" i="17"/>
  <c r="P85" i="17"/>
  <c r="AA84" i="17"/>
  <c r="Z84" i="17"/>
  <c r="T84" i="17" s="1"/>
  <c r="U84" i="17"/>
  <c r="Q84" i="17"/>
  <c r="P84" i="17"/>
  <c r="AA82" i="17"/>
  <c r="Z82" i="17"/>
  <c r="T82" i="17" s="1"/>
  <c r="U82" i="17"/>
  <c r="Q82" i="17"/>
  <c r="P82" i="17"/>
  <c r="AA81" i="17"/>
  <c r="Z81" i="17"/>
  <c r="T81" i="17" s="1"/>
  <c r="U81" i="17"/>
  <c r="Q81" i="17"/>
  <c r="P81" i="17"/>
  <c r="AA79" i="17"/>
  <c r="Z79" i="17"/>
  <c r="T79" i="17" s="1"/>
  <c r="U79" i="17"/>
  <c r="Q79" i="17"/>
  <c r="P79" i="17"/>
  <c r="AA78" i="17"/>
  <c r="Z78" i="17"/>
  <c r="T78" i="17" s="1"/>
  <c r="U78" i="17"/>
  <c r="Q78" i="17"/>
  <c r="P78" i="17"/>
  <c r="AA76" i="17"/>
  <c r="Z76" i="17"/>
  <c r="T76" i="17" s="1"/>
  <c r="U76" i="17"/>
  <c r="Q76" i="17"/>
  <c r="P76" i="17"/>
  <c r="AA75" i="17"/>
  <c r="Z75" i="17"/>
  <c r="T75" i="17" s="1"/>
  <c r="U75" i="17"/>
  <c r="Q75" i="17"/>
  <c r="P75" i="17"/>
  <c r="AA73" i="17"/>
  <c r="Z73" i="17"/>
  <c r="T73" i="17" s="1"/>
  <c r="U73" i="17"/>
  <c r="Q73" i="17"/>
  <c r="AA72" i="17"/>
  <c r="Z72" i="17"/>
  <c r="U72" i="17"/>
  <c r="T72" i="17"/>
  <c r="Q72" i="17"/>
  <c r="P72" i="17"/>
  <c r="AA70" i="17"/>
  <c r="Z70" i="17"/>
  <c r="U70" i="17"/>
  <c r="T70" i="17"/>
  <c r="Q70" i="17"/>
  <c r="P70" i="17"/>
  <c r="AA69" i="17"/>
  <c r="Z69" i="17"/>
  <c r="U69" i="17"/>
  <c r="T69" i="17"/>
  <c r="Q69" i="17"/>
  <c r="P69" i="17"/>
  <c r="U67" i="17"/>
  <c r="T67" i="17"/>
  <c r="Q67" i="17"/>
  <c r="P67" i="17"/>
  <c r="U66" i="17"/>
  <c r="T66" i="17"/>
  <c r="Q66" i="17"/>
  <c r="P66" i="17"/>
  <c r="AA64" i="17"/>
  <c r="Z64" i="17"/>
  <c r="U64" i="17"/>
  <c r="T64" i="17"/>
  <c r="Q64" i="17"/>
  <c r="AA63" i="17"/>
  <c r="U63" i="17" s="1"/>
  <c r="Z63" i="17"/>
  <c r="T63" i="17"/>
  <c r="Q63" i="17"/>
  <c r="P63" i="17"/>
  <c r="AA61" i="17"/>
  <c r="U61" i="17" s="1"/>
  <c r="Z61" i="17"/>
  <c r="T61" i="17"/>
  <c r="Q61" i="17"/>
  <c r="AA60" i="17"/>
  <c r="U60" i="17" s="1"/>
  <c r="Z60" i="17"/>
  <c r="T60" i="17" s="1"/>
  <c r="Q60" i="17"/>
  <c r="P60" i="17"/>
  <c r="AA58" i="17"/>
  <c r="U58" i="17" s="1"/>
  <c r="Z58" i="17"/>
  <c r="T58" i="17" s="1"/>
  <c r="Q58" i="17"/>
  <c r="P58" i="17"/>
  <c r="AA57" i="17"/>
  <c r="U57" i="17" s="1"/>
  <c r="Z57" i="17"/>
  <c r="T57" i="17" s="1"/>
  <c r="Q57" i="17"/>
  <c r="P57" i="17"/>
  <c r="AA55" i="17"/>
  <c r="U55" i="17" s="1"/>
  <c r="Z55" i="17"/>
  <c r="T55" i="17" s="1"/>
  <c r="Q55" i="17"/>
  <c r="P55" i="17"/>
  <c r="AA54" i="17"/>
  <c r="U54" i="17" s="1"/>
  <c r="Z54" i="17"/>
  <c r="T54" i="17" s="1"/>
  <c r="Q54" i="17"/>
  <c r="P54" i="17"/>
  <c r="AA52" i="17"/>
  <c r="U52" i="17" s="1"/>
  <c r="Z52" i="17"/>
  <c r="T52" i="17" s="1"/>
  <c r="Q52" i="17"/>
  <c r="P52" i="17"/>
  <c r="AA51" i="17"/>
  <c r="U51" i="17" s="1"/>
  <c r="Z51" i="17"/>
  <c r="T51" i="17" s="1"/>
  <c r="Q51" i="17"/>
  <c r="P51" i="17"/>
  <c r="AA49" i="17"/>
  <c r="U49" i="17" s="1"/>
  <c r="Z49" i="17"/>
  <c r="T49" i="17" s="1"/>
  <c r="Q49" i="17"/>
  <c r="P49" i="17"/>
  <c r="AA48" i="17"/>
  <c r="U48" i="17" s="1"/>
  <c r="Z48" i="17"/>
  <c r="T48" i="17" s="1"/>
  <c r="Q48" i="17"/>
  <c r="P48" i="17"/>
  <c r="AA46" i="17"/>
  <c r="U46" i="17" s="1"/>
  <c r="Z46" i="17"/>
  <c r="T46" i="17" s="1"/>
  <c r="Q46" i="17"/>
  <c r="P46" i="17"/>
  <c r="AA45" i="17"/>
  <c r="U45" i="17" s="1"/>
  <c r="Z45" i="17"/>
  <c r="T45" i="17" s="1"/>
  <c r="Q45" i="17"/>
  <c r="P45" i="17"/>
  <c r="AA43" i="17"/>
  <c r="U43" i="17" s="1"/>
  <c r="Z43" i="17"/>
  <c r="T43" i="17" s="1"/>
  <c r="Q43" i="17"/>
  <c r="P43" i="17"/>
  <c r="AA42" i="17"/>
  <c r="U42" i="17" s="1"/>
  <c r="Z42" i="17"/>
  <c r="T42" i="17" s="1"/>
  <c r="Q42" i="17"/>
  <c r="P42" i="17"/>
  <c r="AA40" i="17"/>
  <c r="U40" i="17" s="1"/>
  <c r="Z40" i="17"/>
  <c r="T40" i="17" s="1"/>
  <c r="Q40" i="17"/>
  <c r="P40" i="17"/>
  <c r="AA39" i="17"/>
  <c r="U39" i="17" s="1"/>
  <c r="Z39" i="17"/>
  <c r="T39" i="17" s="1"/>
  <c r="Q39" i="17"/>
  <c r="P39" i="17"/>
  <c r="AA37" i="17"/>
  <c r="U37" i="17" s="1"/>
  <c r="Z37" i="17"/>
  <c r="T37" i="17" s="1"/>
  <c r="Q37" i="17"/>
  <c r="AA36" i="17"/>
  <c r="Z36" i="17"/>
  <c r="T36" i="17" s="1"/>
  <c r="U36" i="17"/>
  <c r="Q36" i="17"/>
  <c r="P36" i="17"/>
  <c r="AA34" i="17"/>
  <c r="Z34" i="17"/>
  <c r="T34" i="17" s="1"/>
  <c r="U34" i="17"/>
  <c r="Q34" i="17"/>
  <c r="P34" i="17"/>
  <c r="AA33" i="17"/>
  <c r="Z33" i="17"/>
  <c r="T33" i="17" s="1"/>
  <c r="U33" i="17"/>
  <c r="Q33" i="17"/>
  <c r="P33" i="17"/>
  <c r="AA31" i="17"/>
  <c r="Z31" i="17"/>
  <c r="T31" i="17" s="1"/>
  <c r="U31" i="17"/>
  <c r="Q31" i="17"/>
  <c r="AA30" i="17"/>
  <c r="Z30" i="17"/>
  <c r="U30" i="17"/>
  <c r="T30" i="17"/>
  <c r="Q30" i="17"/>
  <c r="P30" i="17"/>
  <c r="AA28" i="17"/>
  <c r="Z28" i="17"/>
  <c r="U28" i="17"/>
  <c r="T28" i="17"/>
  <c r="Q28" i="17"/>
  <c r="P28" i="17"/>
  <c r="AA27" i="17"/>
  <c r="Z27" i="17"/>
  <c r="U27" i="17"/>
  <c r="T27" i="17"/>
  <c r="Q27" i="17"/>
  <c r="P27" i="17"/>
  <c r="AA25" i="17"/>
  <c r="Z25" i="17"/>
  <c r="Q25" i="17"/>
  <c r="P25" i="17"/>
  <c r="AA24" i="17"/>
  <c r="Z24" i="17"/>
  <c r="Q24" i="17"/>
  <c r="P24" i="17"/>
  <c r="U22" i="17"/>
  <c r="T22" i="17"/>
  <c r="Q22" i="17"/>
  <c r="P22" i="17"/>
  <c r="U21" i="17"/>
  <c r="T21" i="17"/>
  <c r="Q21" i="17"/>
  <c r="P21" i="17"/>
  <c r="AA19" i="17"/>
  <c r="Z19" i="17"/>
  <c r="U19" i="17"/>
  <c r="T19" i="17"/>
  <c r="Q19" i="17"/>
  <c r="P19" i="17"/>
  <c r="AA18" i="17"/>
  <c r="Z18" i="17"/>
  <c r="U18" i="17"/>
  <c r="T18" i="17"/>
  <c r="Q18" i="17"/>
  <c r="P18" i="17"/>
  <c r="AA16" i="17"/>
  <c r="Z16" i="17"/>
  <c r="U16" i="17"/>
  <c r="T16" i="17"/>
  <c r="Q16" i="17"/>
  <c r="P16" i="17"/>
  <c r="AA15" i="17"/>
  <c r="Z15" i="17"/>
  <c r="U15" i="17"/>
  <c r="T15" i="17"/>
  <c r="Q15" i="17"/>
  <c r="P15" i="17"/>
  <c r="AA13" i="17"/>
  <c r="Z13" i="17"/>
  <c r="U13" i="17"/>
  <c r="T13" i="17"/>
  <c r="Q13" i="17"/>
  <c r="P13" i="17"/>
  <c r="AA12" i="17"/>
  <c r="Z12" i="17"/>
  <c r="U12" i="17"/>
  <c r="T12" i="17"/>
  <c r="Q12" i="17"/>
  <c r="P12" i="17"/>
  <c r="AA10" i="17"/>
  <c r="Z10" i="17"/>
  <c r="U10" i="17"/>
  <c r="T10" i="17"/>
  <c r="Q10" i="17"/>
  <c r="P10" i="17"/>
  <c r="AA9" i="17"/>
  <c r="Z9" i="17"/>
  <c r="U9" i="17"/>
  <c r="T9" i="17"/>
  <c r="Q9" i="17"/>
  <c r="P9" i="17"/>
  <c r="AA7" i="17"/>
  <c r="Z7" i="17"/>
  <c r="U7" i="17"/>
  <c r="T7" i="17"/>
  <c r="Q7" i="17"/>
  <c r="AA6" i="17"/>
  <c r="Z6" i="17"/>
  <c r="U6" i="17"/>
  <c r="T6" i="17"/>
  <c r="Q6" i="17"/>
  <c r="S6" i="17" s="1"/>
  <c r="P6" i="17"/>
  <c r="AA4" i="17"/>
  <c r="U4" i="17" s="1"/>
  <c r="Z4" i="17"/>
  <c r="T4" i="17"/>
  <c r="Q4" i="17"/>
  <c r="AA3" i="17"/>
  <c r="U3" i="17" s="1"/>
  <c r="Z3" i="17"/>
  <c r="T3" i="17" s="1"/>
  <c r="Q3" i="17"/>
  <c r="P3" i="17"/>
  <c r="J66" i="5"/>
  <c r="G8" i="1" s="1"/>
  <c r="R65" i="5"/>
  <c r="AM65" i="5" s="1"/>
  <c r="I65" i="5"/>
  <c r="B65" i="5"/>
  <c r="R64" i="5"/>
  <c r="AM64" i="5" s="1"/>
  <c r="I64" i="5"/>
  <c r="H64" i="5"/>
  <c r="G64" i="5"/>
  <c r="R63" i="5"/>
  <c r="AM63" i="5" s="1"/>
  <c r="I63" i="5"/>
  <c r="B63" i="5"/>
  <c r="AL62" i="5"/>
  <c r="AK62" i="5"/>
  <c r="AG62" i="5"/>
  <c r="AF62" i="5"/>
  <c r="AB62" i="5"/>
  <c r="AA62" i="5"/>
  <c r="T62" i="5"/>
  <c r="S62" i="5"/>
  <c r="R62" i="5"/>
  <c r="I62" i="5"/>
  <c r="AR62" i="5"/>
  <c r="AL61" i="5"/>
  <c r="AK61" i="5"/>
  <c r="AG61" i="5"/>
  <c r="AF61" i="5"/>
  <c r="AB61" i="5"/>
  <c r="AA61" i="5"/>
  <c r="T61" i="5"/>
  <c r="S61" i="5"/>
  <c r="R61" i="5"/>
  <c r="I61" i="5"/>
  <c r="B61" i="5"/>
  <c r="AL60" i="5"/>
  <c r="AK60" i="5"/>
  <c r="AG60" i="5"/>
  <c r="AF60" i="5"/>
  <c r="AB60" i="5"/>
  <c r="AA60" i="5"/>
  <c r="T60" i="5"/>
  <c r="S60" i="5"/>
  <c r="R60" i="5"/>
  <c r="I60" i="5"/>
  <c r="AL59" i="5"/>
  <c r="AK59" i="5"/>
  <c r="AG59" i="5"/>
  <c r="AF59" i="5"/>
  <c r="AB59" i="5"/>
  <c r="AA59" i="5"/>
  <c r="T59" i="5"/>
  <c r="S59" i="5"/>
  <c r="R59" i="5"/>
  <c r="I59" i="5"/>
  <c r="F59" i="5"/>
  <c r="E59" i="5"/>
  <c r="D59" i="5"/>
  <c r="B59" i="5"/>
  <c r="AL58" i="5"/>
  <c r="AK58" i="5"/>
  <c r="AG58" i="5"/>
  <c r="AF58" i="5"/>
  <c r="AB58" i="5"/>
  <c r="AA58" i="5"/>
  <c r="T58" i="5"/>
  <c r="S58" i="5"/>
  <c r="R58" i="5"/>
  <c r="I58" i="5"/>
  <c r="F58" i="5"/>
  <c r="E58" i="5"/>
  <c r="D58" i="5"/>
  <c r="AL57" i="5"/>
  <c r="AK57" i="5"/>
  <c r="AG57" i="5"/>
  <c r="AF57" i="5"/>
  <c r="AB57" i="5"/>
  <c r="AA57" i="5"/>
  <c r="T57" i="5"/>
  <c r="S57" i="5"/>
  <c r="R57" i="5"/>
  <c r="I57" i="5"/>
  <c r="F57" i="5"/>
  <c r="E57" i="5"/>
  <c r="D57" i="5"/>
  <c r="AM57" i="5" s="1"/>
  <c r="B57" i="5"/>
  <c r="AL56" i="5"/>
  <c r="AK56" i="5"/>
  <c r="AG56" i="5"/>
  <c r="AF56" i="5"/>
  <c r="AB56" i="5"/>
  <c r="AA56" i="5"/>
  <c r="T56" i="5"/>
  <c r="S56" i="5"/>
  <c r="R56" i="5"/>
  <c r="I56" i="5"/>
  <c r="F56" i="5"/>
  <c r="E56" i="5"/>
  <c r="D56" i="5"/>
  <c r="AS55" i="5"/>
  <c r="AL55" i="5"/>
  <c r="AK55" i="5"/>
  <c r="AG55" i="5"/>
  <c r="AF55" i="5"/>
  <c r="AB55" i="5"/>
  <c r="AA55" i="5"/>
  <c r="T55" i="5"/>
  <c r="S55" i="5"/>
  <c r="R55" i="5"/>
  <c r="I55" i="5"/>
  <c r="F55" i="5"/>
  <c r="E55" i="5"/>
  <c r="D55" i="5"/>
  <c r="B55" i="5"/>
  <c r="AL54" i="5"/>
  <c r="AK54" i="5"/>
  <c r="AG54" i="5"/>
  <c r="AF54" i="5"/>
  <c r="AB54" i="5"/>
  <c r="AA54" i="5"/>
  <c r="T54" i="5"/>
  <c r="S54" i="5"/>
  <c r="R54" i="5"/>
  <c r="I54" i="5"/>
  <c r="AL53" i="5"/>
  <c r="AK53" i="5"/>
  <c r="AG53" i="5"/>
  <c r="AF53" i="5"/>
  <c r="AB53" i="5"/>
  <c r="AA53" i="5"/>
  <c r="T53" i="5"/>
  <c r="S53" i="5"/>
  <c r="R53" i="5"/>
  <c r="I53" i="5"/>
  <c r="F53" i="5"/>
  <c r="E53" i="5"/>
  <c r="D53" i="5"/>
  <c r="B53" i="5"/>
  <c r="AL52" i="5"/>
  <c r="AK52" i="5"/>
  <c r="AG52" i="5"/>
  <c r="AF52" i="5"/>
  <c r="AB52" i="5"/>
  <c r="AA52" i="5"/>
  <c r="T52" i="5"/>
  <c r="S52" i="5"/>
  <c r="R52" i="5"/>
  <c r="I52" i="5"/>
  <c r="F52" i="5"/>
  <c r="E52" i="5"/>
  <c r="D52" i="5"/>
  <c r="AL51" i="5"/>
  <c r="AK51" i="5"/>
  <c r="AG51" i="5"/>
  <c r="AF51" i="5"/>
  <c r="AB51" i="5"/>
  <c r="AA51" i="5"/>
  <c r="T51" i="5"/>
  <c r="S51" i="5"/>
  <c r="R51" i="5"/>
  <c r="I51" i="5"/>
  <c r="F51" i="5"/>
  <c r="E51" i="5"/>
  <c r="D51" i="5"/>
  <c r="B51" i="5"/>
  <c r="AL50" i="5"/>
  <c r="AK50" i="5"/>
  <c r="AG50" i="5"/>
  <c r="AF50" i="5"/>
  <c r="AB50" i="5"/>
  <c r="AA50" i="5"/>
  <c r="T50" i="5"/>
  <c r="S50" i="5"/>
  <c r="R50" i="5"/>
  <c r="I50" i="5"/>
  <c r="F50" i="5"/>
  <c r="E50" i="5"/>
  <c r="D50" i="5"/>
  <c r="AR50" i="5" s="1"/>
  <c r="AL49" i="5"/>
  <c r="AK49" i="5"/>
  <c r="AG49" i="5"/>
  <c r="AF49" i="5"/>
  <c r="AB49" i="5"/>
  <c r="AA49" i="5"/>
  <c r="T49" i="5"/>
  <c r="S49" i="5"/>
  <c r="R49" i="5"/>
  <c r="I49" i="5"/>
  <c r="F49" i="5"/>
  <c r="E49" i="5"/>
  <c r="D49" i="5"/>
  <c r="AM49" i="5" s="1"/>
  <c r="B49" i="5"/>
  <c r="AL48" i="5"/>
  <c r="AK48" i="5"/>
  <c r="AG48" i="5"/>
  <c r="AF48" i="5"/>
  <c r="AB48" i="5"/>
  <c r="AA48" i="5"/>
  <c r="T48" i="5"/>
  <c r="S48" i="5"/>
  <c r="R48" i="5"/>
  <c r="I48" i="5"/>
  <c r="F48" i="5"/>
  <c r="E48" i="5"/>
  <c r="D48" i="5"/>
  <c r="AL47" i="5"/>
  <c r="AK47" i="5"/>
  <c r="AG47" i="5"/>
  <c r="AF47" i="5"/>
  <c r="AB47" i="5"/>
  <c r="AA47" i="5"/>
  <c r="T47" i="5"/>
  <c r="S47" i="5"/>
  <c r="R47" i="5"/>
  <c r="I47" i="5"/>
  <c r="F47" i="5"/>
  <c r="E47" i="5"/>
  <c r="D47" i="5"/>
  <c r="B47" i="5"/>
  <c r="AL46" i="5"/>
  <c r="AK46" i="5"/>
  <c r="AG46" i="5"/>
  <c r="AF46" i="5"/>
  <c r="AB46" i="5"/>
  <c r="AA46" i="5"/>
  <c r="T46" i="5"/>
  <c r="S46" i="5"/>
  <c r="R46" i="5"/>
  <c r="I46" i="5"/>
  <c r="H46" i="5"/>
  <c r="AO46" i="5" s="1"/>
  <c r="AL45" i="5"/>
  <c r="AK45" i="5"/>
  <c r="AG45" i="5"/>
  <c r="AF45" i="5"/>
  <c r="AB45" i="5"/>
  <c r="AA45" i="5"/>
  <c r="T45" i="5"/>
  <c r="S45" i="5"/>
  <c r="R45" i="5"/>
  <c r="I45" i="5"/>
  <c r="F45" i="5"/>
  <c r="E45" i="5"/>
  <c r="D45" i="5"/>
  <c r="B45" i="5"/>
  <c r="AL44" i="5"/>
  <c r="AK44" i="5"/>
  <c r="AG44" i="5"/>
  <c r="AF44" i="5"/>
  <c r="AB44" i="5"/>
  <c r="AA44" i="5"/>
  <c r="T44" i="5"/>
  <c r="S44" i="5"/>
  <c r="R44" i="5"/>
  <c r="I44" i="5"/>
  <c r="F44" i="5"/>
  <c r="E44" i="5"/>
  <c r="D44" i="5"/>
  <c r="AM44" i="5" s="1"/>
  <c r="AL43" i="5"/>
  <c r="AK43" i="5"/>
  <c r="AG43" i="5"/>
  <c r="AF43" i="5"/>
  <c r="AB43" i="5"/>
  <c r="AA43" i="5"/>
  <c r="T43" i="5"/>
  <c r="S43" i="5"/>
  <c r="R43" i="5"/>
  <c r="I43" i="5"/>
  <c r="F43" i="5"/>
  <c r="E43" i="5"/>
  <c r="D43" i="5"/>
  <c r="AR43" i="5" s="1"/>
  <c r="B43" i="5"/>
  <c r="AL42" i="5"/>
  <c r="AK42" i="5"/>
  <c r="AG42" i="5"/>
  <c r="AF42" i="5"/>
  <c r="AB42" i="5"/>
  <c r="AA42" i="5"/>
  <c r="T42" i="5"/>
  <c r="S42" i="5"/>
  <c r="R42" i="5"/>
  <c r="I42" i="5"/>
  <c r="F42" i="5"/>
  <c r="E42" i="5"/>
  <c r="D42" i="5"/>
  <c r="AS41" i="5"/>
  <c r="AL41" i="5"/>
  <c r="AK41" i="5"/>
  <c r="AG41" i="5"/>
  <c r="AF41" i="5"/>
  <c r="AB41" i="5"/>
  <c r="AA41" i="5"/>
  <c r="T41" i="5"/>
  <c r="S41" i="5"/>
  <c r="R41" i="5"/>
  <c r="I41" i="5"/>
  <c r="F41" i="5"/>
  <c r="E41" i="5"/>
  <c r="D41" i="5"/>
  <c r="H41" i="5" s="1"/>
  <c r="AO41" i="5" s="1"/>
  <c r="B41" i="5"/>
  <c r="AL40" i="5"/>
  <c r="AK40" i="5"/>
  <c r="AG40" i="5"/>
  <c r="AF40" i="5"/>
  <c r="AB40" i="5"/>
  <c r="AA40" i="5"/>
  <c r="T40" i="5"/>
  <c r="S40" i="5"/>
  <c r="R40" i="5"/>
  <c r="I40" i="5"/>
  <c r="AM40" i="5"/>
  <c r="AL39" i="5"/>
  <c r="AK39" i="5"/>
  <c r="AG39" i="5"/>
  <c r="AF39" i="5"/>
  <c r="AB39" i="5"/>
  <c r="AA39" i="5"/>
  <c r="T39" i="5"/>
  <c r="S39" i="5"/>
  <c r="R39" i="5"/>
  <c r="I39" i="5"/>
  <c r="AM39" i="5"/>
  <c r="B39" i="5"/>
  <c r="AL38" i="5"/>
  <c r="AK38" i="5"/>
  <c r="AG38" i="5"/>
  <c r="AF38" i="5"/>
  <c r="AB38" i="5"/>
  <c r="AA38" i="5"/>
  <c r="T38" i="5"/>
  <c r="S38" i="5"/>
  <c r="R38" i="5"/>
  <c r="I38" i="5"/>
  <c r="AL37" i="5"/>
  <c r="AK37" i="5"/>
  <c r="AG37" i="5"/>
  <c r="AF37" i="5"/>
  <c r="AB37" i="5"/>
  <c r="AA37" i="5"/>
  <c r="T37" i="5"/>
  <c r="S37" i="5"/>
  <c r="R37" i="5"/>
  <c r="I37" i="5"/>
  <c r="F37" i="5"/>
  <c r="E37" i="5"/>
  <c r="D37" i="5"/>
  <c r="B37" i="5"/>
  <c r="AL36" i="5"/>
  <c r="AK36" i="5"/>
  <c r="AG36" i="5"/>
  <c r="AF36" i="5"/>
  <c r="AB36" i="5"/>
  <c r="AA36" i="5"/>
  <c r="T36" i="5"/>
  <c r="S36" i="5"/>
  <c r="R36" i="5"/>
  <c r="I36" i="5"/>
  <c r="F36" i="5"/>
  <c r="E36" i="5"/>
  <c r="D36" i="5"/>
  <c r="AL35" i="5"/>
  <c r="AK35" i="5"/>
  <c r="AG35" i="5"/>
  <c r="AF35" i="5"/>
  <c r="AB35" i="5"/>
  <c r="AA35" i="5"/>
  <c r="T35" i="5"/>
  <c r="S35" i="5"/>
  <c r="R35" i="5"/>
  <c r="I35" i="5"/>
  <c r="F35" i="5"/>
  <c r="E35" i="5"/>
  <c r="D35" i="5"/>
  <c r="AM35" i="5" s="1"/>
  <c r="B35" i="5"/>
  <c r="AL34" i="5"/>
  <c r="AK34" i="5"/>
  <c r="AG34" i="5"/>
  <c r="AF34" i="5"/>
  <c r="AB34" i="5"/>
  <c r="AA34" i="5"/>
  <c r="T34" i="5"/>
  <c r="S34" i="5"/>
  <c r="R34" i="5"/>
  <c r="I34" i="5"/>
  <c r="AM34" i="5"/>
  <c r="AL33" i="5"/>
  <c r="AK33" i="5"/>
  <c r="AG33" i="5"/>
  <c r="AF33" i="5"/>
  <c r="AB33" i="5"/>
  <c r="AA33" i="5"/>
  <c r="T33" i="5"/>
  <c r="S33" i="5"/>
  <c r="R33" i="5"/>
  <c r="I33" i="5"/>
  <c r="F33" i="5"/>
  <c r="E33" i="5"/>
  <c r="D33" i="5"/>
  <c r="B33" i="5"/>
  <c r="AL32" i="5"/>
  <c r="AK32" i="5"/>
  <c r="AG32" i="5"/>
  <c r="AF32" i="5"/>
  <c r="AB32" i="5"/>
  <c r="AA32" i="5"/>
  <c r="T32" i="5"/>
  <c r="S32" i="5"/>
  <c r="R32" i="5"/>
  <c r="I32" i="5"/>
  <c r="H32" i="5"/>
  <c r="G32" i="5"/>
  <c r="AL31" i="5"/>
  <c r="AK31" i="5"/>
  <c r="AG31" i="5"/>
  <c r="AF31" i="5"/>
  <c r="AB31" i="5"/>
  <c r="AA31" i="5"/>
  <c r="T31" i="5"/>
  <c r="S31" i="5"/>
  <c r="R31" i="5"/>
  <c r="I31" i="5"/>
  <c r="F31" i="5"/>
  <c r="E31" i="5"/>
  <c r="D31" i="5"/>
  <c r="AR31" i="5" s="1"/>
  <c r="B31" i="5"/>
  <c r="AL30" i="5"/>
  <c r="AK30" i="5"/>
  <c r="AG30" i="5"/>
  <c r="AF30" i="5"/>
  <c r="AB30" i="5"/>
  <c r="AA30" i="5"/>
  <c r="T30" i="5"/>
  <c r="S30" i="5"/>
  <c r="R30" i="5"/>
  <c r="I30" i="5"/>
  <c r="F30" i="5"/>
  <c r="E30" i="5"/>
  <c r="D30" i="5"/>
  <c r="AL29" i="5"/>
  <c r="AK29" i="5"/>
  <c r="AG29" i="5"/>
  <c r="AF29" i="5"/>
  <c r="AB29" i="5"/>
  <c r="AA29" i="5"/>
  <c r="T29" i="5"/>
  <c r="S29" i="5"/>
  <c r="R29" i="5"/>
  <c r="I29" i="5"/>
  <c r="F29" i="5"/>
  <c r="E29" i="5"/>
  <c r="D29" i="5"/>
  <c r="B29" i="5"/>
  <c r="AL28" i="5"/>
  <c r="AK28" i="5"/>
  <c r="AG28" i="5"/>
  <c r="AF28" i="5"/>
  <c r="AB28" i="5"/>
  <c r="AA28" i="5"/>
  <c r="T28" i="5"/>
  <c r="S28" i="5"/>
  <c r="R28" i="5"/>
  <c r="I28" i="5"/>
  <c r="F28" i="5"/>
  <c r="E28" i="5"/>
  <c r="D28" i="5"/>
  <c r="AR28" i="5" s="1"/>
  <c r="AS27" i="5"/>
  <c r="AL27" i="5"/>
  <c r="AK27" i="5"/>
  <c r="AG27" i="5"/>
  <c r="AF27" i="5"/>
  <c r="AB27" i="5"/>
  <c r="AA27" i="5"/>
  <c r="T27" i="5"/>
  <c r="S27" i="5"/>
  <c r="R27" i="5"/>
  <c r="I27" i="5"/>
  <c r="F27" i="5"/>
  <c r="E27" i="5"/>
  <c r="D27" i="5"/>
  <c r="AR27" i="5" s="1"/>
  <c r="B27" i="5"/>
  <c r="AR26" i="5"/>
  <c r="AL26" i="5"/>
  <c r="AK26" i="5"/>
  <c r="AG26" i="5"/>
  <c r="AF26" i="5"/>
  <c r="AB26" i="5"/>
  <c r="AA26" i="5"/>
  <c r="T26" i="5"/>
  <c r="S26" i="5"/>
  <c r="R26" i="5"/>
  <c r="AM26" i="5" s="1"/>
  <c r="I26" i="5"/>
  <c r="H26" i="5"/>
  <c r="G26" i="5"/>
  <c r="AL25" i="5"/>
  <c r="AK25" i="5"/>
  <c r="AG25" i="5"/>
  <c r="AF25" i="5"/>
  <c r="AB25" i="5"/>
  <c r="AA25" i="5"/>
  <c r="T25" i="5"/>
  <c r="S25" i="5"/>
  <c r="R25" i="5"/>
  <c r="I25" i="5"/>
  <c r="F25" i="5"/>
  <c r="E25" i="5"/>
  <c r="D25" i="5"/>
  <c r="AR25" i="5" s="1"/>
  <c r="B25" i="5"/>
  <c r="AL24" i="5"/>
  <c r="AK24" i="5"/>
  <c r="AG24" i="5"/>
  <c r="AF24" i="5"/>
  <c r="AB24" i="5"/>
  <c r="AA24" i="5"/>
  <c r="T24" i="5"/>
  <c r="S24" i="5"/>
  <c r="R24" i="5"/>
  <c r="I24" i="5"/>
  <c r="F24" i="5"/>
  <c r="E24" i="5"/>
  <c r="D24" i="5"/>
  <c r="AL23" i="5"/>
  <c r="AK23" i="5"/>
  <c r="AG23" i="5"/>
  <c r="AF23" i="5"/>
  <c r="AB23" i="5"/>
  <c r="AA23" i="5"/>
  <c r="T23" i="5"/>
  <c r="S23" i="5"/>
  <c r="R23" i="5"/>
  <c r="I23" i="5"/>
  <c r="F23" i="5"/>
  <c r="E23" i="5"/>
  <c r="D23" i="5"/>
  <c r="B23" i="5"/>
  <c r="AL22" i="5"/>
  <c r="AK22" i="5"/>
  <c r="AG22" i="5"/>
  <c r="AF22" i="5"/>
  <c r="AB22" i="5"/>
  <c r="AA22" i="5"/>
  <c r="T22" i="5"/>
  <c r="S22" i="5"/>
  <c r="R22" i="5"/>
  <c r="I22" i="5"/>
  <c r="F22" i="5"/>
  <c r="E22" i="5"/>
  <c r="D22" i="5"/>
  <c r="AM22" i="5" s="1"/>
  <c r="AL21" i="5"/>
  <c r="AK21" i="5"/>
  <c r="AG21" i="5"/>
  <c r="AF21" i="5"/>
  <c r="AB21" i="5"/>
  <c r="AA21" i="5"/>
  <c r="T21" i="5"/>
  <c r="S21" i="5"/>
  <c r="R21" i="5"/>
  <c r="I21" i="5"/>
  <c r="F21" i="5"/>
  <c r="E21" i="5"/>
  <c r="D21" i="5"/>
  <c r="B21" i="5"/>
  <c r="AL20" i="5"/>
  <c r="AK20" i="5"/>
  <c r="AG20" i="5"/>
  <c r="AF20" i="5"/>
  <c r="AB20" i="5"/>
  <c r="AA20" i="5"/>
  <c r="T20" i="5"/>
  <c r="S20" i="5"/>
  <c r="R20" i="5"/>
  <c r="I20" i="5"/>
  <c r="F20" i="5"/>
  <c r="E20" i="5"/>
  <c r="D20" i="5"/>
  <c r="AR20" i="5" s="1"/>
  <c r="AL19" i="5"/>
  <c r="AK19" i="5"/>
  <c r="AG19" i="5"/>
  <c r="AF19" i="5"/>
  <c r="AB19" i="5"/>
  <c r="AA19" i="5"/>
  <c r="T19" i="5"/>
  <c r="S19" i="5"/>
  <c r="R19" i="5"/>
  <c r="I19" i="5"/>
  <c r="F19" i="5"/>
  <c r="E19" i="5"/>
  <c r="D19" i="5"/>
  <c r="B19" i="5"/>
  <c r="AL18" i="5"/>
  <c r="AK18" i="5"/>
  <c r="AG18" i="5"/>
  <c r="AF18" i="5"/>
  <c r="AB18" i="5"/>
  <c r="AA18" i="5"/>
  <c r="T18" i="5"/>
  <c r="S18" i="5"/>
  <c r="R18" i="5"/>
  <c r="I18" i="5"/>
  <c r="F18" i="5"/>
  <c r="E18" i="5"/>
  <c r="D18" i="5"/>
  <c r="H18" i="5" s="1"/>
  <c r="AO18" i="5" s="1"/>
  <c r="AL17" i="5"/>
  <c r="AK17" i="5"/>
  <c r="AG17" i="5"/>
  <c r="AF17" i="5"/>
  <c r="AB17" i="5"/>
  <c r="AA17" i="5"/>
  <c r="T17" i="5"/>
  <c r="S17" i="5"/>
  <c r="R17" i="5"/>
  <c r="I17" i="5"/>
  <c r="F17" i="5"/>
  <c r="E17" i="5"/>
  <c r="D17" i="5"/>
  <c r="AM17" i="5" s="1"/>
  <c r="B17" i="5"/>
  <c r="AL16" i="5"/>
  <c r="AK16" i="5"/>
  <c r="AG16" i="5"/>
  <c r="AF16" i="5"/>
  <c r="AB16" i="5"/>
  <c r="AA16" i="5"/>
  <c r="T16" i="5"/>
  <c r="S16" i="5"/>
  <c r="R16" i="5"/>
  <c r="I16" i="5"/>
  <c r="F16" i="5"/>
  <c r="E16" i="5"/>
  <c r="D16" i="5"/>
  <c r="AM16" i="5" s="1"/>
  <c r="AL15" i="5"/>
  <c r="AK15" i="5"/>
  <c r="AG15" i="5"/>
  <c r="AF15" i="5"/>
  <c r="AB15" i="5"/>
  <c r="AA15" i="5"/>
  <c r="T15" i="5"/>
  <c r="S15" i="5"/>
  <c r="R15" i="5"/>
  <c r="I15" i="5"/>
  <c r="F15" i="5"/>
  <c r="E15" i="5"/>
  <c r="D15" i="5"/>
  <c r="AR15" i="5" s="1"/>
  <c r="B15" i="5"/>
  <c r="AL14" i="5"/>
  <c r="AK14" i="5"/>
  <c r="AG14" i="5"/>
  <c r="AF14" i="5"/>
  <c r="AB14" i="5"/>
  <c r="AA14" i="5"/>
  <c r="T14" i="5"/>
  <c r="S14" i="5"/>
  <c r="R14" i="5"/>
  <c r="I14" i="5"/>
  <c r="F14" i="5"/>
  <c r="E14" i="5"/>
  <c r="D14" i="5"/>
  <c r="AS13" i="5"/>
  <c r="AL13" i="5"/>
  <c r="AK13" i="5"/>
  <c r="AG13" i="5"/>
  <c r="AF13" i="5"/>
  <c r="AB13" i="5"/>
  <c r="AA13" i="5"/>
  <c r="T13" i="5"/>
  <c r="S13" i="5"/>
  <c r="R13" i="5"/>
  <c r="I13" i="5"/>
  <c r="F13" i="5"/>
  <c r="E13" i="5"/>
  <c r="D13" i="5"/>
  <c r="B13" i="5"/>
  <c r="A13" i="5" s="1"/>
  <c r="AL12" i="5"/>
  <c r="AK12" i="5"/>
  <c r="AG12" i="5"/>
  <c r="AF12" i="5"/>
  <c r="AB12" i="5"/>
  <c r="AA12" i="5"/>
  <c r="T12" i="5"/>
  <c r="S12" i="5"/>
  <c r="R12" i="5"/>
  <c r="I12" i="5"/>
  <c r="A12" i="5"/>
  <c r="AL11" i="5"/>
  <c r="AK11" i="5"/>
  <c r="AG11" i="5"/>
  <c r="AF11" i="5"/>
  <c r="AB11" i="5"/>
  <c r="AA11" i="5"/>
  <c r="T11" i="5"/>
  <c r="S11" i="5"/>
  <c r="R11" i="5"/>
  <c r="I11" i="5"/>
  <c r="AR11" i="5"/>
  <c r="B11" i="5"/>
  <c r="A11" i="5"/>
  <c r="AL10" i="5"/>
  <c r="AK10" i="5"/>
  <c r="AG10" i="5"/>
  <c r="AF10" i="5"/>
  <c r="AB10" i="5"/>
  <c r="AA10" i="5"/>
  <c r="T10" i="5"/>
  <c r="S10" i="5"/>
  <c r="R10" i="5"/>
  <c r="I10" i="5"/>
  <c r="F10" i="5"/>
  <c r="E10" i="5"/>
  <c r="D10" i="5"/>
  <c r="A10" i="5"/>
  <c r="AL9" i="5"/>
  <c r="AK9" i="5"/>
  <c r="AG9" i="5"/>
  <c r="AF9" i="5"/>
  <c r="AB9" i="5"/>
  <c r="AA9" i="5"/>
  <c r="T9" i="5"/>
  <c r="S9" i="5"/>
  <c r="R9" i="5"/>
  <c r="I9" i="5"/>
  <c r="F9" i="5"/>
  <c r="E9" i="5"/>
  <c r="D9" i="5"/>
  <c r="AM9" i="5" s="1"/>
  <c r="B9" i="5"/>
  <c r="A9" i="5"/>
  <c r="AL8" i="5"/>
  <c r="AK8" i="5"/>
  <c r="AG8" i="5"/>
  <c r="AF8" i="5"/>
  <c r="AB8" i="5"/>
  <c r="AA8" i="5"/>
  <c r="T8" i="5"/>
  <c r="S8" i="5"/>
  <c r="R8" i="5"/>
  <c r="I8" i="5"/>
  <c r="A8" i="5"/>
  <c r="AL7" i="5"/>
  <c r="AK7" i="5"/>
  <c r="AG7" i="5"/>
  <c r="AF7" i="5"/>
  <c r="AB7" i="5"/>
  <c r="AA7" i="5"/>
  <c r="T7" i="5"/>
  <c r="S7" i="5"/>
  <c r="R7" i="5"/>
  <c r="I7" i="5"/>
  <c r="F7" i="5"/>
  <c r="E7" i="5"/>
  <c r="D7" i="5"/>
  <c r="AM7" i="5" s="1"/>
  <c r="B7" i="5"/>
  <c r="A7" i="5"/>
  <c r="AL6" i="5"/>
  <c r="AK6" i="5"/>
  <c r="AG6" i="5"/>
  <c r="AF6" i="5"/>
  <c r="AB6" i="5"/>
  <c r="AA6" i="5"/>
  <c r="T6" i="5"/>
  <c r="S6" i="5"/>
  <c r="R6" i="5"/>
  <c r="I6" i="5"/>
  <c r="F6" i="5"/>
  <c r="E6" i="5"/>
  <c r="D6" i="5"/>
  <c r="A6" i="5"/>
  <c r="AL5" i="5"/>
  <c r="AK5" i="5"/>
  <c r="AG5" i="5"/>
  <c r="AF5" i="5"/>
  <c r="AB5" i="5"/>
  <c r="AA5" i="5"/>
  <c r="T5" i="5"/>
  <c r="S5" i="5"/>
  <c r="R5" i="5"/>
  <c r="I5" i="5"/>
  <c r="F5" i="5"/>
  <c r="E5" i="5"/>
  <c r="D5" i="5"/>
  <c r="H5" i="5" s="1"/>
  <c r="B5" i="5"/>
  <c r="A5" i="5"/>
  <c r="AR4" i="5"/>
  <c r="AL4" i="5"/>
  <c r="AK4" i="5"/>
  <c r="AG4" i="5"/>
  <c r="AF4" i="5"/>
  <c r="AB4" i="5"/>
  <c r="AA4" i="5"/>
  <c r="T4" i="5"/>
  <c r="S4" i="5"/>
  <c r="R4" i="5"/>
  <c r="AM4" i="5" s="1"/>
  <c r="I4" i="5"/>
  <c r="H4" i="5"/>
  <c r="G4" i="5"/>
  <c r="A4" i="5"/>
  <c r="AP1" i="5"/>
  <c r="M298" i="24"/>
  <c r="X298" i="24" s="1"/>
  <c r="L298" i="24"/>
  <c r="K298" i="24"/>
  <c r="M297" i="24"/>
  <c r="X297" i="24" s="1"/>
  <c r="L297" i="24"/>
  <c r="K297" i="24"/>
  <c r="M296" i="24"/>
  <c r="X296" i="24" s="1"/>
  <c r="L296" i="24"/>
  <c r="K296" i="24"/>
  <c r="M295" i="24"/>
  <c r="X295" i="24" s="1"/>
  <c r="L295" i="24"/>
  <c r="K295" i="24"/>
  <c r="M294" i="24"/>
  <c r="X294" i="24" s="1"/>
  <c r="L294" i="24"/>
  <c r="K294" i="24"/>
  <c r="M293" i="24"/>
  <c r="X293" i="24" s="1"/>
  <c r="L293" i="24"/>
  <c r="K293" i="24"/>
  <c r="M292" i="24"/>
  <c r="X292" i="24" s="1"/>
  <c r="L292" i="24"/>
  <c r="K292" i="24"/>
  <c r="M291" i="24"/>
  <c r="X291" i="24" s="1"/>
  <c r="L291" i="24"/>
  <c r="K291" i="24"/>
  <c r="M290" i="24"/>
  <c r="X290" i="24" s="1"/>
  <c r="L290" i="24"/>
  <c r="K290" i="24"/>
  <c r="M289" i="24"/>
  <c r="X289" i="24" s="1"/>
  <c r="L289" i="24"/>
  <c r="K289" i="24"/>
  <c r="M288" i="24"/>
  <c r="X288" i="24" s="1"/>
  <c r="L288" i="24"/>
  <c r="K288" i="24"/>
  <c r="M287" i="24"/>
  <c r="X287" i="24" s="1"/>
  <c r="L287" i="24"/>
  <c r="K287" i="24"/>
  <c r="M286" i="24"/>
  <c r="X286" i="24" s="1"/>
  <c r="L286" i="24"/>
  <c r="K286" i="24"/>
  <c r="M285" i="24"/>
  <c r="X285" i="24" s="1"/>
  <c r="L285" i="24"/>
  <c r="K285" i="24"/>
  <c r="V284" i="24"/>
  <c r="U284" i="24"/>
  <c r="M284" i="24"/>
  <c r="X284" i="24" s="1"/>
  <c r="L284" i="24"/>
  <c r="Q284" i="24" s="1"/>
  <c r="O284" i="24" s="1"/>
  <c r="Z284" i="24" s="1"/>
  <c r="K284" i="24"/>
  <c r="G284" i="24"/>
  <c r="V283" i="24"/>
  <c r="U283" i="24"/>
  <c r="M283" i="24"/>
  <c r="X283" i="24" s="1"/>
  <c r="L283" i="24"/>
  <c r="K283" i="24"/>
  <c r="G283" i="24"/>
  <c r="V282" i="24"/>
  <c r="U282" i="24"/>
  <c r="M282" i="24"/>
  <c r="X282" i="24" s="1"/>
  <c r="L282" i="24"/>
  <c r="K282" i="24"/>
  <c r="P282" i="24" s="1"/>
  <c r="N282" i="24" s="1"/>
  <c r="Y282" i="24" s="1"/>
  <c r="G282" i="24"/>
  <c r="V281" i="24"/>
  <c r="U281" i="24"/>
  <c r="M281" i="24"/>
  <c r="X281" i="24" s="1"/>
  <c r="L281" i="24"/>
  <c r="Q281" i="24" s="1"/>
  <c r="O281" i="24" s="1"/>
  <c r="Z281" i="24" s="1"/>
  <c r="K281" i="24"/>
  <c r="P281" i="24" s="1"/>
  <c r="N281" i="24" s="1"/>
  <c r="Y281" i="24" s="1"/>
  <c r="G281" i="24"/>
  <c r="V280" i="24"/>
  <c r="U280" i="24"/>
  <c r="M280" i="24"/>
  <c r="X280" i="24" s="1"/>
  <c r="L280" i="24"/>
  <c r="Q280" i="24" s="1"/>
  <c r="O280" i="24" s="1"/>
  <c r="Z280" i="24" s="1"/>
  <c r="K280" i="24"/>
  <c r="G280" i="24"/>
  <c r="M279" i="24"/>
  <c r="X279" i="24" s="1"/>
  <c r="L279" i="24"/>
  <c r="K279" i="24"/>
  <c r="G279" i="24"/>
  <c r="V278" i="24"/>
  <c r="U278" i="24"/>
  <c r="M278" i="24"/>
  <c r="X278" i="24" s="1"/>
  <c r="L278" i="24"/>
  <c r="Q278" i="24" s="1"/>
  <c r="O278" i="24" s="1"/>
  <c r="Z278" i="24" s="1"/>
  <c r="K278" i="24"/>
  <c r="G278" i="24"/>
  <c r="M277" i="24"/>
  <c r="X277" i="24" s="1"/>
  <c r="L277" i="24"/>
  <c r="K277" i="24"/>
  <c r="G277" i="24"/>
  <c r="M276" i="24"/>
  <c r="X276" i="24" s="1"/>
  <c r="L276" i="24"/>
  <c r="K276" i="24"/>
  <c r="G276" i="24"/>
  <c r="V275" i="24"/>
  <c r="U275" i="24"/>
  <c r="M275" i="24"/>
  <c r="X275" i="24" s="1"/>
  <c r="L275" i="24"/>
  <c r="K275" i="24"/>
  <c r="G275" i="24"/>
  <c r="M274" i="24"/>
  <c r="X274" i="24" s="1"/>
  <c r="L274" i="24"/>
  <c r="K274" i="24"/>
  <c r="G274" i="24"/>
  <c r="V273" i="24"/>
  <c r="U273" i="24"/>
  <c r="M273" i="24"/>
  <c r="X273" i="24" s="1"/>
  <c r="L273" i="24"/>
  <c r="Q273" i="24" s="1"/>
  <c r="O273" i="24" s="1"/>
  <c r="Z273" i="24" s="1"/>
  <c r="K273" i="24"/>
  <c r="G273" i="24"/>
  <c r="M272" i="24"/>
  <c r="X272" i="24" s="1"/>
  <c r="L272" i="24"/>
  <c r="K272" i="24"/>
  <c r="G272" i="24"/>
  <c r="M271" i="24"/>
  <c r="X271" i="24" s="1"/>
  <c r="L271" i="24"/>
  <c r="K271" i="24"/>
  <c r="G271" i="24"/>
  <c r="V270" i="24"/>
  <c r="U270" i="24"/>
  <c r="M270" i="24"/>
  <c r="X270" i="24" s="1"/>
  <c r="L270" i="24"/>
  <c r="K270" i="24"/>
  <c r="G270" i="24"/>
  <c r="M269" i="24"/>
  <c r="X269" i="24" s="1"/>
  <c r="L269" i="24"/>
  <c r="K269" i="24"/>
  <c r="G269" i="24"/>
  <c r="V268" i="24"/>
  <c r="U268" i="24"/>
  <c r="M268" i="24"/>
  <c r="X268" i="24" s="1"/>
  <c r="L268" i="24"/>
  <c r="K268" i="24"/>
  <c r="M267" i="24"/>
  <c r="X267" i="24" s="1"/>
  <c r="L267" i="24"/>
  <c r="K267" i="24"/>
  <c r="G267" i="24"/>
  <c r="V266" i="24"/>
  <c r="U266" i="24"/>
  <c r="M266" i="24"/>
  <c r="X266" i="24" s="1"/>
  <c r="L266" i="24"/>
  <c r="Q266" i="24" s="1"/>
  <c r="O266" i="24" s="1"/>
  <c r="Z266" i="24" s="1"/>
  <c r="K266" i="24"/>
  <c r="M265" i="24"/>
  <c r="X265" i="24" s="1"/>
  <c r="L265" i="24"/>
  <c r="K265" i="24"/>
  <c r="G265" i="24"/>
  <c r="M264" i="24"/>
  <c r="X264" i="24" s="1"/>
  <c r="L264" i="24"/>
  <c r="K264" i="24"/>
  <c r="G264" i="24"/>
  <c r="V263" i="24"/>
  <c r="U263" i="24"/>
  <c r="M263" i="24"/>
  <c r="X263" i="24" s="1"/>
  <c r="L263" i="24"/>
  <c r="K263" i="24"/>
  <c r="P263" i="24" s="1"/>
  <c r="N263" i="24" s="1"/>
  <c r="Y263" i="24" s="1"/>
  <c r="G263" i="24"/>
  <c r="V262" i="24"/>
  <c r="U262" i="24"/>
  <c r="M262" i="24"/>
  <c r="X262" i="24" s="1"/>
  <c r="L262" i="24"/>
  <c r="K262" i="24"/>
  <c r="P262" i="24" s="1"/>
  <c r="N262" i="24" s="1"/>
  <c r="Y262" i="24" s="1"/>
  <c r="G262" i="24"/>
  <c r="M261" i="24"/>
  <c r="X261" i="24" s="1"/>
  <c r="L261" i="24"/>
  <c r="K261" i="24"/>
  <c r="G261" i="24"/>
  <c r="V260" i="24"/>
  <c r="U260" i="24"/>
  <c r="M260" i="24"/>
  <c r="X260" i="24" s="1"/>
  <c r="L260" i="24"/>
  <c r="K260" i="24"/>
  <c r="P260" i="24" s="1"/>
  <c r="N260" i="24" s="1"/>
  <c r="Y260" i="24" s="1"/>
  <c r="G260" i="24"/>
  <c r="M259" i="24"/>
  <c r="X259" i="24" s="1"/>
  <c r="L259" i="24"/>
  <c r="K259" i="24"/>
  <c r="G259" i="24"/>
  <c r="M258" i="24"/>
  <c r="X258" i="24" s="1"/>
  <c r="L258" i="24"/>
  <c r="K258" i="24"/>
  <c r="G258" i="24"/>
  <c r="V257" i="24"/>
  <c r="U257" i="24"/>
  <c r="M257" i="24"/>
  <c r="X257" i="24" s="1"/>
  <c r="L257" i="24"/>
  <c r="K257" i="24"/>
  <c r="P257" i="24" s="1"/>
  <c r="N257" i="24" s="1"/>
  <c r="Y257" i="24" s="1"/>
  <c r="G257" i="24"/>
  <c r="V256" i="24"/>
  <c r="U256" i="24"/>
  <c r="M256" i="24"/>
  <c r="X256" i="24" s="1"/>
  <c r="L256" i="24"/>
  <c r="K256" i="24"/>
  <c r="P256" i="24" s="1"/>
  <c r="N256" i="24" s="1"/>
  <c r="Y256" i="24" s="1"/>
  <c r="G256" i="24"/>
  <c r="M255" i="24"/>
  <c r="X255" i="24" s="1"/>
  <c r="L255" i="24"/>
  <c r="K255" i="24"/>
  <c r="G255" i="24"/>
  <c r="M254" i="24"/>
  <c r="X254" i="24" s="1"/>
  <c r="L254" i="24"/>
  <c r="K254" i="24"/>
  <c r="G254" i="24"/>
  <c r="V253" i="24"/>
  <c r="U253" i="24"/>
  <c r="M253" i="24"/>
  <c r="X253" i="24" s="1"/>
  <c r="L253" i="24"/>
  <c r="K253" i="24"/>
  <c r="P253" i="24" s="1"/>
  <c r="N253" i="24" s="1"/>
  <c r="Y253" i="24" s="1"/>
  <c r="G253" i="24"/>
  <c r="M252" i="24"/>
  <c r="X252" i="24" s="1"/>
  <c r="L252" i="24"/>
  <c r="K252" i="24"/>
  <c r="G252" i="24"/>
  <c r="V251" i="24"/>
  <c r="U251" i="24"/>
  <c r="M251" i="24"/>
  <c r="X251" i="24" s="1"/>
  <c r="L251" i="24"/>
  <c r="K251" i="24"/>
  <c r="P251" i="24" s="1"/>
  <c r="N251" i="24" s="1"/>
  <c r="Y251" i="24" s="1"/>
  <c r="G251" i="24"/>
  <c r="M250" i="24"/>
  <c r="X250" i="24" s="1"/>
  <c r="L250" i="24"/>
  <c r="K250" i="24"/>
  <c r="G250" i="24"/>
  <c r="V249" i="24"/>
  <c r="U249" i="24"/>
  <c r="M249" i="24"/>
  <c r="X249" i="24" s="1"/>
  <c r="L249" i="24"/>
  <c r="K249" i="24"/>
  <c r="G249" i="24"/>
  <c r="M248" i="24"/>
  <c r="X248" i="24" s="1"/>
  <c r="L248" i="24"/>
  <c r="K248" i="24"/>
  <c r="G248" i="24"/>
  <c r="M247" i="24"/>
  <c r="X247" i="24" s="1"/>
  <c r="L247" i="24"/>
  <c r="K247" i="24"/>
  <c r="G247" i="24"/>
  <c r="V246" i="24"/>
  <c r="U246" i="24"/>
  <c r="M246" i="24"/>
  <c r="X246" i="24" s="1"/>
  <c r="L246" i="24"/>
  <c r="Q246" i="24" s="1"/>
  <c r="O246" i="24" s="1"/>
  <c r="Z246" i="24" s="1"/>
  <c r="K246" i="24"/>
  <c r="P246" i="24" s="1"/>
  <c r="N246" i="24" s="1"/>
  <c r="Y246" i="24" s="1"/>
  <c r="G246" i="24"/>
  <c r="M245" i="24"/>
  <c r="X245" i="24" s="1"/>
  <c r="L245" i="24"/>
  <c r="K245" i="24"/>
  <c r="G245" i="24"/>
  <c r="M244" i="24"/>
  <c r="X244" i="24" s="1"/>
  <c r="L244" i="24"/>
  <c r="K244" i="24"/>
  <c r="G244" i="24"/>
  <c r="V243" i="24"/>
  <c r="U243" i="24"/>
  <c r="M243" i="24"/>
  <c r="X243" i="24" s="1"/>
  <c r="L243" i="24"/>
  <c r="K243" i="24"/>
  <c r="P243" i="24" s="1"/>
  <c r="N243" i="24" s="1"/>
  <c r="Y243" i="24" s="1"/>
  <c r="G243" i="24"/>
  <c r="M242" i="24"/>
  <c r="X242" i="24" s="1"/>
  <c r="L242" i="24"/>
  <c r="K242" i="24"/>
  <c r="G242" i="24"/>
  <c r="V241" i="24"/>
  <c r="U241" i="24"/>
  <c r="M241" i="24"/>
  <c r="X241" i="24" s="1"/>
  <c r="L241" i="24"/>
  <c r="K241" i="24"/>
  <c r="P241" i="24" s="1"/>
  <c r="N241" i="24" s="1"/>
  <c r="Y241" i="24" s="1"/>
  <c r="M240" i="24"/>
  <c r="X240" i="24" s="1"/>
  <c r="L240" i="24"/>
  <c r="K240" i="24"/>
  <c r="G240" i="24"/>
  <c r="V239" i="24"/>
  <c r="U239" i="24"/>
  <c r="M239" i="24"/>
  <c r="X239" i="24" s="1"/>
  <c r="L239" i="24"/>
  <c r="K239" i="24"/>
  <c r="P239" i="24" s="1"/>
  <c r="N239" i="24" s="1"/>
  <c r="Y239" i="24" s="1"/>
  <c r="M238" i="24"/>
  <c r="X238" i="24" s="1"/>
  <c r="L238" i="24"/>
  <c r="K238" i="24"/>
  <c r="G238" i="24"/>
  <c r="M237" i="24"/>
  <c r="X237" i="24" s="1"/>
  <c r="L237" i="24"/>
  <c r="K237" i="24"/>
  <c r="V236" i="24"/>
  <c r="U236" i="24"/>
  <c r="M236" i="24"/>
  <c r="X236" i="24" s="1"/>
  <c r="L236" i="24"/>
  <c r="Q236" i="24" s="1"/>
  <c r="O236" i="24" s="1"/>
  <c r="Z236" i="24" s="1"/>
  <c r="K236" i="24"/>
  <c r="P238" i="24" s="1"/>
  <c r="N238" i="24" s="1"/>
  <c r="Y238" i="24" s="1"/>
  <c r="G236" i="24"/>
  <c r="M235" i="24"/>
  <c r="X235" i="24" s="1"/>
  <c r="L235" i="24"/>
  <c r="K235" i="24"/>
  <c r="G235" i="24"/>
  <c r="M234" i="24"/>
  <c r="X234" i="24" s="1"/>
  <c r="L234" i="24"/>
  <c r="K234" i="24"/>
  <c r="G234" i="24"/>
  <c r="V233" i="24"/>
  <c r="U233" i="24"/>
  <c r="M233" i="24"/>
  <c r="X233" i="24" s="1"/>
  <c r="L233" i="24"/>
  <c r="K233" i="24"/>
  <c r="P233" i="24" s="1"/>
  <c r="N233" i="24" s="1"/>
  <c r="Y233" i="24" s="1"/>
  <c r="G233" i="24"/>
  <c r="M232" i="24"/>
  <c r="X232" i="24" s="1"/>
  <c r="L232" i="24"/>
  <c r="K232" i="24"/>
  <c r="G232" i="24"/>
  <c r="M231" i="24"/>
  <c r="X231" i="24" s="1"/>
  <c r="L231" i="24"/>
  <c r="K231" i="24"/>
  <c r="V230" i="24"/>
  <c r="U230" i="24"/>
  <c r="M230" i="24"/>
  <c r="X230" i="24" s="1"/>
  <c r="L230" i="24"/>
  <c r="Q230" i="24" s="1"/>
  <c r="O230" i="24" s="1"/>
  <c r="Z230" i="24" s="1"/>
  <c r="K230" i="24"/>
  <c r="P230" i="24" s="1"/>
  <c r="N230" i="24" s="1"/>
  <c r="Y230" i="24" s="1"/>
  <c r="G230" i="24"/>
  <c r="M229" i="24"/>
  <c r="X229" i="24" s="1"/>
  <c r="L229" i="24"/>
  <c r="K229" i="24"/>
  <c r="G229" i="24"/>
  <c r="M228" i="24"/>
  <c r="X228" i="24" s="1"/>
  <c r="L228" i="24"/>
  <c r="K228" i="24"/>
  <c r="G228" i="24"/>
  <c r="M227" i="24"/>
  <c r="X227" i="24" s="1"/>
  <c r="L227" i="24"/>
  <c r="K227" i="24"/>
  <c r="G227" i="24"/>
  <c r="M226" i="24"/>
  <c r="X226" i="24" s="1"/>
  <c r="L226" i="24"/>
  <c r="K226" i="24"/>
  <c r="G226" i="24"/>
  <c r="V225" i="24"/>
  <c r="U225" i="24"/>
  <c r="M225" i="24"/>
  <c r="X225" i="24" s="1"/>
  <c r="L225" i="24"/>
  <c r="Q229" i="24" s="1"/>
  <c r="O229" i="24" s="1"/>
  <c r="Z229" i="24" s="1"/>
  <c r="K225" i="24"/>
  <c r="G225" i="24"/>
  <c r="V224" i="24"/>
  <c r="U224" i="24"/>
  <c r="M224" i="24"/>
  <c r="X224" i="24" s="1"/>
  <c r="L224" i="24"/>
  <c r="Q224" i="24" s="1"/>
  <c r="O224" i="24" s="1"/>
  <c r="Z224" i="24" s="1"/>
  <c r="K224" i="24"/>
  <c r="P224" i="24" s="1"/>
  <c r="N224" i="24" s="1"/>
  <c r="Y224" i="24" s="1"/>
  <c r="G224" i="24"/>
  <c r="M223" i="24"/>
  <c r="X223" i="24" s="1"/>
  <c r="L223" i="24"/>
  <c r="K223" i="24"/>
  <c r="G223" i="24"/>
  <c r="V222" i="24"/>
  <c r="U222" i="24"/>
  <c r="M222" i="24"/>
  <c r="X222" i="24" s="1"/>
  <c r="L222" i="24"/>
  <c r="K222" i="24"/>
  <c r="P222" i="24" s="1"/>
  <c r="N222" i="24" s="1"/>
  <c r="Y222" i="24" s="1"/>
  <c r="M221" i="24"/>
  <c r="X221" i="24" s="1"/>
  <c r="L221" i="24"/>
  <c r="K221" i="24"/>
  <c r="G221" i="24"/>
  <c r="M220" i="24"/>
  <c r="X220" i="24" s="1"/>
  <c r="L220" i="24"/>
  <c r="K220" i="24"/>
  <c r="G220" i="24"/>
  <c r="M219" i="24"/>
  <c r="X219" i="24" s="1"/>
  <c r="L219" i="24"/>
  <c r="K219" i="24"/>
  <c r="G219" i="24"/>
  <c r="V218" i="24"/>
  <c r="U218" i="24"/>
  <c r="M218" i="24"/>
  <c r="X218" i="24" s="1"/>
  <c r="L218" i="24"/>
  <c r="Q218" i="24" s="1"/>
  <c r="O218" i="24" s="1"/>
  <c r="Z218" i="24" s="1"/>
  <c r="K218" i="24"/>
  <c r="P218" i="24" s="1"/>
  <c r="N218" i="24" s="1"/>
  <c r="Y218" i="24" s="1"/>
  <c r="G218" i="24"/>
  <c r="M217" i="24"/>
  <c r="X217" i="24" s="1"/>
  <c r="L217" i="24"/>
  <c r="K217" i="24"/>
  <c r="G217" i="24"/>
  <c r="M216" i="24"/>
  <c r="X216" i="24" s="1"/>
  <c r="L216" i="24"/>
  <c r="K216" i="24"/>
  <c r="V215" i="24"/>
  <c r="U215" i="24"/>
  <c r="M215" i="24"/>
  <c r="X215" i="24" s="1"/>
  <c r="L215" i="24"/>
  <c r="K215" i="24"/>
  <c r="G215" i="24"/>
  <c r="M214" i="24"/>
  <c r="X214" i="24" s="1"/>
  <c r="L214" i="24"/>
  <c r="K214" i="24"/>
  <c r="G214" i="24"/>
  <c r="M213" i="24"/>
  <c r="X213" i="24" s="1"/>
  <c r="L213" i="24"/>
  <c r="K213" i="24"/>
  <c r="G213" i="24"/>
  <c r="V212" i="24"/>
  <c r="U212" i="24"/>
  <c r="M212" i="24"/>
  <c r="X212" i="24" s="1"/>
  <c r="L212" i="24"/>
  <c r="K212" i="24"/>
  <c r="P212" i="24" s="1"/>
  <c r="N212" i="24" s="1"/>
  <c r="Y212" i="24" s="1"/>
  <c r="G212" i="24"/>
  <c r="M211" i="24"/>
  <c r="X211" i="24" s="1"/>
  <c r="L211" i="24"/>
  <c r="K211" i="24"/>
  <c r="G211" i="24"/>
  <c r="M210" i="24"/>
  <c r="X210" i="24" s="1"/>
  <c r="L210" i="24"/>
  <c r="K210" i="24"/>
  <c r="G210" i="24"/>
  <c r="V209" i="24"/>
  <c r="U209" i="24"/>
  <c r="M209" i="24"/>
  <c r="X209" i="24" s="1"/>
  <c r="L209" i="24"/>
  <c r="Q209" i="24" s="1"/>
  <c r="O209" i="24" s="1"/>
  <c r="Z209" i="24" s="1"/>
  <c r="K209" i="24"/>
  <c r="P209" i="24" s="1"/>
  <c r="N209" i="24" s="1"/>
  <c r="Y209" i="24" s="1"/>
  <c r="G209" i="24"/>
  <c r="V208" i="24"/>
  <c r="U208" i="24"/>
  <c r="M208" i="24"/>
  <c r="X208" i="24" s="1"/>
  <c r="L208" i="24"/>
  <c r="K208" i="24"/>
  <c r="P208" i="24" s="1"/>
  <c r="N208" i="24" s="1"/>
  <c r="Y208" i="24" s="1"/>
  <c r="G208" i="24"/>
  <c r="M207" i="24"/>
  <c r="X207" i="24" s="1"/>
  <c r="L207" i="24"/>
  <c r="K207" i="24"/>
  <c r="G207" i="24"/>
  <c r="V206" i="24"/>
  <c r="U206" i="24"/>
  <c r="M206" i="24"/>
  <c r="X206" i="24" s="1"/>
  <c r="L206" i="24"/>
  <c r="K206" i="24"/>
  <c r="P206" i="24" s="1"/>
  <c r="N206" i="24" s="1"/>
  <c r="Y206" i="24" s="1"/>
  <c r="G206" i="24"/>
  <c r="M205" i="24"/>
  <c r="X205" i="24" s="1"/>
  <c r="L205" i="24"/>
  <c r="K205" i="24"/>
  <c r="G205" i="24"/>
  <c r="V204" i="24"/>
  <c r="U204" i="24"/>
  <c r="M204" i="24"/>
  <c r="X204" i="24" s="1"/>
  <c r="L204" i="24"/>
  <c r="K204" i="24"/>
  <c r="P204" i="24" s="1"/>
  <c r="N204" i="24" s="1"/>
  <c r="Y204" i="24" s="1"/>
  <c r="G204" i="24"/>
  <c r="M203" i="24"/>
  <c r="X203" i="24" s="1"/>
  <c r="L203" i="24"/>
  <c r="K203" i="24"/>
  <c r="G203" i="24"/>
  <c r="M202" i="24"/>
  <c r="X202" i="24" s="1"/>
  <c r="L202" i="24"/>
  <c r="K202" i="24"/>
  <c r="G202" i="24"/>
  <c r="V201" i="24"/>
  <c r="U201" i="24"/>
  <c r="M201" i="24"/>
  <c r="X201" i="24" s="1"/>
  <c r="L201" i="24"/>
  <c r="Q201" i="24" s="1"/>
  <c r="O201" i="24" s="1"/>
  <c r="Z201" i="24" s="1"/>
  <c r="K201" i="24"/>
  <c r="G201" i="24"/>
  <c r="V200" i="24"/>
  <c r="U200" i="24"/>
  <c r="M200" i="24"/>
  <c r="X200" i="24" s="1"/>
  <c r="L200" i="24"/>
  <c r="K200" i="24"/>
  <c r="P200" i="24" s="1"/>
  <c r="N200" i="24" s="1"/>
  <c r="Y200" i="24" s="1"/>
  <c r="G200" i="24"/>
  <c r="V199" i="24"/>
  <c r="U199" i="24"/>
  <c r="M199" i="24"/>
  <c r="X199" i="24" s="1"/>
  <c r="L199" i="24"/>
  <c r="K199" i="24"/>
  <c r="G199" i="24"/>
  <c r="V198" i="24"/>
  <c r="U198" i="24"/>
  <c r="M198" i="24"/>
  <c r="X198" i="24" s="1"/>
  <c r="L198" i="24"/>
  <c r="Q198" i="24" s="1"/>
  <c r="O198" i="24" s="1"/>
  <c r="Z198" i="24" s="1"/>
  <c r="K198" i="24"/>
  <c r="P198" i="24" s="1"/>
  <c r="N198" i="24" s="1"/>
  <c r="Y198" i="24" s="1"/>
  <c r="G198" i="24"/>
  <c r="M197" i="24"/>
  <c r="X197" i="24" s="1"/>
  <c r="L197" i="24"/>
  <c r="K197" i="24"/>
  <c r="G197" i="24"/>
  <c r="M196" i="24"/>
  <c r="X196" i="24" s="1"/>
  <c r="L196" i="24"/>
  <c r="K196" i="24"/>
  <c r="G196" i="24"/>
  <c r="V195" i="24"/>
  <c r="U195" i="24"/>
  <c r="M195" i="24"/>
  <c r="X195" i="24" s="1"/>
  <c r="L195" i="24"/>
  <c r="K195" i="24"/>
  <c r="G195" i="24"/>
  <c r="V194" i="24"/>
  <c r="U194" i="24"/>
  <c r="M194" i="24"/>
  <c r="X194" i="24" s="1"/>
  <c r="L194" i="24"/>
  <c r="Q194" i="24" s="1"/>
  <c r="O194" i="24" s="1"/>
  <c r="Z194" i="24" s="1"/>
  <c r="K194" i="24"/>
  <c r="P194" i="24" s="1"/>
  <c r="N194" i="24" s="1"/>
  <c r="Y194" i="24" s="1"/>
  <c r="G194" i="24"/>
  <c r="V193" i="24"/>
  <c r="U193" i="24"/>
  <c r="M193" i="24"/>
  <c r="X193" i="24" s="1"/>
  <c r="L193" i="24"/>
  <c r="K193" i="24"/>
  <c r="G193" i="24"/>
  <c r="V192" i="24"/>
  <c r="U192" i="24"/>
  <c r="M192" i="24"/>
  <c r="X192" i="24" s="1"/>
  <c r="L192" i="24"/>
  <c r="Q192" i="24" s="1"/>
  <c r="O192" i="24" s="1"/>
  <c r="Z192" i="24" s="1"/>
  <c r="K192" i="24"/>
  <c r="G192" i="24"/>
  <c r="V191" i="24"/>
  <c r="U191" i="24"/>
  <c r="M191" i="24"/>
  <c r="L191" i="24"/>
  <c r="Q191" i="24" s="1"/>
  <c r="O191" i="24" s="1"/>
  <c r="Z191" i="24" s="1"/>
  <c r="K191" i="24"/>
  <c r="P191" i="24" s="1"/>
  <c r="N191" i="24" s="1"/>
  <c r="Y191" i="24" s="1"/>
  <c r="G191" i="24"/>
  <c r="V190" i="24"/>
  <c r="U190" i="24"/>
  <c r="M190" i="24"/>
  <c r="X190" i="24" s="1"/>
  <c r="L190" i="24"/>
  <c r="K190" i="24"/>
  <c r="G190" i="24"/>
  <c r="V189" i="24"/>
  <c r="U189" i="24"/>
  <c r="M189" i="24"/>
  <c r="X189" i="24" s="1"/>
  <c r="L189" i="24"/>
  <c r="Q189" i="24" s="1"/>
  <c r="O189" i="24" s="1"/>
  <c r="Z189" i="24" s="1"/>
  <c r="K189" i="24"/>
  <c r="P189" i="24" s="1"/>
  <c r="N189" i="24" s="1"/>
  <c r="Y189" i="24" s="1"/>
  <c r="G189" i="24"/>
  <c r="V188" i="24"/>
  <c r="U188" i="24"/>
  <c r="M188" i="24"/>
  <c r="X188" i="24" s="1"/>
  <c r="L188" i="24"/>
  <c r="K188" i="24"/>
  <c r="P188" i="24" s="1"/>
  <c r="N188" i="24" s="1"/>
  <c r="Y188" i="24" s="1"/>
  <c r="G188" i="24"/>
  <c r="V187" i="24"/>
  <c r="U187" i="24"/>
  <c r="M187" i="24"/>
  <c r="X187" i="24" s="1"/>
  <c r="L187" i="24"/>
  <c r="K187" i="24"/>
  <c r="G187" i="24"/>
  <c r="V186" i="24"/>
  <c r="U186" i="24"/>
  <c r="M186" i="24"/>
  <c r="X186" i="24" s="1"/>
  <c r="L186" i="24"/>
  <c r="Q186" i="24" s="1"/>
  <c r="O186" i="24" s="1"/>
  <c r="Z186" i="24" s="1"/>
  <c r="K186" i="24"/>
  <c r="P186" i="24" s="1"/>
  <c r="N186" i="24" s="1"/>
  <c r="Y186" i="24" s="1"/>
  <c r="G186" i="24"/>
  <c r="V185" i="24"/>
  <c r="U185" i="24"/>
  <c r="M185" i="24"/>
  <c r="X185" i="24" s="1"/>
  <c r="L185" i="24"/>
  <c r="K185" i="24"/>
  <c r="G185" i="24"/>
  <c r="V184" i="24"/>
  <c r="U184" i="24"/>
  <c r="M184" i="24"/>
  <c r="X184" i="24" s="1"/>
  <c r="L184" i="24"/>
  <c r="Q184" i="24" s="1"/>
  <c r="O184" i="24" s="1"/>
  <c r="Z184" i="24" s="1"/>
  <c r="K184" i="24"/>
  <c r="G184" i="24"/>
  <c r="M183" i="24"/>
  <c r="X183" i="24" s="1"/>
  <c r="L183" i="24"/>
  <c r="K183" i="24"/>
  <c r="G183" i="24"/>
  <c r="M182" i="24"/>
  <c r="X182" i="24" s="1"/>
  <c r="L182" i="24"/>
  <c r="K182" i="24"/>
  <c r="G182" i="24"/>
  <c r="M181" i="24"/>
  <c r="X181" i="24" s="1"/>
  <c r="L181" i="24"/>
  <c r="K181" i="24"/>
  <c r="M180" i="24"/>
  <c r="X180" i="24" s="1"/>
  <c r="L180" i="24"/>
  <c r="K180" i="24"/>
  <c r="G180" i="24"/>
  <c r="V179" i="24"/>
  <c r="U179" i="24"/>
  <c r="M179" i="24"/>
  <c r="X179" i="24" s="1"/>
  <c r="L179" i="24"/>
  <c r="Q179" i="24" s="1"/>
  <c r="O179" i="24" s="1"/>
  <c r="Z179" i="24" s="1"/>
  <c r="K179" i="24"/>
  <c r="G179" i="24"/>
  <c r="M178" i="24"/>
  <c r="X178" i="24" s="1"/>
  <c r="L178" i="24"/>
  <c r="K178" i="24"/>
  <c r="G178" i="24"/>
  <c r="V177" i="24"/>
  <c r="U177" i="24"/>
  <c r="M177" i="24"/>
  <c r="X177" i="24" s="1"/>
  <c r="L177" i="24"/>
  <c r="Q177" i="24" s="1"/>
  <c r="O177" i="24" s="1"/>
  <c r="Z177" i="24" s="1"/>
  <c r="K177" i="24"/>
  <c r="M176" i="24"/>
  <c r="X176" i="24" s="1"/>
  <c r="L176" i="24"/>
  <c r="K176" i="24"/>
  <c r="G176" i="24"/>
  <c r="V175" i="24"/>
  <c r="U175" i="24"/>
  <c r="M175" i="24"/>
  <c r="X175" i="24" s="1"/>
  <c r="L175" i="24"/>
  <c r="Q175" i="24" s="1"/>
  <c r="O175" i="24" s="1"/>
  <c r="Z175" i="24" s="1"/>
  <c r="K175" i="24"/>
  <c r="P175" i="24" s="1"/>
  <c r="N175" i="24" s="1"/>
  <c r="Y175" i="24" s="1"/>
  <c r="G175" i="24"/>
  <c r="M174" i="24"/>
  <c r="X174" i="24" s="1"/>
  <c r="L174" i="24"/>
  <c r="K174" i="24"/>
  <c r="G174" i="24"/>
  <c r="M173" i="24"/>
  <c r="X173" i="24" s="1"/>
  <c r="L173" i="24"/>
  <c r="K173" i="24"/>
  <c r="G173" i="24"/>
  <c r="M172" i="24"/>
  <c r="X172" i="24" s="1"/>
  <c r="L172" i="24"/>
  <c r="K172" i="24"/>
  <c r="G172" i="24"/>
  <c r="V171" i="24"/>
  <c r="U171" i="24"/>
  <c r="M171" i="24"/>
  <c r="L171" i="24"/>
  <c r="K171" i="24"/>
  <c r="P171" i="24" s="1"/>
  <c r="N171" i="24" s="1"/>
  <c r="Y171" i="24" s="1"/>
  <c r="G171" i="24"/>
  <c r="M170" i="24"/>
  <c r="X170" i="24" s="1"/>
  <c r="L170" i="24"/>
  <c r="K170" i="24"/>
  <c r="G170" i="24"/>
  <c r="M169" i="24"/>
  <c r="X169" i="24" s="1"/>
  <c r="L169" i="24"/>
  <c r="K169" i="24"/>
  <c r="G169" i="24"/>
  <c r="M168" i="24"/>
  <c r="X168" i="24" s="1"/>
  <c r="L168" i="24"/>
  <c r="K168" i="24"/>
  <c r="G168" i="24"/>
  <c r="V167" i="24"/>
  <c r="U167" i="24"/>
  <c r="M167" i="24"/>
  <c r="X167" i="24" s="1"/>
  <c r="L167" i="24"/>
  <c r="K167" i="24"/>
  <c r="P170" i="24" s="1"/>
  <c r="N170" i="24" s="1"/>
  <c r="Y170" i="24" s="1"/>
  <c r="G167" i="24"/>
  <c r="M166" i="24"/>
  <c r="X166" i="24" s="1"/>
  <c r="L166" i="24"/>
  <c r="K166" i="24"/>
  <c r="G166" i="24"/>
  <c r="V165" i="24"/>
  <c r="U165" i="24"/>
  <c r="M165" i="24"/>
  <c r="X165" i="24" s="1"/>
  <c r="L165" i="24"/>
  <c r="K165" i="24"/>
  <c r="M164" i="24"/>
  <c r="X164" i="24" s="1"/>
  <c r="L164" i="24"/>
  <c r="K164" i="24"/>
  <c r="G164" i="24"/>
  <c r="V163" i="24"/>
  <c r="U163" i="24"/>
  <c r="M163" i="24"/>
  <c r="X163" i="24" s="1"/>
  <c r="L163" i="24"/>
  <c r="Q164" i="24" s="1"/>
  <c r="O164" i="24" s="1"/>
  <c r="Z164" i="24" s="1"/>
  <c r="K163" i="24"/>
  <c r="M162" i="24"/>
  <c r="X162" i="24" s="1"/>
  <c r="L162" i="24"/>
  <c r="K162" i="24"/>
  <c r="G162" i="24"/>
  <c r="V161" i="24"/>
  <c r="U161" i="24"/>
  <c r="M161" i="24"/>
  <c r="X161" i="24" s="1"/>
  <c r="L161" i="24"/>
  <c r="K161" i="24"/>
  <c r="P162" i="24" s="1"/>
  <c r="N162" i="24" s="1"/>
  <c r="Y162" i="24" s="1"/>
  <c r="M160" i="24"/>
  <c r="X160" i="24" s="1"/>
  <c r="L160" i="24"/>
  <c r="K160" i="24"/>
  <c r="G160" i="24"/>
  <c r="V159" i="24"/>
  <c r="U159" i="24"/>
  <c r="M159" i="24"/>
  <c r="X159" i="24" s="1"/>
  <c r="L159" i="24"/>
  <c r="Q159" i="24" s="1"/>
  <c r="O159" i="24" s="1"/>
  <c r="Z159" i="24" s="1"/>
  <c r="K159" i="24"/>
  <c r="M158" i="24"/>
  <c r="X158" i="24" s="1"/>
  <c r="L158" i="24"/>
  <c r="K158" i="24"/>
  <c r="G158" i="24"/>
  <c r="V157" i="24"/>
  <c r="U157" i="24"/>
  <c r="M157" i="24"/>
  <c r="X157" i="24" s="1"/>
  <c r="L157" i="24"/>
  <c r="K157" i="24"/>
  <c r="P157" i="24" s="1"/>
  <c r="N157" i="24" s="1"/>
  <c r="Y157" i="24" s="1"/>
  <c r="M156" i="24"/>
  <c r="X156" i="24" s="1"/>
  <c r="L156" i="24"/>
  <c r="K156" i="24"/>
  <c r="G156" i="24"/>
  <c r="V155" i="24"/>
  <c r="U155" i="24"/>
  <c r="M155" i="24"/>
  <c r="X155" i="24" s="1"/>
  <c r="L155" i="24"/>
  <c r="Q155" i="24" s="1"/>
  <c r="O155" i="24" s="1"/>
  <c r="Z155" i="24" s="1"/>
  <c r="K155" i="24"/>
  <c r="M154" i="24"/>
  <c r="X154" i="24" s="1"/>
  <c r="L154" i="24"/>
  <c r="K154" i="24"/>
  <c r="G154" i="24"/>
  <c r="V153" i="24"/>
  <c r="U153" i="24"/>
  <c r="M153" i="24"/>
  <c r="L153" i="24"/>
  <c r="Q153" i="24" s="1"/>
  <c r="O153" i="24" s="1"/>
  <c r="Z153" i="24" s="1"/>
  <c r="K153" i="24"/>
  <c r="P153" i="24" s="1"/>
  <c r="N153" i="24" s="1"/>
  <c r="Y153" i="24" s="1"/>
  <c r="G153" i="24"/>
  <c r="M152" i="24"/>
  <c r="X152" i="24" s="1"/>
  <c r="L152" i="24"/>
  <c r="K152" i="24"/>
  <c r="G152" i="24"/>
  <c r="M151" i="24"/>
  <c r="X151" i="24" s="1"/>
  <c r="L151" i="24"/>
  <c r="K151" i="24"/>
  <c r="G151" i="24"/>
  <c r="V150" i="24"/>
  <c r="U150" i="24"/>
  <c r="M150" i="24"/>
  <c r="X150" i="24" s="1"/>
  <c r="L150" i="24"/>
  <c r="Q150" i="24" s="1"/>
  <c r="O150" i="24" s="1"/>
  <c r="Z150" i="24" s="1"/>
  <c r="K150" i="24"/>
  <c r="G150" i="24"/>
  <c r="M149" i="24"/>
  <c r="X149" i="24" s="1"/>
  <c r="L149" i="24"/>
  <c r="K149" i="24"/>
  <c r="G149" i="24"/>
  <c r="M148" i="24"/>
  <c r="X148" i="24" s="1"/>
  <c r="L148" i="24"/>
  <c r="K148" i="24"/>
  <c r="G148" i="24"/>
  <c r="M147" i="24"/>
  <c r="X147" i="24" s="1"/>
  <c r="L147" i="24"/>
  <c r="K147" i="24"/>
  <c r="G147" i="24"/>
  <c r="M146" i="24"/>
  <c r="X146" i="24" s="1"/>
  <c r="L146" i="24"/>
  <c r="K146" i="24"/>
  <c r="G146" i="24"/>
  <c r="V145" i="24"/>
  <c r="U145" i="24"/>
  <c r="M145" i="24"/>
  <c r="X145" i="24" s="1"/>
  <c r="L145" i="24"/>
  <c r="Q145" i="24" s="1"/>
  <c r="K145" i="24"/>
  <c r="P145" i="24" s="1"/>
  <c r="G145" i="24"/>
  <c r="M144" i="24"/>
  <c r="X144" i="24" s="1"/>
  <c r="L144" i="24"/>
  <c r="K144" i="24"/>
  <c r="G144" i="24"/>
  <c r="M143" i="24"/>
  <c r="X143" i="24" s="1"/>
  <c r="L143" i="24"/>
  <c r="K143" i="24"/>
  <c r="G143" i="24"/>
  <c r="M142" i="24"/>
  <c r="X142" i="24" s="1"/>
  <c r="L142" i="24"/>
  <c r="K142" i="24"/>
  <c r="G142" i="24"/>
  <c r="V141" i="24"/>
  <c r="U141" i="24"/>
  <c r="M141" i="24"/>
  <c r="X141" i="24" s="1"/>
  <c r="L141" i="24"/>
  <c r="K141" i="24"/>
  <c r="P141" i="24" s="1"/>
  <c r="N141" i="24" s="1"/>
  <c r="Y141" i="24" s="1"/>
  <c r="G141" i="24"/>
  <c r="M140" i="24"/>
  <c r="X140" i="24" s="1"/>
  <c r="L140" i="24"/>
  <c r="K140" i="24"/>
  <c r="G140" i="24"/>
  <c r="M139" i="24"/>
  <c r="X139" i="24" s="1"/>
  <c r="L139" i="24"/>
  <c r="K139" i="24"/>
  <c r="G139" i="24"/>
  <c r="M138" i="24"/>
  <c r="X138" i="24" s="1"/>
  <c r="L138" i="24"/>
  <c r="K138" i="24"/>
  <c r="G138" i="24"/>
  <c r="V137" i="24"/>
  <c r="U137" i="24"/>
  <c r="M137" i="24"/>
  <c r="X137" i="24" s="1"/>
  <c r="L137" i="24"/>
  <c r="Q137" i="24" s="1"/>
  <c r="O137" i="24" s="1"/>
  <c r="Z137" i="24" s="1"/>
  <c r="K137" i="24"/>
  <c r="P137" i="24" s="1"/>
  <c r="N137" i="24" s="1"/>
  <c r="Y137" i="24" s="1"/>
  <c r="G137" i="24"/>
  <c r="M136" i="24"/>
  <c r="X136" i="24" s="1"/>
  <c r="L136" i="24"/>
  <c r="K136" i="24"/>
  <c r="G136" i="24"/>
  <c r="M135" i="24"/>
  <c r="X135" i="24" s="1"/>
  <c r="L135" i="24"/>
  <c r="K135" i="24"/>
  <c r="G135" i="24"/>
  <c r="V134" i="24"/>
  <c r="U134" i="24"/>
  <c r="M134" i="24"/>
  <c r="X134" i="24" s="1"/>
  <c r="L134" i="24"/>
  <c r="Q134" i="24" s="1"/>
  <c r="O134" i="24" s="1"/>
  <c r="Z134" i="24" s="1"/>
  <c r="K134" i="24"/>
  <c r="P134" i="24" s="1"/>
  <c r="N134" i="24" s="1"/>
  <c r="Y134" i="24" s="1"/>
  <c r="G134" i="24"/>
  <c r="M133" i="24"/>
  <c r="X133" i="24" s="1"/>
  <c r="L133" i="24"/>
  <c r="K133" i="24"/>
  <c r="G133" i="24"/>
  <c r="V132" i="24"/>
  <c r="U132" i="24"/>
  <c r="M132" i="24"/>
  <c r="X132" i="24" s="1"/>
  <c r="L132" i="24"/>
  <c r="Q132" i="24" s="1"/>
  <c r="O132" i="24" s="1"/>
  <c r="Z132" i="24" s="1"/>
  <c r="K132" i="24"/>
  <c r="M131" i="24"/>
  <c r="X131" i="24" s="1"/>
  <c r="L131" i="24"/>
  <c r="K131" i="24"/>
  <c r="G131" i="24"/>
  <c r="M130" i="24"/>
  <c r="X130" i="24" s="1"/>
  <c r="L130" i="24"/>
  <c r="K130" i="24"/>
  <c r="G130" i="24"/>
  <c r="V129" i="24"/>
  <c r="U129" i="24"/>
  <c r="M129" i="24"/>
  <c r="X129" i="24" s="1"/>
  <c r="L129" i="24"/>
  <c r="Q129" i="24" s="1"/>
  <c r="O129" i="24" s="1"/>
  <c r="Z129" i="24" s="1"/>
  <c r="K129" i="24"/>
  <c r="P130" i="24" s="1"/>
  <c r="N130" i="24" s="1"/>
  <c r="Y130" i="24" s="1"/>
  <c r="G129" i="24"/>
  <c r="M128" i="24"/>
  <c r="X128" i="24" s="1"/>
  <c r="L128" i="24"/>
  <c r="K128" i="24"/>
  <c r="G128" i="24"/>
  <c r="M127" i="24"/>
  <c r="X127" i="24" s="1"/>
  <c r="L127" i="24"/>
  <c r="K127" i="24"/>
  <c r="G127" i="24"/>
  <c r="M126" i="24"/>
  <c r="X126" i="24" s="1"/>
  <c r="L126" i="24"/>
  <c r="K126" i="24"/>
  <c r="G126" i="24"/>
  <c r="V125" i="24"/>
  <c r="U125" i="24"/>
  <c r="M125" i="24"/>
  <c r="X125" i="24" s="1"/>
  <c r="L125" i="24"/>
  <c r="K125" i="24"/>
  <c r="P128" i="24" s="1"/>
  <c r="N128" i="24" s="1"/>
  <c r="Y128" i="24" s="1"/>
  <c r="G125" i="24"/>
  <c r="M124" i="24"/>
  <c r="X124" i="24" s="1"/>
  <c r="L124" i="24"/>
  <c r="K124" i="24"/>
  <c r="G124" i="24"/>
  <c r="M123" i="24"/>
  <c r="X123" i="24" s="1"/>
  <c r="L123" i="24"/>
  <c r="K123" i="24"/>
  <c r="G123" i="24"/>
  <c r="M122" i="24"/>
  <c r="X122" i="24" s="1"/>
  <c r="L122" i="24"/>
  <c r="K122" i="24"/>
  <c r="G122" i="24"/>
  <c r="V121" i="24"/>
  <c r="U121" i="24"/>
  <c r="M121" i="24"/>
  <c r="X121" i="24" s="1"/>
  <c r="L121" i="24"/>
  <c r="Q121" i="24" s="1"/>
  <c r="O121" i="24" s="1"/>
  <c r="Z121" i="24" s="1"/>
  <c r="K121" i="24"/>
  <c r="G121" i="24"/>
  <c r="M120" i="24"/>
  <c r="X120" i="24" s="1"/>
  <c r="L120" i="24"/>
  <c r="K120" i="24"/>
  <c r="G120" i="24"/>
  <c r="M119" i="24"/>
  <c r="X119" i="24" s="1"/>
  <c r="L119" i="24"/>
  <c r="K119" i="24"/>
  <c r="G119" i="24"/>
  <c r="V118" i="24"/>
  <c r="U118" i="24"/>
  <c r="M118" i="24"/>
  <c r="X118" i="24" s="1"/>
  <c r="L118" i="24"/>
  <c r="Q119" i="24" s="1"/>
  <c r="O119" i="24" s="1"/>
  <c r="Z119" i="24" s="1"/>
  <c r="K118" i="24"/>
  <c r="G118" i="24"/>
  <c r="M117" i="24"/>
  <c r="X117" i="24" s="1"/>
  <c r="L117" i="24"/>
  <c r="K117" i="24"/>
  <c r="G117" i="24"/>
  <c r="M116" i="24"/>
  <c r="X116" i="24" s="1"/>
  <c r="L116" i="24"/>
  <c r="K116" i="24"/>
  <c r="G116" i="24"/>
  <c r="V115" i="24"/>
  <c r="U115" i="24"/>
  <c r="M115" i="24"/>
  <c r="L115" i="24"/>
  <c r="Q115" i="24" s="1"/>
  <c r="O115" i="24" s="1"/>
  <c r="Z115" i="24" s="1"/>
  <c r="K115" i="24"/>
  <c r="P115" i="24" s="1"/>
  <c r="N115" i="24" s="1"/>
  <c r="Y115" i="24" s="1"/>
  <c r="G115" i="24"/>
  <c r="M114" i="24"/>
  <c r="X114" i="24" s="1"/>
  <c r="L114" i="24"/>
  <c r="K114" i="24"/>
  <c r="G114" i="24"/>
  <c r="M113" i="24"/>
  <c r="X113" i="24" s="1"/>
  <c r="L113" i="24"/>
  <c r="K113" i="24"/>
  <c r="G113" i="24"/>
  <c r="V112" i="24"/>
  <c r="U112" i="24"/>
  <c r="M112" i="24"/>
  <c r="X112" i="24" s="1"/>
  <c r="L112" i="24"/>
  <c r="K112" i="24"/>
  <c r="G112" i="24"/>
  <c r="M111" i="24"/>
  <c r="X111" i="24" s="1"/>
  <c r="L111" i="24"/>
  <c r="K111" i="24"/>
  <c r="G111" i="24"/>
  <c r="V110" i="24"/>
  <c r="U110" i="24"/>
  <c r="M110" i="24"/>
  <c r="X110" i="24" s="1"/>
  <c r="L110" i="24"/>
  <c r="K110" i="24"/>
  <c r="G110" i="24"/>
  <c r="M109" i="24"/>
  <c r="X109" i="24" s="1"/>
  <c r="L109" i="24"/>
  <c r="K109" i="24"/>
  <c r="G109" i="24"/>
  <c r="M108" i="24"/>
  <c r="X108" i="24" s="1"/>
  <c r="L108" i="24"/>
  <c r="K108" i="24"/>
  <c r="G108" i="24"/>
  <c r="M107" i="24"/>
  <c r="X107" i="24" s="1"/>
  <c r="L107" i="24"/>
  <c r="K107" i="24"/>
  <c r="G107" i="24"/>
  <c r="V106" i="24"/>
  <c r="U106" i="24"/>
  <c r="M106" i="24"/>
  <c r="X106" i="24" s="1"/>
  <c r="L106" i="24"/>
  <c r="Q106" i="24" s="1"/>
  <c r="O106" i="24" s="1"/>
  <c r="Z106" i="24" s="1"/>
  <c r="K106" i="24"/>
  <c r="P106" i="24" s="1"/>
  <c r="N106" i="24" s="1"/>
  <c r="Y106" i="24" s="1"/>
  <c r="G106" i="24"/>
  <c r="M105" i="24"/>
  <c r="X105" i="24" s="1"/>
  <c r="L105" i="24"/>
  <c r="K105" i="24"/>
  <c r="G105" i="24"/>
  <c r="V104" i="24"/>
  <c r="U104" i="24"/>
  <c r="M104" i="24"/>
  <c r="X104" i="24" s="1"/>
  <c r="L104" i="24"/>
  <c r="Q104" i="24" s="1"/>
  <c r="O104" i="24" s="1"/>
  <c r="Z104" i="24" s="1"/>
  <c r="K104" i="24"/>
  <c r="P104" i="24" s="1"/>
  <c r="N104" i="24" s="1"/>
  <c r="Y104" i="24" s="1"/>
  <c r="G104" i="24"/>
  <c r="M103" i="24"/>
  <c r="X103" i="24" s="1"/>
  <c r="L103" i="24"/>
  <c r="K103" i="24"/>
  <c r="G103" i="24"/>
  <c r="V102" i="24"/>
  <c r="U102" i="24"/>
  <c r="M102" i="24"/>
  <c r="X102" i="24" s="1"/>
  <c r="L102" i="24"/>
  <c r="Q102" i="24" s="1"/>
  <c r="O102" i="24" s="1"/>
  <c r="Z102" i="24" s="1"/>
  <c r="K102" i="24"/>
  <c r="P102" i="24" s="1"/>
  <c r="N102" i="24" s="1"/>
  <c r="Y102" i="24" s="1"/>
  <c r="G102" i="24"/>
  <c r="M101" i="24"/>
  <c r="X101" i="24" s="1"/>
  <c r="L101" i="24"/>
  <c r="K101" i="24"/>
  <c r="G101" i="24"/>
  <c r="M100" i="24"/>
  <c r="X100" i="24" s="1"/>
  <c r="L100" i="24"/>
  <c r="K100" i="24"/>
  <c r="G100" i="24"/>
  <c r="V99" i="24"/>
  <c r="U99" i="24"/>
  <c r="M99" i="24"/>
  <c r="X99" i="24" s="1"/>
  <c r="L99" i="24"/>
  <c r="K99" i="24"/>
  <c r="P100" i="24" s="1"/>
  <c r="N100" i="24" s="1"/>
  <c r="Y100" i="24" s="1"/>
  <c r="G99" i="24"/>
  <c r="V98" i="24"/>
  <c r="U98" i="24"/>
  <c r="M98" i="24"/>
  <c r="X98" i="24" s="1"/>
  <c r="L98" i="24"/>
  <c r="Q98" i="24" s="1"/>
  <c r="O98" i="24" s="1"/>
  <c r="Z98" i="24" s="1"/>
  <c r="K98" i="24"/>
  <c r="P98" i="24" s="1"/>
  <c r="N98" i="24" s="1"/>
  <c r="Y98" i="24" s="1"/>
  <c r="G98" i="24"/>
  <c r="M97" i="24"/>
  <c r="X97" i="24" s="1"/>
  <c r="L97" i="24"/>
  <c r="K97" i="24"/>
  <c r="V96" i="24"/>
  <c r="U96" i="24"/>
  <c r="M96" i="24"/>
  <c r="X96" i="24" s="1"/>
  <c r="L96" i="24"/>
  <c r="K96" i="24"/>
  <c r="P96" i="24" s="1"/>
  <c r="N96" i="24" s="1"/>
  <c r="Y96" i="24" s="1"/>
  <c r="G96" i="24"/>
  <c r="M95" i="24"/>
  <c r="X95" i="24" s="1"/>
  <c r="L95" i="24"/>
  <c r="K95" i="24"/>
  <c r="G95" i="24"/>
  <c r="M94" i="24"/>
  <c r="X94" i="24" s="1"/>
  <c r="L94" i="24"/>
  <c r="K94" i="24"/>
  <c r="G94" i="24"/>
  <c r="V93" i="24"/>
  <c r="U93" i="24"/>
  <c r="M93" i="24"/>
  <c r="X93" i="24" s="1"/>
  <c r="L93" i="24"/>
  <c r="K93" i="24"/>
  <c r="G93" i="24"/>
  <c r="M92" i="24"/>
  <c r="X92" i="24" s="1"/>
  <c r="L92" i="24"/>
  <c r="K92" i="24"/>
  <c r="G92" i="24"/>
  <c r="M91" i="24"/>
  <c r="X91" i="24" s="1"/>
  <c r="L91" i="24"/>
  <c r="K91" i="24"/>
  <c r="G91" i="24"/>
  <c r="V90" i="24"/>
  <c r="U90" i="24"/>
  <c r="M90" i="24"/>
  <c r="L90" i="24"/>
  <c r="K90" i="24"/>
  <c r="G90" i="24"/>
  <c r="M89" i="24"/>
  <c r="X89" i="24" s="1"/>
  <c r="L89" i="24"/>
  <c r="K89" i="24"/>
  <c r="G89" i="24"/>
  <c r="M88" i="24"/>
  <c r="X88" i="24" s="1"/>
  <c r="L88" i="24"/>
  <c r="K88" i="24"/>
  <c r="G88" i="24"/>
  <c r="M87" i="24"/>
  <c r="X87" i="24" s="1"/>
  <c r="L87" i="24"/>
  <c r="K87" i="24"/>
  <c r="G87" i="24"/>
  <c r="V86" i="24"/>
  <c r="U86" i="24"/>
  <c r="M86" i="24"/>
  <c r="X86" i="24" s="1"/>
  <c r="L86" i="24"/>
  <c r="K86" i="24"/>
  <c r="P89" i="24" s="1"/>
  <c r="N89" i="24" s="1"/>
  <c r="Y89" i="24" s="1"/>
  <c r="G86" i="24"/>
  <c r="M85" i="24"/>
  <c r="X85" i="24" s="1"/>
  <c r="L85" i="24"/>
  <c r="K85" i="24"/>
  <c r="V84" i="24"/>
  <c r="U84" i="24"/>
  <c r="M84" i="24"/>
  <c r="X84" i="24" s="1"/>
  <c r="L84" i="24"/>
  <c r="K84" i="24"/>
  <c r="G84" i="24"/>
  <c r="M83" i="24"/>
  <c r="X83" i="24" s="1"/>
  <c r="L83" i="24"/>
  <c r="K83" i="24"/>
  <c r="G83" i="24"/>
  <c r="M82" i="24"/>
  <c r="X82" i="24" s="1"/>
  <c r="L82" i="24"/>
  <c r="K82" i="24"/>
  <c r="G82" i="24"/>
  <c r="M81" i="24"/>
  <c r="X81" i="24" s="1"/>
  <c r="L81" i="24"/>
  <c r="K81" i="24"/>
  <c r="G81" i="24"/>
  <c r="V80" i="24"/>
  <c r="U80" i="24"/>
  <c r="M80" i="24"/>
  <c r="X80" i="24" s="1"/>
  <c r="L80" i="24"/>
  <c r="Q80" i="24" s="1"/>
  <c r="O80" i="24" s="1"/>
  <c r="Z80" i="24" s="1"/>
  <c r="K80" i="24"/>
  <c r="G80" i="24"/>
  <c r="V79" i="24"/>
  <c r="U79" i="24"/>
  <c r="M79" i="24"/>
  <c r="X79" i="24" s="1"/>
  <c r="L79" i="24"/>
  <c r="K79" i="24"/>
  <c r="G79" i="24"/>
  <c r="M78" i="24"/>
  <c r="X78" i="24" s="1"/>
  <c r="L78" i="24"/>
  <c r="K78" i="24"/>
  <c r="G78" i="24"/>
  <c r="V77" i="24"/>
  <c r="U77" i="24"/>
  <c r="M77" i="24"/>
  <c r="X77" i="24" s="1"/>
  <c r="L77" i="24"/>
  <c r="K77" i="24"/>
  <c r="M76" i="24"/>
  <c r="X76" i="24" s="1"/>
  <c r="L76" i="24"/>
  <c r="K76" i="24"/>
  <c r="G76" i="24"/>
  <c r="M75" i="24"/>
  <c r="X75" i="24" s="1"/>
  <c r="L75" i="24"/>
  <c r="K75" i="24"/>
  <c r="G75" i="24"/>
  <c r="M74" i="24"/>
  <c r="X74" i="24" s="1"/>
  <c r="L74" i="24"/>
  <c r="K74" i="24"/>
  <c r="G74" i="24"/>
  <c r="V73" i="24"/>
  <c r="U73" i="24"/>
  <c r="M73" i="24"/>
  <c r="X73" i="24" s="1"/>
  <c r="L73" i="24"/>
  <c r="Q76" i="24" s="1"/>
  <c r="O76" i="24" s="1"/>
  <c r="Z76" i="24" s="1"/>
  <c r="K73" i="24"/>
  <c r="G73" i="24"/>
  <c r="M72" i="24"/>
  <c r="X72" i="24" s="1"/>
  <c r="L72" i="24"/>
  <c r="K72" i="24"/>
  <c r="G72" i="24"/>
  <c r="M71" i="24"/>
  <c r="X71" i="24" s="1"/>
  <c r="L71" i="24"/>
  <c r="K71" i="24"/>
  <c r="G71" i="24"/>
  <c r="V70" i="24"/>
  <c r="U70" i="24"/>
  <c r="M70" i="24"/>
  <c r="X70" i="24" s="1"/>
  <c r="L70" i="24"/>
  <c r="K70" i="24"/>
  <c r="G70" i="24"/>
  <c r="V69" i="24"/>
  <c r="U69" i="24"/>
  <c r="M69" i="24"/>
  <c r="X69" i="24" s="1"/>
  <c r="L69" i="24"/>
  <c r="K69" i="24"/>
  <c r="G69" i="24"/>
  <c r="V68" i="24"/>
  <c r="U68" i="24"/>
  <c r="M68" i="24"/>
  <c r="X68" i="24" s="1"/>
  <c r="L68" i="24"/>
  <c r="Q68" i="24" s="1"/>
  <c r="O68" i="24" s="1"/>
  <c r="Z68" i="24" s="1"/>
  <c r="K68" i="24"/>
  <c r="P68" i="24" s="1"/>
  <c r="N68" i="24" s="1"/>
  <c r="Y68" i="24" s="1"/>
  <c r="G68" i="24"/>
  <c r="M67" i="24"/>
  <c r="X67" i="24" s="1"/>
  <c r="L67" i="24"/>
  <c r="K67" i="24"/>
  <c r="G67" i="24"/>
  <c r="M66" i="24"/>
  <c r="X66" i="24" s="1"/>
  <c r="L66" i="24"/>
  <c r="K66" i="24"/>
  <c r="G66" i="24"/>
  <c r="M65" i="24"/>
  <c r="X65" i="24" s="1"/>
  <c r="L65" i="24"/>
  <c r="K65" i="24"/>
  <c r="G65" i="24"/>
  <c r="M64" i="24"/>
  <c r="X64" i="24" s="1"/>
  <c r="L64" i="24"/>
  <c r="K64" i="24"/>
  <c r="G64" i="24"/>
  <c r="V63" i="24"/>
  <c r="U63" i="24"/>
  <c r="M63" i="24"/>
  <c r="X63" i="24" s="1"/>
  <c r="L63" i="24"/>
  <c r="K63" i="24"/>
  <c r="G63" i="24"/>
  <c r="M62" i="24"/>
  <c r="X62" i="24" s="1"/>
  <c r="L62" i="24"/>
  <c r="K62" i="24"/>
  <c r="G62" i="24"/>
  <c r="V61" i="24"/>
  <c r="U61" i="24"/>
  <c r="M61" i="24"/>
  <c r="X61" i="24" s="1"/>
  <c r="L61" i="24"/>
  <c r="Q61" i="24" s="1"/>
  <c r="O61" i="24" s="1"/>
  <c r="Z61" i="24" s="1"/>
  <c r="K61" i="24"/>
  <c r="G61" i="24"/>
  <c r="M60" i="24"/>
  <c r="X60" i="24" s="1"/>
  <c r="L60" i="24"/>
  <c r="K60" i="24"/>
  <c r="G60" i="24"/>
  <c r="M59" i="24"/>
  <c r="X59" i="24" s="1"/>
  <c r="L59" i="24"/>
  <c r="K59" i="24"/>
  <c r="G59" i="24"/>
  <c r="M58" i="24"/>
  <c r="X58" i="24" s="1"/>
  <c r="L58" i="24"/>
  <c r="K58" i="24"/>
  <c r="G58" i="24"/>
  <c r="V57" i="24"/>
  <c r="U57" i="24"/>
  <c r="M57" i="24"/>
  <c r="X57" i="24" s="1"/>
  <c r="L57" i="24"/>
  <c r="K57" i="24"/>
  <c r="P57" i="24" s="1"/>
  <c r="N57" i="24" s="1"/>
  <c r="Y57" i="24" s="1"/>
  <c r="G57" i="24"/>
  <c r="M56" i="24"/>
  <c r="X56" i="24" s="1"/>
  <c r="L56" i="24"/>
  <c r="K56" i="24"/>
  <c r="G56" i="24"/>
  <c r="M55" i="24"/>
  <c r="X55" i="24" s="1"/>
  <c r="L55" i="24"/>
  <c r="K55" i="24"/>
  <c r="G55" i="24"/>
  <c r="M54" i="24"/>
  <c r="X54" i="24" s="1"/>
  <c r="L54" i="24"/>
  <c r="K54" i="24"/>
  <c r="G54" i="24"/>
  <c r="M53" i="24"/>
  <c r="X53" i="24" s="1"/>
  <c r="L53" i="24"/>
  <c r="K53" i="24"/>
  <c r="G53" i="24"/>
  <c r="V52" i="24"/>
  <c r="U52" i="24"/>
  <c r="M52" i="24"/>
  <c r="X52" i="24" s="1"/>
  <c r="L52" i="24"/>
  <c r="Q52" i="24" s="1"/>
  <c r="O52" i="24" s="1"/>
  <c r="Z52" i="24" s="1"/>
  <c r="K52" i="24"/>
  <c r="G52" i="24"/>
  <c r="M51" i="24"/>
  <c r="X51" i="24" s="1"/>
  <c r="L51" i="24"/>
  <c r="K51" i="24"/>
  <c r="G51" i="24"/>
  <c r="M50" i="24"/>
  <c r="X50" i="24" s="1"/>
  <c r="L50" i="24"/>
  <c r="K50" i="24"/>
  <c r="G50" i="24"/>
  <c r="M49" i="24"/>
  <c r="X49" i="24" s="1"/>
  <c r="L49" i="24"/>
  <c r="K49" i="24"/>
  <c r="G49" i="24"/>
  <c r="V48" i="24"/>
  <c r="U48" i="24"/>
  <c r="M48" i="24"/>
  <c r="X48" i="24" s="1"/>
  <c r="L48" i="24"/>
  <c r="K48" i="24"/>
  <c r="G48" i="24"/>
  <c r="M47" i="24"/>
  <c r="X47" i="24" s="1"/>
  <c r="L47" i="24"/>
  <c r="K47" i="24"/>
  <c r="G47" i="24"/>
  <c r="M46" i="24"/>
  <c r="X46" i="24" s="1"/>
  <c r="L46" i="24"/>
  <c r="K46" i="24"/>
  <c r="G46" i="24"/>
  <c r="V45" i="24"/>
  <c r="U45" i="24"/>
  <c r="M45" i="24"/>
  <c r="X45" i="24" s="1"/>
  <c r="L45" i="24"/>
  <c r="Q45" i="24" s="1"/>
  <c r="O45" i="24" s="1"/>
  <c r="Z45" i="24" s="1"/>
  <c r="K45" i="24"/>
  <c r="G45" i="24"/>
  <c r="M44" i="24"/>
  <c r="X44" i="24" s="1"/>
  <c r="L44" i="24"/>
  <c r="K44" i="24"/>
  <c r="G44" i="24"/>
  <c r="M43" i="24"/>
  <c r="X43" i="24" s="1"/>
  <c r="L43" i="24"/>
  <c r="K43" i="24"/>
  <c r="G43" i="24"/>
  <c r="M42" i="24"/>
  <c r="X42" i="24" s="1"/>
  <c r="L42" i="24"/>
  <c r="K42" i="24"/>
  <c r="G42" i="24"/>
  <c r="V41" i="24"/>
  <c r="U41" i="24"/>
  <c r="M41" i="24"/>
  <c r="X41" i="24" s="1"/>
  <c r="L41" i="24"/>
  <c r="K41" i="24"/>
  <c r="P41" i="24" s="1"/>
  <c r="N41" i="24" s="1"/>
  <c r="Y41" i="24" s="1"/>
  <c r="G41" i="24"/>
  <c r="M40" i="24"/>
  <c r="X40" i="24" s="1"/>
  <c r="L40" i="24"/>
  <c r="K40" i="24"/>
  <c r="G40" i="24"/>
  <c r="M39" i="24"/>
  <c r="X39" i="24" s="1"/>
  <c r="L39" i="24"/>
  <c r="K39" i="24"/>
  <c r="G39" i="24"/>
  <c r="M38" i="24"/>
  <c r="X38" i="24" s="1"/>
  <c r="L38" i="24"/>
  <c r="K38" i="24"/>
  <c r="G38" i="24"/>
  <c r="V37" i="24"/>
  <c r="U37" i="24"/>
  <c r="M37" i="24"/>
  <c r="X37" i="24" s="1"/>
  <c r="L37" i="24"/>
  <c r="Q40" i="24" s="1"/>
  <c r="O40" i="24" s="1"/>
  <c r="Z40" i="24" s="1"/>
  <c r="K37" i="24"/>
  <c r="G37" i="24"/>
  <c r="M36" i="24"/>
  <c r="X36" i="24" s="1"/>
  <c r="L36" i="24"/>
  <c r="K36" i="24"/>
  <c r="G36" i="24"/>
  <c r="M35" i="24"/>
  <c r="X35" i="24" s="1"/>
  <c r="L35" i="24"/>
  <c r="K35" i="24"/>
  <c r="G35" i="24"/>
  <c r="M34" i="24"/>
  <c r="X34" i="24" s="1"/>
  <c r="L34" i="24"/>
  <c r="K34" i="24"/>
  <c r="G34" i="24"/>
  <c r="V33" i="24"/>
  <c r="U33" i="24"/>
  <c r="M33" i="24"/>
  <c r="X33" i="24" s="1"/>
  <c r="L33" i="24"/>
  <c r="Q36" i="24" s="1"/>
  <c r="O36" i="24" s="1"/>
  <c r="Z36" i="24" s="1"/>
  <c r="K33" i="24"/>
  <c r="G33" i="24"/>
  <c r="V32" i="24"/>
  <c r="U32" i="24"/>
  <c r="M32" i="24"/>
  <c r="X32" i="24" s="1"/>
  <c r="L32" i="24"/>
  <c r="Q32" i="24" s="1"/>
  <c r="O32" i="24" s="1"/>
  <c r="Z32" i="24" s="1"/>
  <c r="K32" i="24"/>
  <c r="P32" i="24" s="1"/>
  <c r="N32" i="24" s="1"/>
  <c r="Y32" i="24" s="1"/>
  <c r="G32" i="24"/>
  <c r="M31" i="24"/>
  <c r="X31" i="24" s="1"/>
  <c r="L31" i="24"/>
  <c r="K31" i="24"/>
  <c r="G31" i="24"/>
  <c r="M30" i="24"/>
  <c r="X30" i="24" s="1"/>
  <c r="L30" i="24"/>
  <c r="K30" i="24"/>
  <c r="G30" i="24"/>
  <c r="M29" i="24"/>
  <c r="X29" i="24" s="1"/>
  <c r="L29" i="24"/>
  <c r="K29" i="24"/>
  <c r="G29" i="24"/>
  <c r="V28" i="24"/>
  <c r="U28" i="24"/>
  <c r="M28" i="24"/>
  <c r="X28" i="24" s="1"/>
  <c r="L28" i="24"/>
  <c r="K28" i="24"/>
  <c r="G28" i="24"/>
  <c r="M27" i="24"/>
  <c r="X27" i="24" s="1"/>
  <c r="L27" i="24"/>
  <c r="K27" i="24"/>
  <c r="G27" i="24"/>
  <c r="M26" i="24"/>
  <c r="X26" i="24" s="1"/>
  <c r="L26" i="24"/>
  <c r="K26" i="24"/>
  <c r="G26" i="24"/>
  <c r="V25" i="24"/>
  <c r="U25" i="24"/>
  <c r="M25" i="24"/>
  <c r="X25" i="24" s="1"/>
  <c r="L25" i="24"/>
  <c r="Q25" i="24" s="1"/>
  <c r="O25" i="24" s="1"/>
  <c r="Z25" i="24" s="1"/>
  <c r="K25" i="24"/>
  <c r="G25" i="24"/>
  <c r="M24" i="24"/>
  <c r="X24" i="24" s="1"/>
  <c r="L24" i="24"/>
  <c r="K24" i="24"/>
  <c r="G24" i="24"/>
  <c r="V23" i="24"/>
  <c r="U23" i="24"/>
  <c r="M23" i="24"/>
  <c r="X23" i="24" s="1"/>
  <c r="L23" i="24"/>
  <c r="Q23" i="24" s="1"/>
  <c r="O23" i="24" s="1"/>
  <c r="Z23" i="24" s="1"/>
  <c r="K23" i="24"/>
  <c r="G23" i="24"/>
  <c r="M22" i="24"/>
  <c r="X22" i="24" s="1"/>
  <c r="L22" i="24"/>
  <c r="K22" i="24"/>
  <c r="G22" i="24"/>
  <c r="M21" i="24"/>
  <c r="X21" i="24" s="1"/>
  <c r="L21" i="24"/>
  <c r="K21" i="24"/>
  <c r="G21" i="24"/>
  <c r="M20" i="24"/>
  <c r="X20" i="24" s="1"/>
  <c r="L20" i="24"/>
  <c r="K20" i="24"/>
  <c r="G20" i="24"/>
  <c r="M19" i="24"/>
  <c r="X19" i="24" s="1"/>
  <c r="L19" i="24"/>
  <c r="K19" i="24"/>
  <c r="G19" i="24"/>
  <c r="V18" i="24"/>
  <c r="U18" i="24"/>
  <c r="M18" i="24"/>
  <c r="X18" i="24" s="1"/>
  <c r="L18" i="24"/>
  <c r="K18" i="24"/>
  <c r="P21" i="24" s="1"/>
  <c r="N21" i="24" s="1"/>
  <c r="Y21" i="24" s="1"/>
  <c r="G18" i="24"/>
  <c r="M17" i="24"/>
  <c r="X17" i="24" s="1"/>
  <c r="L17" i="24"/>
  <c r="K17" i="24"/>
  <c r="G17" i="24"/>
  <c r="M16" i="24"/>
  <c r="X16" i="24" s="1"/>
  <c r="L16" i="24"/>
  <c r="K16" i="24"/>
  <c r="G16" i="24"/>
  <c r="M15" i="24"/>
  <c r="X15" i="24" s="1"/>
  <c r="L15" i="24"/>
  <c r="K15" i="24"/>
  <c r="G15" i="24"/>
  <c r="V14" i="24"/>
  <c r="U14" i="24"/>
  <c r="M14" i="24"/>
  <c r="X14" i="24" s="1"/>
  <c r="L14" i="24"/>
  <c r="Q14" i="24" s="1"/>
  <c r="O14" i="24" s="1"/>
  <c r="Z14" i="24" s="1"/>
  <c r="K14" i="24"/>
  <c r="P14" i="24" s="1"/>
  <c r="N14" i="24" s="1"/>
  <c r="Y14" i="24" s="1"/>
  <c r="G14" i="24"/>
  <c r="M13" i="24"/>
  <c r="X13" i="24" s="1"/>
  <c r="L13" i="24"/>
  <c r="K13" i="24"/>
  <c r="G13" i="24"/>
  <c r="V12" i="24"/>
  <c r="U12" i="24"/>
  <c r="M12" i="24"/>
  <c r="X12" i="24" s="1"/>
  <c r="L12" i="24"/>
  <c r="Q12" i="24" s="1"/>
  <c r="O12" i="24" s="1"/>
  <c r="Z12" i="24" s="1"/>
  <c r="K12" i="24"/>
  <c r="P12" i="24" s="1"/>
  <c r="N12" i="24" s="1"/>
  <c r="Y12" i="24" s="1"/>
  <c r="G12" i="24"/>
  <c r="M11" i="24"/>
  <c r="X11" i="24" s="1"/>
  <c r="L11" i="24"/>
  <c r="K11" i="24"/>
  <c r="G11" i="24"/>
  <c r="M10" i="24"/>
  <c r="X10" i="24" s="1"/>
  <c r="L10" i="24"/>
  <c r="K10" i="24"/>
  <c r="G10" i="24"/>
  <c r="M9" i="24"/>
  <c r="X9" i="24" s="1"/>
  <c r="L9" i="24"/>
  <c r="K9" i="24"/>
  <c r="G9" i="24"/>
  <c r="V8" i="24"/>
  <c r="U8" i="24"/>
  <c r="M8" i="24"/>
  <c r="X8" i="24" s="1"/>
  <c r="L8" i="24"/>
  <c r="K8" i="24"/>
  <c r="G8" i="24"/>
  <c r="M7" i="24"/>
  <c r="X7" i="24" s="1"/>
  <c r="L7" i="24"/>
  <c r="K7" i="24"/>
  <c r="G7" i="24"/>
  <c r="M6" i="24"/>
  <c r="X6" i="24" s="1"/>
  <c r="L6" i="24"/>
  <c r="K6" i="24"/>
  <c r="G6" i="24"/>
  <c r="M5" i="24"/>
  <c r="X5" i="24" s="1"/>
  <c r="L5" i="24"/>
  <c r="K5" i="24"/>
  <c r="G5" i="24"/>
  <c r="V4" i="24"/>
  <c r="U4" i="24"/>
  <c r="M4" i="24"/>
  <c r="X4" i="24" s="1"/>
  <c r="L4" i="24"/>
  <c r="K4" i="24"/>
  <c r="P7" i="24" s="1"/>
  <c r="N7" i="24" s="1"/>
  <c r="Y7" i="24" s="1"/>
  <c r="G4" i="24"/>
  <c r="AA79" i="15"/>
  <c r="Z79" i="15"/>
  <c r="Q79" i="15"/>
  <c r="L79" i="15"/>
  <c r="K79" i="15"/>
  <c r="AA78" i="15"/>
  <c r="Z78" i="15"/>
  <c r="Q78" i="15"/>
  <c r="P78" i="15"/>
  <c r="L78" i="15"/>
  <c r="K78" i="15"/>
  <c r="T78" i="15" s="1"/>
  <c r="R78" i="15" s="1"/>
  <c r="AA76" i="15"/>
  <c r="Z76" i="15"/>
  <c r="Q76" i="15"/>
  <c r="L76" i="15"/>
  <c r="U76" i="15" s="1"/>
  <c r="S76" i="15" s="1"/>
  <c r="K76" i="15"/>
  <c r="AA75" i="15"/>
  <c r="Z75" i="15"/>
  <c r="Q75" i="15"/>
  <c r="P75" i="15"/>
  <c r="L75" i="15"/>
  <c r="K75" i="15"/>
  <c r="AA73" i="15"/>
  <c r="Z73" i="15"/>
  <c r="Q73" i="15"/>
  <c r="L73" i="15"/>
  <c r="K73" i="15"/>
  <c r="T73" i="15" s="1"/>
  <c r="R73" i="15" s="1"/>
  <c r="AA72" i="15"/>
  <c r="Z72" i="15"/>
  <c r="Q72" i="15"/>
  <c r="P72" i="15"/>
  <c r="L72" i="15"/>
  <c r="U72" i="15" s="1"/>
  <c r="S72" i="15" s="1"/>
  <c r="K72" i="15"/>
  <c r="AA70" i="15"/>
  <c r="Z70" i="15"/>
  <c r="Q70" i="15"/>
  <c r="L70" i="15"/>
  <c r="K70" i="15"/>
  <c r="T70" i="15" s="1"/>
  <c r="R70" i="15" s="1"/>
  <c r="AA69" i="15"/>
  <c r="Z69" i="15"/>
  <c r="Q69" i="15"/>
  <c r="P69" i="15"/>
  <c r="L69" i="15"/>
  <c r="U69" i="15" s="1"/>
  <c r="S69" i="15" s="1"/>
  <c r="K69" i="15"/>
  <c r="T69" i="15" s="1"/>
  <c r="R69" i="15" s="1"/>
  <c r="AA67" i="15"/>
  <c r="Z67" i="15"/>
  <c r="Q67" i="15"/>
  <c r="L67" i="15"/>
  <c r="K67" i="15"/>
  <c r="AA66" i="15"/>
  <c r="Z66" i="15"/>
  <c r="Q66" i="15"/>
  <c r="P66" i="15"/>
  <c r="L66" i="15"/>
  <c r="K66" i="15"/>
  <c r="AA64" i="15"/>
  <c r="Z64" i="15"/>
  <c r="Q64" i="15"/>
  <c r="L64" i="15"/>
  <c r="U64" i="15" s="1"/>
  <c r="S64" i="15" s="1"/>
  <c r="K64" i="15"/>
  <c r="AA63" i="15"/>
  <c r="Z63" i="15"/>
  <c r="Q63" i="15"/>
  <c r="P63" i="15"/>
  <c r="L63" i="15"/>
  <c r="K63" i="15"/>
  <c r="AA61" i="15"/>
  <c r="Z61" i="15"/>
  <c r="Q61" i="15"/>
  <c r="L61" i="15"/>
  <c r="U61" i="15" s="1"/>
  <c r="S61" i="15" s="1"/>
  <c r="K61" i="15"/>
  <c r="T61" i="15" s="1"/>
  <c r="R61" i="15" s="1"/>
  <c r="AA60" i="15"/>
  <c r="Z60" i="15"/>
  <c r="Q60" i="15"/>
  <c r="P60" i="15"/>
  <c r="L60" i="15"/>
  <c r="U60" i="15" s="1"/>
  <c r="S60" i="15" s="1"/>
  <c r="K60" i="15"/>
  <c r="AA58" i="15"/>
  <c r="Z58" i="15"/>
  <c r="Q58" i="15"/>
  <c r="L58" i="15"/>
  <c r="K58" i="15"/>
  <c r="AA57" i="15"/>
  <c r="Z57" i="15"/>
  <c r="Q57" i="15"/>
  <c r="P57" i="15"/>
  <c r="L57" i="15"/>
  <c r="K57" i="15"/>
  <c r="T57" i="15" s="1"/>
  <c r="R57" i="15" s="1"/>
  <c r="AA55" i="15"/>
  <c r="Z55" i="15"/>
  <c r="Q55" i="15"/>
  <c r="L55" i="15"/>
  <c r="K55" i="15"/>
  <c r="AA54" i="15"/>
  <c r="Z54" i="15"/>
  <c r="Q54" i="15"/>
  <c r="P54" i="15"/>
  <c r="L54" i="15"/>
  <c r="K54" i="15"/>
  <c r="T54" i="15" s="1"/>
  <c r="R54" i="15" s="1"/>
  <c r="AA52" i="15"/>
  <c r="Z52" i="15"/>
  <c r="Q52" i="15"/>
  <c r="L52" i="15"/>
  <c r="U52" i="15" s="1"/>
  <c r="S52" i="15" s="1"/>
  <c r="K52" i="15"/>
  <c r="AA51" i="15"/>
  <c r="Z51" i="15"/>
  <c r="Q51" i="15"/>
  <c r="P51" i="15"/>
  <c r="L51" i="15"/>
  <c r="K51" i="15"/>
  <c r="AA49" i="15"/>
  <c r="Z49" i="15"/>
  <c r="Q49" i="15"/>
  <c r="L49" i="15"/>
  <c r="K49" i="15"/>
  <c r="T49" i="15" s="1"/>
  <c r="R49" i="15" s="1"/>
  <c r="AA48" i="15"/>
  <c r="Z48" i="15"/>
  <c r="Q48" i="15"/>
  <c r="P48" i="15"/>
  <c r="L48" i="15"/>
  <c r="U48" i="15" s="1"/>
  <c r="S48" i="15" s="1"/>
  <c r="K48" i="15"/>
  <c r="AA46" i="15"/>
  <c r="U46" i="15" s="1"/>
  <c r="Z46" i="15"/>
  <c r="T46" i="15" s="1"/>
  <c r="Q46" i="15"/>
  <c r="AA45" i="15"/>
  <c r="U45" i="15" s="1"/>
  <c r="Z45" i="15"/>
  <c r="T45" i="15" s="1"/>
  <c r="Q45" i="15"/>
  <c r="P45" i="15"/>
  <c r="AA43" i="15"/>
  <c r="U43" i="15" s="1"/>
  <c r="Z43" i="15"/>
  <c r="T43" i="15" s="1"/>
  <c r="Q43" i="15"/>
  <c r="AA42" i="15"/>
  <c r="Z42" i="15"/>
  <c r="T42" i="15" s="1"/>
  <c r="U42" i="15"/>
  <c r="Q42" i="15"/>
  <c r="P42" i="15"/>
  <c r="AA40" i="15"/>
  <c r="Z40" i="15"/>
  <c r="T40" i="15" s="1"/>
  <c r="U40" i="15"/>
  <c r="Q40" i="15"/>
  <c r="P40" i="15"/>
  <c r="AA39" i="15"/>
  <c r="Z39" i="15"/>
  <c r="T39" i="15" s="1"/>
  <c r="U39" i="15"/>
  <c r="Q39" i="15"/>
  <c r="R39" i="15" s="1"/>
  <c r="P39" i="15"/>
  <c r="AA37" i="15"/>
  <c r="Z37" i="15"/>
  <c r="T37" i="15" s="1"/>
  <c r="U37" i="15"/>
  <c r="Q37" i="15"/>
  <c r="AA36" i="15"/>
  <c r="U36" i="15" s="1"/>
  <c r="Z36" i="15"/>
  <c r="T36" i="15"/>
  <c r="Q36" i="15"/>
  <c r="P36" i="15"/>
  <c r="AA34" i="15"/>
  <c r="U34" i="15" s="1"/>
  <c r="Z34" i="15"/>
  <c r="T34" i="15"/>
  <c r="Q34" i="15"/>
  <c r="AA33" i="15"/>
  <c r="U33" i="15" s="1"/>
  <c r="Z33" i="15"/>
  <c r="T33" i="15" s="1"/>
  <c r="Q33" i="15"/>
  <c r="P33" i="15"/>
  <c r="AA31" i="15"/>
  <c r="U31" i="15" s="1"/>
  <c r="Z31" i="15"/>
  <c r="T31" i="15" s="1"/>
  <c r="Q31" i="15"/>
  <c r="P31" i="15"/>
  <c r="AA30" i="15"/>
  <c r="U30" i="15" s="1"/>
  <c r="Z30" i="15"/>
  <c r="T30" i="15" s="1"/>
  <c r="Q30" i="15"/>
  <c r="P30" i="15"/>
  <c r="AA28" i="15"/>
  <c r="U28" i="15" s="1"/>
  <c r="Z28" i="15"/>
  <c r="T28" i="15" s="1"/>
  <c r="Q28" i="15"/>
  <c r="AA27" i="15"/>
  <c r="U27" i="15" s="1"/>
  <c r="Z27" i="15"/>
  <c r="T27" i="15" s="1"/>
  <c r="Q27" i="15"/>
  <c r="P27" i="15"/>
  <c r="AA25" i="15"/>
  <c r="U25" i="15" s="1"/>
  <c r="Z25" i="15"/>
  <c r="T25" i="15" s="1"/>
  <c r="Q25" i="15"/>
  <c r="P25" i="15"/>
  <c r="AA24" i="15"/>
  <c r="U24" i="15" s="1"/>
  <c r="Z24" i="15"/>
  <c r="T24" i="15" s="1"/>
  <c r="Q24" i="15"/>
  <c r="P24" i="15"/>
  <c r="AA22" i="15"/>
  <c r="U22" i="15" s="1"/>
  <c r="Z22" i="15"/>
  <c r="T22" i="15" s="1"/>
  <c r="Q22" i="15"/>
  <c r="P22" i="15"/>
  <c r="AA21" i="15"/>
  <c r="Z21" i="15"/>
  <c r="T21" i="15" s="1"/>
  <c r="U21" i="15"/>
  <c r="Q21" i="15"/>
  <c r="P21" i="15"/>
  <c r="AA19" i="15"/>
  <c r="Z19" i="15"/>
  <c r="T19" i="15" s="1"/>
  <c r="U19" i="15"/>
  <c r="Q19" i="15"/>
  <c r="P19" i="15"/>
  <c r="AA18" i="15"/>
  <c r="U18" i="15" s="1"/>
  <c r="Z18" i="15"/>
  <c r="T18" i="15" s="1"/>
  <c r="Q18" i="15"/>
  <c r="AA16" i="15"/>
  <c r="Z16" i="15"/>
  <c r="U16" i="15"/>
  <c r="T16" i="15"/>
  <c r="Q16" i="15"/>
  <c r="P16" i="15"/>
  <c r="AA15" i="15"/>
  <c r="Z15" i="15"/>
  <c r="U15" i="15"/>
  <c r="T15" i="15"/>
  <c r="Q15" i="15"/>
  <c r="P15" i="15"/>
  <c r="AA13" i="15"/>
  <c r="Z13" i="15"/>
  <c r="T13" i="15" s="1"/>
  <c r="U13" i="15"/>
  <c r="Q13" i="15"/>
  <c r="P13" i="15"/>
  <c r="AA12" i="15"/>
  <c r="Z12" i="15"/>
  <c r="T12" i="15" s="1"/>
  <c r="U12" i="15"/>
  <c r="Q12" i="15"/>
  <c r="P12" i="15"/>
  <c r="AA10" i="15"/>
  <c r="Z10" i="15"/>
  <c r="U10" i="15"/>
  <c r="T10" i="15"/>
  <c r="Q10" i="15"/>
  <c r="P10" i="15"/>
  <c r="AA9" i="15"/>
  <c r="Z9" i="15"/>
  <c r="U9" i="15"/>
  <c r="T9" i="15"/>
  <c r="Q9" i="15"/>
  <c r="P9" i="15"/>
  <c r="AA7" i="15"/>
  <c r="Z7" i="15"/>
  <c r="T7" i="15" s="1"/>
  <c r="U7" i="15"/>
  <c r="Q7" i="15"/>
  <c r="P7" i="15"/>
  <c r="AA6" i="15"/>
  <c r="Z6" i="15"/>
  <c r="T6" i="15" s="1"/>
  <c r="U6" i="15"/>
  <c r="Q6" i="15"/>
  <c r="P6" i="15"/>
  <c r="AA4" i="15"/>
  <c r="Z4" i="15"/>
  <c r="U4" i="15"/>
  <c r="T4" i="15"/>
  <c r="Q4" i="15"/>
  <c r="P4" i="15"/>
  <c r="AA3" i="15"/>
  <c r="Z3" i="15"/>
  <c r="U3" i="15"/>
  <c r="T3" i="15"/>
  <c r="Q3" i="15"/>
  <c r="P3" i="15"/>
  <c r="AH69" i="6"/>
  <c r="AC66" i="6"/>
  <c r="X66" i="6"/>
  <c r="J66" i="6"/>
  <c r="J67" i="6" s="1"/>
  <c r="AL65" i="6"/>
  <c r="AK65" i="6"/>
  <c r="AG65" i="6"/>
  <c r="AF65" i="6"/>
  <c r="AB65" i="6"/>
  <c r="AA65" i="6"/>
  <c r="T65" i="6"/>
  <c r="S65" i="6"/>
  <c r="R65" i="6"/>
  <c r="I65" i="6"/>
  <c r="F65" i="6"/>
  <c r="E65" i="6"/>
  <c r="D65" i="6"/>
  <c r="AM65" i="6" s="1"/>
  <c r="AR64" i="6"/>
  <c r="AL64" i="6"/>
  <c r="AK64" i="6"/>
  <c r="AG64" i="6"/>
  <c r="AF64" i="6"/>
  <c r="AB64" i="6"/>
  <c r="AA64" i="6"/>
  <c r="T64" i="6"/>
  <c r="S64" i="6"/>
  <c r="R64" i="6"/>
  <c r="AM64" i="6" s="1"/>
  <c r="I64" i="6"/>
  <c r="H64" i="6"/>
  <c r="AO64" i="6" s="1"/>
  <c r="G64" i="6"/>
  <c r="AN64" i="6" s="1"/>
  <c r="AL63" i="6"/>
  <c r="AK63" i="6"/>
  <c r="AG63" i="6"/>
  <c r="AF63" i="6"/>
  <c r="AB63" i="6"/>
  <c r="AA63" i="6"/>
  <c r="T63" i="6"/>
  <c r="S63" i="6"/>
  <c r="R63" i="6"/>
  <c r="I63" i="6"/>
  <c r="F63" i="6"/>
  <c r="E63" i="6"/>
  <c r="D63" i="6"/>
  <c r="AL62" i="6"/>
  <c r="AK62" i="6"/>
  <c r="AG62" i="6"/>
  <c r="AF62" i="6"/>
  <c r="AB62" i="6"/>
  <c r="AA62" i="6"/>
  <c r="T62" i="6"/>
  <c r="S62" i="6"/>
  <c r="R62" i="6"/>
  <c r="I62" i="6"/>
  <c r="F62" i="6"/>
  <c r="E62" i="6"/>
  <c r="D62" i="6"/>
  <c r="AL61" i="6"/>
  <c r="AK61" i="6"/>
  <c r="AG61" i="6"/>
  <c r="AF61" i="6"/>
  <c r="AB61" i="6"/>
  <c r="AA61" i="6"/>
  <c r="T61" i="6"/>
  <c r="S61" i="6"/>
  <c r="R61" i="6"/>
  <c r="I61" i="6"/>
  <c r="F61" i="6"/>
  <c r="E61" i="6"/>
  <c r="D61" i="6"/>
  <c r="AM61" i="6" s="1"/>
  <c r="AL60" i="6"/>
  <c r="AK60" i="6"/>
  <c r="AG60" i="6"/>
  <c r="AF60" i="6"/>
  <c r="AB60" i="6"/>
  <c r="AA60" i="6"/>
  <c r="T60" i="6"/>
  <c r="S60" i="6"/>
  <c r="R60" i="6"/>
  <c r="I60" i="6"/>
  <c r="AL59" i="6"/>
  <c r="AK59" i="6"/>
  <c r="AG59" i="6"/>
  <c r="AF59" i="6"/>
  <c r="AB59" i="6"/>
  <c r="AA59" i="6"/>
  <c r="T59" i="6"/>
  <c r="S59" i="6"/>
  <c r="R59" i="6"/>
  <c r="I59" i="6"/>
  <c r="F59" i="6"/>
  <c r="E59" i="6"/>
  <c r="D59" i="6"/>
  <c r="AR59" i="6" s="1"/>
  <c r="AL58" i="6"/>
  <c r="AK58" i="6"/>
  <c r="AG58" i="6"/>
  <c r="AF58" i="6"/>
  <c r="AB58" i="6"/>
  <c r="AA58" i="6"/>
  <c r="T58" i="6"/>
  <c r="S58" i="6"/>
  <c r="R58" i="6"/>
  <c r="I58" i="6"/>
  <c r="F58" i="6"/>
  <c r="E58" i="6"/>
  <c r="D58" i="6"/>
  <c r="AL57" i="6"/>
  <c r="AK57" i="6"/>
  <c r="AG57" i="6"/>
  <c r="AF57" i="6"/>
  <c r="AB57" i="6"/>
  <c r="AA57" i="6"/>
  <c r="T57" i="6"/>
  <c r="S57" i="6"/>
  <c r="R57" i="6"/>
  <c r="I57" i="6"/>
  <c r="F57" i="6"/>
  <c r="E57" i="6"/>
  <c r="D57" i="6"/>
  <c r="AL56" i="6"/>
  <c r="AK56" i="6"/>
  <c r="AG56" i="6"/>
  <c r="AF56" i="6"/>
  <c r="AB56" i="6"/>
  <c r="AA56" i="6"/>
  <c r="T56" i="6"/>
  <c r="S56" i="6"/>
  <c r="R56" i="6"/>
  <c r="I56" i="6"/>
  <c r="F56" i="6"/>
  <c r="E56" i="6"/>
  <c r="D56" i="6"/>
  <c r="H56" i="6" s="1"/>
  <c r="AS55" i="6"/>
  <c r="AL55" i="6"/>
  <c r="AK55" i="6"/>
  <c r="AG55" i="6"/>
  <c r="AF55" i="6"/>
  <c r="AB55" i="6"/>
  <c r="AA55" i="6"/>
  <c r="T55" i="6"/>
  <c r="S55" i="6"/>
  <c r="R55" i="6"/>
  <c r="I55" i="6"/>
  <c r="F55" i="6"/>
  <c r="E55" i="6"/>
  <c r="D55" i="6"/>
  <c r="AL54" i="6"/>
  <c r="AK54" i="6"/>
  <c r="AG54" i="6"/>
  <c r="AF54" i="6"/>
  <c r="AB54" i="6"/>
  <c r="AA54" i="6"/>
  <c r="T54" i="6"/>
  <c r="S54" i="6"/>
  <c r="R54" i="6"/>
  <c r="I54" i="6"/>
  <c r="AL53" i="6"/>
  <c r="AK53" i="6"/>
  <c r="AG53" i="6"/>
  <c r="AF53" i="6"/>
  <c r="AB53" i="6"/>
  <c r="AA53" i="6"/>
  <c r="T53" i="6"/>
  <c r="S53" i="6"/>
  <c r="R53" i="6"/>
  <c r="I53" i="6"/>
  <c r="AL52" i="6"/>
  <c r="AK52" i="6"/>
  <c r="AG52" i="6"/>
  <c r="AF52" i="6"/>
  <c r="AB52" i="6"/>
  <c r="AA52" i="6"/>
  <c r="T52" i="6"/>
  <c r="S52" i="6"/>
  <c r="R52" i="6"/>
  <c r="I52" i="6"/>
  <c r="AL51" i="6"/>
  <c r="AK51" i="6"/>
  <c r="AG51" i="6"/>
  <c r="AF51" i="6"/>
  <c r="AB51" i="6"/>
  <c r="AA51" i="6"/>
  <c r="T51" i="6"/>
  <c r="S51" i="6"/>
  <c r="R51" i="6"/>
  <c r="I51" i="6"/>
  <c r="F51" i="6"/>
  <c r="E51" i="6"/>
  <c r="D51" i="6"/>
  <c r="AM51" i="6" s="1"/>
  <c r="AL50" i="6"/>
  <c r="AK50" i="6"/>
  <c r="AG50" i="6"/>
  <c r="AF50" i="6"/>
  <c r="AB50" i="6"/>
  <c r="AA50" i="6"/>
  <c r="T50" i="6"/>
  <c r="S50" i="6"/>
  <c r="R50" i="6"/>
  <c r="I50" i="6"/>
  <c r="F50" i="6"/>
  <c r="E50" i="6"/>
  <c r="D50" i="6"/>
  <c r="AL49" i="6"/>
  <c r="AK49" i="6"/>
  <c r="AG49" i="6"/>
  <c r="AF49" i="6"/>
  <c r="AB49" i="6"/>
  <c r="AA49" i="6"/>
  <c r="T49" i="6"/>
  <c r="S49" i="6"/>
  <c r="R49" i="6"/>
  <c r="I49" i="6"/>
  <c r="F49" i="6"/>
  <c r="E49" i="6"/>
  <c r="D49" i="6"/>
  <c r="AM49" i="6" s="1"/>
  <c r="AL48" i="6"/>
  <c r="AK48" i="6"/>
  <c r="AG48" i="6"/>
  <c r="AF48" i="6"/>
  <c r="AB48" i="6"/>
  <c r="AA48" i="6"/>
  <c r="T48" i="6"/>
  <c r="S48" i="6"/>
  <c r="R48" i="6"/>
  <c r="I48" i="6"/>
  <c r="F48" i="6"/>
  <c r="E48" i="6"/>
  <c r="D48" i="6"/>
  <c r="AL47" i="6"/>
  <c r="AK47" i="6"/>
  <c r="AG47" i="6"/>
  <c r="AF47" i="6"/>
  <c r="AB47" i="6"/>
  <c r="AA47" i="6"/>
  <c r="T47" i="6"/>
  <c r="S47" i="6"/>
  <c r="R47" i="6"/>
  <c r="I47" i="6"/>
  <c r="F47" i="6"/>
  <c r="E47" i="6"/>
  <c r="D47" i="6"/>
  <c r="AL46" i="6"/>
  <c r="AK46" i="6"/>
  <c r="AG46" i="6"/>
  <c r="AF46" i="6"/>
  <c r="AB46" i="6"/>
  <c r="AA46" i="6"/>
  <c r="T46" i="6"/>
  <c r="S46" i="6"/>
  <c r="R46" i="6"/>
  <c r="I46" i="6"/>
  <c r="AL45" i="6"/>
  <c r="AK45" i="6"/>
  <c r="AG45" i="6"/>
  <c r="AF45" i="6"/>
  <c r="AB45" i="6"/>
  <c r="AA45" i="6"/>
  <c r="T45" i="6"/>
  <c r="S45" i="6"/>
  <c r="R45" i="6"/>
  <c r="I45" i="6"/>
  <c r="F45" i="6"/>
  <c r="E45" i="6"/>
  <c r="D45" i="6"/>
  <c r="H45" i="6" s="1"/>
  <c r="AO45" i="6" s="1"/>
  <c r="AL44" i="6"/>
  <c r="AK44" i="6"/>
  <c r="AG44" i="6"/>
  <c r="AF44" i="6"/>
  <c r="AB44" i="6"/>
  <c r="AA44" i="6"/>
  <c r="T44" i="6"/>
  <c r="S44" i="6"/>
  <c r="R44" i="6"/>
  <c r="I44" i="6"/>
  <c r="AL43" i="6"/>
  <c r="AK43" i="6"/>
  <c r="AG43" i="6"/>
  <c r="AF43" i="6"/>
  <c r="AB43" i="6"/>
  <c r="AA43" i="6"/>
  <c r="T43" i="6"/>
  <c r="S43" i="6"/>
  <c r="R43" i="6"/>
  <c r="I43" i="6"/>
  <c r="AM43" i="6"/>
  <c r="AL42" i="6"/>
  <c r="AK42" i="6"/>
  <c r="AG42" i="6"/>
  <c r="AF42" i="6"/>
  <c r="AB42" i="6"/>
  <c r="AA42" i="6"/>
  <c r="T42" i="6"/>
  <c r="S42" i="6"/>
  <c r="R42" i="6"/>
  <c r="AS41" i="6"/>
  <c r="AL41" i="6"/>
  <c r="AK41" i="6"/>
  <c r="AG41" i="6"/>
  <c r="AF41" i="6"/>
  <c r="AB41" i="6"/>
  <c r="AA41" i="6"/>
  <c r="T41" i="6"/>
  <c r="S41" i="6"/>
  <c r="R41" i="6"/>
  <c r="I41" i="6"/>
  <c r="AL40" i="6"/>
  <c r="AK40" i="6"/>
  <c r="AG40" i="6"/>
  <c r="AF40" i="6"/>
  <c r="AB40" i="6"/>
  <c r="AA40" i="6"/>
  <c r="T40" i="6"/>
  <c r="S40" i="6"/>
  <c r="R40" i="6"/>
  <c r="I40" i="6"/>
  <c r="AM40" i="6"/>
  <c r="AL39" i="6"/>
  <c r="AK39" i="6"/>
  <c r="AG39" i="6"/>
  <c r="AF39" i="6"/>
  <c r="AB39" i="6"/>
  <c r="AA39" i="6"/>
  <c r="T39" i="6"/>
  <c r="S39" i="6"/>
  <c r="R39" i="6"/>
  <c r="I39" i="6"/>
  <c r="F39" i="6"/>
  <c r="E39" i="6"/>
  <c r="D39" i="6"/>
  <c r="AL38" i="6"/>
  <c r="AK38" i="6"/>
  <c r="AG38" i="6"/>
  <c r="AF38" i="6"/>
  <c r="AB38" i="6"/>
  <c r="AA38" i="6"/>
  <c r="T38" i="6"/>
  <c r="S38" i="6"/>
  <c r="R38" i="6"/>
  <c r="I38" i="6"/>
  <c r="F38" i="6"/>
  <c r="E38" i="6"/>
  <c r="D38" i="6"/>
  <c r="AM38" i="6" s="1"/>
  <c r="AL37" i="6"/>
  <c r="AK37" i="6"/>
  <c r="AG37" i="6"/>
  <c r="AF37" i="6"/>
  <c r="AB37" i="6"/>
  <c r="AA37" i="6"/>
  <c r="T37" i="6"/>
  <c r="S37" i="6"/>
  <c r="R37" i="6"/>
  <c r="I37" i="6"/>
  <c r="F37" i="6"/>
  <c r="E37" i="6"/>
  <c r="D37" i="6"/>
  <c r="AL36" i="6"/>
  <c r="AK36" i="6"/>
  <c r="AG36" i="6"/>
  <c r="AF36" i="6"/>
  <c r="AB36" i="6"/>
  <c r="AA36" i="6"/>
  <c r="T36" i="6"/>
  <c r="S36" i="6"/>
  <c r="R36" i="6"/>
  <c r="I36" i="6"/>
  <c r="F36" i="6"/>
  <c r="E36" i="6"/>
  <c r="D36" i="6"/>
  <c r="AR36" i="6" s="1"/>
  <c r="AL35" i="6"/>
  <c r="AK35" i="6"/>
  <c r="AG35" i="6"/>
  <c r="AF35" i="6"/>
  <c r="AB35" i="6"/>
  <c r="AA35" i="6"/>
  <c r="T35" i="6"/>
  <c r="S35" i="6"/>
  <c r="R35" i="6"/>
  <c r="I35" i="6"/>
  <c r="F35" i="6"/>
  <c r="E35" i="6"/>
  <c r="D35" i="6"/>
  <c r="AL34" i="6"/>
  <c r="AK34" i="6"/>
  <c r="AG34" i="6"/>
  <c r="AF34" i="6"/>
  <c r="AB34" i="6"/>
  <c r="AA34" i="6"/>
  <c r="T34" i="6"/>
  <c r="S34" i="6"/>
  <c r="R34" i="6"/>
  <c r="I34" i="6"/>
  <c r="G34" i="6"/>
  <c r="AL33" i="6"/>
  <c r="AK33" i="6"/>
  <c r="AG33" i="6"/>
  <c r="AF33" i="6"/>
  <c r="AB33" i="6"/>
  <c r="AA33" i="6"/>
  <c r="T33" i="6"/>
  <c r="S33" i="6"/>
  <c r="R33" i="6"/>
  <c r="I33" i="6"/>
  <c r="F33" i="6"/>
  <c r="E33" i="6"/>
  <c r="D33" i="6"/>
  <c r="H33" i="6" s="1"/>
  <c r="AL32" i="6"/>
  <c r="AK32" i="6"/>
  <c r="AG32" i="6"/>
  <c r="AF32" i="6"/>
  <c r="AB32" i="6"/>
  <c r="AA32" i="6"/>
  <c r="T32" i="6"/>
  <c r="S32" i="6"/>
  <c r="R32" i="6"/>
  <c r="I32" i="6"/>
  <c r="AM32" i="6"/>
  <c r="AL31" i="6"/>
  <c r="AK31" i="6"/>
  <c r="AG31" i="6"/>
  <c r="AF31" i="6"/>
  <c r="AB31" i="6"/>
  <c r="AA31" i="6"/>
  <c r="T31" i="6"/>
  <c r="S31" i="6"/>
  <c r="R31" i="6"/>
  <c r="I31" i="6"/>
  <c r="F31" i="6"/>
  <c r="E31" i="6"/>
  <c r="D31" i="6"/>
  <c r="AR31" i="6" s="1"/>
  <c r="AL30" i="6"/>
  <c r="AK30" i="6"/>
  <c r="AG30" i="6"/>
  <c r="AF30" i="6"/>
  <c r="AB30" i="6"/>
  <c r="AA30" i="6"/>
  <c r="T30" i="6"/>
  <c r="S30" i="6"/>
  <c r="R30" i="6"/>
  <c r="I30" i="6"/>
  <c r="F30" i="6"/>
  <c r="E30" i="6"/>
  <c r="D30" i="6"/>
  <c r="AR30" i="6" s="1"/>
  <c r="AL29" i="6"/>
  <c r="AK29" i="6"/>
  <c r="AG29" i="6"/>
  <c r="AF29" i="6"/>
  <c r="AB29" i="6"/>
  <c r="AA29" i="6"/>
  <c r="T29" i="6"/>
  <c r="S29" i="6"/>
  <c r="R29" i="6"/>
  <c r="I29" i="6"/>
  <c r="F29" i="6"/>
  <c r="E29" i="6"/>
  <c r="D29" i="6"/>
  <c r="AL28" i="6"/>
  <c r="AK28" i="6"/>
  <c r="AG28" i="6"/>
  <c r="AF28" i="6"/>
  <c r="AB28" i="6"/>
  <c r="AA28" i="6"/>
  <c r="T28" i="6"/>
  <c r="R28" i="6"/>
  <c r="I28" i="6"/>
  <c r="F28" i="6"/>
  <c r="E28" i="6"/>
  <c r="D28" i="6"/>
  <c r="AS27" i="6"/>
  <c r="AL27" i="6"/>
  <c r="AK27" i="6"/>
  <c r="AG27" i="6"/>
  <c r="AF27" i="6"/>
  <c r="AB27" i="6"/>
  <c r="AA27" i="6"/>
  <c r="T27" i="6"/>
  <c r="S27" i="6"/>
  <c r="R27" i="6"/>
  <c r="I27" i="6"/>
  <c r="F27" i="6"/>
  <c r="E27" i="6"/>
  <c r="D27" i="6"/>
  <c r="AL26" i="6"/>
  <c r="AK26" i="6"/>
  <c r="AG26" i="6"/>
  <c r="AF26" i="6"/>
  <c r="AB26" i="6"/>
  <c r="AA26" i="6"/>
  <c r="T26" i="6"/>
  <c r="S26" i="6"/>
  <c r="R26" i="6"/>
  <c r="I26" i="6"/>
  <c r="AR26" i="6"/>
  <c r="AL25" i="6"/>
  <c r="AK25" i="6"/>
  <c r="AG25" i="6"/>
  <c r="AF25" i="6"/>
  <c r="AB25" i="6"/>
  <c r="AA25" i="6"/>
  <c r="T25" i="6"/>
  <c r="S25" i="6"/>
  <c r="R25" i="6"/>
  <c r="I25" i="6"/>
  <c r="F25" i="6"/>
  <c r="E25" i="6"/>
  <c r="D25" i="6"/>
  <c r="G25" i="6" s="1"/>
  <c r="AL24" i="6"/>
  <c r="AK24" i="6"/>
  <c r="AG24" i="6"/>
  <c r="AF24" i="6"/>
  <c r="AB24" i="6"/>
  <c r="AA24" i="6"/>
  <c r="T24" i="6"/>
  <c r="S24" i="6"/>
  <c r="R24" i="6"/>
  <c r="I24" i="6"/>
  <c r="F24" i="6"/>
  <c r="E24" i="6"/>
  <c r="D24" i="6"/>
  <c r="AR24" i="6" s="1"/>
  <c r="AR23" i="6"/>
  <c r="AL23" i="6"/>
  <c r="AK23" i="6"/>
  <c r="AG23" i="6"/>
  <c r="AF23" i="6"/>
  <c r="AB23" i="6"/>
  <c r="AA23" i="6"/>
  <c r="T23" i="6"/>
  <c r="S23" i="6"/>
  <c r="R23" i="6"/>
  <c r="AM23" i="6" s="1"/>
  <c r="I23" i="6"/>
  <c r="H23" i="6"/>
  <c r="G23" i="6"/>
  <c r="AL22" i="6"/>
  <c r="AK22" i="6"/>
  <c r="AG22" i="6"/>
  <c r="AF22" i="6"/>
  <c r="AB22" i="6"/>
  <c r="AA22" i="6"/>
  <c r="T22" i="6"/>
  <c r="S22" i="6"/>
  <c r="R22" i="6"/>
  <c r="I22" i="6"/>
  <c r="F22" i="6"/>
  <c r="E22" i="6"/>
  <c r="D22" i="6"/>
  <c r="AL21" i="6"/>
  <c r="AK21" i="6"/>
  <c r="AG21" i="6"/>
  <c r="AF21" i="6"/>
  <c r="AB21" i="6"/>
  <c r="AA21" i="6"/>
  <c r="T21" i="6"/>
  <c r="S21" i="6"/>
  <c r="R21" i="6"/>
  <c r="I21" i="6"/>
  <c r="F21" i="6"/>
  <c r="E21" i="6"/>
  <c r="D21" i="6"/>
  <c r="AL20" i="6"/>
  <c r="AK20" i="6"/>
  <c r="AG20" i="6"/>
  <c r="AF20" i="6"/>
  <c r="AB20" i="6"/>
  <c r="AA20" i="6"/>
  <c r="T20" i="6"/>
  <c r="S20" i="6"/>
  <c r="R20" i="6"/>
  <c r="I20" i="6"/>
  <c r="F20" i="6"/>
  <c r="E20" i="6"/>
  <c r="D20" i="6"/>
  <c r="AL19" i="6"/>
  <c r="AK19" i="6"/>
  <c r="AG19" i="6"/>
  <c r="AF19" i="6"/>
  <c r="AB19" i="6"/>
  <c r="AA19" i="6"/>
  <c r="T19" i="6"/>
  <c r="S19" i="6"/>
  <c r="R19" i="6"/>
  <c r="I19" i="6"/>
  <c r="F19" i="6"/>
  <c r="E19" i="6"/>
  <c r="D19" i="6"/>
  <c r="H19" i="6" s="1"/>
  <c r="AL18" i="6"/>
  <c r="AK18" i="6"/>
  <c r="AG18" i="6"/>
  <c r="AF18" i="6"/>
  <c r="AB18" i="6"/>
  <c r="AA18" i="6"/>
  <c r="T18" i="6"/>
  <c r="S18" i="6"/>
  <c r="R18" i="6"/>
  <c r="I18" i="6"/>
  <c r="F18" i="6"/>
  <c r="E18" i="6"/>
  <c r="D18" i="6"/>
  <c r="AL17" i="6"/>
  <c r="AK17" i="6"/>
  <c r="AG17" i="6"/>
  <c r="AF17" i="6"/>
  <c r="AB17" i="6"/>
  <c r="AA17" i="6"/>
  <c r="T17" i="6"/>
  <c r="S17" i="6"/>
  <c r="R17" i="6"/>
  <c r="I17" i="6"/>
  <c r="F17" i="6"/>
  <c r="E17" i="6"/>
  <c r="D17" i="6"/>
  <c r="AL16" i="6"/>
  <c r="AK16" i="6"/>
  <c r="AG16" i="6"/>
  <c r="AF16" i="6"/>
  <c r="AB16" i="6"/>
  <c r="AA16" i="6"/>
  <c r="T16" i="6"/>
  <c r="S16" i="6"/>
  <c r="R16" i="6"/>
  <c r="I16" i="6"/>
  <c r="F16" i="6"/>
  <c r="E16" i="6"/>
  <c r="D16" i="6"/>
  <c r="H16" i="6" s="1"/>
  <c r="AO16" i="6" s="1"/>
  <c r="AL15" i="6"/>
  <c r="AK15" i="6"/>
  <c r="AG15" i="6"/>
  <c r="AF15" i="6"/>
  <c r="AB15" i="6"/>
  <c r="AA15" i="6"/>
  <c r="T15" i="6"/>
  <c r="S15" i="6"/>
  <c r="R15" i="6"/>
  <c r="I15" i="6"/>
  <c r="F15" i="6"/>
  <c r="E15" i="6"/>
  <c r="D15" i="6"/>
  <c r="AL14" i="6"/>
  <c r="AK14" i="6"/>
  <c r="AG14" i="6"/>
  <c r="AF14" i="6"/>
  <c r="AB14" i="6"/>
  <c r="AA14" i="6"/>
  <c r="T14" i="6"/>
  <c r="S14" i="6"/>
  <c r="R14" i="6"/>
  <c r="I14" i="6"/>
  <c r="F14" i="6"/>
  <c r="E14" i="6"/>
  <c r="D14" i="6"/>
  <c r="AM14" i="6" s="1"/>
  <c r="AS13" i="6"/>
  <c r="AL13" i="6"/>
  <c r="AK13" i="6"/>
  <c r="AG13" i="6"/>
  <c r="AF13" i="6"/>
  <c r="AB13" i="6"/>
  <c r="AA13" i="6"/>
  <c r="T13" i="6"/>
  <c r="S13" i="6"/>
  <c r="R13" i="6"/>
  <c r="I13" i="6"/>
  <c r="F13" i="6"/>
  <c r="E13" i="6"/>
  <c r="D13" i="6"/>
  <c r="AL12" i="6"/>
  <c r="AK12" i="6"/>
  <c r="AG12" i="6"/>
  <c r="AF12" i="6"/>
  <c r="AB12" i="6"/>
  <c r="AA12" i="6"/>
  <c r="T12" i="6"/>
  <c r="S12" i="6"/>
  <c r="R12" i="6"/>
  <c r="I12" i="6"/>
  <c r="AL11" i="6"/>
  <c r="AK11" i="6"/>
  <c r="AG11" i="6"/>
  <c r="AF11" i="6"/>
  <c r="AB11" i="6"/>
  <c r="AA11" i="6"/>
  <c r="T11" i="6"/>
  <c r="S11" i="6"/>
  <c r="R11" i="6"/>
  <c r="I11" i="6"/>
  <c r="F11" i="6"/>
  <c r="E11" i="6"/>
  <c r="D11" i="6"/>
  <c r="H11" i="6" s="1"/>
  <c r="AL10" i="6"/>
  <c r="AK10" i="6"/>
  <c r="AG10" i="6"/>
  <c r="AF10" i="6"/>
  <c r="AB10" i="6"/>
  <c r="AA10" i="6"/>
  <c r="T10" i="6"/>
  <c r="S10" i="6"/>
  <c r="R10" i="6"/>
  <c r="I10" i="6"/>
  <c r="F10" i="6"/>
  <c r="E10" i="6"/>
  <c r="D10" i="6"/>
  <c r="AL9" i="6"/>
  <c r="AK9" i="6"/>
  <c r="AG9" i="6"/>
  <c r="AF9" i="6"/>
  <c r="AB9" i="6"/>
  <c r="AA9" i="6"/>
  <c r="T9" i="6"/>
  <c r="S9" i="6"/>
  <c r="R9" i="6"/>
  <c r="I9" i="6"/>
  <c r="F9" i="6"/>
  <c r="E9" i="6"/>
  <c r="D9" i="6"/>
  <c r="AL8" i="6"/>
  <c r="AK8" i="6"/>
  <c r="AG8" i="6"/>
  <c r="AF8" i="6"/>
  <c r="AB8" i="6"/>
  <c r="AA8" i="6"/>
  <c r="T8" i="6"/>
  <c r="S8" i="6"/>
  <c r="R8" i="6"/>
  <c r="I8" i="6"/>
  <c r="AL7" i="6"/>
  <c r="AK7" i="6"/>
  <c r="AG7" i="6"/>
  <c r="AF7" i="6"/>
  <c r="AB7" i="6"/>
  <c r="AA7" i="6"/>
  <c r="T7" i="6"/>
  <c r="S7" i="6"/>
  <c r="R7" i="6"/>
  <c r="I7" i="6"/>
  <c r="F7" i="6"/>
  <c r="E7" i="6"/>
  <c r="D7" i="6"/>
  <c r="AL6" i="6"/>
  <c r="AK6" i="6"/>
  <c r="AG6" i="6"/>
  <c r="AF6" i="6"/>
  <c r="AB6" i="6"/>
  <c r="AA6" i="6"/>
  <c r="T6" i="6"/>
  <c r="S6" i="6"/>
  <c r="R6" i="6"/>
  <c r="I6" i="6"/>
  <c r="F6" i="6"/>
  <c r="E6" i="6"/>
  <c r="D6" i="6"/>
  <c r="B6" i="6"/>
  <c r="AL5" i="6"/>
  <c r="AK5" i="6"/>
  <c r="AG5" i="6"/>
  <c r="AF5" i="6"/>
  <c r="AB5" i="6"/>
  <c r="AA5" i="6"/>
  <c r="T5" i="6"/>
  <c r="S5" i="6"/>
  <c r="R5" i="6"/>
  <c r="I5" i="6"/>
  <c r="F5" i="6"/>
  <c r="E5" i="6"/>
  <c r="D5" i="6"/>
  <c r="B5" i="6"/>
  <c r="B7" i="6" s="1"/>
  <c r="B9" i="6" s="1"/>
  <c r="A5" i="6"/>
  <c r="AR4" i="6"/>
  <c r="AL4" i="6"/>
  <c r="AK4" i="6"/>
  <c r="AG4" i="6"/>
  <c r="AF4" i="6"/>
  <c r="AB4" i="6"/>
  <c r="AA4" i="6"/>
  <c r="T4" i="6"/>
  <c r="S4" i="6"/>
  <c r="R4" i="6"/>
  <c r="AM4" i="6" s="1"/>
  <c r="I4" i="6"/>
  <c r="H4" i="6"/>
  <c r="G4" i="6"/>
  <c r="A4" i="6"/>
  <c r="AP1" i="6"/>
  <c r="AA124" i="13"/>
  <c r="U124" i="13" s="1"/>
  <c r="Z124" i="13"/>
  <c r="T124" i="13"/>
  <c r="Q124" i="13"/>
  <c r="AA123" i="13"/>
  <c r="U123" i="13" s="1"/>
  <c r="Z123" i="13"/>
  <c r="T123" i="13" s="1"/>
  <c r="Q123" i="13"/>
  <c r="P123" i="13"/>
  <c r="AA121" i="13"/>
  <c r="U121" i="13" s="1"/>
  <c r="Z121" i="13"/>
  <c r="T121" i="13" s="1"/>
  <c r="Q121" i="13"/>
  <c r="AA120" i="13"/>
  <c r="Z120" i="13"/>
  <c r="T120" i="13" s="1"/>
  <c r="U120" i="13"/>
  <c r="Q120" i="13"/>
  <c r="P120" i="13"/>
  <c r="AA118" i="13"/>
  <c r="Z118" i="13"/>
  <c r="T118" i="13" s="1"/>
  <c r="U118" i="13"/>
  <c r="Q118" i="13"/>
  <c r="AA117" i="13"/>
  <c r="U117" i="13" s="1"/>
  <c r="Z117" i="13"/>
  <c r="T117" i="13"/>
  <c r="Q117" i="13"/>
  <c r="P117" i="13"/>
  <c r="AA115" i="13"/>
  <c r="U115" i="13" s="1"/>
  <c r="Z115" i="13"/>
  <c r="T115" i="13"/>
  <c r="Q115" i="13"/>
  <c r="AA114" i="13"/>
  <c r="Z114" i="13"/>
  <c r="T114" i="13" s="1"/>
  <c r="U114" i="13"/>
  <c r="Q114" i="13"/>
  <c r="S114" i="13" s="1"/>
  <c r="P114" i="13"/>
  <c r="AA112" i="13"/>
  <c r="Z112" i="13"/>
  <c r="T112" i="13" s="1"/>
  <c r="U112" i="13"/>
  <c r="Q112" i="13"/>
  <c r="S112" i="13" s="1"/>
  <c r="AA111" i="13"/>
  <c r="U111" i="13" s="1"/>
  <c r="Z111" i="13"/>
  <c r="T111" i="13"/>
  <c r="Q111" i="13"/>
  <c r="R111" i="13" s="1"/>
  <c r="P111" i="13"/>
  <c r="AA109" i="13"/>
  <c r="U109" i="13" s="1"/>
  <c r="Z109" i="13"/>
  <c r="T109" i="13"/>
  <c r="Q109" i="13"/>
  <c r="R109" i="13" s="1"/>
  <c r="AA108" i="13"/>
  <c r="Z108" i="13"/>
  <c r="T108" i="13" s="1"/>
  <c r="U108" i="13"/>
  <c r="Q108" i="13"/>
  <c r="S108" i="13" s="1"/>
  <c r="P108" i="13"/>
  <c r="AA106" i="13"/>
  <c r="Z106" i="13"/>
  <c r="T106" i="13" s="1"/>
  <c r="U106" i="13"/>
  <c r="Q106" i="13"/>
  <c r="S106" i="13" s="1"/>
  <c r="AA105" i="13"/>
  <c r="Z105" i="13"/>
  <c r="U105" i="13"/>
  <c r="T105" i="13"/>
  <c r="Q105" i="13"/>
  <c r="R105" i="13" s="1"/>
  <c r="P105" i="13"/>
  <c r="AA103" i="13"/>
  <c r="Z103" i="13"/>
  <c r="U103" i="13"/>
  <c r="T103" i="13"/>
  <c r="Q103" i="13"/>
  <c r="R103" i="13" s="1"/>
  <c r="AA102" i="13"/>
  <c r="U102" i="13" s="1"/>
  <c r="Z102" i="13"/>
  <c r="T102" i="13"/>
  <c r="Q102" i="13"/>
  <c r="P102" i="13"/>
  <c r="AA100" i="13"/>
  <c r="U100" i="13" s="1"/>
  <c r="Z100" i="13"/>
  <c r="T100" i="13"/>
  <c r="Q100" i="13"/>
  <c r="AA99" i="13"/>
  <c r="U99" i="13" s="1"/>
  <c r="Z99" i="13"/>
  <c r="T99" i="13" s="1"/>
  <c r="Q99" i="13"/>
  <c r="P99" i="13"/>
  <c r="AA97" i="13"/>
  <c r="U97" i="13" s="1"/>
  <c r="Z97" i="13"/>
  <c r="T97" i="13" s="1"/>
  <c r="Q97" i="13"/>
  <c r="AA96" i="13"/>
  <c r="Z96" i="13"/>
  <c r="T96" i="13" s="1"/>
  <c r="U96" i="13"/>
  <c r="Q96" i="13"/>
  <c r="P96" i="13"/>
  <c r="AA94" i="13"/>
  <c r="Z94" i="13"/>
  <c r="T94" i="13" s="1"/>
  <c r="U94" i="13"/>
  <c r="Q94" i="13"/>
  <c r="AA93" i="13"/>
  <c r="U93" i="13" s="1"/>
  <c r="Z93" i="13"/>
  <c r="T93" i="13"/>
  <c r="Q93" i="13"/>
  <c r="P93" i="13"/>
  <c r="AA91" i="13"/>
  <c r="U91" i="13" s="1"/>
  <c r="Z91" i="13"/>
  <c r="T91" i="13"/>
  <c r="Q91" i="13"/>
  <c r="AA90" i="13"/>
  <c r="Z90" i="13"/>
  <c r="T90" i="13" s="1"/>
  <c r="U90" i="13"/>
  <c r="Q90" i="13"/>
  <c r="S90" i="13" s="1"/>
  <c r="P90" i="13"/>
  <c r="AA88" i="13"/>
  <c r="Z88" i="13"/>
  <c r="T88" i="13" s="1"/>
  <c r="U88" i="13"/>
  <c r="Q88" i="13"/>
  <c r="S88" i="13" s="1"/>
  <c r="AA87" i="13"/>
  <c r="U87" i="13" s="1"/>
  <c r="Z87" i="13"/>
  <c r="T87" i="13"/>
  <c r="Q87" i="13"/>
  <c r="R87" i="13" s="1"/>
  <c r="P87" i="13"/>
  <c r="AA85" i="13"/>
  <c r="U85" i="13" s="1"/>
  <c r="Z85" i="13"/>
  <c r="T85" i="13"/>
  <c r="Q85" i="13"/>
  <c r="R85" i="13" s="1"/>
  <c r="AA84" i="13"/>
  <c r="Z84" i="13"/>
  <c r="T84" i="13" s="1"/>
  <c r="U84" i="13"/>
  <c r="Q84" i="13"/>
  <c r="S84" i="13" s="1"/>
  <c r="P84" i="13"/>
  <c r="AA82" i="13"/>
  <c r="Z82" i="13"/>
  <c r="T82" i="13" s="1"/>
  <c r="U82" i="13"/>
  <c r="Q82" i="13"/>
  <c r="S82" i="13" s="1"/>
  <c r="AA81" i="13"/>
  <c r="Z81" i="13"/>
  <c r="U81" i="13"/>
  <c r="T81" i="13"/>
  <c r="Q81" i="13"/>
  <c r="R81" i="13" s="1"/>
  <c r="P81" i="13"/>
  <c r="AA79" i="13"/>
  <c r="Z79" i="13"/>
  <c r="U79" i="13"/>
  <c r="T79" i="13"/>
  <c r="Q79" i="13"/>
  <c r="R79" i="13" s="1"/>
  <c r="AA78" i="13"/>
  <c r="U78" i="13" s="1"/>
  <c r="Z78" i="13"/>
  <c r="T78" i="13"/>
  <c r="Q78" i="13"/>
  <c r="P78" i="13"/>
  <c r="AA76" i="13"/>
  <c r="U76" i="13" s="1"/>
  <c r="Z76" i="13"/>
  <c r="T76" i="13"/>
  <c r="Q76" i="13"/>
  <c r="AA75" i="13"/>
  <c r="U75" i="13" s="1"/>
  <c r="Z75" i="13"/>
  <c r="T75" i="13" s="1"/>
  <c r="Q75" i="13"/>
  <c r="P75" i="13"/>
  <c r="AA73" i="13"/>
  <c r="U73" i="13" s="1"/>
  <c r="Z73" i="13"/>
  <c r="T73" i="13" s="1"/>
  <c r="Q73" i="13"/>
  <c r="AA72" i="13"/>
  <c r="Z72" i="13"/>
  <c r="T72" i="13" s="1"/>
  <c r="U72" i="13"/>
  <c r="Q72" i="13"/>
  <c r="P72" i="13"/>
  <c r="AA70" i="13"/>
  <c r="Z70" i="13"/>
  <c r="T70" i="13" s="1"/>
  <c r="U70" i="13"/>
  <c r="Q70" i="13"/>
  <c r="AA69" i="13"/>
  <c r="U69" i="13" s="1"/>
  <c r="Z69" i="13"/>
  <c r="T69" i="13"/>
  <c r="Q69" i="13"/>
  <c r="P69" i="13"/>
  <c r="AA67" i="13"/>
  <c r="U67" i="13" s="1"/>
  <c r="Z67" i="13"/>
  <c r="T67" i="13"/>
  <c r="Q67" i="13"/>
  <c r="P67" i="13"/>
  <c r="AA66" i="13"/>
  <c r="U66" i="13" s="1"/>
  <c r="Z66" i="13"/>
  <c r="T66" i="13"/>
  <c r="Q66" i="13"/>
  <c r="P66" i="13"/>
  <c r="AA64" i="13"/>
  <c r="U64" i="13" s="1"/>
  <c r="Z64" i="13"/>
  <c r="Q64" i="13"/>
  <c r="P64" i="13"/>
  <c r="AA63" i="13"/>
  <c r="U63" i="13" s="1"/>
  <c r="Z63" i="13"/>
  <c r="T63" i="13"/>
  <c r="Q63" i="13"/>
  <c r="P63" i="13"/>
  <c r="AA61" i="13"/>
  <c r="U61" i="13" s="1"/>
  <c r="Z61" i="13"/>
  <c r="T61" i="13"/>
  <c r="Q61" i="13"/>
  <c r="P61" i="13"/>
  <c r="AA60" i="13"/>
  <c r="U60" i="13" s="1"/>
  <c r="Z60" i="13"/>
  <c r="Q60" i="13"/>
  <c r="P60" i="13"/>
  <c r="AA58" i="13"/>
  <c r="U58" i="13" s="1"/>
  <c r="Z58" i="13"/>
  <c r="T58" i="13"/>
  <c r="Q58" i="13"/>
  <c r="P58" i="13"/>
  <c r="AA57" i="13"/>
  <c r="U57" i="13" s="1"/>
  <c r="Z57" i="13"/>
  <c r="T57" i="13"/>
  <c r="Q57" i="13"/>
  <c r="P57" i="13"/>
  <c r="AA55" i="13"/>
  <c r="U55" i="13" s="1"/>
  <c r="Z55" i="13"/>
  <c r="Q55" i="13"/>
  <c r="P55" i="13"/>
  <c r="AA54" i="13"/>
  <c r="U54" i="13" s="1"/>
  <c r="Z54" i="13"/>
  <c r="Q54" i="13"/>
  <c r="P54" i="13"/>
  <c r="AA52" i="13"/>
  <c r="U52" i="13" s="1"/>
  <c r="Z52" i="13"/>
  <c r="T52" i="13"/>
  <c r="Q52" i="13"/>
  <c r="P52" i="13"/>
  <c r="AA51" i="13"/>
  <c r="U51" i="13" s="1"/>
  <c r="Z51" i="13"/>
  <c r="T51" i="13"/>
  <c r="Q51" i="13"/>
  <c r="P51" i="13"/>
  <c r="AA49" i="13"/>
  <c r="U49" i="13" s="1"/>
  <c r="Z49" i="13"/>
  <c r="Q49" i="13"/>
  <c r="P49" i="13"/>
  <c r="AA48" i="13"/>
  <c r="U48" i="13" s="1"/>
  <c r="Z48" i="13"/>
  <c r="T48" i="13"/>
  <c r="Q48" i="13"/>
  <c r="P48" i="13"/>
  <c r="AA46" i="13"/>
  <c r="U46" i="13" s="1"/>
  <c r="Z46" i="13"/>
  <c r="T46" i="13"/>
  <c r="Q46" i="13"/>
  <c r="P46" i="13"/>
  <c r="AA45" i="13"/>
  <c r="U45" i="13" s="1"/>
  <c r="Z45" i="13"/>
  <c r="T45" i="13"/>
  <c r="Q45" i="13"/>
  <c r="P45" i="13"/>
  <c r="AA43" i="13"/>
  <c r="U43" i="13" s="1"/>
  <c r="Z43" i="13"/>
  <c r="Q43" i="13"/>
  <c r="P43" i="13"/>
  <c r="AA42" i="13"/>
  <c r="U42" i="13" s="1"/>
  <c r="Z42" i="13"/>
  <c r="T42" i="13"/>
  <c r="Q42" i="13"/>
  <c r="P42" i="13"/>
  <c r="AA40" i="13"/>
  <c r="U40" i="13" s="1"/>
  <c r="Z40" i="13"/>
  <c r="Q40" i="13"/>
  <c r="P40" i="13"/>
  <c r="AA39" i="13"/>
  <c r="U39" i="13" s="1"/>
  <c r="Z39" i="13"/>
  <c r="T39" i="13"/>
  <c r="Q39" i="13"/>
  <c r="P39" i="13"/>
  <c r="AA37" i="13"/>
  <c r="U37" i="13" s="1"/>
  <c r="Z37" i="13"/>
  <c r="T37" i="13"/>
  <c r="Q37" i="13"/>
  <c r="P37" i="13"/>
  <c r="AA36" i="13"/>
  <c r="U36" i="13" s="1"/>
  <c r="Z36" i="13"/>
  <c r="T36" i="13"/>
  <c r="Q36" i="13"/>
  <c r="P36" i="13"/>
  <c r="AA34" i="13"/>
  <c r="U34" i="13" s="1"/>
  <c r="Z34" i="13"/>
  <c r="T34" i="13"/>
  <c r="Q34" i="13"/>
  <c r="P34" i="13"/>
  <c r="AA33" i="13"/>
  <c r="U33" i="13" s="1"/>
  <c r="Z33" i="13"/>
  <c r="T33" i="13"/>
  <c r="Q33" i="13"/>
  <c r="P33" i="13"/>
  <c r="AA31" i="13"/>
  <c r="U31" i="13" s="1"/>
  <c r="Z31" i="13"/>
  <c r="T31" i="13"/>
  <c r="Q31" i="13"/>
  <c r="AA30" i="13"/>
  <c r="Z30" i="13"/>
  <c r="T30" i="13" s="1"/>
  <c r="U30" i="13"/>
  <c r="Q30" i="13"/>
  <c r="S30" i="13" s="1"/>
  <c r="P30" i="13"/>
  <c r="AA28" i="13"/>
  <c r="Z28" i="13"/>
  <c r="T28" i="13" s="1"/>
  <c r="U28" i="13"/>
  <c r="Q28" i="13"/>
  <c r="S28" i="13" s="1"/>
  <c r="P28" i="13"/>
  <c r="AA27" i="13"/>
  <c r="Z27" i="13"/>
  <c r="T27" i="13" s="1"/>
  <c r="U27" i="13"/>
  <c r="Q27" i="13"/>
  <c r="S27" i="13" s="1"/>
  <c r="P27" i="13"/>
  <c r="AA25" i="13"/>
  <c r="Z25" i="13"/>
  <c r="T25" i="13" s="1"/>
  <c r="U25" i="13"/>
  <c r="Q25" i="13"/>
  <c r="S25" i="13" s="1"/>
  <c r="P25" i="13"/>
  <c r="AA24" i="13"/>
  <c r="Z24" i="13"/>
  <c r="T24" i="13" s="1"/>
  <c r="U24" i="13"/>
  <c r="Q24" i="13"/>
  <c r="S24" i="13" s="1"/>
  <c r="P24" i="13"/>
  <c r="AA22" i="13"/>
  <c r="Z22" i="13"/>
  <c r="T22" i="13" s="1"/>
  <c r="U22" i="13"/>
  <c r="Q22" i="13"/>
  <c r="S22" i="13" s="1"/>
  <c r="P22" i="13"/>
  <c r="AA21" i="13"/>
  <c r="Z21" i="13"/>
  <c r="T21" i="13" s="1"/>
  <c r="U21" i="13"/>
  <c r="Q21" i="13"/>
  <c r="S21" i="13" s="1"/>
  <c r="P21" i="13"/>
  <c r="AA19" i="13"/>
  <c r="Z19" i="13"/>
  <c r="T19" i="13" s="1"/>
  <c r="U19" i="13"/>
  <c r="Q19" i="13"/>
  <c r="S19" i="13" s="1"/>
  <c r="P19" i="13"/>
  <c r="AA18" i="13"/>
  <c r="Z18" i="13"/>
  <c r="T18" i="13" s="1"/>
  <c r="U18" i="13"/>
  <c r="Q18" i="13"/>
  <c r="S18" i="13" s="1"/>
  <c r="P18" i="13"/>
  <c r="AA16" i="13"/>
  <c r="Z16" i="13"/>
  <c r="T16" i="13" s="1"/>
  <c r="U16" i="13"/>
  <c r="Q16" i="13"/>
  <c r="S16" i="13" s="1"/>
  <c r="P16" i="13"/>
  <c r="AA15" i="13"/>
  <c r="Z15" i="13"/>
  <c r="T15" i="13" s="1"/>
  <c r="U15" i="13"/>
  <c r="Q15" i="13"/>
  <c r="S15" i="13" s="1"/>
  <c r="P15" i="13"/>
  <c r="AA13" i="13"/>
  <c r="Z13" i="13"/>
  <c r="T13" i="13" s="1"/>
  <c r="U13" i="13"/>
  <c r="Q13" i="13"/>
  <c r="S13" i="13" s="1"/>
  <c r="P13" i="13"/>
  <c r="AA12" i="13"/>
  <c r="Z12" i="13"/>
  <c r="T12" i="13" s="1"/>
  <c r="U12" i="13"/>
  <c r="Q12" i="13"/>
  <c r="S12" i="13" s="1"/>
  <c r="P12" i="13"/>
  <c r="AA10" i="13"/>
  <c r="Z10" i="13"/>
  <c r="T10" i="13" s="1"/>
  <c r="U10" i="13"/>
  <c r="Q10" i="13"/>
  <c r="S10" i="13" s="1"/>
  <c r="P10" i="13"/>
  <c r="AA9" i="13"/>
  <c r="Z9" i="13"/>
  <c r="T9" i="13" s="1"/>
  <c r="U9" i="13"/>
  <c r="Q9" i="13"/>
  <c r="S9" i="13" s="1"/>
  <c r="P9" i="13"/>
  <c r="AA7" i="13"/>
  <c r="Z7" i="13"/>
  <c r="T7" i="13" s="1"/>
  <c r="U7" i="13"/>
  <c r="Q7" i="13"/>
  <c r="S7" i="13" s="1"/>
  <c r="P7" i="13"/>
  <c r="AA6" i="13"/>
  <c r="Z6" i="13"/>
  <c r="T6" i="13" s="1"/>
  <c r="U6" i="13"/>
  <c r="Q6" i="13"/>
  <c r="S6" i="13" s="1"/>
  <c r="P6" i="13"/>
  <c r="AA4" i="13"/>
  <c r="Z4" i="13"/>
  <c r="T4" i="13" s="1"/>
  <c r="U4" i="13"/>
  <c r="Q4" i="13"/>
  <c r="S4" i="13" s="1"/>
  <c r="P4" i="13"/>
  <c r="AA3" i="13"/>
  <c r="Z3" i="13"/>
  <c r="T3" i="13" s="1"/>
  <c r="U3" i="13"/>
  <c r="Q3" i="13"/>
  <c r="S3" i="13" s="1"/>
  <c r="P3" i="13"/>
  <c r="AC66" i="4"/>
  <c r="X66" i="4"/>
  <c r="O66" i="4"/>
  <c r="J66" i="4"/>
  <c r="L66" i="4" s="1"/>
  <c r="AL65" i="4"/>
  <c r="AK65" i="4"/>
  <c r="AG65" i="4"/>
  <c r="AF65" i="4"/>
  <c r="AB65" i="4"/>
  <c r="AA65" i="4"/>
  <c r="T65" i="4"/>
  <c r="S65" i="4"/>
  <c r="R65" i="4"/>
  <c r="I65" i="4"/>
  <c r="F65" i="4"/>
  <c r="E65" i="4"/>
  <c r="D65" i="4"/>
  <c r="AR64" i="4"/>
  <c r="AL64" i="4"/>
  <c r="AK64" i="4"/>
  <c r="AG64" i="4"/>
  <c r="AF64" i="4"/>
  <c r="AB64" i="4"/>
  <c r="AA64" i="4"/>
  <c r="T64" i="4"/>
  <c r="S64" i="4"/>
  <c r="R64" i="4"/>
  <c r="AM64" i="4" s="1"/>
  <c r="I64" i="4"/>
  <c r="H64" i="4"/>
  <c r="AO64" i="4" s="1"/>
  <c r="G64" i="4"/>
  <c r="AL63" i="4"/>
  <c r="AK63" i="4"/>
  <c r="AG63" i="4"/>
  <c r="AF63" i="4"/>
  <c r="AB63" i="4"/>
  <c r="AA63" i="4"/>
  <c r="T63" i="4"/>
  <c r="S63" i="4"/>
  <c r="R63" i="4"/>
  <c r="I63" i="4"/>
  <c r="AL62" i="4"/>
  <c r="AK62" i="4"/>
  <c r="AG62" i="4"/>
  <c r="AF62" i="4"/>
  <c r="AB62" i="4"/>
  <c r="AA62" i="4"/>
  <c r="T62" i="4"/>
  <c r="S62" i="4"/>
  <c r="R62" i="4"/>
  <c r="I62" i="4"/>
  <c r="AL61" i="4"/>
  <c r="AK61" i="4"/>
  <c r="AG61" i="4"/>
  <c r="AF61" i="4"/>
  <c r="AB61" i="4"/>
  <c r="AA61" i="4"/>
  <c r="T61" i="4"/>
  <c r="S61" i="4"/>
  <c r="R61" i="4"/>
  <c r="I61" i="4"/>
  <c r="AR61" i="4"/>
  <c r="AL60" i="4"/>
  <c r="AK60" i="4"/>
  <c r="AG60" i="4"/>
  <c r="AF60" i="4"/>
  <c r="AB60" i="4"/>
  <c r="AA60" i="4"/>
  <c r="T60" i="4"/>
  <c r="S60" i="4"/>
  <c r="R60" i="4"/>
  <c r="I60" i="4"/>
  <c r="AL59" i="4"/>
  <c r="AK59" i="4"/>
  <c r="AG59" i="4"/>
  <c r="AF59" i="4"/>
  <c r="AB59" i="4"/>
  <c r="AA59" i="4"/>
  <c r="T59" i="4"/>
  <c r="S59" i="4"/>
  <c r="R59" i="4"/>
  <c r="I59" i="4"/>
  <c r="F59" i="4"/>
  <c r="E59" i="4"/>
  <c r="D59" i="4"/>
  <c r="AL58" i="4"/>
  <c r="AK58" i="4"/>
  <c r="AG58" i="4"/>
  <c r="AF58" i="4"/>
  <c r="AB58" i="4"/>
  <c r="AA58" i="4"/>
  <c r="T58" i="4"/>
  <c r="S58" i="4"/>
  <c r="R58" i="4"/>
  <c r="I58" i="4"/>
  <c r="F58" i="4"/>
  <c r="E58" i="4"/>
  <c r="D58" i="4"/>
  <c r="AL57" i="4"/>
  <c r="AK57" i="4"/>
  <c r="AG57" i="4"/>
  <c r="AF57" i="4"/>
  <c r="AB57" i="4"/>
  <c r="AA57" i="4"/>
  <c r="T57" i="4"/>
  <c r="S57" i="4"/>
  <c r="R57" i="4"/>
  <c r="I57" i="4"/>
  <c r="F57" i="4"/>
  <c r="E57" i="4"/>
  <c r="D57" i="4"/>
  <c r="AL56" i="4"/>
  <c r="AK56" i="4"/>
  <c r="AG56" i="4"/>
  <c r="AF56" i="4"/>
  <c r="AB56" i="4"/>
  <c r="AA56" i="4"/>
  <c r="T56" i="4"/>
  <c r="S56" i="4"/>
  <c r="R56" i="4"/>
  <c r="I56" i="4"/>
  <c r="F56" i="4"/>
  <c r="E56" i="4"/>
  <c r="D56" i="4"/>
  <c r="AS55" i="4"/>
  <c r="AL55" i="4"/>
  <c r="AK55" i="4"/>
  <c r="AG55" i="4"/>
  <c r="AF55" i="4"/>
  <c r="AB55" i="4"/>
  <c r="AA55" i="4"/>
  <c r="T55" i="4"/>
  <c r="S55" i="4"/>
  <c r="R55" i="4"/>
  <c r="I55" i="4"/>
  <c r="F55" i="4"/>
  <c r="E55" i="4"/>
  <c r="D55" i="4"/>
  <c r="AL54" i="4"/>
  <c r="AK54" i="4"/>
  <c r="AG54" i="4"/>
  <c r="AF54" i="4"/>
  <c r="AB54" i="4"/>
  <c r="AA54" i="4"/>
  <c r="T54" i="4"/>
  <c r="S54" i="4"/>
  <c r="R54" i="4"/>
  <c r="I54" i="4"/>
  <c r="AL53" i="4"/>
  <c r="AK53" i="4"/>
  <c r="AG53" i="4"/>
  <c r="AF53" i="4"/>
  <c r="AB53" i="4"/>
  <c r="AA53" i="4"/>
  <c r="T53" i="4"/>
  <c r="S53" i="4"/>
  <c r="R53" i="4"/>
  <c r="I53" i="4"/>
  <c r="F53" i="4"/>
  <c r="E53" i="4"/>
  <c r="D53" i="4"/>
  <c r="AL52" i="4"/>
  <c r="AK52" i="4"/>
  <c r="AG52" i="4"/>
  <c r="AF52" i="4"/>
  <c r="AB52" i="4"/>
  <c r="AA52" i="4"/>
  <c r="T52" i="4"/>
  <c r="S52" i="4"/>
  <c r="R52" i="4"/>
  <c r="I52" i="4"/>
  <c r="AL51" i="4"/>
  <c r="AK51" i="4"/>
  <c r="AG51" i="4"/>
  <c r="AF51" i="4"/>
  <c r="AB51" i="4"/>
  <c r="AA51" i="4"/>
  <c r="T51" i="4"/>
  <c r="S51" i="4"/>
  <c r="R51" i="4"/>
  <c r="I51" i="4"/>
  <c r="F51" i="4"/>
  <c r="E51" i="4"/>
  <c r="D51" i="4"/>
  <c r="AL50" i="4"/>
  <c r="AK50" i="4"/>
  <c r="AG50" i="4"/>
  <c r="AF50" i="4"/>
  <c r="AB50" i="4"/>
  <c r="AA50" i="4"/>
  <c r="T50" i="4"/>
  <c r="S50" i="4"/>
  <c r="R50" i="4"/>
  <c r="I50" i="4"/>
  <c r="F50" i="4"/>
  <c r="E50" i="4"/>
  <c r="D50" i="4"/>
  <c r="AR50" i="4" s="1"/>
  <c r="AL49" i="4"/>
  <c r="AK49" i="4"/>
  <c r="AG49" i="4"/>
  <c r="AF49" i="4"/>
  <c r="AB49" i="4"/>
  <c r="AA49" i="4"/>
  <c r="T49" i="4"/>
  <c r="S49" i="4"/>
  <c r="R49" i="4"/>
  <c r="I49" i="4"/>
  <c r="F49" i="4"/>
  <c r="E49" i="4"/>
  <c r="D49" i="4"/>
  <c r="AL48" i="4"/>
  <c r="AK48" i="4"/>
  <c r="AG48" i="4"/>
  <c r="AF48" i="4"/>
  <c r="AB48" i="4"/>
  <c r="AA48" i="4"/>
  <c r="T48" i="4"/>
  <c r="S48" i="4"/>
  <c r="R48" i="4"/>
  <c r="I48" i="4"/>
  <c r="F48" i="4"/>
  <c r="E48" i="4"/>
  <c r="D48" i="4"/>
  <c r="AL47" i="4"/>
  <c r="AK47" i="4"/>
  <c r="AG47" i="4"/>
  <c r="AF47" i="4"/>
  <c r="AB47" i="4"/>
  <c r="AA47" i="4"/>
  <c r="T47" i="4"/>
  <c r="S47" i="4"/>
  <c r="R47" i="4"/>
  <c r="I47" i="4"/>
  <c r="F47" i="4"/>
  <c r="E47" i="4"/>
  <c r="D47" i="4"/>
  <c r="AR47" i="4" s="1"/>
  <c r="AL46" i="4"/>
  <c r="AK46" i="4"/>
  <c r="AG46" i="4"/>
  <c r="AF46" i="4"/>
  <c r="AB46" i="4"/>
  <c r="AA46" i="4"/>
  <c r="T46" i="4"/>
  <c r="S46" i="4"/>
  <c r="R46" i="4"/>
  <c r="I46" i="4"/>
  <c r="AL45" i="4"/>
  <c r="AK45" i="4"/>
  <c r="AG45" i="4"/>
  <c r="AF45" i="4"/>
  <c r="AB45" i="4"/>
  <c r="AA45" i="4"/>
  <c r="T45" i="4"/>
  <c r="S45" i="4"/>
  <c r="R45" i="4"/>
  <c r="I45" i="4"/>
  <c r="F45" i="4"/>
  <c r="E45" i="4"/>
  <c r="D45" i="4"/>
  <c r="AL44" i="4"/>
  <c r="AK44" i="4"/>
  <c r="AG44" i="4"/>
  <c r="AF44" i="4"/>
  <c r="AB44" i="4"/>
  <c r="AA44" i="4"/>
  <c r="T44" i="4"/>
  <c r="S44" i="4"/>
  <c r="R44" i="4"/>
  <c r="I44" i="4"/>
  <c r="AL43" i="4"/>
  <c r="AK43" i="4"/>
  <c r="AG43" i="4"/>
  <c r="AF43" i="4"/>
  <c r="AB43" i="4"/>
  <c r="AA43" i="4"/>
  <c r="T43" i="4"/>
  <c r="S43" i="4"/>
  <c r="R43" i="4"/>
  <c r="I43" i="4"/>
  <c r="F43" i="4"/>
  <c r="E43" i="4"/>
  <c r="D43" i="4"/>
  <c r="AL42" i="4"/>
  <c r="AK42" i="4"/>
  <c r="AG42" i="4"/>
  <c r="AF42" i="4"/>
  <c r="AB42" i="4"/>
  <c r="AA42" i="4"/>
  <c r="T42" i="4"/>
  <c r="S42" i="4"/>
  <c r="R42" i="4"/>
  <c r="I42" i="4"/>
  <c r="F42" i="4"/>
  <c r="E42" i="4"/>
  <c r="D42" i="4"/>
  <c r="AS41" i="4"/>
  <c r="AL41" i="4"/>
  <c r="AK41" i="4"/>
  <c r="AG41" i="4"/>
  <c r="AF41" i="4"/>
  <c r="AB41" i="4"/>
  <c r="AA41" i="4"/>
  <c r="T41" i="4"/>
  <c r="S41" i="4"/>
  <c r="R41" i="4"/>
  <c r="I41" i="4"/>
  <c r="F41" i="4"/>
  <c r="E41" i="4"/>
  <c r="D41" i="4"/>
  <c r="AL40" i="4"/>
  <c r="AK40" i="4"/>
  <c r="AG40" i="4"/>
  <c r="AF40" i="4"/>
  <c r="AB40" i="4"/>
  <c r="AA40" i="4"/>
  <c r="T40" i="4"/>
  <c r="S40" i="4"/>
  <c r="R40" i="4"/>
  <c r="I40" i="4"/>
  <c r="AR40" i="4"/>
  <c r="AL39" i="4"/>
  <c r="AK39" i="4"/>
  <c r="AG39" i="4"/>
  <c r="AF39" i="4"/>
  <c r="AB39" i="4"/>
  <c r="AA39" i="4"/>
  <c r="T39" i="4"/>
  <c r="S39" i="4"/>
  <c r="R39" i="4"/>
  <c r="I39" i="4"/>
  <c r="F39" i="4"/>
  <c r="E39" i="4"/>
  <c r="D39" i="4"/>
  <c r="AL38" i="4"/>
  <c r="AK38" i="4"/>
  <c r="AG38" i="4"/>
  <c r="AF38" i="4"/>
  <c r="AB38" i="4"/>
  <c r="AA38" i="4"/>
  <c r="T38" i="4"/>
  <c r="S38" i="4"/>
  <c r="R38" i="4"/>
  <c r="I38" i="4"/>
  <c r="F38" i="4"/>
  <c r="E38" i="4"/>
  <c r="D38" i="4"/>
  <c r="AL37" i="4"/>
  <c r="AK37" i="4"/>
  <c r="AG37" i="4"/>
  <c r="AF37" i="4"/>
  <c r="AB37" i="4"/>
  <c r="AA37" i="4"/>
  <c r="T37" i="4"/>
  <c r="S37" i="4"/>
  <c r="R37" i="4"/>
  <c r="I37" i="4"/>
  <c r="F37" i="4"/>
  <c r="E37" i="4"/>
  <c r="D37" i="4"/>
  <c r="AL36" i="4"/>
  <c r="AK36" i="4"/>
  <c r="AG36" i="4"/>
  <c r="AF36" i="4"/>
  <c r="AB36" i="4"/>
  <c r="AA36" i="4"/>
  <c r="T36" i="4"/>
  <c r="S36" i="4"/>
  <c r="R36" i="4"/>
  <c r="I36" i="4"/>
  <c r="F36" i="4"/>
  <c r="E36" i="4"/>
  <c r="D36" i="4"/>
  <c r="AL35" i="4"/>
  <c r="AK35" i="4"/>
  <c r="AG35" i="4"/>
  <c r="AF35" i="4"/>
  <c r="AB35" i="4"/>
  <c r="AA35" i="4"/>
  <c r="T35" i="4"/>
  <c r="S35" i="4"/>
  <c r="R35" i="4"/>
  <c r="I35" i="4"/>
  <c r="F35" i="4"/>
  <c r="E35" i="4"/>
  <c r="D35" i="4"/>
  <c r="AL34" i="4"/>
  <c r="AK34" i="4"/>
  <c r="AG34" i="4"/>
  <c r="AF34" i="4"/>
  <c r="AB34" i="4"/>
  <c r="AA34" i="4"/>
  <c r="T34" i="4"/>
  <c r="S34" i="4"/>
  <c r="R34" i="4"/>
  <c r="I34" i="4"/>
  <c r="F34" i="4"/>
  <c r="E34" i="4"/>
  <c r="D34" i="4"/>
  <c r="AL33" i="4"/>
  <c r="AK33" i="4"/>
  <c r="AG33" i="4"/>
  <c r="AF33" i="4"/>
  <c r="AB33" i="4"/>
  <c r="AA33" i="4"/>
  <c r="T33" i="4"/>
  <c r="S33" i="4"/>
  <c r="R33" i="4"/>
  <c r="I33" i="4"/>
  <c r="F33" i="4"/>
  <c r="E33" i="4"/>
  <c r="D33" i="4"/>
  <c r="AL32" i="4"/>
  <c r="AK32" i="4"/>
  <c r="AG32" i="4"/>
  <c r="AF32" i="4"/>
  <c r="AB32" i="4"/>
  <c r="AA32" i="4"/>
  <c r="T32" i="4"/>
  <c r="S32" i="4"/>
  <c r="R32" i="4"/>
  <c r="I32" i="4"/>
  <c r="AM32" i="4"/>
  <c r="AL31" i="4"/>
  <c r="AK31" i="4"/>
  <c r="AG31" i="4"/>
  <c r="AF31" i="4"/>
  <c r="AB31" i="4"/>
  <c r="AA31" i="4"/>
  <c r="T31" i="4"/>
  <c r="S31" i="4"/>
  <c r="R31" i="4"/>
  <c r="I31" i="4"/>
  <c r="F31" i="4"/>
  <c r="E31" i="4"/>
  <c r="D31" i="4"/>
  <c r="AL30" i="4"/>
  <c r="AK30" i="4"/>
  <c r="AG30" i="4"/>
  <c r="AF30" i="4"/>
  <c r="AB30" i="4"/>
  <c r="AA30" i="4"/>
  <c r="T30" i="4"/>
  <c r="S30" i="4"/>
  <c r="R30" i="4"/>
  <c r="I30" i="4"/>
  <c r="F30" i="4"/>
  <c r="E30" i="4"/>
  <c r="D30" i="4"/>
  <c r="AL29" i="4"/>
  <c r="AK29" i="4"/>
  <c r="AG29" i="4"/>
  <c r="AF29" i="4"/>
  <c r="AB29" i="4"/>
  <c r="AA29" i="4"/>
  <c r="T29" i="4"/>
  <c r="S29" i="4"/>
  <c r="R29" i="4"/>
  <c r="I29" i="4"/>
  <c r="F29" i="4"/>
  <c r="E29" i="4"/>
  <c r="D29" i="4"/>
  <c r="AR29" i="4" s="1"/>
  <c r="AL28" i="4"/>
  <c r="AK28" i="4"/>
  <c r="AG28" i="4"/>
  <c r="AF28" i="4"/>
  <c r="AB28" i="4"/>
  <c r="AA28" i="4"/>
  <c r="T28" i="4"/>
  <c r="S28" i="4"/>
  <c r="R28" i="4"/>
  <c r="I28" i="4"/>
  <c r="F28" i="4"/>
  <c r="E28" i="4"/>
  <c r="D28" i="4"/>
  <c r="AS27" i="4"/>
  <c r="AL27" i="4"/>
  <c r="AK27" i="4"/>
  <c r="AG27" i="4"/>
  <c r="AF27" i="4"/>
  <c r="AB27" i="4"/>
  <c r="AA27" i="4"/>
  <c r="T27" i="4"/>
  <c r="S27" i="4"/>
  <c r="R27" i="4"/>
  <c r="I27" i="4"/>
  <c r="F27" i="4"/>
  <c r="E27" i="4"/>
  <c r="D27" i="4"/>
  <c r="AR26" i="4"/>
  <c r="AL26" i="4"/>
  <c r="AK26" i="4"/>
  <c r="AG26" i="4"/>
  <c r="AF26" i="4"/>
  <c r="AB26" i="4"/>
  <c r="AA26" i="4"/>
  <c r="T26" i="4"/>
  <c r="S26" i="4"/>
  <c r="R26" i="4"/>
  <c r="AM26" i="4" s="1"/>
  <c r="I26" i="4"/>
  <c r="H26" i="4"/>
  <c r="AL25" i="4"/>
  <c r="AK25" i="4"/>
  <c r="AG25" i="4"/>
  <c r="AF25" i="4"/>
  <c r="AB25" i="4"/>
  <c r="AA25" i="4"/>
  <c r="T25" i="4"/>
  <c r="S25" i="4"/>
  <c r="R25" i="4"/>
  <c r="I25" i="4"/>
  <c r="AL24" i="4"/>
  <c r="AK24" i="4"/>
  <c r="AG24" i="4"/>
  <c r="AF24" i="4"/>
  <c r="AB24" i="4"/>
  <c r="AA24" i="4"/>
  <c r="T24" i="4"/>
  <c r="S24" i="4"/>
  <c r="R24" i="4"/>
  <c r="I24" i="4"/>
  <c r="F24" i="4"/>
  <c r="E24" i="4"/>
  <c r="D24" i="4"/>
  <c r="AR24" i="4" s="1"/>
  <c r="AL23" i="4"/>
  <c r="AK23" i="4"/>
  <c r="AG23" i="4"/>
  <c r="AF23" i="4"/>
  <c r="AB23" i="4"/>
  <c r="AA23" i="4"/>
  <c r="T23" i="4"/>
  <c r="S23" i="4"/>
  <c r="R23" i="4"/>
  <c r="I23" i="4"/>
  <c r="F23" i="4"/>
  <c r="E23" i="4"/>
  <c r="D23" i="4"/>
  <c r="AR23" i="4" s="1"/>
  <c r="AL22" i="4"/>
  <c r="AK22" i="4"/>
  <c r="AG22" i="4"/>
  <c r="AF22" i="4"/>
  <c r="AB22" i="4"/>
  <c r="AA22" i="4"/>
  <c r="T22" i="4"/>
  <c r="S22" i="4"/>
  <c r="R22" i="4"/>
  <c r="I22" i="4"/>
  <c r="F22" i="4"/>
  <c r="E22" i="4"/>
  <c r="D22" i="4"/>
  <c r="AL21" i="4"/>
  <c r="AK21" i="4"/>
  <c r="AG21" i="4"/>
  <c r="AF21" i="4"/>
  <c r="AB21" i="4"/>
  <c r="AA21" i="4"/>
  <c r="T21" i="4"/>
  <c r="S21" i="4"/>
  <c r="R21" i="4"/>
  <c r="I21" i="4"/>
  <c r="F21" i="4"/>
  <c r="E21" i="4"/>
  <c r="D21" i="4"/>
  <c r="AL20" i="4"/>
  <c r="AK20" i="4"/>
  <c r="AG20" i="4"/>
  <c r="AF20" i="4"/>
  <c r="AB20" i="4"/>
  <c r="AA20" i="4"/>
  <c r="T20" i="4"/>
  <c r="S20" i="4"/>
  <c r="R20" i="4"/>
  <c r="I20" i="4"/>
  <c r="F20" i="4"/>
  <c r="E20" i="4"/>
  <c r="D20" i="4"/>
  <c r="AL19" i="4"/>
  <c r="AK19" i="4"/>
  <c r="AG19" i="4"/>
  <c r="AF19" i="4"/>
  <c r="AB19" i="4"/>
  <c r="AA19" i="4"/>
  <c r="T19" i="4"/>
  <c r="S19" i="4"/>
  <c r="R19" i="4"/>
  <c r="I19" i="4"/>
  <c r="F19" i="4"/>
  <c r="E19" i="4"/>
  <c r="D19" i="4"/>
  <c r="AL18" i="4"/>
  <c r="AK18" i="4"/>
  <c r="AG18" i="4"/>
  <c r="AF18" i="4"/>
  <c r="AB18" i="4"/>
  <c r="AA18" i="4"/>
  <c r="T18" i="4"/>
  <c r="S18" i="4"/>
  <c r="R18" i="4"/>
  <c r="I18" i="4"/>
  <c r="F18" i="4"/>
  <c r="E18" i="4"/>
  <c r="D18" i="4"/>
  <c r="AL17" i="4"/>
  <c r="AK17" i="4"/>
  <c r="AG17" i="4"/>
  <c r="AF17" i="4"/>
  <c r="AB17" i="4"/>
  <c r="AA17" i="4"/>
  <c r="T17" i="4"/>
  <c r="S17" i="4"/>
  <c r="R17" i="4"/>
  <c r="I17" i="4"/>
  <c r="F17" i="4"/>
  <c r="E17" i="4"/>
  <c r="D17" i="4"/>
  <c r="AL16" i="4"/>
  <c r="AK16" i="4"/>
  <c r="AG16" i="4"/>
  <c r="AF16" i="4"/>
  <c r="AB16" i="4"/>
  <c r="AA16" i="4"/>
  <c r="T16" i="4"/>
  <c r="S16" i="4"/>
  <c r="R16" i="4"/>
  <c r="I16" i="4"/>
  <c r="F16" i="4"/>
  <c r="E16" i="4"/>
  <c r="D16" i="4"/>
  <c r="AL15" i="4"/>
  <c r="AK15" i="4"/>
  <c r="AG15" i="4"/>
  <c r="AF15" i="4"/>
  <c r="AB15" i="4"/>
  <c r="AA15" i="4"/>
  <c r="T15" i="4"/>
  <c r="S15" i="4"/>
  <c r="R15" i="4"/>
  <c r="I15" i="4"/>
  <c r="F15" i="4"/>
  <c r="E15" i="4"/>
  <c r="D15" i="4"/>
  <c r="AL14" i="4"/>
  <c r="AK14" i="4"/>
  <c r="AG14" i="4"/>
  <c r="AF14" i="4"/>
  <c r="AB14" i="4"/>
  <c r="AA14" i="4"/>
  <c r="T14" i="4"/>
  <c r="S14" i="4"/>
  <c r="R14" i="4"/>
  <c r="I14" i="4"/>
  <c r="F14" i="4"/>
  <c r="E14" i="4"/>
  <c r="D14" i="4"/>
  <c r="AS13" i="4"/>
  <c r="AL13" i="4"/>
  <c r="AK13" i="4"/>
  <c r="AG13" i="4"/>
  <c r="AF13" i="4"/>
  <c r="AB13" i="4"/>
  <c r="AA13" i="4"/>
  <c r="T13" i="4"/>
  <c r="S13" i="4"/>
  <c r="R13" i="4"/>
  <c r="I13" i="4"/>
  <c r="F13" i="4"/>
  <c r="E13" i="4"/>
  <c r="D13" i="4"/>
  <c r="AL12" i="4"/>
  <c r="AK12" i="4"/>
  <c r="AG12" i="4"/>
  <c r="AF12" i="4"/>
  <c r="AB12" i="4"/>
  <c r="AA12" i="4"/>
  <c r="T12" i="4"/>
  <c r="S12" i="4"/>
  <c r="R12" i="4"/>
  <c r="I12" i="4"/>
  <c r="AL11" i="4"/>
  <c r="AK11" i="4"/>
  <c r="AG11" i="4"/>
  <c r="AF11" i="4"/>
  <c r="AB11" i="4"/>
  <c r="AA11" i="4"/>
  <c r="T11" i="4"/>
  <c r="S11" i="4"/>
  <c r="R11" i="4"/>
  <c r="I11" i="4"/>
  <c r="F11" i="4"/>
  <c r="E11" i="4"/>
  <c r="D11" i="4"/>
  <c r="AL10" i="4"/>
  <c r="AK10" i="4"/>
  <c r="AG10" i="4"/>
  <c r="AF10" i="4"/>
  <c r="AB10" i="4"/>
  <c r="AA10" i="4"/>
  <c r="T10" i="4"/>
  <c r="S10" i="4"/>
  <c r="R10" i="4"/>
  <c r="I10" i="4"/>
  <c r="F10" i="4"/>
  <c r="E10" i="4"/>
  <c r="D10" i="4"/>
  <c r="AL9" i="4"/>
  <c r="AK9" i="4"/>
  <c r="AG9" i="4"/>
  <c r="AF9" i="4"/>
  <c r="AB9" i="4"/>
  <c r="AA9" i="4"/>
  <c r="T9" i="4"/>
  <c r="S9" i="4"/>
  <c r="R9" i="4"/>
  <c r="I9" i="4"/>
  <c r="F9" i="4"/>
  <c r="E9" i="4"/>
  <c r="D9" i="4"/>
  <c r="AL8" i="4"/>
  <c r="AK8" i="4"/>
  <c r="AG8" i="4"/>
  <c r="AF8" i="4"/>
  <c r="AB8" i="4"/>
  <c r="AA8" i="4"/>
  <c r="T8" i="4"/>
  <c r="S8" i="4"/>
  <c r="R8" i="4"/>
  <c r="I8" i="4"/>
  <c r="AL7" i="4"/>
  <c r="AK7" i="4"/>
  <c r="AG7" i="4"/>
  <c r="AF7" i="4"/>
  <c r="AB7" i="4"/>
  <c r="AA7" i="4"/>
  <c r="T7" i="4"/>
  <c r="S7" i="4"/>
  <c r="R7" i="4"/>
  <c r="I7" i="4"/>
  <c r="F7" i="4"/>
  <c r="E7" i="4"/>
  <c r="D7" i="4"/>
  <c r="AL6" i="4"/>
  <c r="AK6" i="4"/>
  <c r="AG6" i="4"/>
  <c r="AF6" i="4"/>
  <c r="AB6" i="4"/>
  <c r="AA6" i="4"/>
  <c r="T6" i="4"/>
  <c r="S6" i="4"/>
  <c r="R6" i="4"/>
  <c r="I6" i="4"/>
  <c r="F6" i="4"/>
  <c r="E6" i="4"/>
  <c r="D6" i="4"/>
  <c r="B6" i="4"/>
  <c r="B8" i="4" s="1"/>
  <c r="AL5" i="4"/>
  <c r="AK5" i="4"/>
  <c r="AG5" i="4"/>
  <c r="AF5" i="4"/>
  <c r="AB5" i="4"/>
  <c r="AA5" i="4"/>
  <c r="T5" i="4"/>
  <c r="S5" i="4"/>
  <c r="I5" i="4"/>
  <c r="F5" i="4"/>
  <c r="E5" i="4"/>
  <c r="D5" i="4"/>
  <c r="B5" i="4"/>
  <c r="B7" i="4" s="1"/>
  <c r="A7" i="4" s="1"/>
  <c r="AR4" i="4"/>
  <c r="AL4" i="4"/>
  <c r="AK4" i="4"/>
  <c r="AG4" i="4"/>
  <c r="AF4" i="4"/>
  <c r="AB4" i="4"/>
  <c r="AA4" i="4"/>
  <c r="T4" i="4"/>
  <c r="S4" i="4"/>
  <c r="R4" i="4"/>
  <c r="AM4" i="4" s="1"/>
  <c r="I4" i="4"/>
  <c r="H4" i="4"/>
  <c r="G4" i="4"/>
  <c r="A4" i="4"/>
  <c r="AP1" i="4"/>
  <c r="AA247" i="12"/>
  <c r="Z247" i="12"/>
  <c r="U247" i="12"/>
  <c r="T247" i="12"/>
  <c r="Q247" i="12"/>
  <c r="P247" i="12"/>
  <c r="AA246" i="12"/>
  <c r="Z246" i="12"/>
  <c r="U246" i="12"/>
  <c r="T246" i="12"/>
  <c r="Q246" i="12"/>
  <c r="R246" i="12" s="1"/>
  <c r="P246" i="12"/>
  <c r="AA244" i="12"/>
  <c r="U244" i="12" s="1"/>
  <c r="Z244" i="12"/>
  <c r="T244" i="12"/>
  <c r="Q244" i="12"/>
  <c r="P244" i="12"/>
  <c r="AA243" i="12"/>
  <c r="U243" i="12" s="1"/>
  <c r="Z243" i="12"/>
  <c r="Q243" i="12"/>
  <c r="P243" i="12"/>
  <c r="AA241" i="12"/>
  <c r="Z241" i="12"/>
  <c r="U241" i="12"/>
  <c r="T241" i="12"/>
  <c r="Q241" i="12"/>
  <c r="P241" i="12"/>
  <c r="AA240" i="12"/>
  <c r="Z240" i="12"/>
  <c r="T240" i="12"/>
  <c r="Q240" i="12"/>
  <c r="P240" i="12"/>
  <c r="AA238" i="12"/>
  <c r="Z238" i="12"/>
  <c r="T238" i="12"/>
  <c r="Q238" i="12"/>
  <c r="P238" i="12"/>
  <c r="AA237" i="12"/>
  <c r="Z237" i="12"/>
  <c r="U237" i="12"/>
  <c r="T237" i="12"/>
  <c r="Q237" i="12"/>
  <c r="P237" i="12"/>
  <c r="AA235" i="12"/>
  <c r="Z235" i="12"/>
  <c r="U235" i="12"/>
  <c r="T235" i="12"/>
  <c r="Q235" i="12"/>
  <c r="AA234" i="12"/>
  <c r="Z234" i="12"/>
  <c r="U234" i="12"/>
  <c r="T234" i="12"/>
  <c r="Q234" i="12"/>
  <c r="S234" i="12" s="1"/>
  <c r="P234" i="12"/>
  <c r="AA232" i="12"/>
  <c r="Z232" i="12"/>
  <c r="U232" i="12"/>
  <c r="T232" i="12"/>
  <c r="Q232" i="12"/>
  <c r="S232" i="12" s="1"/>
  <c r="P232" i="12"/>
  <c r="AA231" i="12"/>
  <c r="Z231" i="12"/>
  <c r="U231" i="12"/>
  <c r="T231" i="12"/>
  <c r="Q231" i="12"/>
  <c r="S231" i="12" s="1"/>
  <c r="P231" i="12"/>
  <c r="AA229" i="12"/>
  <c r="Z229" i="12"/>
  <c r="U229" i="12"/>
  <c r="T229" i="12"/>
  <c r="Q229" i="12"/>
  <c r="S229" i="12" s="1"/>
  <c r="P229" i="12"/>
  <c r="AA228" i="12"/>
  <c r="Z228" i="12"/>
  <c r="U228" i="12"/>
  <c r="T228" i="12"/>
  <c r="Q228" i="12"/>
  <c r="S228" i="12" s="1"/>
  <c r="P228" i="12"/>
  <c r="AA226" i="12"/>
  <c r="Z226" i="12"/>
  <c r="U226" i="12"/>
  <c r="T226" i="12"/>
  <c r="Q226" i="12"/>
  <c r="S226" i="12" s="1"/>
  <c r="P226" i="12"/>
  <c r="AA225" i="12"/>
  <c r="Z225" i="12"/>
  <c r="U225" i="12"/>
  <c r="T225" i="12"/>
  <c r="Q225" i="12"/>
  <c r="S225" i="12" s="1"/>
  <c r="P225" i="12"/>
  <c r="AA223" i="12"/>
  <c r="Z223" i="12"/>
  <c r="U223" i="12"/>
  <c r="T223" i="12"/>
  <c r="Q223" i="12"/>
  <c r="S223" i="12" s="1"/>
  <c r="P223" i="12"/>
  <c r="AA222" i="12"/>
  <c r="Z222" i="12"/>
  <c r="U222" i="12"/>
  <c r="T222" i="12"/>
  <c r="Q222" i="12"/>
  <c r="S222" i="12" s="1"/>
  <c r="P222" i="12"/>
  <c r="AA220" i="12"/>
  <c r="Z220" i="12"/>
  <c r="U220" i="12"/>
  <c r="T220" i="12"/>
  <c r="Q220" i="12"/>
  <c r="S220" i="12" s="1"/>
  <c r="P220" i="12"/>
  <c r="AA219" i="12"/>
  <c r="Z219" i="12"/>
  <c r="U219" i="12"/>
  <c r="T219" i="12"/>
  <c r="Q219" i="12"/>
  <c r="S219" i="12" s="1"/>
  <c r="P219" i="12"/>
  <c r="AA217" i="12"/>
  <c r="Z217" i="12"/>
  <c r="U217" i="12"/>
  <c r="T217" i="12"/>
  <c r="Q217" i="12"/>
  <c r="S217" i="12" s="1"/>
  <c r="AA216" i="12"/>
  <c r="U216" i="12" s="1"/>
  <c r="Z216" i="12"/>
  <c r="T216" i="12"/>
  <c r="Q216" i="12"/>
  <c r="R216" i="12" s="1"/>
  <c r="P216" i="12"/>
  <c r="AA214" i="12"/>
  <c r="U214" i="12" s="1"/>
  <c r="Z214" i="12"/>
  <c r="T214" i="12"/>
  <c r="Q214" i="12"/>
  <c r="R214" i="12" s="1"/>
  <c r="P214" i="12"/>
  <c r="AA213" i="12"/>
  <c r="U213" i="12" s="1"/>
  <c r="Z213" i="12"/>
  <c r="T213" i="12"/>
  <c r="Q213" i="12"/>
  <c r="R213" i="12" s="1"/>
  <c r="P213" i="12"/>
  <c r="AA211" i="12"/>
  <c r="U211" i="12" s="1"/>
  <c r="Z211" i="12"/>
  <c r="T211" i="12"/>
  <c r="Q211" i="12"/>
  <c r="R211" i="12" s="1"/>
  <c r="P211" i="12"/>
  <c r="AA210" i="12"/>
  <c r="U210" i="12" s="1"/>
  <c r="Z210" i="12"/>
  <c r="Q210" i="12"/>
  <c r="P210" i="12"/>
  <c r="AA208" i="12"/>
  <c r="U208" i="12" s="1"/>
  <c r="Z208" i="12"/>
  <c r="T208" i="12"/>
  <c r="Q208" i="12"/>
  <c r="R208" i="12" s="1"/>
  <c r="P208" i="12"/>
  <c r="AA207" i="12"/>
  <c r="U207" i="12" s="1"/>
  <c r="Z207" i="12"/>
  <c r="T207" i="12"/>
  <c r="Q207" i="12"/>
  <c r="R207" i="12" s="1"/>
  <c r="P207" i="12"/>
  <c r="AA205" i="12"/>
  <c r="U205" i="12" s="1"/>
  <c r="Z205" i="12"/>
  <c r="T205" i="12"/>
  <c r="Q205" i="12"/>
  <c r="R205" i="12" s="1"/>
  <c r="P205" i="12"/>
  <c r="AA204" i="12"/>
  <c r="U204" i="12" s="1"/>
  <c r="Z204" i="12"/>
  <c r="T204" i="12"/>
  <c r="Q204" i="12"/>
  <c r="R204" i="12" s="1"/>
  <c r="P204" i="12"/>
  <c r="AA202" i="12"/>
  <c r="U202" i="12" s="1"/>
  <c r="Z202" i="12"/>
  <c r="T202" i="12"/>
  <c r="Q202" i="12"/>
  <c r="R202" i="12" s="1"/>
  <c r="P202" i="12"/>
  <c r="AA201" i="12"/>
  <c r="U201" i="12" s="1"/>
  <c r="Z201" i="12"/>
  <c r="T201" i="12"/>
  <c r="Q201" i="12"/>
  <c r="R201" i="12" s="1"/>
  <c r="P201" i="12"/>
  <c r="AA199" i="12"/>
  <c r="U199" i="12" s="1"/>
  <c r="Z199" i="12"/>
  <c r="T199" i="12"/>
  <c r="Q199" i="12"/>
  <c r="AA198" i="12"/>
  <c r="Z198" i="12"/>
  <c r="T198" i="12" s="1"/>
  <c r="Q198" i="12"/>
  <c r="P198" i="12"/>
  <c r="AA196" i="12"/>
  <c r="Z196" i="12"/>
  <c r="T196" i="12" s="1"/>
  <c r="U196" i="12"/>
  <c r="Q196" i="12"/>
  <c r="S196" i="12" s="1"/>
  <c r="P196" i="12"/>
  <c r="AA195" i="12"/>
  <c r="Z195" i="12"/>
  <c r="T195" i="12" s="1"/>
  <c r="U195" i="12"/>
  <c r="Q195" i="12"/>
  <c r="S195" i="12" s="1"/>
  <c r="P195" i="12"/>
  <c r="AA193" i="12"/>
  <c r="Z193" i="12"/>
  <c r="T193" i="12" s="1"/>
  <c r="U193" i="12"/>
  <c r="Q193" i="12"/>
  <c r="S193" i="12" s="1"/>
  <c r="P193" i="12"/>
  <c r="AA192" i="12"/>
  <c r="Z192" i="12"/>
  <c r="T192" i="12" s="1"/>
  <c r="U192" i="12"/>
  <c r="Q192" i="12"/>
  <c r="P192" i="12"/>
  <c r="AA190" i="12"/>
  <c r="Z190" i="12"/>
  <c r="T190" i="12" s="1"/>
  <c r="U190" i="12"/>
  <c r="Q190" i="12"/>
  <c r="P190" i="12"/>
  <c r="AA189" i="12"/>
  <c r="Z189" i="12"/>
  <c r="T189" i="12" s="1"/>
  <c r="U189" i="12"/>
  <c r="Q189" i="12"/>
  <c r="P189" i="12"/>
  <c r="AA187" i="12"/>
  <c r="Z187" i="12"/>
  <c r="T187" i="12" s="1"/>
  <c r="U187" i="12"/>
  <c r="Q187" i="12"/>
  <c r="P187" i="12"/>
  <c r="AA186" i="12"/>
  <c r="Z186" i="12"/>
  <c r="T186" i="12" s="1"/>
  <c r="U186" i="12"/>
  <c r="Q186" i="12"/>
  <c r="P186" i="12"/>
  <c r="AA184" i="12"/>
  <c r="Z184" i="12"/>
  <c r="T184" i="12" s="1"/>
  <c r="U184" i="12"/>
  <c r="Q184" i="12"/>
  <c r="P184" i="12"/>
  <c r="AA183" i="12"/>
  <c r="Z183" i="12"/>
  <c r="T183" i="12" s="1"/>
  <c r="U183" i="12"/>
  <c r="Q183" i="12"/>
  <c r="P183" i="12"/>
  <c r="AA181" i="12"/>
  <c r="Z181" i="12"/>
  <c r="T181" i="12" s="1"/>
  <c r="U181" i="12"/>
  <c r="Q181" i="12"/>
  <c r="AA180" i="12"/>
  <c r="Z180" i="12"/>
  <c r="U180" i="12"/>
  <c r="T180" i="12"/>
  <c r="Q180" i="12"/>
  <c r="P180" i="12"/>
  <c r="AA178" i="12"/>
  <c r="Z178" i="12"/>
  <c r="U178" i="12"/>
  <c r="T178" i="12"/>
  <c r="Q178" i="12"/>
  <c r="P178" i="12"/>
  <c r="AA177" i="12"/>
  <c r="Z177" i="12"/>
  <c r="U177" i="12"/>
  <c r="T177" i="12"/>
  <c r="Q177" i="12"/>
  <c r="P177" i="12"/>
  <c r="AA175" i="12"/>
  <c r="Z175" i="12"/>
  <c r="T175" i="12"/>
  <c r="Q175" i="12"/>
  <c r="P175" i="12"/>
  <c r="AA174" i="12"/>
  <c r="Z174" i="12"/>
  <c r="U174" i="12"/>
  <c r="T174" i="12"/>
  <c r="Q174" i="12"/>
  <c r="P174" i="12"/>
  <c r="AA172" i="12"/>
  <c r="Z172" i="12"/>
  <c r="U172" i="12"/>
  <c r="T172" i="12"/>
  <c r="Q172" i="12"/>
  <c r="P172" i="12"/>
  <c r="AA171" i="12"/>
  <c r="Z171" i="12"/>
  <c r="U171" i="12"/>
  <c r="T171" i="12"/>
  <c r="Q171" i="12"/>
  <c r="P171" i="12"/>
  <c r="AA169" i="12"/>
  <c r="Z169" i="12"/>
  <c r="U169" i="12"/>
  <c r="T169" i="12"/>
  <c r="Q169" i="12"/>
  <c r="P169" i="12"/>
  <c r="AA168" i="12"/>
  <c r="Z168" i="12"/>
  <c r="U168" i="12"/>
  <c r="T168" i="12"/>
  <c r="Q168" i="12"/>
  <c r="P168" i="12"/>
  <c r="AA166" i="12"/>
  <c r="Z166" i="12"/>
  <c r="U166" i="12"/>
  <c r="T166" i="12"/>
  <c r="Q166" i="12"/>
  <c r="P166" i="12"/>
  <c r="AA165" i="12"/>
  <c r="Z165" i="12"/>
  <c r="U165" i="12"/>
  <c r="Q165" i="12"/>
  <c r="P165" i="12"/>
  <c r="AA163" i="12"/>
  <c r="Z163" i="12"/>
  <c r="U163" i="12"/>
  <c r="T163" i="12"/>
  <c r="Q163" i="12"/>
  <c r="AA162" i="12"/>
  <c r="U162" i="12" s="1"/>
  <c r="Z162" i="12"/>
  <c r="T162" i="12"/>
  <c r="Q162" i="12"/>
  <c r="P162" i="12"/>
  <c r="AA160" i="12"/>
  <c r="U160" i="12" s="1"/>
  <c r="Z160" i="12"/>
  <c r="Q160" i="12"/>
  <c r="P160" i="12"/>
  <c r="AA159" i="12"/>
  <c r="U159" i="12" s="1"/>
  <c r="Z159" i="12"/>
  <c r="T159" i="12"/>
  <c r="Q159" i="12"/>
  <c r="P159" i="12"/>
  <c r="AA157" i="12"/>
  <c r="U157" i="12" s="1"/>
  <c r="Z157" i="12"/>
  <c r="Q157" i="12"/>
  <c r="P157" i="12"/>
  <c r="AA156" i="12"/>
  <c r="U156" i="12" s="1"/>
  <c r="Z156" i="12"/>
  <c r="T156" i="12"/>
  <c r="Q156" i="12"/>
  <c r="P156" i="12"/>
  <c r="AA154" i="12"/>
  <c r="U154" i="12" s="1"/>
  <c r="Z154" i="12"/>
  <c r="T154" i="12"/>
  <c r="Q154" i="12"/>
  <c r="P154" i="12"/>
  <c r="AA153" i="12"/>
  <c r="U153" i="12" s="1"/>
  <c r="Z153" i="12"/>
  <c r="Q153" i="12"/>
  <c r="P153" i="12"/>
  <c r="AA151" i="12"/>
  <c r="U151" i="12" s="1"/>
  <c r="Z151" i="12"/>
  <c r="T151" i="12"/>
  <c r="Q151" i="12"/>
  <c r="P151" i="12"/>
  <c r="AA150" i="12"/>
  <c r="U150" i="12" s="1"/>
  <c r="Z150" i="12"/>
  <c r="T150" i="12"/>
  <c r="Q150" i="12"/>
  <c r="P150" i="12"/>
  <c r="AA148" i="12"/>
  <c r="U148" i="12" s="1"/>
  <c r="Z148" i="12"/>
  <c r="Q148" i="12"/>
  <c r="P148" i="12"/>
  <c r="AA147" i="12"/>
  <c r="U147" i="12" s="1"/>
  <c r="Z147" i="12"/>
  <c r="Q147" i="12"/>
  <c r="P147" i="12"/>
  <c r="AA145" i="12"/>
  <c r="U145" i="12" s="1"/>
  <c r="Z145" i="12"/>
  <c r="Q145" i="12"/>
  <c r="AA144" i="12"/>
  <c r="U144" i="12" s="1"/>
  <c r="Z144" i="12"/>
  <c r="T144" i="12" s="1"/>
  <c r="Q144" i="12"/>
  <c r="P144" i="12"/>
  <c r="AA142" i="12"/>
  <c r="U142" i="12" s="1"/>
  <c r="Z142" i="12"/>
  <c r="T142" i="12" s="1"/>
  <c r="Q142" i="12"/>
  <c r="P142" i="12"/>
  <c r="AA141" i="12"/>
  <c r="U141" i="12" s="1"/>
  <c r="Z141" i="12"/>
  <c r="T141" i="12" s="1"/>
  <c r="Q141" i="12"/>
  <c r="P141" i="12"/>
  <c r="AA139" i="12"/>
  <c r="U139" i="12" s="1"/>
  <c r="Z139" i="12"/>
  <c r="T139" i="12" s="1"/>
  <c r="Q139" i="12"/>
  <c r="P139" i="12"/>
  <c r="AA138" i="12"/>
  <c r="U138" i="12" s="1"/>
  <c r="Z138" i="12"/>
  <c r="T138" i="12" s="1"/>
  <c r="Q138" i="12"/>
  <c r="P138" i="12"/>
  <c r="AA136" i="12"/>
  <c r="U136" i="12" s="1"/>
  <c r="Z136" i="12"/>
  <c r="T136" i="12" s="1"/>
  <c r="Q136" i="12"/>
  <c r="P136" i="12"/>
  <c r="AA135" i="12"/>
  <c r="U135" i="12" s="1"/>
  <c r="Z135" i="12"/>
  <c r="T135" i="12" s="1"/>
  <c r="Q135" i="12"/>
  <c r="P135" i="12"/>
  <c r="AA133" i="12"/>
  <c r="U133" i="12" s="1"/>
  <c r="Z133" i="12"/>
  <c r="T133" i="12" s="1"/>
  <c r="Q133" i="12"/>
  <c r="P133" i="12"/>
  <c r="AA132" i="12"/>
  <c r="U132" i="12" s="1"/>
  <c r="Z132" i="12"/>
  <c r="T132" i="12" s="1"/>
  <c r="Q132" i="12"/>
  <c r="P132" i="12"/>
  <c r="AA130" i="12"/>
  <c r="U130" i="12" s="1"/>
  <c r="Z130" i="12"/>
  <c r="T130" i="12" s="1"/>
  <c r="Q130" i="12"/>
  <c r="P130" i="12"/>
  <c r="AA129" i="12"/>
  <c r="U129" i="12" s="1"/>
  <c r="Z129" i="12"/>
  <c r="T129" i="12" s="1"/>
  <c r="Q129" i="12"/>
  <c r="P129" i="12"/>
  <c r="AA127" i="12"/>
  <c r="U127" i="12" s="1"/>
  <c r="Z127" i="12"/>
  <c r="T127" i="12" s="1"/>
  <c r="Q127" i="12"/>
  <c r="AA126" i="12"/>
  <c r="Z126" i="12"/>
  <c r="T126" i="12" s="1"/>
  <c r="U126" i="12"/>
  <c r="Q126" i="12"/>
  <c r="P126" i="12"/>
  <c r="AA124" i="12"/>
  <c r="Z124" i="12"/>
  <c r="T124" i="12" s="1"/>
  <c r="U124" i="12"/>
  <c r="Q124" i="12"/>
  <c r="P124" i="12"/>
  <c r="AA123" i="12"/>
  <c r="Z123" i="12"/>
  <c r="T123" i="12" s="1"/>
  <c r="U123" i="12"/>
  <c r="Q123" i="12"/>
  <c r="P123" i="12"/>
  <c r="AA121" i="12"/>
  <c r="Z121" i="12"/>
  <c r="T121" i="12" s="1"/>
  <c r="U121" i="12"/>
  <c r="Q121" i="12"/>
  <c r="P121" i="12"/>
  <c r="AA120" i="12"/>
  <c r="Z120" i="12"/>
  <c r="T120" i="12" s="1"/>
  <c r="U120" i="12"/>
  <c r="Q120" i="12"/>
  <c r="P120" i="12"/>
  <c r="AA118" i="12"/>
  <c r="Z118" i="12"/>
  <c r="T118" i="12" s="1"/>
  <c r="U118" i="12"/>
  <c r="Q118" i="12"/>
  <c r="P118" i="12"/>
  <c r="AA117" i="12"/>
  <c r="Z117" i="12"/>
  <c r="T117" i="12" s="1"/>
  <c r="U117" i="12"/>
  <c r="Q117" i="12"/>
  <c r="P117" i="12"/>
  <c r="AA115" i="12"/>
  <c r="Z115" i="12"/>
  <c r="T115" i="12" s="1"/>
  <c r="U115" i="12"/>
  <c r="Q115" i="12"/>
  <c r="P115" i="12"/>
  <c r="AA114" i="12"/>
  <c r="Z114" i="12"/>
  <c r="T114" i="12" s="1"/>
  <c r="U114" i="12"/>
  <c r="Q114" i="12"/>
  <c r="P114" i="12"/>
  <c r="AA112" i="12"/>
  <c r="Z112" i="12"/>
  <c r="T112" i="12" s="1"/>
  <c r="U112" i="12"/>
  <c r="Q112" i="12"/>
  <c r="P112" i="12"/>
  <c r="AA111" i="12"/>
  <c r="Z111" i="12"/>
  <c r="T111" i="12" s="1"/>
  <c r="U111" i="12"/>
  <c r="Q111" i="12"/>
  <c r="P111" i="12"/>
  <c r="AA109" i="12"/>
  <c r="Z109" i="12"/>
  <c r="T109" i="12" s="1"/>
  <c r="U109" i="12"/>
  <c r="Q109" i="12"/>
  <c r="P109" i="12"/>
  <c r="AA108" i="12"/>
  <c r="Z108" i="12"/>
  <c r="T108" i="12" s="1"/>
  <c r="Q108" i="12"/>
  <c r="P108" i="12"/>
  <c r="AA106" i="12"/>
  <c r="Z106" i="12"/>
  <c r="T106" i="12" s="1"/>
  <c r="U106" i="12"/>
  <c r="Q106" i="12"/>
  <c r="P106" i="12"/>
  <c r="AA105" i="12"/>
  <c r="Z105" i="12"/>
  <c r="T105" i="12" s="1"/>
  <c r="Q105" i="12"/>
  <c r="P105" i="12"/>
  <c r="AA103" i="12"/>
  <c r="Z103" i="12"/>
  <c r="T103" i="12" s="1"/>
  <c r="Q103" i="12"/>
  <c r="P103" i="12"/>
  <c r="AA102" i="12"/>
  <c r="Z102" i="12"/>
  <c r="T102" i="12" s="1"/>
  <c r="U102" i="12"/>
  <c r="Q102" i="12"/>
  <c r="P102" i="12"/>
  <c r="AA100" i="12"/>
  <c r="Z100" i="12"/>
  <c r="T100" i="12" s="1"/>
  <c r="U100" i="12"/>
  <c r="Q100" i="12"/>
  <c r="P100" i="12"/>
  <c r="AA99" i="12"/>
  <c r="Z99" i="12"/>
  <c r="T99" i="12" s="1"/>
  <c r="U99" i="12"/>
  <c r="Q99" i="12"/>
  <c r="P99" i="12"/>
  <c r="AA97" i="12"/>
  <c r="Z97" i="12"/>
  <c r="T97" i="12" s="1"/>
  <c r="U97" i="12"/>
  <c r="Q97" i="12"/>
  <c r="AA96" i="12"/>
  <c r="Z96" i="12"/>
  <c r="T96" i="12"/>
  <c r="Q96" i="12"/>
  <c r="P96" i="12"/>
  <c r="AA94" i="12"/>
  <c r="Z94" i="12"/>
  <c r="U94" i="12"/>
  <c r="T94" i="12"/>
  <c r="Q94" i="12"/>
  <c r="AA93" i="12"/>
  <c r="Z93" i="12"/>
  <c r="U93" i="12"/>
  <c r="T93" i="12"/>
  <c r="Q93" i="12"/>
  <c r="S93" i="12" s="1"/>
  <c r="P93" i="12"/>
  <c r="U91" i="12"/>
  <c r="T91" i="12"/>
  <c r="Q91" i="12"/>
  <c r="R91" i="12" s="1"/>
  <c r="U90" i="12"/>
  <c r="T90" i="12"/>
  <c r="Q90" i="12"/>
  <c r="P90" i="12"/>
  <c r="AA88" i="12"/>
  <c r="U88" i="12" s="1"/>
  <c r="Z88" i="12"/>
  <c r="T88" i="12" s="1"/>
  <c r="Q88" i="12"/>
  <c r="P88" i="12"/>
  <c r="AA87" i="12"/>
  <c r="U87" i="12" s="1"/>
  <c r="Z87" i="12"/>
  <c r="T87" i="12" s="1"/>
  <c r="Q87" i="12"/>
  <c r="P87" i="12"/>
  <c r="AA85" i="12"/>
  <c r="U85" i="12" s="1"/>
  <c r="Z85" i="12"/>
  <c r="T85" i="12" s="1"/>
  <c r="Q85" i="12"/>
  <c r="AA84" i="12"/>
  <c r="Z84" i="12"/>
  <c r="T84" i="12" s="1"/>
  <c r="U84" i="12"/>
  <c r="Q84" i="12"/>
  <c r="P84" i="12"/>
  <c r="AA82" i="12"/>
  <c r="Z82" i="12"/>
  <c r="T82" i="12" s="1"/>
  <c r="U82" i="12"/>
  <c r="Q82" i="12"/>
  <c r="AA81" i="12"/>
  <c r="Z81" i="12"/>
  <c r="U81" i="12"/>
  <c r="T81" i="12"/>
  <c r="Q81" i="12"/>
  <c r="P81" i="12"/>
  <c r="AA79" i="12"/>
  <c r="Z79" i="12"/>
  <c r="T79" i="12"/>
  <c r="Q79" i="12"/>
  <c r="P79" i="12"/>
  <c r="AA78" i="12"/>
  <c r="Z78" i="12"/>
  <c r="U78" i="12"/>
  <c r="T78" i="12"/>
  <c r="Q78" i="12"/>
  <c r="P78" i="12"/>
  <c r="AA76" i="12"/>
  <c r="Z76" i="12"/>
  <c r="T76" i="12"/>
  <c r="Q76" i="12"/>
  <c r="P76" i="12"/>
  <c r="AA75" i="12"/>
  <c r="Z75" i="12"/>
  <c r="U75" i="12"/>
  <c r="T75" i="12"/>
  <c r="Q75" i="12"/>
  <c r="P75" i="12"/>
  <c r="AA73" i="12"/>
  <c r="Z73" i="12"/>
  <c r="T73" i="12"/>
  <c r="Q73" i="12"/>
  <c r="P73" i="12"/>
  <c r="AA72" i="12"/>
  <c r="Z72" i="12"/>
  <c r="T72" i="12"/>
  <c r="Q72" i="12"/>
  <c r="P72" i="12"/>
  <c r="AA70" i="12"/>
  <c r="Z70" i="12"/>
  <c r="T70" i="12"/>
  <c r="Q70" i="12"/>
  <c r="P70" i="12"/>
  <c r="AA69" i="12"/>
  <c r="Z69" i="12"/>
  <c r="T69" i="12"/>
  <c r="Q69" i="12"/>
  <c r="P69" i="12"/>
  <c r="AA67" i="12"/>
  <c r="Z67" i="12"/>
  <c r="U67" i="12"/>
  <c r="T67" i="12"/>
  <c r="Q67" i="12"/>
  <c r="AA66" i="12"/>
  <c r="Z66" i="12"/>
  <c r="U66" i="12"/>
  <c r="T66" i="12"/>
  <c r="Q66" i="12"/>
  <c r="S66" i="12" s="1"/>
  <c r="P66" i="12"/>
  <c r="U64" i="12"/>
  <c r="T64" i="12"/>
  <c r="Q64" i="12"/>
  <c r="R64" i="12" s="1"/>
  <c r="P64" i="12"/>
  <c r="U63" i="12"/>
  <c r="T63" i="12"/>
  <c r="Q63" i="12"/>
  <c r="P63" i="12"/>
  <c r="AA61" i="12"/>
  <c r="U61" i="12" s="1"/>
  <c r="Z61" i="12"/>
  <c r="Q61" i="12"/>
  <c r="P61" i="12"/>
  <c r="AA60" i="12"/>
  <c r="U60" i="12" s="1"/>
  <c r="Z60" i="12"/>
  <c r="Q60" i="12"/>
  <c r="P60" i="12"/>
  <c r="AA58" i="12"/>
  <c r="U58" i="12" s="1"/>
  <c r="Z58" i="12"/>
  <c r="T58" i="12"/>
  <c r="Q58" i="12"/>
  <c r="P58" i="12"/>
  <c r="AA57" i="12"/>
  <c r="U57" i="12" s="1"/>
  <c r="Z57" i="12"/>
  <c r="T57" i="12"/>
  <c r="Q57" i="12"/>
  <c r="P57" i="12"/>
  <c r="AA55" i="12"/>
  <c r="U55" i="12" s="1"/>
  <c r="Z55" i="12"/>
  <c r="T55" i="12"/>
  <c r="Q55" i="12"/>
  <c r="P55" i="12"/>
  <c r="AA54" i="12"/>
  <c r="U54" i="12" s="1"/>
  <c r="Z54" i="12"/>
  <c r="T54" i="12"/>
  <c r="Q54" i="12"/>
  <c r="P54" i="12"/>
  <c r="AA52" i="12"/>
  <c r="U52" i="12" s="1"/>
  <c r="Z52" i="12"/>
  <c r="Q52" i="12"/>
  <c r="P52" i="12"/>
  <c r="AA51" i="12"/>
  <c r="U51" i="12" s="1"/>
  <c r="Z51" i="12"/>
  <c r="Q51" i="12"/>
  <c r="P51" i="12"/>
  <c r="AA49" i="12"/>
  <c r="U49" i="12" s="1"/>
  <c r="Z49" i="12"/>
  <c r="T49" i="12"/>
  <c r="Q49" i="12"/>
  <c r="P49" i="12"/>
  <c r="AA48" i="12"/>
  <c r="U48" i="12" s="1"/>
  <c r="Z48" i="12"/>
  <c r="T48" i="12"/>
  <c r="Q48" i="12"/>
  <c r="P48" i="12"/>
  <c r="AA46" i="12"/>
  <c r="U46" i="12" s="1"/>
  <c r="Z46" i="12"/>
  <c r="Q46" i="12"/>
  <c r="P46" i="12"/>
  <c r="AA45" i="12"/>
  <c r="U45" i="12" s="1"/>
  <c r="Z45" i="12"/>
  <c r="Q45" i="12"/>
  <c r="P45" i="12"/>
  <c r="AA43" i="12"/>
  <c r="U43" i="12" s="1"/>
  <c r="Z43" i="12"/>
  <c r="T43" i="12"/>
  <c r="Q43" i="12"/>
  <c r="P43" i="12"/>
  <c r="AA42" i="12"/>
  <c r="U42" i="12" s="1"/>
  <c r="Z42" i="12"/>
  <c r="T42" i="12"/>
  <c r="Q42" i="12"/>
  <c r="P42" i="12"/>
  <c r="AA40" i="12"/>
  <c r="U40" i="12" s="1"/>
  <c r="Z40" i="12"/>
  <c r="Q40" i="12"/>
  <c r="AA39" i="12"/>
  <c r="Z39" i="12"/>
  <c r="T39" i="12" s="1"/>
  <c r="Q39" i="12"/>
  <c r="P39" i="12"/>
  <c r="AA37" i="12"/>
  <c r="Z37" i="12"/>
  <c r="T37" i="12" s="1"/>
  <c r="U37" i="12"/>
  <c r="Q37" i="12"/>
  <c r="S37" i="12" s="1"/>
  <c r="P37" i="12"/>
  <c r="AA36" i="12"/>
  <c r="Z36" i="12"/>
  <c r="T36" i="12" s="1"/>
  <c r="U36" i="12"/>
  <c r="Q36" i="12"/>
  <c r="S36" i="12" s="1"/>
  <c r="P36" i="12"/>
  <c r="AA34" i="12"/>
  <c r="Z34" i="12"/>
  <c r="T34" i="12" s="1"/>
  <c r="U34" i="12"/>
  <c r="Q34" i="12"/>
  <c r="S34" i="12" s="1"/>
  <c r="P34" i="12"/>
  <c r="AA33" i="12"/>
  <c r="Z33" i="12"/>
  <c r="T33" i="12" s="1"/>
  <c r="U33" i="12"/>
  <c r="Q33" i="12"/>
  <c r="S33" i="12" s="1"/>
  <c r="P33" i="12"/>
  <c r="AA31" i="12"/>
  <c r="U31" i="12" s="1"/>
  <c r="Z31" i="12"/>
  <c r="T31" i="12" s="1"/>
  <c r="Q31" i="12"/>
  <c r="P31" i="12"/>
  <c r="AA30" i="12"/>
  <c r="U30" i="12" s="1"/>
  <c r="Z30" i="12"/>
  <c r="T30" i="12" s="1"/>
  <c r="Q30" i="12"/>
  <c r="P30" i="12"/>
  <c r="AA28" i="12"/>
  <c r="U28" i="12" s="1"/>
  <c r="Z28" i="12"/>
  <c r="T28" i="12" s="1"/>
  <c r="Q28" i="12"/>
  <c r="P28" i="12"/>
  <c r="AA27" i="12"/>
  <c r="U27" i="12" s="1"/>
  <c r="Z27" i="12"/>
  <c r="T27" i="12" s="1"/>
  <c r="Q27" i="12"/>
  <c r="P27" i="12"/>
  <c r="AA25" i="12"/>
  <c r="U25" i="12" s="1"/>
  <c r="Z25" i="12"/>
  <c r="T25" i="12" s="1"/>
  <c r="Q25" i="12"/>
  <c r="P25" i="12"/>
  <c r="AA24" i="12"/>
  <c r="U24" i="12" s="1"/>
  <c r="Z24" i="12"/>
  <c r="T24" i="12" s="1"/>
  <c r="Q24" i="12"/>
  <c r="P24" i="12"/>
  <c r="AA22" i="12"/>
  <c r="U22" i="12" s="1"/>
  <c r="Z22" i="12"/>
  <c r="T22" i="12" s="1"/>
  <c r="Q22" i="12"/>
  <c r="P22" i="12"/>
  <c r="AA21" i="12"/>
  <c r="U21" i="12" s="1"/>
  <c r="Z21" i="12"/>
  <c r="T21" i="12" s="1"/>
  <c r="Q21" i="12"/>
  <c r="P21" i="12"/>
  <c r="AA19" i="12"/>
  <c r="U19" i="12" s="1"/>
  <c r="Z19" i="12"/>
  <c r="T19" i="12" s="1"/>
  <c r="Q19" i="12"/>
  <c r="P19" i="12"/>
  <c r="AA18" i="12"/>
  <c r="U18" i="12" s="1"/>
  <c r="Z18" i="12"/>
  <c r="T18" i="12" s="1"/>
  <c r="Q18" i="12"/>
  <c r="P18" i="12"/>
  <c r="AA16" i="12"/>
  <c r="U16" i="12" s="1"/>
  <c r="Z16" i="12"/>
  <c r="T16" i="12" s="1"/>
  <c r="Q16" i="12"/>
  <c r="P16" i="12"/>
  <c r="AA15" i="12"/>
  <c r="U15" i="12" s="1"/>
  <c r="Z15" i="12"/>
  <c r="T15" i="12" s="1"/>
  <c r="Q15" i="12"/>
  <c r="P15" i="12"/>
  <c r="AA13" i="12"/>
  <c r="U13" i="12" s="1"/>
  <c r="Z13" i="12"/>
  <c r="T13" i="12" s="1"/>
  <c r="Q13" i="12"/>
  <c r="AA12" i="12"/>
  <c r="Z12" i="12"/>
  <c r="T12" i="12" s="1"/>
  <c r="U12" i="12"/>
  <c r="Q12" i="12"/>
  <c r="P12" i="12"/>
  <c r="AA10" i="12"/>
  <c r="Z10" i="12"/>
  <c r="T10" i="12" s="1"/>
  <c r="Q10" i="12"/>
  <c r="P10" i="12"/>
  <c r="AA9" i="12"/>
  <c r="Z9" i="12"/>
  <c r="T9" i="12" s="1"/>
  <c r="U9" i="12"/>
  <c r="Q9" i="12"/>
  <c r="P9" i="12"/>
  <c r="AA7" i="12"/>
  <c r="Z7" i="12"/>
  <c r="T7" i="12" s="1"/>
  <c r="U7" i="12"/>
  <c r="AA6" i="12"/>
  <c r="U6" i="12" s="1"/>
  <c r="Z6" i="12"/>
  <c r="T6" i="12"/>
  <c r="Q6" i="12"/>
  <c r="P6" i="12"/>
  <c r="AA4" i="12"/>
  <c r="U4" i="12" s="1"/>
  <c r="Z4" i="12"/>
  <c r="Q4" i="12"/>
  <c r="P4" i="12"/>
  <c r="AA3" i="12"/>
  <c r="U3" i="12" s="1"/>
  <c r="Z3" i="12"/>
  <c r="Q3" i="12"/>
  <c r="P3" i="12"/>
  <c r="O73" i="3"/>
  <c r="S72" i="3"/>
  <c r="R72" i="3"/>
  <c r="S71" i="3"/>
  <c r="S73" i="3" s="1"/>
  <c r="Q73" i="3" s="1"/>
  <c r="R71" i="3"/>
  <c r="R73" i="3" s="1"/>
  <c r="P73" i="3" s="1"/>
  <c r="AC66" i="3"/>
  <c r="X66" i="3"/>
  <c r="J66" i="3"/>
  <c r="AS65" i="3"/>
  <c r="AL65" i="3"/>
  <c r="AK65" i="3"/>
  <c r="AG65" i="3"/>
  <c r="AF65" i="3"/>
  <c r="AB65" i="3"/>
  <c r="AA65" i="3"/>
  <c r="T65" i="3"/>
  <c r="S65" i="3"/>
  <c r="R65" i="3"/>
  <c r="I65" i="3"/>
  <c r="AR64" i="3"/>
  <c r="AL64" i="3"/>
  <c r="AK64" i="3"/>
  <c r="AG64" i="3"/>
  <c r="AF64" i="3"/>
  <c r="AB64" i="3"/>
  <c r="AA64" i="3"/>
  <c r="T64" i="3"/>
  <c r="S64" i="3"/>
  <c r="R64" i="3"/>
  <c r="AM64" i="3" s="1"/>
  <c r="I64" i="3"/>
  <c r="H64" i="3"/>
  <c r="G64" i="3"/>
  <c r="AL63" i="3"/>
  <c r="AK63" i="3"/>
  <c r="AG63" i="3"/>
  <c r="AF63" i="3"/>
  <c r="AB63" i="3"/>
  <c r="AA63" i="3"/>
  <c r="T63" i="3"/>
  <c r="S63" i="3"/>
  <c r="R63" i="3"/>
  <c r="I63" i="3"/>
  <c r="AL62" i="3"/>
  <c r="AK62" i="3"/>
  <c r="AG62" i="3"/>
  <c r="AF62" i="3"/>
  <c r="AB62" i="3"/>
  <c r="AA62" i="3"/>
  <c r="T62" i="3"/>
  <c r="S62" i="3"/>
  <c r="R62" i="3"/>
  <c r="I62" i="3"/>
  <c r="H62" i="3"/>
  <c r="AL61" i="3"/>
  <c r="AK61" i="3"/>
  <c r="AG61" i="3"/>
  <c r="AF61" i="3"/>
  <c r="AB61" i="3"/>
  <c r="AA61" i="3"/>
  <c r="T61" i="3"/>
  <c r="S61" i="3"/>
  <c r="R61" i="3"/>
  <c r="I61" i="3"/>
  <c r="AL60" i="3"/>
  <c r="AK60" i="3"/>
  <c r="AG60" i="3"/>
  <c r="AF60" i="3"/>
  <c r="AB60" i="3"/>
  <c r="AA60" i="3"/>
  <c r="T60" i="3"/>
  <c r="S60" i="3"/>
  <c r="R60" i="3"/>
  <c r="I60" i="3"/>
  <c r="AM60" i="3"/>
  <c r="AL59" i="3"/>
  <c r="AK59" i="3"/>
  <c r="AG59" i="3"/>
  <c r="AF59" i="3"/>
  <c r="AB59" i="3"/>
  <c r="AA59" i="3"/>
  <c r="T59" i="3"/>
  <c r="S59" i="3"/>
  <c r="R59" i="3"/>
  <c r="I59" i="3"/>
  <c r="F59" i="3"/>
  <c r="E59" i="3"/>
  <c r="D59" i="3"/>
  <c r="AR59" i="3" s="1"/>
  <c r="AL58" i="3"/>
  <c r="AK58" i="3"/>
  <c r="AG58" i="3"/>
  <c r="AF58" i="3"/>
  <c r="AB58" i="3"/>
  <c r="AA58" i="3"/>
  <c r="T58" i="3"/>
  <c r="S58" i="3"/>
  <c r="R58" i="3"/>
  <c r="I58" i="3"/>
  <c r="F58" i="3"/>
  <c r="E58" i="3"/>
  <c r="D58" i="3"/>
  <c r="AL57" i="3"/>
  <c r="AK57" i="3"/>
  <c r="AG57" i="3"/>
  <c r="AF57" i="3"/>
  <c r="AB57" i="3"/>
  <c r="AA57" i="3"/>
  <c r="T57" i="3"/>
  <c r="S57" i="3"/>
  <c r="R57" i="3"/>
  <c r="I57" i="3"/>
  <c r="AM57" i="3"/>
  <c r="AL56" i="3"/>
  <c r="AK56" i="3"/>
  <c r="AG56" i="3"/>
  <c r="AF56" i="3"/>
  <c r="AB56" i="3"/>
  <c r="AA56" i="3"/>
  <c r="T56" i="3"/>
  <c r="S56" i="3"/>
  <c r="R56" i="3"/>
  <c r="I56" i="3"/>
  <c r="F56" i="3"/>
  <c r="E56" i="3"/>
  <c r="D56" i="3"/>
  <c r="H56" i="3" s="1"/>
  <c r="AS55" i="3"/>
  <c r="AL55" i="3"/>
  <c r="AK55" i="3"/>
  <c r="AG55" i="3"/>
  <c r="AF55" i="3"/>
  <c r="AB55" i="3"/>
  <c r="AA55" i="3"/>
  <c r="T55" i="3"/>
  <c r="S55" i="3"/>
  <c r="R55" i="3"/>
  <c r="I55" i="3"/>
  <c r="F55" i="3"/>
  <c r="E55" i="3"/>
  <c r="D55" i="3"/>
  <c r="H55" i="3" s="1"/>
  <c r="AL54" i="3"/>
  <c r="AK54" i="3"/>
  <c r="AG54" i="3"/>
  <c r="AF54" i="3"/>
  <c r="AB54" i="3"/>
  <c r="AA54" i="3"/>
  <c r="T54" i="3"/>
  <c r="S54" i="3"/>
  <c r="R54" i="3"/>
  <c r="I54" i="3"/>
  <c r="AL53" i="3"/>
  <c r="AK53" i="3"/>
  <c r="AG53" i="3"/>
  <c r="AF53" i="3"/>
  <c r="AB53" i="3"/>
  <c r="AA53" i="3"/>
  <c r="T53" i="3"/>
  <c r="S53" i="3"/>
  <c r="R53" i="3"/>
  <c r="I53" i="3"/>
  <c r="AM53" i="3"/>
  <c r="AL52" i="3"/>
  <c r="AK52" i="3"/>
  <c r="AG52" i="3"/>
  <c r="AF52" i="3"/>
  <c r="AB52" i="3"/>
  <c r="AA52" i="3"/>
  <c r="T52" i="3"/>
  <c r="S52" i="3"/>
  <c r="R52" i="3"/>
  <c r="I52" i="3"/>
  <c r="AL51" i="3"/>
  <c r="AK51" i="3"/>
  <c r="AG51" i="3"/>
  <c r="AF51" i="3"/>
  <c r="AB51" i="3"/>
  <c r="AA51" i="3"/>
  <c r="T51" i="3"/>
  <c r="S51" i="3"/>
  <c r="R51" i="3"/>
  <c r="I51" i="3"/>
  <c r="AL50" i="3"/>
  <c r="AK50" i="3"/>
  <c r="AG50" i="3"/>
  <c r="AF50" i="3"/>
  <c r="AB50" i="3"/>
  <c r="AA50" i="3"/>
  <c r="T50" i="3"/>
  <c r="S50" i="3"/>
  <c r="R50" i="3"/>
  <c r="I50" i="3"/>
  <c r="F50" i="3"/>
  <c r="E50" i="3"/>
  <c r="D50" i="3"/>
  <c r="AM50" i="3" s="1"/>
  <c r="AL49" i="3"/>
  <c r="AK49" i="3"/>
  <c r="AG49" i="3"/>
  <c r="AF49" i="3"/>
  <c r="AB49" i="3"/>
  <c r="AA49" i="3"/>
  <c r="T49" i="3"/>
  <c r="S49" i="3"/>
  <c r="R49" i="3"/>
  <c r="I49" i="3"/>
  <c r="F49" i="3"/>
  <c r="E49" i="3"/>
  <c r="D49" i="3"/>
  <c r="AL48" i="3"/>
  <c r="AK48" i="3"/>
  <c r="AG48" i="3"/>
  <c r="AF48" i="3"/>
  <c r="AB48" i="3"/>
  <c r="AA48" i="3"/>
  <c r="T48" i="3"/>
  <c r="S48" i="3"/>
  <c r="R48" i="3"/>
  <c r="I48" i="3"/>
  <c r="F48" i="3"/>
  <c r="E48" i="3"/>
  <c r="D48" i="3"/>
  <c r="AR48" i="3" s="1"/>
  <c r="AL47" i="3"/>
  <c r="AK47" i="3"/>
  <c r="AG47" i="3"/>
  <c r="AF47" i="3"/>
  <c r="AB47" i="3"/>
  <c r="AA47" i="3"/>
  <c r="T47" i="3"/>
  <c r="S47" i="3"/>
  <c r="R47" i="3"/>
  <c r="I47" i="3"/>
  <c r="F47" i="3"/>
  <c r="E47" i="3"/>
  <c r="D47" i="3"/>
  <c r="AL46" i="3"/>
  <c r="AK46" i="3"/>
  <c r="AG46" i="3"/>
  <c r="AF46" i="3"/>
  <c r="AB46" i="3"/>
  <c r="AA46" i="3"/>
  <c r="T46" i="3"/>
  <c r="S46" i="3"/>
  <c r="R46" i="3"/>
  <c r="I46" i="3"/>
  <c r="AL45" i="3"/>
  <c r="AK45" i="3"/>
  <c r="AG45" i="3"/>
  <c r="AF45" i="3"/>
  <c r="AB45" i="3"/>
  <c r="AA45" i="3"/>
  <c r="T45" i="3"/>
  <c r="S45" i="3"/>
  <c r="R45" i="3"/>
  <c r="I45" i="3"/>
  <c r="F45" i="3"/>
  <c r="E45" i="3"/>
  <c r="D45" i="3"/>
  <c r="AR45" i="3" s="1"/>
  <c r="AL44" i="3"/>
  <c r="AK44" i="3"/>
  <c r="AG44" i="3"/>
  <c r="AF44" i="3"/>
  <c r="AB44" i="3"/>
  <c r="AA44" i="3"/>
  <c r="T44" i="3"/>
  <c r="S44" i="3"/>
  <c r="R44" i="3"/>
  <c r="I44" i="3"/>
  <c r="F44" i="3"/>
  <c r="E44" i="3"/>
  <c r="D44" i="3"/>
  <c r="AL43" i="3"/>
  <c r="AK43" i="3"/>
  <c r="AG43" i="3"/>
  <c r="AF43" i="3"/>
  <c r="AB43" i="3"/>
  <c r="AA43" i="3"/>
  <c r="T43" i="3"/>
  <c r="S43" i="3"/>
  <c r="R43" i="3"/>
  <c r="I43" i="3"/>
  <c r="F43" i="3"/>
  <c r="E43" i="3"/>
  <c r="D43" i="3"/>
  <c r="AM43" i="3" s="1"/>
  <c r="AL42" i="3"/>
  <c r="AK42" i="3"/>
  <c r="AG42" i="3"/>
  <c r="AF42" i="3"/>
  <c r="AB42" i="3"/>
  <c r="AA42" i="3"/>
  <c r="T42" i="3"/>
  <c r="S42" i="3"/>
  <c r="R42" i="3"/>
  <c r="I42" i="3"/>
  <c r="F42" i="3"/>
  <c r="E42" i="3"/>
  <c r="D42" i="3"/>
  <c r="AS41" i="3"/>
  <c r="AL41" i="3"/>
  <c r="AK41" i="3"/>
  <c r="AG41" i="3"/>
  <c r="AF41" i="3"/>
  <c r="AB41" i="3"/>
  <c r="AA41" i="3"/>
  <c r="T41" i="3"/>
  <c r="S41" i="3"/>
  <c r="R41" i="3"/>
  <c r="I41" i="3"/>
  <c r="F41" i="3"/>
  <c r="E41" i="3"/>
  <c r="D41" i="3"/>
  <c r="AL40" i="3"/>
  <c r="AK40" i="3"/>
  <c r="AG40" i="3"/>
  <c r="AF40" i="3"/>
  <c r="AB40" i="3"/>
  <c r="AA40" i="3"/>
  <c r="T40" i="3"/>
  <c r="S40" i="3"/>
  <c r="R40" i="3"/>
  <c r="I40" i="3"/>
  <c r="AM40" i="3"/>
  <c r="AL39" i="3"/>
  <c r="AK39" i="3"/>
  <c r="AG39" i="3"/>
  <c r="AF39" i="3"/>
  <c r="AB39" i="3"/>
  <c r="AA39" i="3"/>
  <c r="T39" i="3"/>
  <c r="S39" i="3"/>
  <c r="R39" i="3"/>
  <c r="I39" i="3"/>
  <c r="F39" i="3"/>
  <c r="E39" i="3"/>
  <c r="D39" i="3"/>
  <c r="AS38" i="3"/>
  <c r="AL38" i="3"/>
  <c r="AK38" i="3"/>
  <c r="AG38" i="3"/>
  <c r="AF38" i="3"/>
  <c r="AB38" i="3"/>
  <c r="AA38" i="3"/>
  <c r="T38" i="3"/>
  <c r="S38" i="3"/>
  <c r="R38" i="3"/>
  <c r="I38" i="3"/>
  <c r="F38" i="3"/>
  <c r="E38" i="3"/>
  <c r="D38" i="3"/>
  <c r="AL37" i="3"/>
  <c r="AK37" i="3"/>
  <c r="AG37" i="3"/>
  <c r="AF37" i="3"/>
  <c r="AB37" i="3"/>
  <c r="AA37" i="3"/>
  <c r="T37" i="3"/>
  <c r="S37" i="3"/>
  <c r="R37" i="3"/>
  <c r="I37" i="3"/>
  <c r="AS36" i="3"/>
  <c r="AL36" i="3"/>
  <c r="AK36" i="3"/>
  <c r="AG36" i="3"/>
  <c r="AF36" i="3"/>
  <c r="AB36" i="3"/>
  <c r="AA36" i="3"/>
  <c r="T36" i="3"/>
  <c r="S36" i="3"/>
  <c r="R36" i="3"/>
  <c r="I36" i="3"/>
  <c r="F36" i="3"/>
  <c r="E36" i="3"/>
  <c r="D36" i="3"/>
  <c r="AM36" i="3" s="1"/>
  <c r="AL35" i="3"/>
  <c r="AK35" i="3"/>
  <c r="AG35" i="3"/>
  <c r="AF35" i="3"/>
  <c r="AB35" i="3"/>
  <c r="AA35" i="3"/>
  <c r="T35" i="3"/>
  <c r="S35" i="3"/>
  <c r="R35" i="3"/>
  <c r="I35" i="3"/>
  <c r="F35" i="3"/>
  <c r="E35" i="3"/>
  <c r="D35" i="3"/>
  <c r="H35" i="3" s="1"/>
  <c r="AO35" i="3" s="1"/>
  <c r="AL34" i="3"/>
  <c r="AK34" i="3"/>
  <c r="AG34" i="3"/>
  <c r="AF34" i="3"/>
  <c r="AB34" i="3"/>
  <c r="AA34" i="3"/>
  <c r="T34" i="3"/>
  <c r="S34" i="3"/>
  <c r="R34" i="3"/>
  <c r="I34" i="3"/>
  <c r="F34" i="3"/>
  <c r="E34" i="3"/>
  <c r="D34" i="3"/>
  <c r="AS33" i="3"/>
  <c r="AL33" i="3"/>
  <c r="AK33" i="3"/>
  <c r="AG33" i="3"/>
  <c r="AF33" i="3"/>
  <c r="AB33" i="3"/>
  <c r="AA33" i="3"/>
  <c r="T33" i="3"/>
  <c r="S33" i="3"/>
  <c r="R33" i="3"/>
  <c r="I33" i="3"/>
  <c r="F33" i="3"/>
  <c r="E33" i="3"/>
  <c r="D33" i="3"/>
  <c r="AM33" i="3" s="1"/>
  <c r="AL32" i="3"/>
  <c r="AK32" i="3"/>
  <c r="AG32" i="3"/>
  <c r="AF32" i="3"/>
  <c r="AB32" i="3"/>
  <c r="AA32" i="3"/>
  <c r="T32" i="3"/>
  <c r="S32" i="3"/>
  <c r="R32" i="3"/>
  <c r="AM32" i="3" s="1"/>
  <c r="I32" i="3"/>
  <c r="AL31" i="3"/>
  <c r="AK31" i="3"/>
  <c r="AG31" i="3"/>
  <c r="AF31" i="3"/>
  <c r="AB31" i="3"/>
  <c r="AA31" i="3"/>
  <c r="T31" i="3"/>
  <c r="S31" i="3"/>
  <c r="R31" i="3"/>
  <c r="I31" i="3"/>
  <c r="F31" i="3"/>
  <c r="E31" i="3"/>
  <c r="D31" i="3"/>
  <c r="AL30" i="3"/>
  <c r="AG30" i="3"/>
  <c r="AF30" i="3"/>
  <c r="AB30" i="3"/>
  <c r="AA30" i="3"/>
  <c r="T30" i="3"/>
  <c r="S30" i="3"/>
  <c r="R30" i="3"/>
  <c r="I30" i="3"/>
  <c r="F30" i="3"/>
  <c r="E30" i="3"/>
  <c r="D30" i="3"/>
  <c r="AR30" i="3" s="1"/>
  <c r="AL29" i="3"/>
  <c r="AK29" i="3"/>
  <c r="AG29" i="3"/>
  <c r="AF29" i="3"/>
  <c r="AB29" i="3"/>
  <c r="AA29" i="3"/>
  <c r="T29" i="3"/>
  <c r="S29" i="3"/>
  <c r="R29" i="3"/>
  <c r="I29" i="3"/>
  <c r="F29" i="3"/>
  <c r="E29" i="3"/>
  <c r="D29" i="3"/>
  <c r="G29" i="3" s="1"/>
  <c r="AL28" i="3"/>
  <c r="AK28" i="3"/>
  <c r="AG28" i="3"/>
  <c r="AF28" i="3"/>
  <c r="AB28" i="3"/>
  <c r="AA28" i="3"/>
  <c r="T28" i="3"/>
  <c r="S28" i="3"/>
  <c r="R28" i="3"/>
  <c r="I28" i="3"/>
  <c r="F28" i="3"/>
  <c r="E28" i="3"/>
  <c r="D28" i="3"/>
  <c r="AS27" i="3"/>
  <c r="AL27" i="3"/>
  <c r="AK27" i="3"/>
  <c r="AG27" i="3"/>
  <c r="AF27" i="3"/>
  <c r="AB27" i="3"/>
  <c r="AA27" i="3"/>
  <c r="T27" i="3"/>
  <c r="S27" i="3"/>
  <c r="R27" i="3"/>
  <c r="I27" i="3"/>
  <c r="F27" i="3"/>
  <c r="E27" i="3"/>
  <c r="D27" i="3"/>
  <c r="AR27" i="3" s="1"/>
  <c r="AL26" i="3"/>
  <c r="AK26" i="3"/>
  <c r="AG26" i="3"/>
  <c r="AF26" i="3"/>
  <c r="AB26" i="3"/>
  <c r="AA26" i="3"/>
  <c r="T26" i="3"/>
  <c r="S26" i="3"/>
  <c r="R26" i="3"/>
  <c r="I26" i="3"/>
  <c r="F26" i="3"/>
  <c r="E26" i="3"/>
  <c r="D26" i="3"/>
  <c r="AL25" i="3"/>
  <c r="AK25" i="3"/>
  <c r="AG25" i="3"/>
  <c r="AF25" i="3"/>
  <c r="AB25" i="3"/>
  <c r="AA25" i="3"/>
  <c r="T25" i="3"/>
  <c r="S25" i="3"/>
  <c r="R25" i="3"/>
  <c r="I25" i="3"/>
  <c r="F25" i="3"/>
  <c r="E25" i="3"/>
  <c r="D25" i="3"/>
  <c r="AR25" i="3" s="1"/>
  <c r="AR24" i="3"/>
  <c r="AL24" i="3"/>
  <c r="AK24" i="3"/>
  <c r="AG24" i="3"/>
  <c r="AF24" i="3"/>
  <c r="AB24" i="3"/>
  <c r="AA24" i="3"/>
  <c r="T24" i="3"/>
  <c r="S24" i="3"/>
  <c r="R24" i="3"/>
  <c r="AM24" i="3" s="1"/>
  <c r="I24" i="3"/>
  <c r="H24" i="3"/>
  <c r="G24" i="3"/>
  <c r="AL23" i="3"/>
  <c r="AK23" i="3"/>
  <c r="AG23" i="3"/>
  <c r="AF23" i="3"/>
  <c r="AB23" i="3"/>
  <c r="AA23" i="3"/>
  <c r="T23" i="3"/>
  <c r="S23" i="3"/>
  <c r="R23" i="3"/>
  <c r="I23" i="3"/>
  <c r="F23" i="3"/>
  <c r="E23" i="3"/>
  <c r="D23" i="3"/>
  <c r="AL22" i="3"/>
  <c r="AK22" i="3"/>
  <c r="AG22" i="3"/>
  <c r="AF22" i="3"/>
  <c r="AB22" i="3"/>
  <c r="AA22" i="3"/>
  <c r="T22" i="3"/>
  <c r="S22" i="3"/>
  <c r="R22" i="3"/>
  <c r="I22" i="3"/>
  <c r="F22" i="3"/>
  <c r="E22" i="3"/>
  <c r="D22" i="3"/>
  <c r="AM22" i="3" s="1"/>
  <c r="AL21" i="3"/>
  <c r="AK21" i="3"/>
  <c r="AG21" i="3"/>
  <c r="AF21" i="3"/>
  <c r="AB21" i="3"/>
  <c r="AA21" i="3"/>
  <c r="T21" i="3"/>
  <c r="S21" i="3"/>
  <c r="R21" i="3"/>
  <c r="I21" i="3"/>
  <c r="F21" i="3"/>
  <c r="E21" i="3"/>
  <c r="D21" i="3"/>
  <c r="AL20" i="3"/>
  <c r="AK20" i="3"/>
  <c r="AG20" i="3"/>
  <c r="AF20" i="3"/>
  <c r="AB20" i="3"/>
  <c r="AA20" i="3"/>
  <c r="T20" i="3"/>
  <c r="S20" i="3"/>
  <c r="R20" i="3"/>
  <c r="I20" i="3"/>
  <c r="F20" i="3"/>
  <c r="E20" i="3"/>
  <c r="D20" i="3"/>
  <c r="AL19" i="3"/>
  <c r="AK19" i="3"/>
  <c r="AG19" i="3"/>
  <c r="AF19" i="3"/>
  <c r="AB19" i="3"/>
  <c r="AA19" i="3"/>
  <c r="T19" i="3"/>
  <c r="S19" i="3"/>
  <c r="R19" i="3"/>
  <c r="I19" i="3"/>
  <c r="F19" i="3"/>
  <c r="E19" i="3"/>
  <c r="D19" i="3"/>
  <c r="G19" i="3" s="1"/>
  <c r="AL18" i="3"/>
  <c r="AK18" i="3"/>
  <c r="AG18" i="3"/>
  <c r="AF18" i="3"/>
  <c r="AB18" i="3"/>
  <c r="AA18" i="3"/>
  <c r="T18" i="3"/>
  <c r="S18" i="3"/>
  <c r="R18" i="3"/>
  <c r="I18" i="3"/>
  <c r="F18" i="3"/>
  <c r="E18" i="3"/>
  <c r="D18" i="3"/>
  <c r="H18" i="3" s="1"/>
  <c r="AL17" i="3"/>
  <c r="AK17" i="3"/>
  <c r="AG17" i="3"/>
  <c r="AF17" i="3"/>
  <c r="AB17" i="3"/>
  <c r="AA17" i="3"/>
  <c r="T17" i="3"/>
  <c r="S17" i="3"/>
  <c r="R17" i="3"/>
  <c r="I17" i="3"/>
  <c r="F17" i="3"/>
  <c r="E17" i="3"/>
  <c r="D17" i="3"/>
  <c r="AL16" i="3"/>
  <c r="AK16" i="3"/>
  <c r="AG16" i="3"/>
  <c r="AF16" i="3"/>
  <c r="AB16" i="3"/>
  <c r="AA16" i="3"/>
  <c r="T16" i="3"/>
  <c r="S16" i="3"/>
  <c r="R16" i="3"/>
  <c r="I16" i="3"/>
  <c r="F16" i="3"/>
  <c r="E16" i="3"/>
  <c r="D16" i="3"/>
  <c r="AL15" i="3"/>
  <c r="AK15" i="3"/>
  <c r="AG15" i="3"/>
  <c r="AF15" i="3"/>
  <c r="AB15" i="3"/>
  <c r="AA15" i="3"/>
  <c r="T15" i="3"/>
  <c r="S15" i="3"/>
  <c r="R15" i="3"/>
  <c r="I15" i="3"/>
  <c r="F15" i="3"/>
  <c r="E15" i="3"/>
  <c r="D15" i="3"/>
  <c r="AM15" i="3" s="1"/>
  <c r="AL14" i="3"/>
  <c r="AK14" i="3"/>
  <c r="AG14" i="3"/>
  <c r="AF14" i="3"/>
  <c r="AB14" i="3"/>
  <c r="AA14" i="3"/>
  <c r="T14" i="3"/>
  <c r="S14" i="3"/>
  <c r="R14" i="3"/>
  <c r="I14" i="3"/>
  <c r="F14" i="3"/>
  <c r="E14" i="3"/>
  <c r="D14" i="3"/>
  <c r="H14" i="3" s="1"/>
  <c r="AS13" i="3"/>
  <c r="AL13" i="3"/>
  <c r="AK13" i="3"/>
  <c r="AG13" i="3"/>
  <c r="AF13" i="3"/>
  <c r="AB13" i="3"/>
  <c r="AA13" i="3"/>
  <c r="T13" i="3"/>
  <c r="S13" i="3"/>
  <c r="R13" i="3"/>
  <c r="I13" i="3"/>
  <c r="F13" i="3"/>
  <c r="E13" i="3"/>
  <c r="D13" i="3"/>
  <c r="AL12" i="3"/>
  <c r="AK12" i="3"/>
  <c r="AG12" i="3"/>
  <c r="AF12" i="3"/>
  <c r="AB12" i="3"/>
  <c r="AA12" i="3"/>
  <c r="T12" i="3"/>
  <c r="S12" i="3"/>
  <c r="R12" i="3"/>
  <c r="I12" i="3"/>
  <c r="AL11" i="3"/>
  <c r="AK11" i="3"/>
  <c r="AG11" i="3"/>
  <c r="AF11" i="3"/>
  <c r="AB11" i="3"/>
  <c r="AA11" i="3"/>
  <c r="T11" i="3"/>
  <c r="S11" i="3"/>
  <c r="R11" i="3"/>
  <c r="I11" i="3"/>
  <c r="F11" i="3"/>
  <c r="E11" i="3"/>
  <c r="D11" i="3"/>
  <c r="AL10" i="3"/>
  <c r="AK10" i="3"/>
  <c r="AG10" i="3"/>
  <c r="AF10" i="3"/>
  <c r="AB10" i="3"/>
  <c r="AA10" i="3"/>
  <c r="T10" i="3"/>
  <c r="S10" i="3"/>
  <c r="R10" i="3"/>
  <c r="I10" i="3"/>
  <c r="AL9" i="3"/>
  <c r="AK9" i="3"/>
  <c r="AG9" i="3"/>
  <c r="AF9" i="3"/>
  <c r="AB9" i="3"/>
  <c r="AA9" i="3"/>
  <c r="T9" i="3"/>
  <c r="S9" i="3"/>
  <c r="R9" i="3"/>
  <c r="I9" i="3"/>
  <c r="F9" i="3"/>
  <c r="E9" i="3"/>
  <c r="D9" i="3"/>
  <c r="AL8" i="3"/>
  <c r="AK8" i="3"/>
  <c r="AG8" i="3"/>
  <c r="AF8" i="3"/>
  <c r="AB8" i="3"/>
  <c r="AA8" i="3"/>
  <c r="T8" i="3"/>
  <c r="S8" i="3"/>
  <c r="R8" i="3"/>
  <c r="I8" i="3"/>
  <c r="AM8" i="3"/>
  <c r="AL7" i="3"/>
  <c r="AK7" i="3"/>
  <c r="AG7" i="3"/>
  <c r="AF7" i="3"/>
  <c r="AB7" i="3"/>
  <c r="AA7" i="3"/>
  <c r="T7" i="3"/>
  <c r="S7" i="3"/>
  <c r="R7" i="3"/>
  <c r="I7" i="3"/>
  <c r="AL6" i="3"/>
  <c r="AK6" i="3"/>
  <c r="AG6" i="3"/>
  <c r="AF6" i="3"/>
  <c r="AB6" i="3"/>
  <c r="AA6" i="3"/>
  <c r="T6" i="3"/>
  <c r="S6" i="3"/>
  <c r="R6" i="3"/>
  <c r="I6" i="3"/>
  <c r="F6" i="3"/>
  <c r="E6" i="3"/>
  <c r="D6" i="3"/>
  <c r="B6" i="3"/>
  <c r="B8" i="3" s="1"/>
  <c r="B10" i="3" s="1"/>
  <c r="B12" i="3" s="1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AL5" i="3"/>
  <c r="AK5" i="3"/>
  <c r="AG5" i="3"/>
  <c r="AF5" i="3"/>
  <c r="AB5" i="3"/>
  <c r="AA5" i="3"/>
  <c r="T5" i="3"/>
  <c r="S5" i="3"/>
  <c r="R5" i="3"/>
  <c r="I5" i="3"/>
  <c r="F5" i="3"/>
  <c r="E5" i="3"/>
  <c r="D5" i="3"/>
  <c r="B5" i="3"/>
  <c r="AR4" i="3"/>
  <c r="AL4" i="3"/>
  <c r="AK4" i="3"/>
  <c r="AG4" i="3"/>
  <c r="AF4" i="3"/>
  <c r="AB4" i="3"/>
  <c r="AA4" i="3"/>
  <c r="T4" i="3"/>
  <c r="S4" i="3"/>
  <c r="R4" i="3"/>
  <c r="AM4" i="3" s="1"/>
  <c r="I4" i="3"/>
  <c r="H4" i="3"/>
  <c r="G4" i="3"/>
  <c r="A4" i="3"/>
  <c r="AT3" i="3"/>
  <c r="AT2" i="3"/>
  <c r="AP1" i="3"/>
  <c r="L137" i="11"/>
  <c r="K137" i="11"/>
  <c r="L136" i="11"/>
  <c r="K136" i="11"/>
  <c r="L135" i="11"/>
  <c r="K135" i="11"/>
  <c r="L134" i="11"/>
  <c r="K134" i="11"/>
  <c r="AA130" i="11"/>
  <c r="Z130" i="11"/>
  <c r="AA129" i="11"/>
  <c r="Z129" i="11"/>
  <c r="AA127" i="11"/>
  <c r="Z127" i="11"/>
  <c r="AA126" i="11"/>
  <c r="Z126" i="11"/>
  <c r="AA124" i="11"/>
  <c r="Z124" i="11"/>
  <c r="AA123" i="11"/>
  <c r="Z123" i="11"/>
  <c r="AA121" i="11"/>
  <c r="U121" i="11" s="1"/>
  <c r="Z121" i="11"/>
  <c r="Q121" i="11"/>
  <c r="AA120" i="11"/>
  <c r="U120" i="11" s="1"/>
  <c r="Z120" i="11"/>
  <c r="T120" i="11" s="1"/>
  <c r="Q120" i="11"/>
  <c r="P120" i="11"/>
  <c r="AA118" i="11"/>
  <c r="U118" i="11" s="1"/>
  <c r="Z118" i="11"/>
  <c r="T118" i="11" s="1"/>
  <c r="Q118" i="11"/>
  <c r="AA117" i="11"/>
  <c r="Z117" i="11"/>
  <c r="T117" i="11" s="1"/>
  <c r="U117" i="11"/>
  <c r="Q117" i="11"/>
  <c r="P117" i="11"/>
  <c r="AA115" i="11"/>
  <c r="Z115" i="11"/>
  <c r="AA114" i="11"/>
  <c r="Z114" i="11"/>
  <c r="AA112" i="11"/>
  <c r="Z112" i="11"/>
  <c r="U112" i="11"/>
  <c r="T112" i="11"/>
  <c r="Q112" i="11"/>
  <c r="R112" i="11" s="1"/>
  <c r="AA111" i="11"/>
  <c r="U111" i="11" s="1"/>
  <c r="Z111" i="11"/>
  <c r="T111" i="11"/>
  <c r="Q111" i="11"/>
  <c r="P111" i="11"/>
  <c r="AA109" i="11"/>
  <c r="U109" i="11" s="1"/>
  <c r="Z109" i="11"/>
  <c r="T109" i="11"/>
  <c r="Q109" i="11"/>
  <c r="AA108" i="11"/>
  <c r="U108" i="11" s="1"/>
  <c r="Z108" i="11"/>
  <c r="T108" i="11" s="1"/>
  <c r="Q108" i="11"/>
  <c r="P108" i="11"/>
  <c r="AA106" i="11"/>
  <c r="U106" i="11" s="1"/>
  <c r="Z106" i="11"/>
  <c r="T106" i="11" s="1"/>
  <c r="Q106" i="11"/>
  <c r="P106" i="11"/>
  <c r="AA105" i="11"/>
  <c r="U105" i="11" s="1"/>
  <c r="Z105" i="11"/>
  <c r="T105" i="11" s="1"/>
  <c r="Q105" i="11"/>
  <c r="P105" i="11"/>
  <c r="AA103" i="11"/>
  <c r="U103" i="11" s="1"/>
  <c r="Z103" i="11"/>
  <c r="T103" i="11" s="1"/>
  <c r="Q103" i="11"/>
  <c r="P103" i="11"/>
  <c r="AA102" i="11"/>
  <c r="U102" i="11" s="1"/>
  <c r="Z102" i="11"/>
  <c r="T102" i="11" s="1"/>
  <c r="Q102" i="11"/>
  <c r="P102" i="11"/>
  <c r="AA100" i="11"/>
  <c r="U100" i="11" s="1"/>
  <c r="Z100" i="11"/>
  <c r="T100" i="11" s="1"/>
  <c r="Q100" i="11"/>
  <c r="P100" i="11"/>
  <c r="AA99" i="11"/>
  <c r="U99" i="11" s="1"/>
  <c r="Z99" i="11"/>
  <c r="T99" i="11" s="1"/>
  <c r="Q99" i="11"/>
  <c r="P99" i="11"/>
  <c r="AA97" i="11"/>
  <c r="U97" i="11" s="1"/>
  <c r="Z97" i="11"/>
  <c r="T97" i="11" s="1"/>
  <c r="Q97" i="11"/>
  <c r="AA96" i="11"/>
  <c r="U96" i="11" s="1"/>
  <c r="Z96" i="11"/>
  <c r="T96" i="11" s="1"/>
  <c r="Q96" i="11"/>
  <c r="P96" i="11"/>
  <c r="AA94" i="11"/>
  <c r="U94" i="11" s="1"/>
  <c r="Z94" i="11"/>
  <c r="T94" i="11" s="1"/>
  <c r="Q94" i="11"/>
  <c r="P94" i="11"/>
  <c r="AA93" i="11"/>
  <c r="U93" i="11" s="1"/>
  <c r="Z93" i="11"/>
  <c r="T93" i="11" s="1"/>
  <c r="Q93" i="11"/>
  <c r="P93" i="11"/>
  <c r="AA91" i="11"/>
  <c r="U91" i="11" s="1"/>
  <c r="Z91" i="11"/>
  <c r="T91" i="11" s="1"/>
  <c r="Q91" i="11"/>
  <c r="AA90" i="11"/>
  <c r="Z90" i="11"/>
  <c r="T90" i="11" s="1"/>
  <c r="Q90" i="11"/>
  <c r="P90" i="11"/>
  <c r="AA88" i="11"/>
  <c r="Z88" i="11"/>
  <c r="T88" i="11" s="1"/>
  <c r="Q88" i="11"/>
  <c r="AA87" i="11"/>
  <c r="Z87" i="11"/>
  <c r="U87" i="11"/>
  <c r="T87" i="11"/>
  <c r="Q87" i="11"/>
  <c r="P87" i="11"/>
  <c r="AA85" i="11"/>
  <c r="Z85" i="11"/>
  <c r="U85" i="11"/>
  <c r="T85" i="11"/>
  <c r="Q85" i="11"/>
  <c r="AA84" i="11"/>
  <c r="U84" i="11" s="1"/>
  <c r="Z84" i="11"/>
  <c r="Q84" i="11"/>
  <c r="P84" i="11"/>
  <c r="U82" i="11"/>
  <c r="T82" i="11"/>
  <c r="Q82" i="11"/>
  <c r="R82" i="11" s="1"/>
  <c r="U81" i="11"/>
  <c r="T81" i="11"/>
  <c r="Q81" i="11"/>
  <c r="R81" i="11" s="1"/>
  <c r="P81" i="11"/>
  <c r="AA79" i="11"/>
  <c r="U79" i="11" s="1"/>
  <c r="Z79" i="11"/>
  <c r="T79" i="11" s="1"/>
  <c r="Q79" i="11"/>
  <c r="P79" i="11"/>
  <c r="AA78" i="11"/>
  <c r="U78" i="11" s="1"/>
  <c r="Z78" i="11"/>
  <c r="T78" i="11" s="1"/>
  <c r="Q78" i="11"/>
  <c r="P78" i="11"/>
  <c r="AA76" i="11"/>
  <c r="U76" i="11" s="1"/>
  <c r="Z76" i="11"/>
  <c r="T76" i="11" s="1"/>
  <c r="Q76" i="11"/>
  <c r="AA75" i="11"/>
  <c r="Z75" i="11"/>
  <c r="T75" i="11" s="1"/>
  <c r="Q75" i="11"/>
  <c r="P75" i="11"/>
  <c r="U73" i="11"/>
  <c r="T73" i="11"/>
  <c r="Q73" i="11"/>
  <c r="S73" i="11" s="1"/>
  <c r="U72" i="11"/>
  <c r="T72" i="11"/>
  <c r="Q72" i="11"/>
  <c r="P72" i="11"/>
  <c r="U70" i="11"/>
  <c r="T70" i="11"/>
  <c r="Q70" i="11"/>
  <c r="R70" i="11" s="1"/>
  <c r="U69" i="11"/>
  <c r="T69" i="11"/>
  <c r="Q69" i="11"/>
  <c r="S69" i="11" s="1"/>
  <c r="P69" i="11"/>
  <c r="AA67" i="11"/>
  <c r="U67" i="11" s="1"/>
  <c r="Z67" i="11"/>
  <c r="T67" i="11"/>
  <c r="Q67" i="11"/>
  <c r="AA66" i="11"/>
  <c r="U66" i="11" s="1"/>
  <c r="Z66" i="11"/>
  <c r="T66" i="11" s="1"/>
  <c r="Q66" i="11"/>
  <c r="P66" i="11"/>
  <c r="AA64" i="11"/>
  <c r="U64" i="11" s="1"/>
  <c r="Z64" i="11"/>
  <c r="T64" i="11" s="1"/>
  <c r="Q64" i="11"/>
  <c r="P64" i="11"/>
  <c r="AA63" i="11"/>
  <c r="U63" i="11" s="1"/>
  <c r="Z63" i="11"/>
  <c r="T63" i="11" s="1"/>
  <c r="Q63" i="11"/>
  <c r="P63" i="11"/>
  <c r="AA61" i="11"/>
  <c r="U61" i="11" s="1"/>
  <c r="Z61" i="11"/>
  <c r="T61" i="11" s="1"/>
  <c r="Q61" i="11"/>
  <c r="P61" i="11"/>
  <c r="AA60" i="11"/>
  <c r="U60" i="11" s="1"/>
  <c r="Z60" i="11"/>
  <c r="T60" i="11" s="1"/>
  <c r="Q60" i="11"/>
  <c r="P60" i="11"/>
  <c r="AA58" i="11"/>
  <c r="U58" i="11" s="1"/>
  <c r="Z58" i="11"/>
  <c r="T58" i="11" s="1"/>
  <c r="Q58" i="11"/>
  <c r="AA57" i="11"/>
  <c r="Z57" i="11"/>
  <c r="T57" i="11" s="1"/>
  <c r="Q57" i="11"/>
  <c r="P57" i="11"/>
  <c r="AA55" i="11"/>
  <c r="Z55" i="11"/>
  <c r="T55" i="11" s="1"/>
  <c r="U55" i="11"/>
  <c r="Q55" i="11"/>
  <c r="P55" i="11"/>
  <c r="AA54" i="11"/>
  <c r="Z54" i="11"/>
  <c r="T54" i="11" s="1"/>
  <c r="U54" i="11"/>
  <c r="Q54" i="11"/>
  <c r="P54" i="11"/>
  <c r="AA52" i="11"/>
  <c r="Z52" i="11"/>
  <c r="T52" i="11" s="1"/>
  <c r="U52" i="11"/>
  <c r="Q52" i="11"/>
  <c r="AA51" i="11"/>
  <c r="Z51" i="11"/>
  <c r="U51" i="11"/>
  <c r="T51" i="11"/>
  <c r="Q51" i="11"/>
  <c r="P51" i="11"/>
  <c r="AA49" i="11"/>
  <c r="Z49" i="11"/>
  <c r="U49" i="11"/>
  <c r="T49" i="11"/>
  <c r="Q49" i="11"/>
  <c r="P49" i="11"/>
  <c r="AA48" i="11"/>
  <c r="Z48" i="11"/>
  <c r="U48" i="11"/>
  <c r="T48" i="11"/>
  <c r="Q48" i="11"/>
  <c r="P48" i="11"/>
  <c r="AA46" i="11"/>
  <c r="Z46" i="11"/>
  <c r="U46" i="11"/>
  <c r="T46" i="11"/>
  <c r="Q46" i="11"/>
  <c r="P46" i="11"/>
  <c r="AA45" i="11"/>
  <c r="Z45" i="11"/>
  <c r="U45" i="11"/>
  <c r="T45" i="11"/>
  <c r="Q45" i="11"/>
  <c r="P45" i="11"/>
  <c r="AA43" i="11"/>
  <c r="Z43" i="11"/>
  <c r="U43" i="11"/>
  <c r="T43" i="11"/>
  <c r="Q43" i="11"/>
  <c r="P43" i="11"/>
  <c r="AA42" i="11"/>
  <c r="Z42" i="11"/>
  <c r="U42" i="11"/>
  <c r="T42" i="11"/>
  <c r="Q42" i="11"/>
  <c r="P42" i="11"/>
  <c r="AA40" i="11"/>
  <c r="Z40" i="11"/>
  <c r="U40" i="11"/>
  <c r="T40" i="11"/>
  <c r="Q40" i="11"/>
  <c r="P40" i="11"/>
  <c r="AA39" i="11"/>
  <c r="Z39" i="11"/>
  <c r="U39" i="11"/>
  <c r="T39" i="11"/>
  <c r="Q39" i="11"/>
  <c r="P39" i="11"/>
  <c r="AA37" i="11"/>
  <c r="Z37" i="11"/>
  <c r="U37" i="11"/>
  <c r="T37" i="11"/>
  <c r="Q37" i="11"/>
  <c r="P37" i="11"/>
  <c r="AA36" i="11"/>
  <c r="Z36" i="11"/>
  <c r="U36" i="11"/>
  <c r="T36" i="11"/>
  <c r="Q36" i="11"/>
  <c r="P36" i="11"/>
  <c r="AA34" i="11"/>
  <c r="Z34" i="11"/>
  <c r="U34" i="11"/>
  <c r="T34" i="11"/>
  <c r="Q34" i="11"/>
  <c r="P34" i="11"/>
  <c r="AA33" i="11"/>
  <c r="Z33" i="11"/>
  <c r="U33" i="11"/>
  <c r="T33" i="11"/>
  <c r="Q33" i="11"/>
  <c r="P33" i="11"/>
  <c r="AA31" i="11"/>
  <c r="Z31" i="11"/>
  <c r="U31" i="11"/>
  <c r="T31" i="11"/>
  <c r="Q31" i="11"/>
  <c r="P31" i="11"/>
  <c r="AA30" i="11"/>
  <c r="Z30" i="11"/>
  <c r="U30" i="11"/>
  <c r="T30" i="11"/>
  <c r="Q30" i="11"/>
  <c r="P30" i="11"/>
  <c r="U28" i="11"/>
  <c r="T28" i="11"/>
  <c r="Q28" i="11"/>
  <c r="P28" i="11"/>
  <c r="U27" i="11"/>
  <c r="T27" i="11"/>
  <c r="Q27" i="11"/>
  <c r="P27" i="11"/>
  <c r="AA25" i="11"/>
  <c r="Z25" i="11"/>
  <c r="U25" i="11"/>
  <c r="T25" i="11"/>
  <c r="Q25" i="11"/>
  <c r="P25" i="11"/>
  <c r="AA24" i="11"/>
  <c r="Z24" i="11"/>
  <c r="U24" i="11"/>
  <c r="T24" i="11"/>
  <c r="Q24" i="11"/>
  <c r="P24" i="11"/>
  <c r="AA22" i="11"/>
  <c r="Z22" i="11"/>
  <c r="U22" i="11"/>
  <c r="T22" i="11"/>
  <c r="Q22" i="11"/>
  <c r="P22" i="11"/>
  <c r="AA21" i="11"/>
  <c r="Z21" i="11"/>
  <c r="U21" i="11"/>
  <c r="T21" i="11"/>
  <c r="Q21" i="11"/>
  <c r="P21" i="11"/>
  <c r="AA19" i="11"/>
  <c r="Z19" i="11"/>
  <c r="U19" i="11"/>
  <c r="T19" i="11"/>
  <c r="Q19" i="11"/>
  <c r="P19" i="11"/>
  <c r="AA18" i="11"/>
  <c r="Z18" i="11"/>
  <c r="U18" i="11"/>
  <c r="T18" i="11"/>
  <c r="Q18" i="11"/>
  <c r="P18" i="11"/>
  <c r="AA16" i="11"/>
  <c r="Z16" i="11"/>
  <c r="U16" i="11"/>
  <c r="T16" i="11"/>
  <c r="Q16" i="11"/>
  <c r="P16" i="11"/>
  <c r="AA15" i="11"/>
  <c r="Z15" i="11"/>
  <c r="U15" i="11"/>
  <c r="T15" i="11"/>
  <c r="Q15" i="11"/>
  <c r="P15" i="11"/>
  <c r="AA13" i="11"/>
  <c r="Z13" i="11"/>
  <c r="U13" i="11"/>
  <c r="T13" i="11"/>
  <c r="Q13" i="11"/>
  <c r="P13" i="11"/>
  <c r="AA12" i="11"/>
  <c r="Z12" i="11"/>
  <c r="U12" i="11"/>
  <c r="T12" i="11"/>
  <c r="Q12" i="11"/>
  <c r="P12" i="11"/>
  <c r="AA10" i="11"/>
  <c r="Z10" i="11"/>
  <c r="U10" i="11"/>
  <c r="T10" i="11"/>
  <c r="Q10" i="11"/>
  <c r="P10" i="11"/>
  <c r="AA9" i="11"/>
  <c r="Z9" i="11"/>
  <c r="U9" i="11"/>
  <c r="T9" i="11"/>
  <c r="Q9" i="11"/>
  <c r="P9" i="11"/>
  <c r="AA7" i="11"/>
  <c r="Z7" i="11"/>
  <c r="U7" i="11"/>
  <c r="T7" i="11"/>
  <c r="P7" i="11"/>
  <c r="AA6" i="11"/>
  <c r="U6" i="11" s="1"/>
  <c r="Z6" i="11"/>
  <c r="T6" i="11" s="1"/>
  <c r="Q6" i="11"/>
  <c r="P6" i="11"/>
  <c r="AA4" i="11"/>
  <c r="U4" i="11" s="1"/>
  <c r="Z4" i="11"/>
  <c r="T4" i="11" s="1"/>
  <c r="Q4" i="11"/>
  <c r="P4" i="11"/>
  <c r="AA3" i="11"/>
  <c r="U3" i="11" s="1"/>
  <c r="Z3" i="11"/>
  <c r="T3" i="11" s="1"/>
  <c r="Q3" i="11"/>
  <c r="P3" i="11"/>
  <c r="AC66" i="2"/>
  <c r="X66" i="2"/>
  <c r="O66" i="2"/>
  <c r="J66" i="2"/>
  <c r="J67" i="2" s="1"/>
  <c r="AL65" i="2"/>
  <c r="AK65" i="2"/>
  <c r="AG65" i="2"/>
  <c r="AF65" i="2"/>
  <c r="AB65" i="2"/>
  <c r="AA65" i="2"/>
  <c r="T65" i="2"/>
  <c r="S65" i="2"/>
  <c r="R65" i="2"/>
  <c r="I65" i="2"/>
  <c r="F65" i="2"/>
  <c r="E65" i="2"/>
  <c r="D65" i="2"/>
  <c r="AR64" i="2"/>
  <c r="AL64" i="2"/>
  <c r="AK64" i="2"/>
  <c r="AG64" i="2"/>
  <c r="AF64" i="2"/>
  <c r="AB64" i="2"/>
  <c r="AA64" i="2"/>
  <c r="T64" i="2"/>
  <c r="S64" i="2"/>
  <c r="R64" i="2"/>
  <c r="AM64" i="2" s="1"/>
  <c r="I64" i="2"/>
  <c r="H64" i="2"/>
  <c r="G64" i="2"/>
  <c r="AL63" i="2"/>
  <c r="AK63" i="2"/>
  <c r="AG63" i="2"/>
  <c r="AF63" i="2"/>
  <c r="AB63" i="2"/>
  <c r="AA63" i="2"/>
  <c r="T63" i="2"/>
  <c r="S63" i="2"/>
  <c r="R63" i="2"/>
  <c r="I63" i="2"/>
  <c r="F63" i="2"/>
  <c r="E63" i="2"/>
  <c r="D63" i="2"/>
  <c r="AL62" i="2"/>
  <c r="AK62" i="2"/>
  <c r="AG62" i="2"/>
  <c r="AF62" i="2"/>
  <c r="AB62" i="2"/>
  <c r="AA62" i="2"/>
  <c r="T62" i="2"/>
  <c r="S62" i="2"/>
  <c r="R62" i="2"/>
  <c r="I62" i="2"/>
  <c r="F62" i="2"/>
  <c r="E62" i="2"/>
  <c r="D62" i="2"/>
  <c r="AS61" i="2"/>
  <c r="AL61" i="2"/>
  <c r="AK61" i="2"/>
  <c r="AG61" i="2"/>
  <c r="AF61" i="2"/>
  <c r="AB61" i="2"/>
  <c r="AA61" i="2"/>
  <c r="T61" i="2"/>
  <c r="S61" i="2"/>
  <c r="R61" i="2"/>
  <c r="I61" i="2"/>
  <c r="F61" i="2"/>
  <c r="E61" i="2"/>
  <c r="D61" i="2"/>
  <c r="AL60" i="2"/>
  <c r="AK60" i="2"/>
  <c r="AG60" i="2"/>
  <c r="AF60" i="2"/>
  <c r="AB60" i="2"/>
  <c r="AA60" i="2"/>
  <c r="T60" i="2"/>
  <c r="S60" i="2"/>
  <c r="R60" i="2"/>
  <c r="I60" i="2"/>
  <c r="AL59" i="2"/>
  <c r="AK59" i="2"/>
  <c r="AG59" i="2"/>
  <c r="AF59" i="2"/>
  <c r="AB59" i="2"/>
  <c r="AA59" i="2"/>
  <c r="T59" i="2"/>
  <c r="S59" i="2"/>
  <c r="R59" i="2"/>
  <c r="I59" i="2"/>
  <c r="F59" i="2"/>
  <c r="E59" i="2"/>
  <c r="D59" i="2"/>
  <c r="AL58" i="2"/>
  <c r="AK58" i="2"/>
  <c r="AG58" i="2"/>
  <c r="AF58" i="2"/>
  <c r="AB58" i="2"/>
  <c r="AA58" i="2"/>
  <c r="T58" i="2"/>
  <c r="S58" i="2"/>
  <c r="R58" i="2"/>
  <c r="I58" i="2"/>
  <c r="AM58" i="2"/>
  <c r="AL57" i="2"/>
  <c r="AK57" i="2"/>
  <c r="AG57" i="2"/>
  <c r="AF57" i="2"/>
  <c r="AB57" i="2"/>
  <c r="AA57" i="2"/>
  <c r="T57" i="2"/>
  <c r="S57" i="2"/>
  <c r="R57" i="2"/>
  <c r="I57" i="2"/>
  <c r="F57" i="2"/>
  <c r="E57" i="2"/>
  <c r="D57" i="2"/>
  <c r="AL56" i="2"/>
  <c r="AK56" i="2"/>
  <c r="AG56" i="2"/>
  <c r="AF56" i="2"/>
  <c r="AB56" i="2"/>
  <c r="AA56" i="2"/>
  <c r="T56" i="2"/>
  <c r="S56" i="2"/>
  <c r="R56" i="2"/>
  <c r="I56" i="2"/>
  <c r="F56" i="2"/>
  <c r="E56" i="2"/>
  <c r="D56" i="2"/>
  <c r="AS55" i="2"/>
  <c r="AL55" i="2"/>
  <c r="AK55" i="2"/>
  <c r="AG55" i="2"/>
  <c r="AF55" i="2"/>
  <c r="AB55" i="2"/>
  <c r="AA55" i="2"/>
  <c r="T55" i="2"/>
  <c r="S55" i="2"/>
  <c r="R55" i="2"/>
  <c r="I55" i="2"/>
  <c r="F55" i="2"/>
  <c r="E55" i="2"/>
  <c r="D55" i="2"/>
  <c r="AL54" i="2"/>
  <c r="AK54" i="2"/>
  <c r="AG54" i="2"/>
  <c r="AF54" i="2"/>
  <c r="AB54" i="2"/>
  <c r="AA54" i="2"/>
  <c r="T54" i="2"/>
  <c r="S54" i="2"/>
  <c r="R54" i="2"/>
  <c r="I54" i="2"/>
  <c r="AL53" i="2"/>
  <c r="AK53" i="2"/>
  <c r="AG53" i="2"/>
  <c r="AF53" i="2"/>
  <c r="AB53" i="2"/>
  <c r="AA53" i="2"/>
  <c r="T53" i="2"/>
  <c r="S53" i="2"/>
  <c r="R53" i="2"/>
  <c r="I53" i="2"/>
  <c r="F53" i="2"/>
  <c r="E53" i="2"/>
  <c r="D53" i="2"/>
  <c r="AL52" i="2"/>
  <c r="AK52" i="2"/>
  <c r="AG52" i="2"/>
  <c r="AF52" i="2"/>
  <c r="AB52" i="2"/>
  <c r="AA52" i="2"/>
  <c r="T52" i="2"/>
  <c r="S52" i="2"/>
  <c r="R52" i="2"/>
  <c r="I52" i="2"/>
  <c r="AL51" i="2"/>
  <c r="AK51" i="2"/>
  <c r="AG51" i="2"/>
  <c r="AF51" i="2"/>
  <c r="AB51" i="2"/>
  <c r="AA51" i="2"/>
  <c r="T51" i="2"/>
  <c r="S51" i="2"/>
  <c r="R51" i="2"/>
  <c r="I51" i="2"/>
  <c r="F51" i="2"/>
  <c r="E51" i="2"/>
  <c r="D51" i="2"/>
  <c r="AM51" i="2" s="1"/>
  <c r="AL50" i="2"/>
  <c r="AK50" i="2"/>
  <c r="AG50" i="2"/>
  <c r="AF50" i="2"/>
  <c r="AB50" i="2"/>
  <c r="AA50" i="2"/>
  <c r="T50" i="2"/>
  <c r="S50" i="2"/>
  <c r="R50" i="2"/>
  <c r="I50" i="2"/>
  <c r="F50" i="2"/>
  <c r="E50" i="2"/>
  <c r="D50" i="2"/>
  <c r="AL49" i="2"/>
  <c r="AK49" i="2"/>
  <c r="AG49" i="2"/>
  <c r="AF49" i="2"/>
  <c r="AB49" i="2"/>
  <c r="AA49" i="2"/>
  <c r="T49" i="2"/>
  <c r="S49" i="2"/>
  <c r="R49" i="2"/>
  <c r="I49" i="2"/>
  <c r="F49" i="2"/>
  <c r="E49" i="2"/>
  <c r="D49" i="2"/>
  <c r="AL48" i="2"/>
  <c r="AK48" i="2"/>
  <c r="AG48" i="2"/>
  <c r="AF48" i="2"/>
  <c r="AB48" i="2"/>
  <c r="AA48" i="2"/>
  <c r="T48" i="2"/>
  <c r="S48" i="2"/>
  <c r="R48" i="2"/>
  <c r="I48" i="2"/>
  <c r="F48" i="2"/>
  <c r="E48" i="2"/>
  <c r="D48" i="2"/>
  <c r="AL47" i="2"/>
  <c r="AK47" i="2"/>
  <c r="AG47" i="2"/>
  <c r="AF47" i="2"/>
  <c r="AB47" i="2"/>
  <c r="AA47" i="2"/>
  <c r="T47" i="2"/>
  <c r="S47" i="2"/>
  <c r="R47" i="2"/>
  <c r="I47" i="2"/>
  <c r="F47" i="2"/>
  <c r="E47" i="2"/>
  <c r="D47" i="2"/>
  <c r="AL46" i="2"/>
  <c r="AK46" i="2"/>
  <c r="AG46" i="2"/>
  <c r="AF46" i="2"/>
  <c r="AB46" i="2"/>
  <c r="AA46" i="2"/>
  <c r="T46" i="2"/>
  <c r="S46" i="2"/>
  <c r="R46" i="2"/>
  <c r="I46" i="2"/>
  <c r="AL45" i="2"/>
  <c r="AK45" i="2"/>
  <c r="AG45" i="2"/>
  <c r="AF45" i="2"/>
  <c r="AB45" i="2"/>
  <c r="AA45" i="2"/>
  <c r="T45" i="2"/>
  <c r="S45" i="2"/>
  <c r="R45" i="2"/>
  <c r="I45" i="2"/>
  <c r="F45" i="2"/>
  <c r="E45" i="2"/>
  <c r="D45" i="2"/>
  <c r="AL44" i="2"/>
  <c r="AK44" i="2"/>
  <c r="AG44" i="2"/>
  <c r="AF44" i="2"/>
  <c r="AB44" i="2"/>
  <c r="AA44" i="2"/>
  <c r="T44" i="2"/>
  <c r="S44" i="2"/>
  <c r="R44" i="2"/>
  <c r="I44" i="2"/>
  <c r="F44" i="2"/>
  <c r="E44" i="2"/>
  <c r="D44" i="2"/>
  <c r="AL43" i="2"/>
  <c r="AK43" i="2"/>
  <c r="AG43" i="2"/>
  <c r="AF43" i="2"/>
  <c r="AB43" i="2"/>
  <c r="AA43" i="2"/>
  <c r="T43" i="2"/>
  <c r="S43" i="2"/>
  <c r="R43" i="2"/>
  <c r="I43" i="2"/>
  <c r="F43" i="2"/>
  <c r="E43" i="2"/>
  <c r="D43" i="2"/>
  <c r="AM43" i="2" s="1"/>
  <c r="AL42" i="2"/>
  <c r="AK42" i="2"/>
  <c r="AG42" i="2"/>
  <c r="AF42" i="2"/>
  <c r="AB42" i="2"/>
  <c r="AA42" i="2"/>
  <c r="T42" i="2"/>
  <c r="S42" i="2"/>
  <c r="R42" i="2"/>
  <c r="I42" i="2"/>
  <c r="F42" i="2"/>
  <c r="E42" i="2"/>
  <c r="D42" i="2"/>
  <c r="AS41" i="2"/>
  <c r="AL41" i="2"/>
  <c r="AK41" i="2"/>
  <c r="AG41" i="2"/>
  <c r="AF41" i="2"/>
  <c r="AB41" i="2"/>
  <c r="AA41" i="2"/>
  <c r="T41" i="2"/>
  <c r="S41" i="2"/>
  <c r="R41" i="2"/>
  <c r="I41" i="2"/>
  <c r="F41" i="2"/>
  <c r="E41" i="2"/>
  <c r="D41" i="2"/>
  <c r="AL40" i="2"/>
  <c r="AK40" i="2"/>
  <c r="AG40" i="2"/>
  <c r="AF40" i="2"/>
  <c r="AB40" i="2"/>
  <c r="AA40" i="2"/>
  <c r="T40" i="2"/>
  <c r="S40" i="2"/>
  <c r="R40" i="2"/>
  <c r="I40" i="2"/>
  <c r="AM40" i="2"/>
  <c r="AL39" i="2"/>
  <c r="AK39" i="2"/>
  <c r="AG39" i="2"/>
  <c r="AF39" i="2"/>
  <c r="AB39" i="2"/>
  <c r="AA39" i="2"/>
  <c r="T39" i="2"/>
  <c r="S39" i="2"/>
  <c r="R39" i="2"/>
  <c r="I39" i="2"/>
  <c r="F39" i="2"/>
  <c r="E39" i="2"/>
  <c r="D39" i="2"/>
  <c r="AL38" i="2"/>
  <c r="AK38" i="2"/>
  <c r="AG38" i="2"/>
  <c r="AF38" i="2"/>
  <c r="AB38" i="2"/>
  <c r="AA38" i="2"/>
  <c r="T38" i="2"/>
  <c r="S38" i="2"/>
  <c r="R38" i="2"/>
  <c r="I38" i="2"/>
  <c r="F38" i="2"/>
  <c r="E38" i="2"/>
  <c r="D38" i="2"/>
  <c r="AL37" i="2"/>
  <c r="AK37" i="2"/>
  <c r="AG37" i="2"/>
  <c r="AF37" i="2"/>
  <c r="AB37" i="2"/>
  <c r="AA37" i="2"/>
  <c r="T37" i="2"/>
  <c r="S37" i="2"/>
  <c r="R37" i="2"/>
  <c r="I37" i="2"/>
  <c r="F37" i="2"/>
  <c r="E37" i="2"/>
  <c r="D37" i="2"/>
  <c r="AL36" i="2"/>
  <c r="AK36" i="2"/>
  <c r="AG36" i="2"/>
  <c r="AF36" i="2"/>
  <c r="AB36" i="2"/>
  <c r="AA36" i="2"/>
  <c r="T36" i="2"/>
  <c r="S36" i="2"/>
  <c r="R36" i="2"/>
  <c r="I36" i="2"/>
  <c r="F36" i="2"/>
  <c r="E36" i="2"/>
  <c r="D36" i="2"/>
  <c r="AL35" i="2"/>
  <c r="AK35" i="2"/>
  <c r="AG35" i="2"/>
  <c r="AF35" i="2"/>
  <c r="AB35" i="2"/>
  <c r="AA35" i="2"/>
  <c r="T35" i="2"/>
  <c r="S35" i="2"/>
  <c r="R35" i="2"/>
  <c r="I35" i="2"/>
  <c r="F35" i="2"/>
  <c r="E35" i="2"/>
  <c r="D35" i="2"/>
  <c r="AL34" i="2"/>
  <c r="AK34" i="2"/>
  <c r="AG34" i="2"/>
  <c r="AF34" i="2"/>
  <c r="AB34" i="2"/>
  <c r="AA34" i="2"/>
  <c r="S34" i="2"/>
  <c r="R34" i="2"/>
  <c r="I34" i="2"/>
  <c r="F34" i="2"/>
  <c r="E34" i="2"/>
  <c r="D34" i="2"/>
  <c r="H34" i="2" s="1"/>
  <c r="AL33" i="2"/>
  <c r="AK33" i="2"/>
  <c r="AG33" i="2"/>
  <c r="AF33" i="2"/>
  <c r="AB33" i="2"/>
  <c r="AA33" i="2"/>
  <c r="T33" i="2"/>
  <c r="S33" i="2"/>
  <c r="R33" i="2"/>
  <c r="I33" i="2"/>
  <c r="F33" i="2"/>
  <c r="E33" i="2"/>
  <c r="D33" i="2"/>
  <c r="AR33" i="2" s="1"/>
  <c r="AL32" i="2"/>
  <c r="AK32" i="2"/>
  <c r="AG32" i="2"/>
  <c r="AF32" i="2"/>
  <c r="AB32" i="2"/>
  <c r="AA32" i="2"/>
  <c r="T32" i="2"/>
  <c r="S32" i="2"/>
  <c r="R32" i="2"/>
  <c r="I32" i="2"/>
  <c r="AM32" i="2"/>
  <c r="AL31" i="2"/>
  <c r="AK31" i="2"/>
  <c r="AG31" i="2"/>
  <c r="AF31" i="2"/>
  <c r="AB31" i="2"/>
  <c r="AA31" i="2"/>
  <c r="T31" i="2"/>
  <c r="S31" i="2"/>
  <c r="R31" i="2"/>
  <c r="AM31" i="2" s="1"/>
  <c r="I31" i="2"/>
  <c r="G31" i="2"/>
  <c r="AR31" i="2"/>
  <c r="AL30" i="2"/>
  <c r="AK30" i="2"/>
  <c r="AG30" i="2"/>
  <c r="AF30" i="2"/>
  <c r="AB30" i="2"/>
  <c r="AA30" i="2"/>
  <c r="T30" i="2"/>
  <c r="S30" i="2"/>
  <c r="R30" i="2"/>
  <c r="I30" i="2"/>
  <c r="AL29" i="2"/>
  <c r="AK29" i="2"/>
  <c r="AG29" i="2"/>
  <c r="AF29" i="2"/>
  <c r="AB29" i="2"/>
  <c r="AA29" i="2"/>
  <c r="T29" i="2"/>
  <c r="S29" i="2"/>
  <c r="R29" i="2"/>
  <c r="I29" i="2"/>
  <c r="F29" i="2"/>
  <c r="E29" i="2"/>
  <c r="D29" i="2"/>
  <c r="AR28" i="2"/>
  <c r="AL28" i="2"/>
  <c r="AK28" i="2"/>
  <c r="AG28" i="2"/>
  <c r="AF28" i="2"/>
  <c r="AB28" i="2"/>
  <c r="AA28" i="2"/>
  <c r="T28" i="2"/>
  <c r="S28" i="2"/>
  <c r="R28" i="2"/>
  <c r="AM28" i="2" s="1"/>
  <c r="I28" i="2"/>
  <c r="H28" i="2"/>
  <c r="AS27" i="2"/>
  <c r="AL27" i="2"/>
  <c r="AK27" i="2"/>
  <c r="AG27" i="2"/>
  <c r="AF27" i="2"/>
  <c r="AB27" i="2"/>
  <c r="AA27" i="2"/>
  <c r="T27" i="2"/>
  <c r="S27" i="2"/>
  <c r="R27" i="2"/>
  <c r="I27" i="2"/>
  <c r="F27" i="2"/>
  <c r="E27" i="2"/>
  <c r="D27" i="2"/>
  <c r="AL26" i="2"/>
  <c r="AK26" i="2"/>
  <c r="AG26" i="2"/>
  <c r="AF26" i="2"/>
  <c r="AB26" i="2"/>
  <c r="AA26" i="2"/>
  <c r="T26" i="2"/>
  <c r="S26" i="2"/>
  <c r="R26" i="2"/>
  <c r="I26" i="2"/>
  <c r="AL25" i="2"/>
  <c r="AK25" i="2"/>
  <c r="AG25" i="2"/>
  <c r="AF25" i="2"/>
  <c r="AB25" i="2"/>
  <c r="AA25" i="2"/>
  <c r="T25" i="2"/>
  <c r="S25" i="2"/>
  <c r="R25" i="2"/>
  <c r="I25" i="2"/>
  <c r="F25" i="2"/>
  <c r="E25" i="2"/>
  <c r="D25" i="2"/>
  <c r="AL24" i="2"/>
  <c r="AK24" i="2"/>
  <c r="AG24" i="2"/>
  <c r="AF24" i="2"/>
  <c r="AB24" i="2"/>
  <c r="AA24" i="2"/>
  <c r="T24" i="2"/>
  <c r="S24" i="2"/>
  <c r="R24" i="2"/>
  <c r="I24" i="2"/>
  <c r="F24" i="2"/>
  <c r="E24" i="2"/>
  <c r="D24" i="2"/>
  <c r="AR24" i="2" s="1"/>
  <c r="AL23" i="2"/>
  <c r="AK23" i="2"/>
  <c r="AG23" i="2"/>
  <c r="AF23" i="2"/>
  <c r="AB23" i="2"/>
  <c r="AA23" i="2"/>
  <c r="T23" i="2"/>
  <c r="S23" i="2"/>
  <c r="R23" i="2"/>
  <c r="I23" i="2"/>
  <c r="F23" i="2"/>
  <c r="E23" i="2"/>
  <c r="D23" i="2"/>
  <c r="AM23" i="2" s="1"/>
  <c r="AL22" i="2"/>
  <c r="AK22" i="2"/>
  <c r="AG22" i="2"/>
  <c r="AF22" i="2"/>
  <c r="AB22" i="2"/>
  <c r="AA22" i="2"/>
  <c r="T22" i="2"/>
  <c r="S22" i="2"/>
  <c r="R22" i="2"/>
  <c r="I22" i="2"/>
  <c r="F22" i="2"/>
  <c r="E22" i="2"/>
  <c r="D22" i="2"/>
  <c r="AL21" i="2"/>
  <c r="AK21" i="2"/>
  <c r="AG21" i="2"/>
  <c r="AF21" i="2"/>
  <c r="AB21" i="2"/>
  <c r="AA21" i="2"/>
  <c r="T21" i="2"/>
  <c r="S21" i="2"/>
  <c r="R21" i="2"/>
  <c r="I21" i="2"/>
  <c r="F21" i="2"/>
  <c r="E21" i="2"/>
  <c r="D21" i="2"/>
  <c r="AL20" i="2"/>
  <c r="AK20" i="2"/>
  <c r="AG20" i="2"/>
  <c r="AF20" i="2"/>
  <c r="AB20" i="2"/>
  <c r="AA20" i="2"/>
  <c r="T20" i="2"/>
  <c r="S20" i="2"/>
  <c r="R20" i="2"/>
  <c r="I20" i="2"/>
  <c r="F20" i="2"/>
  <c r="E20" i="2"/>
  <c r="D20" i="2"/>
  <c r="H20" i="2" s="1"/>
  <c r="AO20" i="2" s="1"/>
  <c r="AL19" i="2"/>
  <c r="AK19" i="2"/>
  <c r="AG19" i="2"/>
  <c r="AF19" i="2"/>
  <c r="AB19" i="2"/>
  <c r="AA19" i="2"/>
  <c r="T19" i="2"/>
  <c r="S19" i="2"/>
  <c r="R19" i="2"/>
  <c r="I19" i="2"/>
  <c r="F19" i="2"/>
  <c r="E19" i="2"/>
  <c r="D19" i="2"/>
  <c r="AL18" i="2"/>
  <c r="AK18" i="2"/>
  <c r="AG18" i="2"/>
  <c r="AF18" i="2"/>
  <c r="AB18" i="2"/>
  <c r="AA18" i="2"/>
  <c r="T18" i="2"/>
  <c r="S18" i="2"/>
  <c r="R18" i="2"/>
  <c r="I18" i="2"/>
  <c r="F18" i="2"/>
  <c r="E18" i="2"/>
  <c r="D18" i="2"/>
  <c r="H18" i="2" s="1"/>
  <c r="AL17" i="2"/>
  <c r="AK17" i="2"/>
  <c r="AG17" i="2"/>
  <c r="AF17" i="2"/>
  <c r="AB17" i="2"/>
  <c r="AA17" i="2"/>
  <c r="T17" i="2"/>
  <c r="S17" i="2"/>
  <c r="R17" i="2"/>
  <c r="I17" i="2"/>
  <c r="F17" i="2"/>
  <c r="E17" i="2"/>
  <c r="D17" i="2"/>
  <c r="AL16" i="2"/>
  <c r="AK16" i="2"/>
  <c r="AG16" i="2"/>
  <c r="AF16" i="2"/>
  <c r="AB16" i="2"/>
  <c r="AA16" i="2"/>
  <c r="T16" i="2"/>
  <c r="S16" i="2"/>
  <c r="R16" i="2"/>
  <c r="I16" i="2"/>
  <c r="F16" i="2"/>
  <c r="E16" i="2"/>
  <c r="D16" i="2"/>
  <c r="AL15" i="2"/>
  <c r="AK15" i="2"/>
  <c r="AG15" i="2"/>
  <c r="AF15" i="2"/>
  <c r="AB15" i="2"/>
  <c r="AA15" i="2"/>
  <c r="T15" i="2"/>
  <c r="S15" i="2"/>
  <c r="R15" i="2"/>
  <c r="I15" i="2"/>
  <c r="F15" i="2"/>
  <c r="E15" i="2"/>
  <c r="D15" i="2"/>
  <c r="AL14" i="2"/>
  <c r="AK14" i="2"/>
  <c r="AG14" i="2"/>
  <c r="AF14" i="2"/>
  <c r="AB14" i="2"/>
  <c r="AA14" i="2"/>
  <c r="T14" i="2"/>
  <c r="S14" i="2"/>
  <c r="R14" i="2"/>
  <c r="I14" i="2"/>
  <c r="F14" i="2"/>
  <c r="E14" i="2"/>
  <c r="D14" i="2"/>
  <c r="AS13" i="2"/>
  <c r="AL13" i="2"/>
  <c r="AK13" i="2"/>
  <c r="AG13" i="2"/>
  <c r="AF13" i="2"/>
  <c r="AB13" i="2"/>
  <c r="AA13" i="2"/>
  <c r="T13" i="2"/>
  <c r="S13" i="2"/>
  <c r="R13" i="2"/>
  <c r="I13" i="2"/>
  <c r="F13" i="2"/>
  <c r="E13" i="2"/>
  <c r="D13" i="2"/>
  <c r="AL12" i="2"/>
  <c r="AK12" i="2"/>
  <c r="AG12" i="2"/>
  <c r="AF12" i="2"/>
  <c r="AB12" i="2"/>
  <c r="AA12" i="2"/>
  <c r="T12" i="2"/>
  <c r="S12" i="2"/>
  <c r="R12" i="2"/>
  <c r="I12" i="2"/>
  <c r="AL11" i="2"/>
  <c r="AK11" i="2"/>
  <c r="AG11" i="2"/>
  <c r="AF11" i="2"/>
  <c r="AB11" i="2"/>
  <c r="AA11" i="2"/>
  <c r="T11" i="2"/>
  <c r="S11" i="2"/>
  <c r="R11" i="2"/>
  <c r="I11" i="2"/>
  <c r="F11" i="2"/>
  <c r="E11" i="2"/>
  <c r="D11" i="2"/>
  <c r="AM11" i="2" s="1"/>
  <c r="AL10" i="2"/>
  <c r="AK10" i="2"/>
  <c r="AG10" i="2"/>
  <c r="AF10" i="2"/>
  <c r="AB10" i="2"/>
  <c r="AA10" i="2"/>
  <c r="T10" i="2"/>
  <c r="S10" i="2"/>
  <c r="R10" i="2"/>
  <c r="I10" i="2"/>
  <c r="F10" i="2"/>
  <c r="E10" i="2"/>
  <c r="D10" i="2"/>
  <c r="AL9" i="2"/>
  <c r="AK9" i="2"/>
  <c r="AG9" i="2"/>
  <c r="AF9" i="2"/>
  <c r="AB9" i="2"/>
  <c r="AA9" i="2"/>
  <c r="T9" i="2"/>
  <c r="S9" i="2"/>
  <c r="R9" i="2"/>
  <c r="I9" i="2"/>
  <c r="F9" i="2"/>
  <c r="E9" i="2"/>
  <c r="D9" i="2"/>
  <c r="AM9" i="2" s="1"/>
  <c r="AL8" i="2"/>
  <c r="AK8" i="2"/>
  <c r="AG8" i="2"/>
  <c r="AF8" i="2"/>
  <c r="AB8" i="2"/>
  <c r="AA8" i="2"/>
  <c r="T8" i="2"/>
  <c r="S8" i="2"/>
  <c r="R8" i="2"/>
  <c r="I8" i="2"/>
  <c r="AL7" i="2"/>
  <c r="AK7" i="2"/>
  <c r="AG7" i="2"/>
  <c r="AF7" i="2"/>
  <c r="AB7" i="2"/>
  <c r="AA7" i="2"/>
  <c r="T7" i="2"/>
  <c r="S7" i="2"/>
  <c r="R7" i="2"/>
  <c r="I7" i="2"/>
  <c r="F7" i="2"/>
  <c r="E7" i="2"/>
  <c r="D7" i="2"/>
  <c r="AR7" i="2" s="1"/>
  <c r="AL6" i="2"/>
  <c r="AK6" i="2"/>
  <c r="AG6" i="2"/>
  <c r="AF6" i="2"/>
  <c r="AB6" i="2"/>
  <c r="AA6" i="2"/>
  <c r="T6" i="2"/>
  <c r="S6" i="2"/>
  <c r="R6" i="2"/>
  <c r="I6" i="2"/>
  <c r="F6" i="2"/>
  <c r="E6" i="2"/>
  <c r="D6" i="2"/>
  <c r="B6" i="2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B32" i="2" s="1"/>
  <c r="B34" i="2" s="1"/>
  <c r="B36" i="2" s="1"/>
  <c r="B38" i="2" s="1"/>
  <c r="B40" i="2" s="1"/>
  <c r="B42" i="2" s="1"/>
  <c r="B44" i="2" s="1"/>
  <c r="B46" i="2" s="1"/>
  <c r="B48" i="2" s="1"/>
  <c r="B50" i="2" s="1"/>
  <c r="B52" i="2" s="1"/>
  <c r="B54" i="2" s="1"/>
  <c r="B56" i="2" s="1"/>
  <c r="B58" i="2" s="1"/>
  <c r="B60" i="2" s="1"/>
  <c r="B62" i="2" s="1"/>
  <c r="B64" i="2" s="1"/>
  <c r="AL5" i="2"/>
  <c r="AK5" i="2"/>
  <c r="AG5" i="2"/>
  <c r="AF5" i="2"/>
  <c r="AB5" i="2"/>
  <c r="AA5" i="2"/>
  <c r="T5" i="2"/>
  <c r="S5" i="2"/>
  <c r="R5" i="2"/>
  <c r="I5" i="2"/>
  <c r="F5" i="2"/>
  <c r="E5" i="2"/>
  <c r="D5" i="2"/>
  <c r="B5" i="2"/>
  <c r="AR4" i="2"/>
  <c r="AL4" i="2"/>
  <c r="AK4" i="2"/>
  <c r="AG4" i="2"/>
  <c r="AF4" i="2"/>
  <c r="AB4" i="2"/>
  <c r="AA4" i="2"/>
  <c r="T4" i="2"/>
  <c r="S4" i="2"/>
  <c r="R4" i="2"/>
  <c r="AM4" i="2" s="1"/>
  <c r="I4" i="2"/>
  <c r="H4" i="2"/>
  <c r="G4" i="2"/>
  <c r="A4" i="2"/>
  <c r="AP1" i="2"/>
  <c r="M266" i="25"/>
  <c r="X266" i="25" s="1"/>
  <c r="L266" i="25"/>
  <c r="K266" i="25"/>
  <c r="M265" i="25"/>
  <c r="X265" i="25" s="1"/>
  <c r="L265" i="25"/>
  <c r="K265" i="25"/>
  <c r="M264" i="25"/>
  <c r="X264" i="25" s="1"/>
  <c r="L264" i="25"/>
  <c r="K264" i="25"/>
  <c r="M263" i="25"/>
  <c r="X263" i="25" s="1"/>
  <c r="L263" i="25"/>
  <c r="K263" i="25"/>
  <c r="M262" i="25"/>
  <c r="X262" i="25" s="1"/>
  <c r="L262" i="25"/>
  <c r="K262" i="25"/>
  <c r="M261" i="25"/>
  <c r="X261" i="25" s="1"/>
  <c r="L261" i="25"/>
  <c r="K261" i="25"/>
  <c r="M260" i="25"/>
  <c r="X260" i="25" s="1"/>
  <c r="L260" i="25"/>
  <c r="K260" i="25"/>
  <c r="M259" i="25"/>
  <c r="X259" i="25" s="1"/>
  <c r="L259" i="25"/>
  <c r="K259" i="25"/>
  <c r="M258" i="25"/>
  <c r="X258" i="25" s="1"/>
  <c r="L258" i="25"/>
  <c r="K258" i="25"/>
  <c r="M257" i="25"/>
  <c r="X257" i="25" s="1"/>
  <c r="L257" i="25"/>
  <c r="K257" i="25"/>
  <c r="M256" i="25"/>
  <c r="X256" i="25" s="1"/>
  <c r="L256" i="25"/>
  <c r="K256" i="25"/>
  <c r="M255" i="25"/>
  <c r="X255" i="25" s="1"/>
  <c r="L255" i="25"/>
  <c r="K255" i="25"/>
  <c r="M254" i="25"/>
  <c r="X254" i="25" s="1"/>
  <c r="L254" i="25"/>
  <c r="K254" i="25"/>
  <c r="M253" i="25"/>
  <c r="X253" i="25" s="1"/>
  <c r="L253" i="25"/>
  <c r="K253" i="25"/>
  <c r="M252" i="25"/>
  <c r="X252" i="25" s="1"/>
  <c r="L252" i="25"/>
  <c r="K252" i="25"/>
  <c r="M251" i="25"/>
  <c r="X251" i="25" s="1"/>
  <c r="L251" i="25"/>
  <c r="K251" i="25"/>
  <c r="M250" i="25"/>
  <c r="X250" i="25" s="1"/>
  <c r="L250" i="25"/>
  <c r="K250" i="25"/>
  <c r="M249" i="25"/>
  <c r="X249" i="25" s="1"/>
  <c r="L249" i="25"/>
  <c r="K249" i="25"/>
  <c r="M248" i="25"/>
  <c r="X248" i="25" s="1"/>
  <c r="L248" i="25"/>
  <c r="K248" i="25"/>
  <c r="M247" i="25"/>
  <c r="X247" i="25" s="1"/>
  <c r="L247" i="25"/>
  <c r="K247" i="25"/>
  <c r="M246" i="25"/>
  <c r="X246" i="25" s="1"/>
  <c r="L246" i="25"/>
  <c r="K246" i="25"/>
  <c r="M245" i="25"/>
  <c r="X245" i="25" s="1"/>
  <c r="L245" i="25"/>
  <c r="K245" i="25"/>
  <c r="M244" i="25"/>
  <c r="X244" i="25" s="1"/>
  <c r="L244" i="25"/>
  <c r="K244" i="25"/>
  <c r="M243" i="25"/>
  <c r="X243" i="25" s="1"/>
  <c r="L243" i="25"/>
  <c r="K243" i="25"/>
  <c r="M242" i="25"/>
  <c r="X242" i="25" s="1"/>
  <c r="L242" i="25"/>
  <c r="K242" i="25"/>
  <c r="M241" i="25"/>
  <c r="X241" i="25" s="1"/>
  <c r="L241" i="25"/>
  <c r="K241" i="25"/>
  <c r="M240" i="25"/>
  <c r="X240" i="25" s="1"/>
  <c r="L240" i="25"/>
  <c r="K240" i="25"/>
  <c r="M239" i="25"/>
  <c r="X239" i="25" s="1"/>
  <c r="L239" i="25"/>
  <c r="K239" i="25"/>
  <c r="M238" i="25"/>
  <c r="X238" i="25" s="1"/>
  <c r="L238" i="25"/>
  <c r="K238" i="25"/>
  <c r="M237" i="25"/>
  <c r="X237" i="25" s="1"/>
  <c r="L237" i="25"/>
  <c r="K237" i="25"/>
  <c r="M236" i="25"/>
  <c r="X236" i="25" s="1"/>
  <c r="L236" i="25"/>
  <c r="K236" i="25"/>
  <c r="M235" i="25"/>
  <c r="X235" i="25" s="1"/>
  <c r="L235" i="25"/>
  <c r="K235" i="25"/>
  <c r="M234" i="25"/>
  <c r="X234" i="25" s="1"/>
  <c r="L234" i="25"/>
  <c r="K234" i="25"/>
  <c r="M233" i="25"/>
  <c r="X233" i="25" s="1"/>
  <c r="L233" i="25"/>
  <c r="K233" i="25"/>
  <c r="M232" i="25"/>
  <c r="X232" i="25" s="1"/>
  <c r="L232" i="25"/>
  <c r="K232" i="25"/>
  <c r="M231" i="25"/>
  <c r="X231" i="25" s="1"/>
  <c r="L231" i="25"/>
  <c r="K231" i="25"/>
  <c r="M230" i="25"/>
  <c r="X230" i="25" s="1"/>
  <c r="L230" i="25"/>
  <c r="K230" i="25"/>
  <c r="M229" i="25"/>
  <c r="X229" i="25" s="1"/>
  <c r="L229" i="25"/>
  <c r="K229" i="25"/>
  <c r="M228" i="25"/>
  <c r="X228" i="25" s="1"/>
  <c r="L228" i="25"/>
  <c r="K228" i="25"/>
  <c r="M227" i="25"/>
  <c r="X227" i="25" s="1"/>
  <c r="L227" i="25"/>
  <c r="K227" i="25"/>
  <c r="M226" i="25"/>
  <c r="X226" i="25" s="1"/>
  <c r="L226" i="25"/>
  <c r="K226" i="25"/>
  <c r="M225" i="25"/>
  <c r="X225" i="25" s="1"/>
  <c r="L225" i="25"/>
  <c r="K225" i="25"/>
  <c r="M224" i="25"/>
  <c r="X224" i="25" s="1"/>
  <c r="L224" i="25"/>
  <c r="K224" i="25"/>
  <c r="M223" i="25"/>
  <c r="X223" i="25" s="1"/>
  <c r="L223" i="25"/>
  <c r="K223" i="25"/>
  <c r="M222" i="25"/>
  <c r="X222" i="25" s="1"/>
  <c r="L222" i="25"/>
  <c r="K222" i="25"/>
  <c r="M221" i="25"/>
  <c r="X221" i="25" s="1"/>
  <c r="L221" i="25"/>
  <c r="K221" i="25"/>
  <c r="M220" i="25"/>
  <c r="X220" i="25" s="1"/>
  <c r="L220" i="25"/>
  <c r="K220" i="25"/>
  <c r="M219" i="25"/>
  <c r="X219" i="25" s="1"/>
  <c r="L219" i="25"/>
  <c r="K219" i="25"/>
  <c r="M218" i="25"/>
  <c r="X218" i="25" s="1"/>
  <c r="L218" i="25"/>
  <c r="K218" i="25"/>
  <c r="M217" i="25"/>
  <c r="X217" i="25" s="1"/>
  <c r="L217" i="25"/>
  <c r="K217" i="25"/>
  <c r="M216" i="25"/>
  <c r="X216" i="25" s="1"/>
  <c r="L216" i="25"/>
  <c r="K216" i="25"/>
  <c r="M215" i="25"/>
  <c r="X215" i="25" s="1"/>
  <c r="L215" i="25"/>
  <c r="K215" i="25"/>
  <c r="M214" i="25"/>
  <c r="X214" i="25" s="1"/>
  <c r="L214" i="25"/>
  <c r="K214" i="25"/>
  <c r="M213" i="25"/>
  <c r="X213" i="25" s="1"/>
  <c r="L213" i="25"/>
  <c r="K213" i="25"/>
  <c r="M212" i="25"/>
  <c r="X212" i="25" s="1"/>
  <c r="L212" i="25"/>
  <c r="K212" i="25"/>
  <c r="M211" i="25"/>
  <c r="X211" i="25" s="1"/>
  <c r="L211" i="25"/>
  <c r="K211" i="25"/>
  <c r="M210" i="25"/>
  <c r="X210" i="25" s="1"/>
  <c r="L210" i="25"/>
  <c r="K210" i="25"/>
  <c r="M209" i="25"/>
  <c r="X209" i="25" s="1"/>
  <c r="L209" i="25"/>
  <c r="K209" i="25"/>
  <c r="M208" i="25"/>
  <c r="X208" i="25" s="1"/>
  <c r="L208" i="25"/>
  <c r="K208" i="25"/>
  <c r="M207" i="25"/>
  <c r="X207" i="25" s="1"/>
  <c r="L207" i="25"/>
  <c r="K207" i="25"/>
  <c r="M206" i="25"/>
  <c r="X206" i="25" s="1"/>
  <c r="L206" i="25"/>
  <c r="K206" i="25"/>
  <c r="M205" i="25"/>
  <c r="X205" i="25" s="1"/>
  <c r="L205" i="25"/>
  <c r="K205" i="25"/>
  <c r="M204" i="25"/>
  <c r="X204" i="25" s="1"/>
  <c r="L204" i="25"/>
  <c r="K204" i="25"/>
  <c r="M203" i="25"/>
  <c r="X203" i="25" s="1"/>
  <c r="L203" i="25"/>
  <c r="K203" i="25"/>
  <c r="M202" i="25"/>
  <c r="X202" i="25" s="1"/>
  <c r="L202" i="25"/>
  <c r="K202" i="25"/>
  <c r="M201" i="25"/>
  <c r="X201" i="25" s="1"/>
  <c r="L201" i="25"/>
  <c r="K201" i="25"/>
  <c r="M200" i="25"/>
  <c r="X200" i="25" s="1"/>
  <c r="L200" i="25"/>
  <c r="K200" i="25"/>
  <c r="M199" i="25"/>
  <c r="X199" i="25" s="1"/>
  <c r="L199" i="25"/>
  <c r="K199" i="25"/>
  <c r="M198" i="25"/>
  <c r="X198" i="25" s="1"/>
  <c r="L198" i="25"/>
  <c r="K198" i="25"/>
  <c r="M197" i="25"/>
  <c r="X197" i="25" s="1"/>
  <c r="L197" i="25"/>
  <c r="K197" i="25"/>
  <c r="M196" i="25"/>
  <c r="X196" i="25" s="1"/>
  <c r="L196" i="25"/>
  <c r="K196" i="25"/>
  <c r="M195" i="25"/>
  <c r="X195" i="25" s="1"/>
  <c r="L195" i="25"/>
  <c r="K195" i="25"/>
  <c r="M194" i="25"/>
  <c r="X194" i="25" s="1"/>
  <c r="L194" i="25"/>
  <c r="K194" i="25"/>
  <c r="M193" i="25"/>
  <c r="X193" i="25" s="1"/>
  <c r="L193" i="25"/>
  <c r="K193" i="25"/>
  <c r="M192" i="25"/>
  <c r="X192" i="25" s="1"/>
  <c r="L192" i="25"/>
  <c r="K192" i="25"/>
  <c r="M191" i="25"/>
  <c r="X191" i="25" s="1"/>
  <c r="L191" i="25"/>
  <c r="K191" i="25"/>
  <c r="M190" i="25"/>
  <c r="X190" i="25" s="1"/>
  <c r="L190" i="25"/>
  <c r="K190" i="25"/>
  <c r="M189" i="25"/>
  <c r="X189" i="25" s="1"/>
  <c r="L189" i="25"/>
  <c r="K189" i="25"/>
  <c r="M188" i="25"/>
  <c r="X188" i="25" s="1"/>
  <c r="L188" i="25"/>
  <c r="K188" i="25"/>
  <c r="M187" i="25"/>
  <c r="X187" i="25" s="1"/>
  <c r="L187" i="25"/>
  <c r="K187" i="25"/>
  <c r="M186" i="25"/>
  <c r="X186" i="25" s="1"/>
  <c r="L186" i="25"/>
  <c r="K186" i="25"/>
  <c r="M185" i="25"/>
  <c r="X185" i="25" s="1"/>
  <c r="L185" i="25"/>
  <c r="K185" i="25"/>
  <c r="M184" i="25"/>
  <c r="X184" i="25" s="1"/>
  <c r="L184" i="25"/>
  <c r="K184" i="25"/>
  <c r="M183" i="25"/>
  <c r="X183" i="25" s="1"/>
  <c r="L183" i="25"/>
  <c r="K183" i="25"/>
  <c r="M182" i="25"/>
  <c r="X182" i="25" s="1"/>
  <c r="L182" i="25"/>
  <c r="K182" i="25"/>
  <c r="M181" i="25"/>
  <c r="X181" i="25" s="1"/>
  <c r="L181" i="25"/>
  <c r="K181" i="25"/>
  <c r="M180" i="25"/>
  <c r="X180" i="25" s="1"/>
  <c r="L180" i="25"/>
  <c r="K180" i="25"/>
  <c r="M179" i="25"/>
  <c r="X179" i="25" s="1"/>
  <c r="L179" i="25"/>
  <c r="K179" i="25"/>
  <c r="M178" i="25"/>
  <c r="X178" i="25" s="1"/>
  <c r="L178" i="25"/>
  <c r="K178" i="25"/>
  <c r="M177" i="25"/>
  <c r="X177" i="25" s="1"/>
  <c r="L177" i="25"/>
  <c r="K177" i="25"/>
  <c r="G177" i="25"/>
  <c r="M176" i="25"/>
  <c r="X176" i="25" s="1"/>
  <c r="L176" i="25"/>
  <c r="K176" i="25"/>
  <c r="G176" i="25"/>
  <c r="V175" i="25"/>
  <c r="U175" i="25"/>
  <c r="M175" i="25"/>
  <c r="X175" i="25" s="1"/>
  <c r="L175" i="25"/>
  <c r="K175" i="25"/>
  <c r="G175" i="25"/>
  <c r="M174" i="25"/>
  <c r="X174" i="25" s="1"/>
  <c r="L174" i="25"/>
  <c r="K174" i="25"/>
  <c r="G174" i="25"/>
  <c r="V173" i="25"/>
  <c r="U173" i="25"/>
  <c r="M173" i="25"/>
  <c r="X173" i="25" s="1"/>
  <c r="L173" i="25"/>
  <c r="K173" i="25"/>
  <c r="G173" i="25"/>
  <c r="M172" i="25"/>
  <c r="X172" i="25" s="1"/>
  <c r="L172" i="25"/>
  <c r="K172" i="25"/>
  <c r="G172" i="25"/>
  <c r="M171" i="25"/>
  <c r="X171" i="25" s="1"/>
  <c r="L171" i="25"/>
  <c r="K171" i="25"/>
  <c r="G171" i="25"/>
  <c r="V170" i="25"/>
  <c r="U170" i="25"/>
  <c r="M170" i="25"/>
  <c r="X170" i="25" s="1"/>
  <c r="L170" i="25"/>
  <c r="Q171" i="25" s="1"/>
  <c r="O171" i="25" s="1"/>
  <c r="Z171" i="25" s="1"/>
  <c r="K170" i="25"/>
  <c r="G170" i="25"/>
  <c r="M169" i="25"/>
  <c r="X169" i="25" s="1"/>
  <c r="L169" i="25"/>
  <c r="K169" i="25"/>
  <c r="G169" i="25"/>
  <c r="V168" i="25"/>
  <c r="U168" i="25"/>
  <c r="M168" i="25"/>
  <c r="X168" i="25" s="1"/>
  <c r="L168" i="25"/>
  <c r="Q168" i="25" s="1"/>
  <c r="O168" i="25" s="1"/>
  <c r="Z168" i="25" s="1"/>
  <c r="K168" i="25"/>
  <c r="G168" i="25"/>
  <c r="M167" i="25"/>
  <c r="X167" i="25" s="1"/>
  <c r="L167" i="25"/>
  <c r="K167" i="25"/>
  <c r="G167" i="25"/>
  <c r="V166" i="25"/>
  <c r="U166" i="25"/>
  <c r="M166" i="25"/>
  <c r="X166" i="25" s="1"/>
  <c r="L166" i="25"/>
  <c r="Q166" i="25" s="1"/>
  <c r="O166" i="25" s="1"/>
  <c r="Z166" i="25" s="1"/>
  <c r="K166" i="25"/>
  <c r="G166" i="25"/>
  <c r="M165" i="25"/>
  <c r="X165" i="25" s="1"/>
  <c r="L165" i="25"/>
  <c r="K165" i="25"/>
  <c r="G165" i="25"/>
  <c r="M164" i="25"/>
  <c r="X164" i="25" s="1"/>
  <c r="L164" i="25"/>
  <c r="K164" i="25"/>
  <c r="G164" i="25"/>
  <c r="V163" i="25"/>
  <c r="U163" i="25"/>
  <c r="M163" i="25"/>
  <c r="L163" i="25"/>
  <c r="Q163" i="25" s="1"/>
  <c r="O163" i="25" s="1"/>
  <c r="Z163" i="25" s="1"/>
  <c r="K163" i="25"/>
  <c r="G163" i="25"/>
  <c r="M162" i="25"/>
  <c r="X162" i="25" s="1"/>
  <c r="L162" i="25"/>
  <c r="K162" i="25"/>
  <c r="G162" i="25"/>
  <c r="M161" i="25"/>
  <c r="X161" i="25" s="1"/>
  <c r="L161" i="25"/>
  <c r="K161" i="25"/>
  <c r="G161" i="25"/>
  <c r="V160" i="25"/>
  <c r="U160" i="25"/>
  <c r="M160" i="25"/>
  <c r="X160" i="25" s="1"/>
  <c r="L160" i="25"/>
  <c r="K160" i="25"/>
  <c r="P160" i="25" s="1"/>
  <c r="N160" i="25" s="1"/>
  <c r="Y160" i="25" s="1"/>
  <c r="G160" i="25"/>
  <c r="M159" i="25"/>
  <c r="X159" i="25" s="1"/>
  <c r="L159" i="25"/>
  <c r="K159" i="25"/>
  <c r="G159" i="25"/>
  <c r="M158" i="25"/>
  <c r="X158" i="25" s="1"/>
  <c r="L158" i="25"/>
  <c r="K158" i="25"/>
  <c r="G158" i="25"/>
  <c r="V157" i="25"/>
  <c r="U157" i="25"/>
  <c r="M157" i="25"/>
  <c r="X157" i="25" s="1"/>
  <c r="L157" i="25"/>
  <c r="K157" i="25"/>
  <c r="P157" i="25" s="1"/>
  <c r="N157" i="25" s="1"/>
  <c r="Y157" i="25" s="1"/>
  <c r="G157" i="25"/>
  <c r="M156" i="25"/>
  <c r="X156" i="25" s="1"/>
  <c r="L156" i="25"/>
  <c r="K156" i="25"/>
  <c r="G156" i="25"/>
  <c r="M155" i="25"/>
  <c r="X155" i="25" s="1"/>
  <c r="L155" i="25"/>
  <c r="K155" i="25"/>
  <c r="G155" i="25"/>
  <c r="V154" i="25"/>
  <c r="U154" i="25"/>
  <c r="M154" i="25"/>
  <c r="X154" i="25" s="1"/>
  <c r="L154" i="25"/>
  <c r="K154" i="25"/>
  <c r="P154" i="25" s="1"/>
  <c r="N154" i="25" s="1"/>
  <c r="Y154" i="25" s="1"/>
  <c r="G154" i="25"/>
  <c r="M153" i="25"/>
  <c r="X153" i="25" s="1"/>
  <c r="L153" i="25"/>
  <c r="K153" i="25"/>
  <c r="G153" i="25"/>
  <c r="M152" i="25"/>
  <c r="X152" i="25" s="1"/>
  <c r="L152" i="25"/>
  <c r="K152" i="25"/>
  <c r="G152" i="25"/>
  <c r="V151" i="25"/>
  <c r="U151" i="25"/>
  <c r="M151" i="25"/>
  <c r="X151" i="25" s="1"/>
  <c r="L151" i="25"/>
  <c r="Q151" i="25" s="1"/>
  <c r="O151" i="25" s="1"/>
  <c r="Z151" i="25" s="1"/>
  <c r="K151" i="25"/>
  <c r="P151" i="25" s="1"/>
  <c r="N151" i="25" s="1"/>
  <c r="Y151" i="25" s="1"/>
  <c r="G151" i="25"/>
  <c r="M150" i="25"/>
  <c r="X150" i="25" s="1"/>
  <c r="L150" i="25"/>
  <c r="K150" i="25"/>
  <c r="G150" i="25"/>
  <c r="V149" i="25"/>
  <c r="U149" i="25"/>
  <c r="M149" i="25"/>
  <c r="X149" i="25" s="1"/>
  <c r="L149" i="25"/>
  <c r="Q149" i="25" s="1"/>
  <c r="O149" i="25" s="1"/>
  <c r="Z149" i="25" s="1"/>
  <c r="K149" i="25"/>
  <c r="P149" i="25" s="1"/>
  <c r="N149" i="25" s="1"/>
  <c r="Y149" i="25" s="1"/>
  <c r="G149" i="25"/>
  <c r="M148" i="25"/>
  <c r="X148" i="25" s="1"/>
  <c r="L148" i="25"/>
  <c r="K148" i="25"/>
  <c r="G148" i="25"/>
  <c r="M147" i="25"/>
  <c r="X147" i="25" s="1"/>
  <c r="L147" i="25"/>
  <c r="K147" i="25"/>
  <c r="G147" i="25"/>
  <c r="V146" i="25"/>
  <c r="U146" i="25"/>
  <c r="M146" i="25"/>
  <c r="X146" i="25" s="1"/>
  <c r="L146" i="25"/>
  <c r="Q146" i="25" s="1"/>
  <c r="O146" i="25" s="1"/>
  <c r="Z146" i="25" s="1"/>
  <c r="K146" i="25"/>
  <c r="P146" i="25" s="1"/>
  <c r="N146" i="25" s="1"/>
  <c r="Y146" i="25" s="1"/>
  <c r="G146" i="25"/>
  <c r="M145" i="25"/>
  <c r="X145" i="25" s="1"/>
  <c r="L145" i="25"/>
  <c r="K145" i="25"/>
  <c r="G145" i="25"/>
  <c r="M144" i="25"/>
  <c r="X144" i="25" s="1"/>
  <c r="L144" i="25"/>
  <c r="K144" i="25"/>
  <c r="G144" i="25"/>
  <c r="V143" i="25"/>
  <c r="U143" i="25"/>
  <c r="M143" i="25"/>
  <c r="X143" i="25" s="1"/>
  <c r="L143" i="25"/>
  <c r="Q143" i="25" s="1"/>
  <c r="O143" i="25" s="1"/>
  <c r="Z143" i="25" s="1"/>
  <c r="K143" i="25"/>
  <c r="G143" i="25"/>
  <c r="M142" i="25"/>
  <c r="X142" i="25" s="1"/>
  <c r="L142" i="25"/>
  <c r="K142" i="25"/>
  <c r="G142" i="25"/>
  <c r="V141" i="25"/>
  <c r="U141" i="25"/>
  <c r="M141" i="25"/>
  <c r="X141" i="25" s="1"/>
  <c r="L141" i="25"/>
  <c r="Q141" i="25" s="1"/>
  <c r="O141" i="25" s="1"/>
  <c r="Z141" i="25" s="1"/>
  <c r="K141" i="25"/>
  <c r="G141" i="25"/>
  <c r="M140" i="25"/>
  <c r="X140" i="25" s="1"/>
  <c r="L140" i="25"/>
  <c r="K140" i="25"/>
  <c r="G140" i="25"/>
  <c r="V139" i="25"/>
  <c r="U139" i="25"/>
  <c r="M139" i="25"/>
  <c r="X139" i="25" s="1"/>
  <c r="L139" i="25"/>
  <c r="Q139" i="25" s="1"/>
  <c r="O139" i="25" s="1"/>
  <c r="Z139" i="25" s="1"/>
  <c r="K139" i="25"/>
  <c r="G139" i="25"/>
  <c r="M138" i="25"/>
  <c r="X138" i="25" s="1"/>
  <c r="L138" i="25"/>
  <c r="K138" i="25"/>
  <c r="G138" i="25"/>
  <c r="V137" i="25"/>
  <c r="U137" i="25"/>
  <c r="M137" i="25"/>
  <c r="X137" i="25" s="1"/>
  <c r="L137" i="25"/>
  <c r="Q137" i="25" s="1"/>
  <c r="O137" i="25" s="1"/>
  <c r="Z137" i="25" s="1"/>
  <c r="K137" i="25"/>
  <c r="G137" i="25"/>
  <c r="M136" i="25"/>
  <c r="X136" i="25" s="1"/>
  <c r="L136" i="25"/>
  <c r="K136" i="25"/>
  <c r="G136" i="25"/>
  <c r="V135" i="25"/>
  <c r="U135" i="25"/>
  <c r="M135" i="25"/>
  <c r="X135" i="25" s="1"/>
  <c r="L135" i="25"/>
  <c r="Q135" i="25" s="1"/>
  <c r="O135" i="25" s="1"/>
  <c r="Z135" i="25" s="1"/>
  <c r="K135" i="25"/>
  <c r="G135" i="25"/>
  <c r="M134" i="25"/>
  <c r="X134" i="25" s="1"/>
  <c r="L134" i="25"/>
  <c r="K134" i="25"/>
  <c r="G134" i="25"/>
  <c r="M133" i="25"/>
  <c r="X133" i="25" s="1"/>
  <c r="L133" i="25"/>
  <c r="K133" i="25"/>
  <c r="G133" i="25"/>
  <c r="V132" i="25"/>
  <c r="U132" i="25"/>
  <c r="M132" i="25"/>
  <c r="X132" i="25" s="1"/>
  <c r="L132" i="25"/>
  <c r="Q132" i="25" s="1"/>
  <c r="O132" i="25" s="1"/>
  <c r="Z132" i="25" s="1"/>
  <c r="K132" i="25"/>
  <c r="G132" i="25"/>
  <c r="M131" i="25"/>
  <c r="X131" i="25" s="1"/>
  <c r="L131" i="25"/>
  <c r="K131" i="25"/>
  <c r="G131" i="25"/>
  <c r="V130" i="25"/>
  <c r="U130" i="25"/>
  <c r="M130" i="25"/>
  <c r="X130" i="25" s="1"/>
  <c r="L130" i="25"/>
  <c r="Q130" i="25" s="1"/>
  <c r="O130" i="25" s="1"/>
  <c r="Z130" i="25" s="1"/>
  <c r="K130" i="25"/>
  <c r="G130" i="25"/>
  <c r="M129" i="25"/>
  <c r="X129" i="25" s="1"/>
  <c r="L129" i="25"/>
  <c r="K129" i="25"/>
  <c r="G129" i="25"/>
  <c r="V128" i="25"/>
  <c r="U128" i="25"/>
  <c r="M128" i="25"/>
  <c r="X128" i="25" s="1"/>
  <c r="L128" i="25"/>
  <c r="K128" i="25"/>
  <c r="G128" i="25"/>
  <c r="M127" i="25"/>
  <c r="X127" i="25" s="1"/>
  <c r="L127" i="25"/>
  <c r="K127" i="25"/>
  <c r="G127" i="25"/>
  <c r="V126" i="25"/>
  <c r="U126" i="25"/>
  <c r="M126" i="25"/>
  <c r="X126" i="25" s="1"/>
  <c r="L126" i="25"/>
  <c r="K126" i="25"/>
  <c r="G126" i="25"/>
  <c r="M125" i="25"/>
  <c r="X125" i="25" s="1"/>
  <c r="L125" i="25"/>
  <c r="K125" i="25"/>
  <c r="G125" i="25"/>
  <c r="V124" i="25"/>
  <c r="U124" i="25"/>
  <c r="M124" i="25"/>
  <c r="X124" i="25" s="1"/>
  <c r="L124" i="25"/>
  <c r="Q124" i="25" s="1"/>
  <c r="O124" i="25" s="1"/>
  <c r="Z124" i="25" s="1"/>
  <c r="K124" i="25"/>
  <c r="G124" i="25"/>
  <c r="M123" i="25"/>
  <c r="X123" i="25" s="1"/>
  <c r="L123" i="25"/>
  <c r="K123" i="25"/>
  <c r="G123" i="25"/>
  <c r="V122" i="25"/>
  <c r="U122" i="25"/>
  <c r="M122" i="25"/>
  <c r="X122" i="25" s="1"/>
  <c r="L122" i="25"/>
  <c r="Q122" i="25" s="1"/>
  <c r="O122" i="25" s="1"/>
  <c r="Z122" i="25" s="1"/>
  <c r="K122" i="25"/>
  <c r="G122" i="25"/>
  <c r="M121" i="25"/>
  <c r="X121" i="25" s="1"/>
  <c r="L121" i="25"/>
  <c r="K121" i="25"/>
  <c r="G121" i="25"/>
  <c r="V120" i="25"/>
  <c r="U120" i="25"/>
  <c r="M120" i="25"/>
  <c r="X120" i="25" s="1"/>
  <c r="L120" i="25"/>
  <c r="K120" i="25"/>
  <c r="G120" i="25"/>
  <c r="M119" i="25"/>
  <c r="X119" i="25" s="1"/>
  <c r="L119" i="25"/>
  <c r="K119" i="25"/>
  <c r="G119" i="25"/>
  <c r="V118" i="25"/>
  <c r="U118" i="25"/>
  <c r="M118" i="25"/>
  <c r="X118" i="25" s="1"/>
  <c r="L118" i="25"/>
  <c r="K118" i="25"/>
  <c r="G118" i="25"/>
  <c r="M117" i="25"/>
  <c r="X117" i="25" s="1"/>
  <c r="L117" i="25"/>
  <c r="K117" i="25"/>
  <c r="G117" i="25"/>
  <c r="V116" i="25"/>
  <c r="U116" i="25"/>
  <c r="M116" i="25"/>
  <c r="X116" i="25" s="1"/>
  <c r="L116" i="25"/>
  <c r="K116" i="25"/>
  <c r="G116" i="25"/>
  <c r="M115" i="25"/>
  <c r="X115" i="25" s="1"/>
  <c r="L115" i="25"/>
  <c r="K115" i="25"/>
  <c r="G115" i="25"/>
  <c r="V114" i="25"/>
  <c r="U114" i="25"/>
  <c r="M114" i="25"/>
  <c r="X114" i="25" s="1"/>
  <c r="L114" i="25"/>
  <c r="Q114" i="25" s="1"/>
  <c r="O114" i="25" s="1"/>
  <c r="Z114" i="25" s="1"/>
  <c r="K114" i="25"/>
  <c r="G114" i="25"/>
  <c r="M113" i="25"/>
  <c r="X113" i="25" s="1"/>
  <c r="L113" i="25"/>
  <c r="K113" i="25"/>
  <c r="G113" i="25"/>
  <c r="M112" i="25"/>
  <c r="X112" i="25" s="1"/>
  <c r="L112" i="25"/>
  <c r="K112" i="25"/>
  <c r="G112" i="25"/>
  <c r="M111" i="25"/>
  <c r="X111" i="25" s="1"/>
  <c r="L111" i="25"/>
  <c r="K111" i="25"/>
  <c r="G111" i="25"/>
  <c r="V110" i="25"/>
  <c r="U110" i="25"/>
  <c r="M110" i="25"/>
  <c r="X110" i="25" s="1"/>
  <c r="L110" i="25"/>
  <c r="K110" i="25"/>
  <c r="G110" i="25"/>
  <c r="M109" i="25"/>
  <c r="X109" i="25" s="1"/>
  <c r="L109" i="25"/>
  <c r="K109" i="25"/>
  <c r="G109" i="25"/>
  <c r="M108" i="25"/>
  <c r="X108" i="25" s="1"/>
  <c r="L108" i="25"/>
  <c r="K108" i="25"/>
  <c r="G108" i="25"/>
  <c r="V107" i="25"/>
  <c r="U107" i="25"/>
  <c r="M107" i="25"/>
  <c r="X107" i="25" s="1"/>
  <c r="L107" i="25"/>
  <c r="K107" i="25"/>
  <c r="P107" i="25" s="1"/>
  <c r="N107" i="25" s="1"/>
  <c r="Y107" i="25" s="1"/>
  <c r="G107" i="25"/>
  <c r="M106" i="25"/>
  <c r="X106" i="25" s="1"/>
  <c r="L106" i="25"/>
  <c r="K106" i="25"/>
  <c r="G106" i="25"/>
  <c r="V105" i="25"/>
  <c r="U105" i="25"/>
  <c r="M105" i="25"/>
  <c r="X105" i="25" s="1"/>
  <c r="L105" i="25"/>
  <c r="K105" i="25"/>
  <c r="G105" i="25"/>
  <c r="M104" i="25"/>
  <c r="X104" i="25" s="1"/>
  <c r="L104" i="25"/>
  <c r="K104" i="25"/>
  <c r="G104" i="25"/>
  <c r="V103" i="25"/>
  <c r="U103" i="25"/>
  <c r="M103" i="25"/>
  <c r="X103" i="25" s="1"/>
  <c r="L103" i="25"/>
  <c r="K103" i="25"/>
  <c r="P103" i="25" s="1"/>
  <c r="N103" i="25" s="1"/>
  <c r="Y103" i="25" s="1"/>
  <c r="G103" i="25"/>
  <c r="M102" i="25"/>
  <c r="X102" i="25" s="1"/>
  <c r="L102" i="25"/>
  <c r="K102" i="25"/>
  <c r="G102" i="25"/>
  <c r="V101" i="25"/>
  <c r="U101" i="25"/>
  <c r="M101" i="25"/>
  <c r="X101" i="25" s="1"/>
  <c r="L101" i="25"/>
  <c r="K101" i="25"/>
  <c r="G101" i="25"/>
  <c r="M100" i="25"/>
  <c r="X100" i="25" s="1"/>
  <c r="L100" i="25"/>
  <c r="K100" i="25"/>
  <c r="G100" i="25"/>
  <c r="V99" i="25"/>
  <c r="U99" i="25"/>
  <c r="M99" i="25"/>
  <c r="X99" i="25" s="1"/>
  <c r="L99" i="25"/>
  <c r="K99" i="25"/>
  <c r="G99" i="25"/>
  <c r="M98" i="25"/>
  <c r="X98" i="25" s="1"/>
  <c r="L98" i="25"/>
  <c r="K98" i="25"/>
  <c r="G98" i="25"/>
  <c r="V97" i="25"/>
  <c r="U97" i="25"/>
  <c r="M97" i="25"/>
  <c r="X97" i="25" s="1"/>
  <c r="L97" i="25"/>
  <c r="K97" i="25"/>
  <c r="G97" i="25"/>
  <c r="M96" i="25"/>
  <c r="X96" i="25" s="1"/>
  <c r="L96" i="25"/>
  <c r="K96" i="25"/>
  <c r="G96" i="25"/>
  <c r="V95" i="25"/>
  <c r="U95" i="25"/>
  <c r="M95" i="25"/>
  <c r="X95" i="25" s="1"/>
  <c r="L95" i="25"/>
  <c r="K95" i="25"/>
  <c r="P95" i="25" s="1"/>
  <c r="N95" i="25" s="1"/>
  <c r="Y95" i="25" s="1"/>
  <c r="G95" i="25"/>
  <c r="M94" i="25"/>
  <c r="X94" i="25" s="1"/>
  <c r="L94" i="25"/>
  <c r="K94" i="25"/>
  <c r="G94" i="25"/>
  <c r="V93" i="25"/>
  <c r="U93" i="25"/>
  <c r="M93" i="25"/>
  <c r="X93" i="25" s="1"/>
  <c r="L93" i="25"/>
  <c r="K93" i="25"/>
  <c r="G93" i="25"/>
  <c r="V92" i="25"/>
  <c r="U92" i="25"/>
  <c r="M92" i="25"/>
  <c r="X92" i="25" s="1"/>
  <c r="L92" i="25"/>
  <c r="K92" i="25"/>
  <c r="P92" i="25" s="1"/>
  <c r="G92" i="25"/>
  <c r="M91" i="25"/>
  <c r="X91" i="25" s="1"/>
  <c r="L91" i="25"/>
  <c r="K91" i="25"/>
  <c r="G91" i="25"/>
  <c r="V90" i="25"/>
  <c r="U90" i="25"/>
  <c r="M90" i="25"/>
  <c r="X90" i="25" s="1"/>
  <c r="L90" i="25"/>
  <c r="K90" i="25"/>
  <c r="P90" i="25" s="1"/>
  <c r="N90" i="25" s="1"/>
  <c r="Y90" i="25" s="1"/>
  <c r="G90" i="25"/>
  <c r="M89" i="25"/>
  <c r="X89" i="25" s="1"/>
  <c r="L89" i="25"/>
  <c r="K89" i="25"/>
  <c r="G89" i="25"/>
  <c r="M88" i="25"/>
  <c r="X88" i="25" s="1"/>
  <c r="L88" i="25"/>
  <c r="K88" i="25"/>
  <c r="G88" i="25"/>
  <c r="V87" i="25"/>
  <c r="U87" i="25"/>
  <c r="M87" i="25"/>
  <c r="X87" i="25" s="1"/>
  <c r="L87" i="25"/>
  <c r="K87" i="25"/>
  <c r="G87" i="25"/>
  <c r="M86" i="25"/>
  <c r="X86" i="25" s="1"/>
  <c r="L86" i="25"/>
  <c r="K86" i="25"/>
  <c r="G86" i="25"/>
  <c r="V85" i="25"/>
  <c r="U85" i="25"/>
  <c r="M85" i="25"/>
  <c r="X85" i="25" s="1"/>
  <c r="L85" i="25"/>
  <c r="K85" i="25"/>
  <c r="P85" i="25" s="1"/>
  <c r="N85" i="25" s="1"/>
  <c r="Y85" i="25" s="1"/>
  <c r="G85" i="25"/>
  <c r="V84" i="25"/>
  <c r="U84" i="25"/>
  <c r="M84" i="25"/>
  <c r="X84" i="25" s="1"/>
  <c r="L84" i="25"/>
  <c r="K84" i="25"/>
  <c r="P84" i="25" s="1"/>
  <c r="N84" i="25" s="1"/>
  <c r="Y84" i="25" s="1"/>
  <c r="G84" i="25"/>
  <c r="M83" i="25"/>
  <c r="X83" i="25" s="1"/>
  <c r="L83" i="25"/>
  <c r="K83" i="25"/>
  <c r="G83" i="25"/>
  <c r="M82" i="25"/>
  <c r="X82" i="25" s="1"/>
  <c r="L82" i="25"/>
  <c r="K82" i="25"/>
  <c r="G82" i="25"/>
  <c r="V81" i="25"/>
  <c r="U81" i="25"/>
  <c r="M81" i="25"/>
  <c r="X81" i="25" s="1"/>
  <c r="L81" i="25"/>
  <c r="K81" i="25"/>
  <c r="P81" i="25" s="1"/>
  <c r="N81" i="25" s="1"/>
  <c r="Y81" i="25" s="1"/>
  <c r="G81" i="25"/>
  <c r="V80" i="25"/>
  <c r="U80" i="25"/>
  <c r="M80" i="25"/>
  <c r="X80" i="25" s="1"/>
  <c r="L80" i="25"/>
  <c r="K80" i="25"/>
  <c r="P80" i="25" s="1"/>
  <c r="N80" i="25" s="1"/>
  <c r="Y80" i="25" s="1"/>
  <c r="G80" i="25"/>
  <c r="M79" i="25"/>
  <c r="X79" i="25" s="1"/>
  <c r="L79" i="25"/>
  <c r="K79" i="25"/>
  <c r="G79" i="25"/>
  <c r="V78" i="25"/>
  <c r="U78" i="25"/>
  <c r="M78" i="25"/>
  <c r="X78" i="25" s="1"/>
  <c r="L78" i="25"/>
  <c r="K78" i="25"/>
  <c r="G78" i="25"/>
  <c r="M77" i="25"/>
  <c r="X77" i="25" s="1"/>
  <c r="L77" i="25"/>
  <c r="K77" i="25"/>
  <c r="G77" i="25"/>
  <c r="V76" i="25"/>
  <c r="U76" i="25"/>
  <c r="M76" i="25"/>
  <c r="X76" i="25" s="1"/>
  <c r="L76" i="25"/>
  <c r="K76" i="25"/>
  <c r="P76" i="25" s="1"/>
  <c r="N76" i="25" s="1"/>
  <c r="Y76" i="25" s="1"/>
  <c r="G76" i="25"/>
  <c r="M75" i="25"/>
  <c r="X75" i="25" s="1"/>
  <c r="L75" i="25"/>
  <c r="K75" i="25"/>
  <c r="G75" i="25"/>
  <c r="V74" i="25"/>
  <c r="U74" i="25"/>
  <c r="M74" i="25"/>
  <c r="X74" i="25" s="1"/>
  <c r="L74" i="25"/>
  <c r="K74" i="25"/>
  <c r="P74" i="25" s="1"/>
  <c r="G74" i="25"/>
  <c r="M73" i="25"/>
  <c r="X73" i="25" s="1"/>
  <c r="L73" i="25"/>
  <c r="K73" i="25"/>
  <c r="G73" i="25"/>
  <c r="V72" i="25"/>
  <c r="U72" i="25"/>
  <c r="M72" i="25"/>
  <c r="X72" i="25" s="1"/>
  <c r="L72" i="25"/>
  <c r="K72" i="25"/>
  <c r="P72" i="25" s="1"/>
  <c r="N72" i="25" s="1"/>
  <c r="Y72" i="25" s="1"/>
  <c r="G72" i="25"/>
  <c r="M71" i="25"/>
  <c r="X71" i="25" s="1"/>
  <c r="L71" i="25"/>
  <c r="K71" i="25"/>
  <c r="G71" i="25"/>
  <c r="M70" i="25"/>
  <c r="X70" i="25" s="1"/>
  <c r="L70" i="25"/>
  <c r="K70" i="25"/>
  <c r="G70" i="25"/>
  <c r="V69" i="25"/>
  <c r="U69" i="25"/>
  <c r="M69" i="25"/>
  <c r="X69" i="25" s="1"/>
  <c r="L69" i="25"/>
  <c r="K69" i="25"/>
  <c r="G69" i="25"/>
  <c r="M68" i="25"/>
  <c r="X68" i="25" s="1"/>
  <c r="L68" i="25"/>
  <c r="K68" i="25"/>
  <c r="G68" i="25"/>
  <c r="V67" i="25"/>
  <c r="U67" i="25"/>
  <c r="M67" i="25"/>
  <c r="X67" i="25" s="1"/>
  <c r="L67" i="25"/>
  <c r="K67" i="25"/>
  <c r="P67" i="25" s="1"/>
  <c r="N67" i="25" s="1"/>
  <c r="Y67" i="25" s="1"/>
  <c r="G67" i="25"/>
  <c r="M66" i="25"/>
  <c r="X66" i="25" s="1"/>
  <c r="L66" i="25"/>
  <c r="K66" i="25"/>
  <c r="G66" i="25"/>
  <c r="V65" i="25"/>
  <c r="U65" i="25"/>
  <c r="M65" i="25"/>
  <c r="X65" i="25" s="1"/>
  <c r="L65" i="25"/>
  <c r="K65" i="25"/>
  <c r="G65" i="25"/>
  <c r="M64" i="25"/>
  <c r="X64" i="25" s="1"/>
  <c r="L64" i="25"/>
  <c r="K64" i="25"/>
  <c r="G64" i="25"/>
  <c r="V63" i="25"/>
  <c r="U63" i="25"/>
  <c r="M63" i="25"/>
  <c r="X63" i="25" s="1"/>
  <c r="L63" i="25"/>
  <c r="K63" i="25"/>
  <c r="G63" i="25"/>
  <c r="V62" i="25"/>
  <c r="U62" i="25"/>
  <c r="M62" i="25"/>
  <c r="X62" i="25" s="1"/>
  <c r="L62" i="25"/>
  <c r="K62" i="25"/>
  <c r="P62" i="25" s="1"/>
  <c r="N62" i="25" s="1"/>
  <c r="Y62" i="25" s="1"/>
  <c r="G62" i="25"/>
  <c r="M61" i="25"/>
  <c r="X61" i="25" s="1"/>
  <c r="L61" i="25"/>
  <c r="K61" i="25"/>
  <c r="G61" i="25"/>
  <c r="V60" i="25"/>
  <c r="U60" i="25"/>
  <c r="M60" i="25"/>
  <c r="X60" i="25" s="1"/>
  <c r="L60" i="25"/>
  <c r="K60" i="25"/>
  <c r="P60" i="25" s="1"/>
  <c r="N60" i="25" s="1"/>
  <c r="Y60" i="25" s="1"/>
  <c r="G60" i="25"/>
  <c r="V59" i="25"/>
  <c r="U59" i="25"/>
  <c r="M59" i="25"/>
  <c r="X59" i="25" s="1"/>
  <c r="L59" i="25"/>
  <c r="Q59" i="25" s="1"/>
  <c r="O59" i="25" s="1"/>
  <c r="Z59" i="25" s="1"/>
  <c r="K59" i="25"/>
  <c r="G59" i="25"/>
  <c r="V58" i="25"/>
  <c r="U58" i="25"/>
  <c r="M58" i="25"/>
  <c r="X58" i="25" s="1"/>
  <c r="L58" i="25"/>
  <c r="Q58" i="25" s="1"/>
  <c r="O58" i="25" s="1"/>
  <c r="Z58" i="25" s="1"/>
  <c r="K58" i="25"/>
  <c r="G58" i="25"/>
  <c r="V57" i="25"/>
  <c r="U57" i="25"/>
  <c r="M57" i="25"/>
  <c r="X57" i="25" s="1"/>
  <c r="L57" i="25"/>
  <c r="Q57" i="25" s="1"/>
  <c r="O57" i="25" s="1"/>
  <c r="Z57" i="25" s="1"/>
  <c r="K57" i="25"/>
  <c r="G57" i="25"/>
  <c r="M56" i="25"/>
  <c r="X56" i="25" s="1"/>
  <c r="L56" i="25"/>
  <c r="K56" i="25"/>
  <c r="G56" i="25"/>
  <c r="M55" i="25"/>
  <c r="X55" i="25" s="1"/>
  <c r="L55" i="25"/>
  <c r="K55" i="25"/>
  <c r="G55" i="25"/>
  <c r="V54" i="25"/>
  <c r="U54" i="25"/>
  <c r="M54" i="25"/>
  <c r="X54" i="25" s="1"/>
  <c r="L54" i="25"/>
  <c r="Q54" i="25" s="1"/>
  <c r="O54" i="25" s="1"/>
  <c r="Z54" i="25" s="1"/>
  <c r="K54" i="25"/>
  <c r="G54" i="25"/>
  <c r="V53" i="25"/>
  <c r="U53" i="25"/>
  <c r="M53" i="25"/>
  <c r="X53" i="25" s="1"/>
  <c r="L53" i="25"/>
  <c r="Q53" i="25" s="1"/>
  <c r="O53" i="25" s="1"/>
  <c r="Z53" i="25" s="1"/>
  <c r="K53" i="25"/>
  <c r="G53" i="25"/>
  <c r="M52" i="25"/>
  <c r="X52" i="25" s="1"/>
  <c r="L52" i="25"/>
  <c r="K52" i="25"/>
  <c r="G52" i="25"/>
  <c r="M51" i="25"/>
  <c r="X51" i="25" s="1"/>
  <c r="L51" i="25"/>
  <c r="K51" i="25"/>
  <c r="G51" i="25"/>
  <c r="V50" i="25"/>
  <c r="U50" i="25"/>
  <c r="M50" i="25"/>
  <c r="X50" i="25" s="1"/>
  <c r="L50" i="25"/>
  <c r="Q50" i="25" s="1"/>
  <c r="O50" i="25" s="1"/>
  <c r="Z50" i="25" s="1"/>
  <c r="K50" i="25"/>
  <c r="G50" i="25"/>
  <c r="M49" i="25"/>
  <c r="X49" i="25" s="1"/>
  <c r="L49" i="25"/>
  <c r="K49" i="25"/>
  <c r="G49" i="25"/>
  <c r="V48" i="25"/>
  <c r="U48" i="25"/>
  <c r="M48" i="25"/>
  <c r="X48" i="25" s="1"/>
  <c r="L48" i="25"/>
  <c r="Q48" i="25" s="1"/>
  <c r="O48" i="25" s="1"/>
  <c r="Z48" i="25" s="1"/>
  <c r="K48" i="25"/>
  <c r="G48" i="25"/>
  <c r="V47" i="25"/>
  <c r="U47" i="25"/>
  <c r="M47" i="25"/>
  <c r="X47" i="25" s="1"/>
  <c r="L47" i="25"/>
  <c r="Q47" i="25" s="1"/>
  <c r="O47" i="25" s="1"/>
  <c r="Z47" i="25" s="1"/>
  <c r="K47" i="25"/>
  <c r="G47" i="25"/>
  <c r="M46" i="25"/>
  <c r="X46" i="25" s="1"/>
  <c r="L46" i="25"/>
  <c r="K46" i="25"/>
  <c r="G46" i="25"/>
  <c r="V45" i="25"/>
  <c r="U45" i="25"/>
  <c r="M45" i="25"/>
  <c r="X45" i="25" s="1"/>
  <c r="L45" i="25"/>
  <c r="K45" i="25"/>
  <c r="G45" i="25"/>
  <c r="V44" i="25"/>
  <c r="U44" i="25"/>
  <c r="M44" i="25"/>
  <c r="X44" i="25" s="1"/>
  <c r="L44" i="25"/>
  <c r="Q44" i="25" s="1"/>
  <c r="O44" i="25" s="1"/>
  <c r="Z44" i="25" s="1"/>
  <c r="K44" i="25"/>
  <c r="P44" i="25" s="1"/>
  <c r="N44" i="25" s="1"/>
  <c r="Y44" i="25" s="1"/>
  <c r="G44" i="25"/>
  <c r="M43" i="25"/>
  <c r="X43" i="25" s="1"/>
  <c r="L43" i="25"/>
  <c r="K43" i="25"/>
  <c r="G43" i="25"/>
  <c r="V42" i="25"/>
  <c r="U42" i="25"/>
  <c r="M42" i="25"/>
  <c r="X42" i="25" s="1"/>
  <c r="L42" i="25"/>
  <c r="K42" i="25"/>
  <c r="P42" i="25" s="1"/>
  <c r="N42" i="25" s="1"/>
  <c r="Y42" i="25" s="1"/>
  <c r="G42" i="25"/>
  <c r="M41" i="25"/>
  <c r="X41" i="25" s="1"/>
  <c r="L41" i="25"/>
  <c r="K41" i="25"/>
  <c r="G41" i="25"/>
  <c r="M40" i="25"/>
  <c r="X40" i="25" s="1"/>
  <c r="L40" i="25"/>
  <c r="K40" i="25"/>
  <c r="G40" i="25"/>
  <c r="V39" i="25"/>
  <c r="U39" i="25"/>
  <c r="M39" i="25"/>
  <c r="X39" i="25" s="1"/>
  <c r="L39" i="25"/>
  <c r="K39" i="25"/>
  <c r="G39" i="25"/>
  <c r="M38" i="25"/>
  <c r="X38" i="25" s="1"/>
  <c r="L38" i="25"/>
  <c r="K38" i="25"/>
  <c r="G38" i="25"/>
  <c r="V37" i="25"/>
  <c r="U37" i="25"/>
  <c r="M37" i="25"/>
  <c r="X37" i="25" s="1"/>
  <c r="L37" i="25"/>
  <c r="K37" i="25"/>
  <c r="G37" i="25"/>
  <c r="M36" i="25"/>
  <c r="X36" i="25" s="1"/>
  <c r="L36" i="25"/>
  <c r="K36" i="25"/>
  <c r="G36" i="25"/>
  <c r="M35" i="25"/>
  <c r="X35" i="25" s="1"/>
  <c r="L35" i="25"/>
  <c r="K35" i="25"/>
  <c r="G35" i="25"/>
  <c r="M34" i="25"/>
  <c r="X34" i="25" s="1"/>
  <c r="L34" i="25"/>
  <c r="K34" i="25"/>
  <c r="G34" i="25"/>
  <c r="V33" i="25"/>
  <c r="U33" i="25"/>
  <c r="M33" i="25"/>
  <c r="X33" i="25" s="1"/>
  <c r="L33" i="25"/>
  <c r="Q33" i="25" s="1"/>
  <c r="O33" i="25" s="1"/>
  <c r="Z33" i="25" s="1"/>
  <c r="K33" i="25"/>
  <c r="G33" i="25"/>
  <c r="M32" i="25"/>
  <c r="X32" i="25" s="1"/>
  <c r="L32" i="25"/>
  <c r="K32" i="25"/>
  <c r="G32" i="25"/>
  <c r="V31" i="25"/>
  <c r="U31" i="25"/>
  <c r="M31" i="25"/>
  <c r="X31" i="25" s="1"/>
  <c r="L31" i="25"/>
  <c r="Q31" i="25" s="1"/>
  <c r="K31" i="25"/>
  <c r="G31" i="25"/>
  <c r="V30" i="25"/>
  <c r="U30" i="25"/>
  <c r="M30" i="25"/>
  <c r="X30" i="25" s="1"/>
  <c r="L30" i="25"/>
  <c r="Q30" i="25" s="1"/>
  <c r="O30" i="25" s="1"/>
  <c r="Z30" i="25" s="1"/>
  <c r="K30" i="25"/>
  <c r="G30" i="25"/>
  <c r="V29" i="25"/>
  <c r="U29" i="25"/>
  <c r="M29" i="25"/>
  <c r="X29" i="25" s="1"/>
  <c r="L29" i="25"/>
  <c r="Q29" i="25" s="1"/>
  <c r="O29" i="25" s="1"/>
  <c r="Z29" i="25" s="1"/>
  <c r="K29" i="25"/>
  <c r="G29" i="25"/>
  <c r="V28" i="25"/>
  <c r="U28" i="25"/>
  <c r="M28" i="25"/>
  <c r="X28" i="25" s="1"/>
  <c r="L28" i="25"/>
  <c r="Q28" i="25" s="1"/>
  <c r="O28" i="25" s="1"/>
  <c r="Z28" i="25" s="1"/>
  <c r="K28" i="25"/>
  <c r="P28" i="25" s="1"/>
  <c r="N28" i="25" s="1"/>
  <c r="Y28" i="25" s="1"/>
  <c r="G28" i="25"/>
  <c r="M27" i="25"/>
  <c r="X27" i="25" s="1"/>
  <c r="L27" i="25"/>
  <c r="K27" i="25"/>
  <c r="G27" i="25"/>
  <c r="V26" i="25"/>
  <c r="U26" i="25"/>
  <c r="M26" i="25"/>
  <c r="X26" i="25" s="1"/>
  <c r="L26" i="25"/>
  <c r="K26" i="25"/>
  <c r="P26" i="25" s="1"/>
  <c r="N26" i="25" s="1"/>
  <c r="Y26" i="25" s="1"/>
  <c r="G26" i="25"/>
  <c r="M25" i="25"/>
  <c r="X25" i="25" s="1"/>
  <c r="L25" i="25"/>
  <c r="K25" i="25"/>
  <c r="G25" i="25"/>
  <c r="V24" i="25"/>
  <c r="U24" i="25"/>
  <c r="M24" i="25"/>
  <c r="X24" i="25" s="1"/>
  <c r="L24" i="25"/>
  <c r="Q24" i="25" s="1"/>
  <c r="O24" i="25" s="1"/>
  <c r="Z24" i="25" s="1"/>
  <c r="K24" i="25"/>
  <c r="P24" i="25" s="1"/>
  <c r="N24" i="25" s="1"/>
  <c r="Y24" i="25" s="1"/>
  <c r="G24" i="25"/>
  <c r="V23" i="25"/>
  <c r="U23" i="25"/>
  <c r="M23" i="25"/>
  <c r="X23" i="25" s="1"/>
  <c r="L23" i="25"/>
  <c r="Q23" i="25" s="1"/>
  <c r="O23" i="25" s="1"/>
  <c r="Z23" i="25" s="1"/>
  <c r="K23" i="25"/>
  <c r="P23" i="25" s="1"/>
  <c r="N23" i="25" s="1"/>
  <c r="Y23" i="25" s="1"/>
  <c r="G23" i="25"/>
  <c r="M22" i="25"/>
  <c r="X22" i="25" s="1"/>
  <c r="L22" i="25"/>
  <c r="K22" i="25"/>
  <c r="G22" i="25"/>
  <c r="V21" i="25"/>
  <c r="U21" i="25"/>
  <c r="M21" i="25"/>
  <c r="X21" i="25" s="1"/>
  <c r="L21" i="25"/>
  <c r="Q21" i="25" s="1"/>
  <c r="O21" i="25" s="1"/>
  <c r="Z21" i="25" s="1"/>
  <c r="K21" i="25"/>
  <c r="G21" i="25"/>
  <c r="M20" i="25"/>
  <c r="X20" i="25" s="1"/>
  <c r="L20" i="25"/>
  <c r="K20" i="25"/>
  <c r="G20" i="25"/>
  <c r="M19" i="25"/>
  <c r="X19" i="25" s="1"/>
  <c r="L19" i="25"/>
  <c r="K19" i="25"/>
  <c r="G19" i="25"/>
  <c r="V18" i="25"/>
  <c r="U18" i="25"/>
  <c r="M18" i="25"/>
  <c r="X18" i="25" s="1"/>
  <c r="L18" i="25"/>
  <c r="Q18" i="25" s="1"/>
  <c r="O18" i="25" s="1"/>
  <c r="Z18" i="25" s="1"/>
  <c r="K18" i="25"/>
  <c r="P18" i="25" s="1"/>
  <c r="N18" i="25" s="1"/>
  <c r="Y18" i="25" s="1"/>
  <c r="G18" i="25"/>
  <c r="M17" i="25"/>
  <c r="X17" i="25" s="1"/>
  <c r="L17" i="25"/>
  <c r="K17" i="25"/>
  <c r="G17" i="25"/>
  <c r="V16" i="25"/>
  <c r="U16" i="25"/>
  <c r="M16" i="25"/>
  <c r="X16" i="25" s="1"/>
  <c r="L16" i="25"/>
  <c r="Q16" i="25" s="1"/>
  <c r="O16" i="25" s="1"/>
  <c r="Z16" i="25" s="1"/>
  <c r="K16" i="25"/>
  <c r="P16" i="25" s="1"/>
  <c r="N16" i="25" s="1"/>
  <c r="Y16" i="25" s="1"/>
  <c r="G16" i="25"/>
  <c r="V15" i="25"/>
  <c r="U15" i="25"/>
  <c r="M15" i="25"/>
  <c r="X15" i="25" s="1"/>
  <c r="L15" i="25"/>
  <c r="Q15" i="25" s="1"/>
  <c r="O15" i="25" s="1"/>
  <c r="Z15" i="25" s="1"/>
  <c r="K15" i="25"/>
  <c r="P15" i="25" s="1"/>
  <c r="N15" i="25" s="1"/>
  <c r="Y15" i="25" s="1"/>
  <c r="G15" i="25"/>
  <c r="V14" i="25"/>
  <c r="U14" i="25"/>
  <c r="M14" i="25"/>
  <c r="X14" i="25" s="1"/>
  <c r="L14" i="25"/>
  <c r="K14" i="25"/>
  <c r="P14" i="25" s="1"/>
  <c r="N14" i="25" s="1"/>
  <c r="Y14" i="25" s="1"/>
  <c r="G14" i="25"/>
  <c r="V13" i="25"/>
  <c r="U13" i="25"/>
  <c r="M13" i="25"/>
  <c r="X13" i="25" s="1"/>
  <c r="L13" i="25"/>
  <c r="K13" i="25"/>
  <c r="P13" i="25" s="1"/>
  <c r="N13" i="25" s="1"/>
  <c r="Y13" i="25" s="1"/>
  <c r="G13" i="25"/>
  <c r="M12" i="25"/>
  <c r="X12" i="25" s="1"/>
  <c r="L12" i="25"/>
  <c r="K12" i="25"/>
  <c r="G12" i="25"/>
  <c r="M11" i="25"/>
  <c r="X11" i="25" s="1"/>
  <c r="L11" i="25"/>
  <c r="K11" i="25"/>
  <c r="G11" i="25"/>
  <c r="V10" i="25"/>
  <c r="U10" i="25"/>
  <c r="M10" i="25"/>
  <c r="X10" i="25" s="1"/>
  <c r="L10" i="25"/>
  <c r="K10" i="25"/>
  <c r="P10" i="25" s="1"/>
  <c r="N10" i="25" s="1"/>
  <c r="Y10" i="25" s="1"/>
  <c r="G10" i="25"/>
  <c r="V9" i="25"/>
  <c r="U9" i="25"/>
  <c r="M9" i="25"/>
  <c r="X9" i="25" s="1"/>
  <c r="L9" i="25"/>
  <c r="K9" i="25"/>
  <c r="P9" i="25" s="1"/>
  <c r="N9" i="25" s="1"/>
  <c r="Y9" i="25" s="1"/>
  <c r="G9" i="25"/>
  <c r="M8" i="25"/>
  <c r="X8" i="25" s="1"/>
  <c r="L8" i="25"/>
  <c r="K8" i="25"/>
  <c r="G8" i="25"/>
  <c r="M7" i="25"/>
  <c r="X7" i="25" s="1"/>
  <c r="L7" i="25"/>
  <c r="K7" i="25"/>
  <c r="G7" i="25"/>
  <c r="V6" i="25"/>
  <c r="U6" i="25"/>
  <c r="M6" i="25"/>
  <c r="X6" i="25" s="1"/>
  <c r="L6" i="25"/>
  <c r="Q6" i="25" s="1"/>
  <c r="O6" i="25" s="1"/>
  <c r="Z6" i="25" s="1"/>
  <c r="K6" i="25"/>
  <c r="P7" i="25" s="1"/>
  <c r="N7" i="25" s="1"/>
  <c r="Y7" i="25" s="1"/>
  <c r="G6" i="25"/>
  <c r="M5" i="25"/>
  <c r="X5" i="25" s="1"/>
  <c r="L5" i="25"/>
  <c r="K5" i="25"/>
  <c r="G5" i="25"/>
  <c r="V4" i="25"/>
  <c r="U4" i="25"/>
  <c r="M4" i="25"/>
  <c r="X4" i="25" s="1"/>
  <c r="L4" i="25"/>
  <c r="K4" i="25"/>
  <c r="P191" i="25" s="1"/>
  <c r="N191" i="25" s="1"/>
  <c r="Y191" i="25" s="1"/>
  <c r="G4" i="25"/>
  <c r="M149" i="27"/>
  <c r="X149" i="27" s="1"/>
  <c r="L149" i="27"/>
  <c r="K149" i="27"/>
  <c r="M148" i="27"/>
  <c r="X148" i="27" s="1"/>
  <c r="L148" i="27"/>
  <c r="K148" i="27"/>
  <c r="M147" i="27"/>
  <c r="X147" i="27" s="1"/>
  <c r="L147" i="27"/>
  <c r="K147" i="27"/>
  <c r="M146" i="27"/>
  <c r="X146" i="27" s="1"/>
  <c r="L146" i="27"/>
  <c r="K146" i="27"/>
  <c r="M145" i="27"/>
  <c r="X145" i="27" s="1"/>
  <c r="L145" i="27"/>
  <c r="K145" i="27"/>
  <c r="M144" i="27"/>
  <c r="X144" i="27" s="1"/>
  <c r="L144" i="27"/>
  <c r="K144" i="27"/>
  <c r="M143" i="27"/>
  <c r="X143" i="27" s="1"/>
  <c r="L143" i="27"/>
  <c r="K143" i="27"/>
  <c r="M142" i="27"/>
  <c r="X142" i="27" s="1"/>
  <c r="L142" i="27"/>
  <c r="K142" i="27"/>
  <c r="M141" i="27"/>
  <c r="X141" i="27" s="1"/>
  <c r="L141" i="27"/>
  <c r="K141" i="27"/>
  <c r="M140" i="27"/>
  <c r="X140" i="27" s="1"/>
  <c r="L140" i="27"/>
  <c r="K140" i="27"/>
  <c r="M139" i="27"/>
  <c r="X139" i="27" s="1"/>
  <c r="L139" i="27"/>
  <c r="K139" i="27"/>
  <c r="M138" i="27"/>
  <c r="X138" i="27" s="1"/>
  <c r="L138" i="27"/>
  <c r="K138" i="27"/>
  <c r="M137" i="27"/>
  <c r="X137" i="27" s="1"/>
  <c r="L137" i="27"/>
  <c r="K137" i="27"/>
  <c r="M136" i="27"/>
  <c r="X136" i="27" s="1"/>
  <c r="L136" i="27"/>
  <c r="K136" i="27"/>
  <c r="M135" i="27"/>
  <c r="X135" i="27" s="1"/>
  <c r="L135" i="27"/>
  <c r="K135" i="27"/>
  <c r="M134" i="27"/>
  <c r="X134" i="27" s="1"/>
  <c r="L134" i="27"/>
  <c r="K134" i="27"/>
  <c r="M133" i="27"/>
  <c r="X133" i="27" s="1"/>
  <c r="L133" i="27"/>
  <c r="K133" i="27"/>
  <c r="M132" i="27"/>
  <c r="X132" i="27" s="1"/>
  <c r="L132" i="27"/>
  <c r="K132" i="27"/>
  <c r="M131" i="27"/>
  <c r="X131" i="27" s="1"/>
  <c r="L131" i="27"/>
  <c r="K131" i="27"/>
  <c r="M130" i="27"/>
  <c r="X130" i="27" s="1"/>
  <c r="L130" i="27"/>
  <c r="K130" i="27"/>
  <c r="G130" i="27"/>
  <c r="V129" i="27"/>
  <c r="U129" i="27"/>
  <c r="M129" i="27"/>
  <c r="X129" i="27" s="1"/>
  <c r="L129" i="27"/>
  <c r="Q129" i="27" s="1"/>
  <c r="O129" i="27" s="1"/>
  <c r="Z129" i="27" s="1"/>
  <c r="K129" i="27"/>
  <c r="G129" i="27"/>
  <c r="M128" i="27"/>
  <c r="X128" i="27" s="1"/>
  <c r="L128" i="27"/>
  <c r="K128" i="27"/>
  <c r="G128" i="27"/>
  <c r="V127" i="27"/>
  <c r="U127" i="27"/>
  <c r="M127" i="27"/>
  <c r="X127" i="27" s="1"/>
  <c r="L127" i="27"/>
  <c r="Q127" i="27" s="1"/>
  <c r="O127" i="27" s="1"/>
  <c r="Z127" i="27" s="1"/>
  <c r="K127" i="27"/>
  <c r="G127" i="27"/>
  <c r="M126" i="27"/>
  <c r="X126" i="27" s="1"/>
  <c r="L126" i="27"/>
  <c r="K126" i="27"/>
  <c r="G126" i="27"/>
  <c r="V125" i="27"/>
  <c r="U125" i="27"/>
  <c r="M125" i="27"/>
  <c r="X125" i="27" s="1"/>
  <c r="L125" i="27"/>
  <c r="Q125" i="27" s="1"/>
  <c r="O125" i="27" s="1"/>
  <c r="Z125" i="27" s="1"/>
  <c r="K125" i="27"/>
  <c r="G125" i="27"/>
  <c r="M124" i="27"/>
  <c r="X124" i="27" s="1"/>
  <c r="L124" i="27"/>
  <c r="K124" i="27"/>
  <c r="G124" i="27"/>
  <c r="M123" i="27"/>
  <c r="X123" i="27" s="1"/>
  <c r="L123" i="27"/>
  <c r="K123" i="27"/>
  <c r="G123" i="27"/>
  <c r="M122" i="27"/>
  <c r="X122" i="27" s="1"/>
  <c r="L122" i="27"/>
  <c r="K122" i="27"/>
  <c r="G122" i="27"/>
  <c r="V121" i="27"/>
  <c r="U121" i="27"/>
  <c r="M121" i="27"/>
  <c r="X121" i="27" s="1"/>
  <c r="L121" i="27"/>
  <c r="K121" i="27"/>
  <c r="G121" i="27"/>
  <c r="M120" i="27"/>
  <c r="X120" i="27" s="1"/>
  <c r="L120" i="27"/>
  <c r="K120" i="27"/>
  <c r="G120" i="27"/>
  <c r="M119" i="27"/>
  <c r="X119" i="27" s="1"/>
  <c r="L119" i="27"/>
  <c r="K119" i="27"/>
  <c r="G119" i="27"/>
  <c r="V118" i="27"/>
  <c r="U118" i="27"/>
  <c r="M118" i="27"/>
  <c r="X118" i="27" s="1"/>
  <c r="L118" i="27"/>
  <c r="K118" i="27"/>
  <c r="G118" i="27"/>
  <c r="M117" i="27"/>
  <c r="X117" i="27" s="1"/>
  <c r="L117" i="27"/>
  <c r="K117" i="27"/>
  <c r="G117" i="27"/>
  <c r="V116" i="27"/>
  <c r="U116" i="27"/>
  <c r="M116" i="27"/>
  <c r="X116" i="27" s="1"/>
  <c r="L116" i="27"/>
  <c r="K116" i="27"/>
  <c r="G116" i="27"/>
  <c r="M115" i="27"/>
  <c r="X115" i="27" s="1"/>
  <c r="L115" i="27"/>
  <c r="K115" i="27"/>
  <c r="G115" i="27"/>
  <c r="M114" i="27"/>
  <c r="X114" i="27" s="1"/>
  <c r="L114" i="27"/>
  <c r="K114" i="27"/>
  <c r="G114" i="27"/>
  <c r="M113" i="27"/>
  <c r="X113" i="27" s="1"/>
  <c r="L113" i="27"/>
  <c r="K113" i="27"/>
  <c r="G113" i="27"/>
  <c r="M112" i="27"/>
  <c r="X112" i="27" s="1"/>
  <c r="L112" i="27"/>
  <c r="K112" i="27"/>
  <c r="G112" i="27"/>
  <c r="V111" i="27"/>
  <c r="U111" i="27"/>
  <c r="M111" i="27"/>
  <c r="X111" i="27" s="1"/>
  <c r="L111" i="27"/>
  <c r="Q114" i="27" s="1"/>
  <c r="O114" i="27" s="1"/>
  <c r="Z114" i="27" s="1"/>
  <c r="K111" i="27"/>
  <c r="P114" i="27" s="1"/>
  <c r="N114" i="27" s="1"/>
  <c r="Y114" i="27" s="1"/>
  <c r="G111" i="27"/>
  <c r="M110" i="27"/>
  <c r="X110" i="27" s="1"/>
  <c r="L110" i="27"/>
  <c r="K110" i="27"/>
  <c r="G110" i="27"/>
  <c r="M109" i="27"/>
  <c r="X109" i="27" s="1"/>
  <c r="L109" i="27"/>
  <c r="K109" i="27"/>
  <c r="G109" i="27"/>
  <c r="V108" i="27"/>
  <c r="U108" i="27"/>
  <c r="M108" i="27"/>
  <c r="X108" i="27" s="1"/>
  <c r="L108" i="27"/>
  <c r="K108" i="27"/>
  <c r="G108" i="27"/>
  <c r="M107" i="27"/>
  <c r="X107" i="27" s="1"/>
  <c r="L107" i="27"/>
  <c r="K107" i="27"/>
  <c r="G107" i="27"/>
  <c r="M106" i="27"/>
  <c r="X106" i="27" s="1"/>
  <c r="L106" i="27"/>
  <c r="K106" i="27"/>
  <c r="G106" i="27"/>
  <c r="V105" i="27"/>
  <c r="U105" i="27"/>
  <c r="M105" i="27"/>
  <c r="X105" i="27" s="1"/>
  <c r="L105" i="27"/>
  <c r="Q105" i="27" s="1"/>
  <c r="O105" i="27" s="1"/>
  <c r="Z105" i="27" s="1"/>
  <c r="K105" i="27"/>
  <c r="G105" i="27"/>
  <c r="M104" i="27"/>
  <c r="X104" i="27" s="1"/>
  <c r="L104" i="27"/>
  <c r="K104" i="27"/>
  <c r="G104" i="27"/>
  <c r="M103" i="27"/>
  <c r="X103" i="27" s="1"/>
  <c r="L103" i="27"/>
  <c r="K103" i="27"/>
  <c r="G103" i="27"/>
  <c r="M102" i="27"/>
  <c r="X102" i="27" s="1"/>
  <c r="L102" i="27"/>
  <c r="K102" i="27"/>
  <c r="G102" i="27"/>
  <c r="V101" i="27"/>
  <c r="U101" i="27"/>
  <c r="M101" i="27"/>
  <c r="X101" i="27" s="1"/>
  <c r="L101" i="27"/>
  <c r="K101" i="27"/>
  <c r="G101" i="27"/>
  <c r="M100" i="27"/>
  <c r="X100" i="27" s="1"/>
  <c r="L100" i="27"/>
  <c r="K100" i="27"/>
  <c r="G100" i="27"/>
  <c r="M99" i="27"/>
  <c r="X99" i="27" s="1"/>
  <c r="L99" i="27"/>
  <c r="K99" i="27"/>
  <c r="G99" i="27"/>
  <c r="M98" i="27"/>
  <c r="X98" i="27" s="1"/>
  <c r="L98" i="27"/>
  <c r="K98" i="27"/>
  <c r="G98" i="27"/>
  <c r="V97" i="27"/>
  <c r="U97" i="27"/>
  <c r="M97" i="27"/>
  <c r="X97" i="27" s="1"/>
  <c r="L97" i="27"/>
  <c r="Q97" i="27" s="1"/>
  <c r="O97" i="27" s="1"/>
  <c r="Z97" i="27" s="1"/>
  <c r="K97" i="27"/>
  <c r="P97" i="27" s="1"/>
  <c r="N97" i="27" s="1"/>
  <c r="Y97" i="27" s="1"/>
  <c r="G97" i="27"/>
  <c r="M96" i="27"/>
  <c r="X96" i="27" s="1"/>
  <c r="L96" i="27"/>
  <c r="K96" i="27"/>
  <c r="G96" i="27"/>
  <c r="M95" i="27"/>
  <c r="X95" i="27" s="1"/>
  <c r="L95" i="27"/>
  <c r="K95" i="27"/>
  <c r="G95" i="27"/>
  <c r="M94" i="27"/>
  <c r="X94" i="27" s="1"/>
  <c r="L94" i="27"/>
  <c r="K94" i="27"/>
  <c r="G94" i="27"/>
  <c r="V93" i="27"/>
  <c r="U93" i="27"/>
  <c r="M93" i="27"/>
  <c r="X93" i="27" s="1"/>
  <c r="L93" i="27"/>
  <c r="Q96" i="27" s="1"/>
  <c r="O96" i="27" s="1"/>
  <c r="Z96" i="27" s="1"/>
  <c r="K93" i="27"/>
  <c r="P96" i="27" s="1"/>
  <c r="N96" i="27" s="1"/>
  <c r="Y96" i="27" s="1"/>
  <c r="G93" i="27"/>
  <c r="M92" i="27"/>
  <c r="X92" i="27" s="1"/>
  <c r="L92" i="27"/>
  <c r="K92" i="27"/>
  <c r="G92" i="27"/>
  <c r="M91" i="27"/>
  <c r="X91" i="27" s="1"/>
  <c r="L91" i="27"/>
  <c r="K91" i="27"/>
  <c r="G91" i="27"/>
  <c r="V90" i="27"/>
  <c r="U90" i="27"/>
  <c r="M90" i="27"/>
  <c r="X90" i="27" s="1"/>
  <c r="L90" i="27"/>
  <c r="K90" i="27"/>
  <c r="G90" i="27"/>
  <c r="M89" i="27"/>
  <c r="X89" i="27" s="1"/>
  <c r="L89" i="27"/>
  <c r="K89" i="27"/>
  <c r="G89" i="27"/>
  <c r="V88" i="27"/>
  <c r="U88" i="27"/>
  <c r="M88" i="27"/>
  <c r="X88" i="27" s="1"/>
  <c r="L88" i="27"/>
  <c r="K88" i="27"/>
  <c r="G88" i="27"/>
  <c r="M87" i="27"/>
  <c r="X87" i="27" s="1"/>
  <c r="L87" i="27"/>
  <c r="K87" i="27"/>
  <c r="G87" i="27"/>
  <c r="M86" i="27"/>
  <c r="X86" i="27" s="1"/>
  <c r="L86" i="27"/>
  <c r="K86" i="27"/>
  <c r="G86" i="27"/>
  <c r="V85" i="27"/>
  <c r="U85" i="27"/>
  <c r="M85" i="27"/>
  <c r="X85" i="27" s="1"/>
  <c r="L85" i="27"/>
  <c r="Q85" i="27" s="1"/>
  <c r="O85" i="27" s="1"/>
  <c r="Z85" i="27" s="1"/>
  <c r="K85" i="27"/>
  <c r="G85" i="27"/>
  <c r="V84" i="27"/>
  <c r="U84" i="27"/>
  <c r="M84" i="27"/>
  <c r="X84" i="27" s="1"/>
  <c r="L84" i="27"/>
  <c r="K84" i="27"/>
  <c r="G84" i="27"/>
  <c r="M83" i="27"/>
  <c r="X83" i="27" s="1"/>
  <c r="L83" i="27"/>
  <c r="K83" i="27"/>
  <c r="G83" i="27"/>
  <c r="V82" i="27"/>
  <c r="U82" i="27"/>
  <c r="M82" i="27"/>
  <c r="X82" i="27" s="1"/>
  <c r="L82" i="27"/>
  <c r="K82" i="27"/>
  <c r="G82" i="27"/>
  <c r="M81" i="27"/>
  <c r="X81" i="27" s="1"/>
  <c r="L81" i="27"/>
  <c r="K81" i="27"/>
  <c r="G81" i="27"/>
  <c r="V80" i="27"/>
  <c r="U80" i="27"/>
  <c r="M80" i="27"/>
  <c r="X80" i="27" s="1"/>
  <c r="L80" i="27"/>
  <c r="K80" i="27"/>
  <c r="G80" i="27"/>
  <c r="M79" i="27"/>
  <c r="X79" i="27" s="1"/>
  <c r="L79" i="27"/>
  <c r="K79" i="27"/>
  <c r="G79" i="27"/>
  <c r="V78" i="27"/>
  <c r="U78" i="27"/>
  <c r="M78" i="27"/>
  <c r="X78" i="27" s="1"/>
  <c r="L78" i="27"/>
  <c r="K78" i="27"/>
  <c r="G78" i="27"/>
  <c r="M77" i="27"/>
  <c r="X77" i="27" s="1"/>
  <c r="L77" i="27"/>
  <c r="K77" i="27"/>
  <c r="G77" i="27"/>
  <c r="V76" i="27"/>
  <c r="U76" i="27"/>
  <c r="M76" i="27"/>
  <c r="X76" i="27" s="1"/>
  <c r="L76" i="27"/>
  <c r="K76" i="27"/>
  <c r="G76" i="27"/>
  <c r="M75" i="27"/>
  <c r="X75" i="27" s="1"/>
  <c r="L75" i="27"/>
  <c r="K75" i="27"/>
  <c r="G75" i="27"/>
  <c r="M74" i="27"/>
  <c r="X74" i="27" s="1"/>
  <c r="L74" i="27"/>
  <c r="K74" i="27"/>
  <c r="G74" i="27"/>
  <c r="V73" i="27"/>
  <c r="U73" i="27"/>
  <c r="M73" i="27"/>
  <c r="X73" i="27" s="1"/>
  <c r="L73" i="27"/>
  <c r="Q73" i="27" s="1"/>
  <c r="O73" i="27" s="1"/>
  <c r="Z73" i="27" s="1"/>
  <c r="K73" i="27"/>
  <c r="G73" i="27"/>
  <c r="M72" i="27"/>
  <c r="X72" i="27" s="1"/>
  <c r="L72" i="27"/>
  <c r="K72" i="27"/>
  <c r="G72" i="27"/>
  <c r="V71" i="27"/>
  <c r="U71" i="27"/>
  <c r="M71" i="27"/>
  <c r="X71" i="27" s="1"/>
  <c r="L71" i="27"/>
  <c r="Q71" i="27" s="1"/>
  <c r="O71" i="27" s="1"/>
  <c r="Z71" i="27" s="1"/>
  <c r="K71" i="27"/>
  <c r="G71" i="27"/>
  <c r="M70" i="27"/>
  <c r="X70" i="27" s="1"/>
  <c r="L70" i="27"/>
  <c r="K70" i="27"/>
  <c r="G70" i="27"/>
  <c r="M69" i="27"/>
  <c r="X69" i="27" s="1"/>
  <c r="L69" i="27"/>
  <c r="K69" i="27"/>
  <c r="G69" i="27"/>
  <c r="V68" i="27"/>
  <c r="U68" i="27"/>
  <c r="M68" i="27"/>
  <c r="X68" i="27" s="1"/>
  <c r="L68" i="27"/>
  <c r="Q68" i="27" s="1"/>
  <c r="O68" i="27" s="1"/>
  <c r="Z68" i="27" s="1"/>
  <c r="K68" i="27"/>
  <c r="P68" i="27" s="1"/>
  <c r="N68" i="27" s="1"/>
  <c r="Y68" i="27" s="1"/>
  <c r="G68" i="27"/>
  <c r="M67" i="27"/>
  <c r="X67" i="27" s="1"/>
  <c r="L67" i="27"/>
  <c r="K67" i="27"/>
  <c r="G67" i="27"/>
  <c r="M66" i="27"/>
  <c r="X66" i="27" s="1"/>
  <c r="L66" i="27"/>
  <c r="K66" i="27"/>
  <c r="G66" i="27"/>
  <c r="V65" i="27"/>
  <c r="U65" i="27"/>
  <c r="M65" i="27"/>
  <c r="X65" i="27" s="1"/>
  <c r="L65" i="27"/>
  <c r="K65" i="27"/>
  <c r="P65" i="27" s="1"/>
  <c r="N65" i="27" s="1"/>
  <c r="Y65" i="27" s="1"/>
  <c r="G65" i="27"/>
  <c r="M64" i="27"/>
  <c r="X64" i="27" s="1"/>
  <c r="L64" i="27"/>
  <c r="K64" i="27"/>
  <c r="G64" i="27"/>
  <c r="V63" i="27"/>
  <c r="U63" i="27"/>
  <c r="M63" i="27"/>
  <c r="X63" i="27" s="1"/>
  <c r="L63" i="27"/>
  <c r="K63" i="27"/>
  <c r="P63" i="27" s="1"/>
  <c r="N63" i="27" s="1"/>
  <c r="Y63" i="27" s="1"/>
  <c r="G63" i="27"/>
  <c r="M62" i="27"/>
  <c r="X62" i="27" s="1"/>
  <c r="L62" i="27"/>
  <c r="K62" i="27"/>
  <c r="G62" i="27"/>
  <c r="V61" i="27"/>
  <c r="U61" i="27"/>
  <c r="M61" i="27"/>
  <c r="X61" i="27" s="1"/>
  <c r="L61" i="27"/>
  <c r="K61" i="27"/>
  <c r="P61" i="27" s="1"/>
  <c r="N61" i="27" s="1"/>
  <c r="Y61" i="27" s="1"/>
  <c r="G61" i="27"/>
  <c r="V60" i="27"/>
  <c r="U60" i="27"/>
  <c r="M60" i="27"/>
  <c r="X60" i="27" s="1"/>
  <c r="L60" i="27"/>
  <c r="Q60" i="27" s="1"/>
  <c r="O60" i="27" s="1"/>
  <c r="Z60" i="27" s="1"/>
  <c r="K60" i="27"/>
  <c r="P60" i="27" s="1"/>
  <c r="N60" i="27" s="1"/>
  <c r="Y60" i="27" s="1"/>
  <c r="G60" i="27"/>
  <c r="M59" i="27"/>
  <c r="X59" i="27" s="1"/>
  <c r="L59" i="27"/>
  <c r="K59" i="27"/>
  <c r="G59" i="27"/>
  <c r="V58" i="27"/>
  <c r="U58" i="27"/>
  <c r="M58" i="27"/>
  <c r="X58" i="27" s="1"/>
  <c r="L58" i="27"/>
  <c r="K58" i="27"/>
  <c r="P58" i="27" s="1"/>
  <c r="N58" i="27" s="1"/>
  <c r="Y58" i="27" s="1"/>
  <c r="G58" i="27"/>
  <c r="M57" i="27"/>
  <c r="X57" i="27" s="1"/>
  <c r="L57" i="27"/>
  <c r="K57" i="27"/>
  <c r="G57" i="27"/>
  <c r="V56" i="27"/>
  <c r="U56" i="27"/>
  <c r="M56" i="27"/>
  <c r="X56" i="27" s="1"/>
  <c r="L56" i="27"/>
  <c r="K56" i="27"/>
  <c r="G56" i="27"/>
  <c r="M55" i="27"/>
  <c r="X55" i="27" s="1"/>
  <c r="L55" i="27"/>
  <c r="K55" i="27"/>
  <c r="G55" i="27"/>
  <c r="V54" i="27"/>
  <c r="U54" i="27"/>
  <c r="M54" i="27"/>
  <c r="X54" i="27" s="1"/>
  <c r="L54" i="27"/>
  <c r="K54" i="27"/>
  <c r="G54" i="27"/>
  <c r="Z53" i="27"/>
  <c r="Y53" i="27"/>
  <c r="M53" i="27"/>
  <c r="X53" i="27" s="1"/>
  <c r="L53" i="27"/>
  <c r="K53" i="27"/>
  <c r="G53" i="27"/>
  <c r="Z52" i="27"/>
  <c r="Y52" i="27"/>
  <c r="V52" i="27"/>
  <c r="U52" i="27"/>
  <c r="M52" i="27"/>
  <c r="X52" i="27" s="1"/>
  <c r="L52" i="27"/>
  <c r="K52" i="27"/>
  <c r="G52" i="27"/>
  <c r="M51" i="27"/>
  <c r="X51" i="27" s="1"/>
  <c r="L51" i="27"/>
  <c r="K51" i="27"/>
  <c r="G51" i="27"/>
  <c r="V50" i="27"/>
  <c r="U50" i="27"/>
  <c r="M50" i="27"/>
  <c r="X50" i="27" s="1"/>
  <c r="L50" i="27"/>
  <c r="Q50" i="27" s="1"/>
  <c r="O50" i="27" s="1"/>
  <c r="Z50" i="27" s="1"/>
  <c r="K50" i="27"/>
  <c r="P50" i="27" s="1"/>
  <c r="N50" i="27" s="1"/>
  <c r="Y50" i="27" s="1"/>
  <c r="G50" i="27"/>
  <c r="M49" i="27"/>
  <c r="X49" i="27" s="1"/>
  <c r="L49" i="27"/>
  <c r="K49" i="27"/>
  <c r="G49" i="27"/>
  <c r="V48" i="27"/>
  <c r="U48" i="27"/>
  <c r="M48" i="27"/>
  <c r="X48" i="27" s="1"/>
  <c r="L48" i="27"/>
  <c r="Q48" i="27" s="1"/>
  <c r="O48" i="27" s="1"/>
  <c r="Z48" i="27" s="1"/>
  <c r="K48" i="27"/>
  <c r="P48" i="27" s="1"/>
  <c r="N48" i="27" s="1"/>
  <c r="Y48" i="27" s="1"/>
  <c r="G48" i="27"/>
  <c r="M47" i="27"/>
  <c r="X47" i="27" s="1"/>
  <c r="L47" i="27"/>
  <c r="K47" i="27"/>
  <c r="G47" i="27"/>
  <c r="V46" i="27"/>
  <c r="U46" i="27"/>
  <c r="M46" i="27"/>
  <c r="X46" i="27" s="1"/>
  <c r="L46" i="27"/>
  <c r="Q46" i="27" s="1"/>
  <c r="O46" i="27" s="1"/>
  <c r="Z46" i="27" s="1"/>
  <c r="K46" i="27"/>
  <c r="P46" i="27" s="1"/>
  <c r="N46" i="27" s="1"/>
  <c r="Y46" i="27" s="1"/>
  <c r="G46" i="27"/>
  <c r="M45" i="27"/>
  <c r="X45" i="27" s="1"/>
  <c r="L45" i="27"/>
  <c r="K45" i="27"/>
  <c r="G45" i="27"/>
  <c r="M44" i="27"/>
  <c r="X44" i="27" s="1"/>
  <c r="L44" i="27"/>
  <c r="K44" i="27"/>
  <c r="G44" i="27"/>
  <c r="V43" i="27"/>
  <c r="U43" i="27"/>
  <c r="M43" i="27"/>
  <c r="X43" i="27" s="1"/>
  <c r="L43" i="27"/>
  <c r="K43" i="27"/>
  <c r="G43" i="27"/>
  <c r="M42" i="27"/>
  <c r="X42" i="27" s="1"/>
  <c r="L42" i="27"/>
  <c r="K42" i="27"/>
  <c r="G42" i="27"/>
  <c r="V41" i="27"/>
  <c r="U41" i="27"/>
  <c r="M41" i="27"/>
  <c r="X41" i="27" s="1"/>
  <c r="L41" i="27"/>
  <c r="K41" i="27"/>
  <c r="G41" i="27"/>
  <c r="M40" i="27"/>
  <c r="X40" i="27" s="1"/>
  <c r="L40" i="27"/>
  <c r="K40" i="27"/>
  <c r="G40" i="27"/>
  <c r="V39" i="27"/>
  <c r="U39" i="27"/>
  <c r="M39" i="27"/>
  <c r="X39" i="27" s="1"/>
  <c r="L39" i="27"/>
  <c r="K39" i="27"/>
  <c r="G39" i="27"/>
  <c r="M38" i="27"/>
  <c r="X38" i="27" s="1"/>
  <c r="L38" i="27"/>
  <c r="K38" i="27"/>
  <c r="G38" i="27"/>
  <c r="V37" i="27"/>
  <c r="U37" i="27"/>
  <c r="M37" i="27"/>
  <c r="X37" i="27" s="1"/>
  <c r="L37" i="27"/>
  <c r="K37" i="27"/>
  <c r="G37" i="27"/>
  <c r="V36" i="27"/>
  <c r="U36" i="27"/>
  <c r="M36" i="27"/>
  <c r="X36" i="27" s="1"/>
  <c r="L36" i="27"/>
  <c r="Q36" i="27" s="1"/>
  <c r="O36" i="27" s="1"/>
  <c r="Z36" i="27" s="1"/>
  <c r="K36" i="27"/>
  <c r="G36" i="27"/>
  <c r="V35" i="27"/>
  <c r="U35" i="27"/>
  <c r="M35" i="27"/>
  <c r="X35" i="27" s="1"/>
  <c r="L35" i="27"/>
  <c r="Q35" i="27" s="1"/>
  <c r="O35" i="27" s="1"/>
  <c r="Z35" i="27" s="1"/>
  <c r="K35" i="27"/>
  <c r="P35" i="27" s="1"/>
  <c r="N35" i="27" s="1"/>
  <c r="Y35" i="27" s="1"/>
  <c r="G35" i="27"/>
  <c r="V34" i="27"/>
  <c r="U34" i="27"/>
  <c r="M34" i="27"/>
  <c r="X34" i="27" s="1"/>
  <c r="L34" i="27"/>
  <c r="K34" i="27"/>
  <c r="G34" i="27"/>
  <c r="V33" i="27"/>
  <c r="U33" i="27"/>
  <c r="M33" i="27"/>
  <c r="X33" i="27" s="1"/>
  <c r="L33" i="27"/>
  <c r="K33" i="27"/>
  <c r="G33" i="27"/>
  <c r="M32" i="27"/>
  <c r="X32" i="27" s="1"/>
  <c r="L32" i="27"/>
  <c r="K32" i="27"/>
  <c r="G32" i="27"/>
  <c r="M31" i="27"/>
  <c r="X31" i="27" s="1"/>
  <c r="L31" i="27"/>
  <c r="K31" i="27"/>
  <c r="G31" i="27"/>
  <c r="V30" i="27"/>
  <c r="U30" i="27"/>
  <c r="M30" i="27"/>
  <c r="X30" i="27" s="1"/>
  <c r="L30" i="27"/>
  <c r="K30" i="27"/>
  <c r="G30" i="27"/>
  <c r="M29" i="27"/>
  <c r="X29" i="27" s="1"/>
  <c r="L29" i="27"/>
  <c r="K29" i="27"/>
  <c r="G29" i="27"/>
  <c r="V28" i="27"/>
  <c r="U28" i="27"/>
  <c r="M28" i="27"/>
  <c r="X28" i="27" s="1"/>
  <c r="L28" i="27"/>
  <c r="K28" i="27"/>
  <c r="G28" i="27"/>
  <c r="M27" i="27"/>
  <c r="X27" i="27" s="1"/>
  <c r="L27" i="27"/>
  <c r="K27" i="27"/>
  <c r="G27" i="27"/>
  <c r="M26" i="27"/>
  <c r="X26" i="27" s="1"/>
  <c r="L26" i="27"/>
  <c r="K26" i="27"/>
  <c r="G26" i="27"/>
  <c r="V25" i="27"/>
  <c r="U25" i="27"/>
  <c r="M25" i="27"/>
  <c r="X25" i="27" s="1"/>
  <c r="L25" i="27"/>
  <c r="Q25" i="27" s="1"/>
  <c r="O25" i="27" s="1"/>
  <c r="Z25" i="27" s="1"/>
  <c r="K25" i="27"/>
  <c r="P25" i="27" s="1"/>
  <c r="N25" i="27" s="1"/>
  <c r="Y25" i="27" s="1"/>
  <c r="G25" i="27"/>
  <c r="M24" i="27"/>
  <c r="X24" i="27" s="1"/>
  <c r="L24" i="27"/>
  <c r="K24" i="27"/>
  <c r="G24" i="27"/>
  <c r="V23" i="27"/>
  <c r="U23" i="27"/>
  <c r="M23" i="27"/>
  <c r="X23" i="27" s="1"/>
  <c r="L23" i="27"/>
  <c r="Q23" i="27" s="1"/>
  <c r="O23" i="27" s="1"/>
  <c r="Z23" i="27" s="1"/>
  <c r="K23" i="27"/>
  <c r="G23" i="27"/>
  <c r="M22" i="27"/>
  <c r="X22" i="27" s="1"/>
  <c r="L22" i="27"/>
  <c r="K22" i="27"/>
  <c r="G22" i="27"/>
  <c r="M21" i="27"/>
  <c r="X21" i="27" s="1"/>
  <c r="L21" i="27"/>
  <c r="K21" i="27"/>
  <c r="G21" i="27"/>
  <c r="V20" i="27"/>
  <c r="U20" i="27"/>
  <c r="M20" i="27"/>
  <c r="X20" i="27" s="1"/>
  <c r="L20" i="27"/>
  <c r="Q20" i="27" s="1"/>
  <c r="O20" i="27" s="1"/>
  <c r="Z20" i="27" s="1"/>
  <c r="K20" i="27"/>
  <c r="P20" i="27" s="1"/>
  <c r="N20" i="27" s="1"/>
  <c r="Y20" i="27" s="1"/>
  <c r="G20" i="27"/>
  <c r="M19" i="27"/>
  <c r="X19" i="27" s="1"/>
  <c r="L19" i="27"/>
  <c r="K19" i="27"/>
  <c r="G19" i="27"/>
  <c r="M18" i="27"/>
  <c r="X18" i="27" s="1"/>
  <c r="L18" i="27"/>
  <c r="K18" i="27"/>
  <c r="G18" i="27"/>
  <c r="V17" i="27"/>
  <c r="U17" i="27"/>
  <c r="M17" i="27"/>
  <c r="X17" i="27" s="1"/>
  <c r="L17" i="27"/>
  <c r="K17" i="27"/>
  <c r="G17" i="27"/>
  <c r="M16" i="27"/>
  <c r="X16" i="27" s="1"/>
  <c r="L16" i="27"/>
  <c r="K16" i="27"/>
  <c r="G16" i="27"/>
  <c r="V15" i="27"/>
  <c r="U15" i="27"/>
  <c r="M15" i="27"/>
  <c r="X15" i="27" s="1"/>
  <c r="L15" i="27"/>
  <c r="K15" i="27"/>
  <c r="G15" i="27"/>
  <c r="M14" i="27"/>
  <c r="X14" i="27" s="1"/>
  <c r="L14" i="27"/>
  <c r="K14" i="27"/>
  <c r="G14" i="27"/>
  <c r="M13" i="27"/>
  <c r="X13" i="27" s="1"/>
  <c r="L13" i="27"/>
  <c r="K13" i="27"/>
  <c r="G13" i="27"/>
  <c r="V12" i="27"/>
  <c r="U12" i="27"/>
  <c r="M12" i="27"/>
  <c r="X12" i="27" s="1"/>
  <c r="L12" i="27"/>
  <c r="K12" i="27"/>
  <c r="G12" i="27"/>
  <c r="V11" i="27"/>
  <c r="U11" i="27"/>
  <c r="M11" i="27"/>
  <c r="X11" i="27" s="1"/>
  <c r="L11" i="27"/>
  <c r="K11" i="27"/>
  <c r="G11" i="27"/>
  <c r="M10" i="27"/>
  <c r="X10" i="27" s="1"/>
  <c r="L10" i="27"/>
  <c r="K10" i="27"/>
  <c r="G10" i="27"/>
  <c r="V9" i="27"/>
  <c r="U9" i="27"/>
  <c r="M9" i="27"/>
  <c r="X9" i="27" s="1"/>
  <c r="L9" i="27"/>
  <c r="K9" i="27"/>
  <c r="G9" i="27"/>
  <c r="V8" i="27"/>
  <c r="U8" i="27"/>
  <c r="M8" i="27"/>
  <c r="X8" i="27" s="1"/>
  <c r="L8" i="27"/>
  <c r="Q8" i="27" s="1"/>
  <c r="O8" i="27" s="1"/>
  <c r="Z8" i="27" s="1"/>
  <c r="K8" i="27"/>
  <c r="G8" i="27"/>
  <c r="M7" i="27"/>
  <c r="X7" i="27" s="1"/>
  <c r="L7" i="27"/>
  <c r="K7" i="27"/>
  <c r="G7" i="27"/>
  <c r="V6" i="27"/>
  <c r="U6" i="27"/>
  <c r="M6" i="27"/>
  <c r="X6" i="27" s="1"/>
  <c r="L6" i="27"/>
  <c r="Q6" i="27" s="1"/>
  <c r="O6" i="27" s="1"/>
  <c r="Z6" i="27" s="1"/>
  <c r="K6" i="27"/>
  <c r="G6" i="27"/>
  <c r="M5" i="27"/>
  <c r="X5" i="27" s="1"/>
  <c r="L5" i="27"/>
  <c r="K5" i="27"/>
  <c r="G5" i="27"/>
  <c r="V4" i="27"/>
  <c r="U4" i="27"/>
  <c r="M4" i="27"/>
  <c r="X4" i="27" s="1"/>
  <c r="L4" i="27"/>
  <c r="Q4" i="27" s="1"/>
  <c r="O4" i="27" s="1"/>
  <c r="Z4" i="27" s="1"/>
  <c r="K4" i="27"/>
  <c r="P4" i="27" s="1"/>
  <c r="N4" i="27" s="1"/>
  <c r="Y4" i="27" s="1"/>
  <c r="G4" i="27"/>
  <c r="Y17" i="28"/>
  <c r="L17" i="28"/>
  <c r="K17" i="28"/>
  <c r="G17" i="28"/>
  <c r="Y16" i="28"/>
  <c r="L16" i="28"/>
  <c r="K16" i="28"/>
  <c r="G16" i="28"/>
  <c r="Y15" i="28"/>
  <c r="L15" i="28"/>
  <c r="K15" i="28"/>
  <c r="G15" i="28"/>
  <c r="Y14" i="28"/>
  <c r="L14" i="28"/>
  <c r="K14" i="28"/>
  <c r="G14" i="28"/>
  <c r="Y13" i="28"/>
  <c r="L13" i="28"/>
  <c r="K13" i="28"/>
  <c r="G13" i="28"/>
  <c r="Y12" i="28"/>
  <c r="L12" i="28"/>
  <c r="K12" i="28"/>
  <c r="G12" i="28"/>
  <c r="Y11" i="28"/>
  <c r="L11" i="28"/>
  <c r="K11" i="28"/>
  <c r="G11" i="28"/>
  <c r="M10" i="28"/>
  <c r="Y10" i="28" s="1"/>
  <c r="L10" i="28"/>
  <c r="K10" i="28"/>
  <c r="G10" i="28"/>
  <c r="M9" i="28"/>
  <c r="Y9" i="28" s="1"/>
  <c r="L9" i="28"/>
  <c r="K9" i="28"/>
  <c r="G9" i="28"/>
  <c r="V8" i="28"/>
  <c r="U8" i="28"/>
  <c r="M8" i="28"/>
  <c r="Y8" i="28" s="1"/>
  <c r="L8" i="28"/>
  <c r="K8" i="28"/>
  <c r="G8" i="28"/>
  <c r="Y7" i="28"/>
  <c r="L7" i="28"/>
  <c r="K7" i="28"/>
  <c r="G7" i="28"/>
  <c r="Y6" i="28"/>
  <c r="L6" i="28"/>
  <c r="K6" i="28"/>
  <c r="G6" i="28"/>
  <c r="Y5" i="28"/>
  <c r="L5" i="28"/>
  <c r="K5" i="28"/>
  <c r="G5" i="28"/>
  <c r="V4" i="28"/>
  <c r="U4" i="28"/>
  <c r="Y4" i="28"/>
  <c r="L4" i="28"/>
  <c r="K4" i="28"/>
  <c r="G4" i="28"/>
  <c r="K12" i="1"/>
  <c r="L11" i="1"/>
  <c r="L10" i="1"/>
  <c r="L9" i="1"/>
  <c r="L8" i="1"/>
  <c r="L7" i="1"/>
  <c r="G7" i="1"/>
  <c r="L6" i="1"/>
  <c r="L5" i="1"/>
  <c r="L4" i="1"/>
  <c r="L3" i="1"/>
  <c r="L12" i="1" s="1"/>
  <c r="I64" i="21"/>
  <c r="I63" i="21"/>
  <c r="I62" i="21"/>
  <c r="I61" i="21"/>
  <c r="I60" i="21"/>
  <c r="I59" i="21"/>
  <c r="I73" i="21" s="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H8" i="5" l="1"/>
  <c r="AO8" i="5" s="1"/>
  <c r="AO5" i="5"/>
  <c r="H7" i="6"/>
  <c r="AO7" i="6" s="1"/>
  <c r="AO4" i="19"/>
  <c r="AN4" i="8"/>
  <c r="AP4" i="8" s="1"/>
  <c r="Q14" i="28"/>
  <c r="O14" i="28" s="1"/>
  <c r="Q15" i="28"/>
  <c r="O15" i="28" s="1"/>
  <c r="Q16" i="28"/>
  <c r="O16" i="28" s="1"/>
  <c r="AA16" i="28" s="1"/>
  <c r="P15" i="28"/>
  <c r="N15" i="28" s="1"/>
  <c r="P16" i="28"/>
  <c r="N16" i="28" s="1"/>
  <c r="Z16" i="28" s="1"/>
  <c r="P14" i="28"/>
  <c r="N14" i="28" s="1"/>
  <c r="Q12" i="28"/>
  <c r="O12" i="28" s="1"/>
  <c r="Q11" i="28"/>
  <c r="O11" i="28" s="1"/>
  <c r="AA11" i="28" s="1"/>
  <c r="P11" i="28"/>
  <c r="N11" i="28" s="1"/>
  <c r="Z11" i="28" s="1"/>
  <c r="P12" i="28"/>
  <c r="N12" i="28" s="1"/>
  <c r="Q7" i="28"/>
  <c r="O7" i="28" s="1"/>
  <c r="AA7" i="28" s="1"/>
  <c r="P6" i="28"/>
  <c r="N6" i="28" s="1"/>
  <c r="Z6" i="28" s="1"/>
  <c r="Q5" i="28"/>
  <c r="O5" i="28" s="1"/>
  <c r="AA5" i="28" s="1"/>
  <c r="P7" i="28"/>
  <c r="N7" i="28" s="1"/>
  <c r="Z7" i="28" s="1"/>
  <c r="Q6" i="28"/>
  <c r="O6" i="28" s="1"/>
  <c r="AA6" i="28" s="1"/>
  <c r="P5" i="28"/>
  <c r="N5" i="28" s="1"/>
  <c r="Z5" i="28" s="1"/>
  <c r="Q4" i="28"/>
  <c r="O4" i="28" s="1"/>
  <c r="AA4" i="28" s="1"/>
  <c r="Q97" i="28"/>
  <c r="O97" i="28" s="1"/>
  <c r="AA97" i="28" s="1"/>
  <c r="Q98" i="28"/>
  <c r="O98" i="28" s="1"/>
  <c r="AA98" i="28" s="1"/>
  <c r="Q33" i="28"/>
  <c r="O33" i="28" s="1"/>
  <c r="AA33" i="28" s="1"/>
  <c r="Q99" i="28"/>
  <c r="O99" i="28" s="1"/>
  <c r="AA99" i="28" s="1"/>
  <c r="Q34" i="28"/>
  <c r="O34" i="28" s="1"/>
  <c r="AA34" i="28" s="1"/>
  <c r="Q100" i="28"/>
  <c r="O100" i="28" s="1"/>
  <c r="AA100" i="28" s="1"/>
  <c r="Q35" i="28"/>
  <c r="O35" i="28" s="1"/>
  <c r="AA35" i="28" s="1"/>
  <c r="Q101" i="28"/>
  <c r="O101" i="28" s="1"/>
  <c r="AA101" i="28" s="1"/>
  <c r="Q36" i="28"/>
  <c r="O36" i="28" s="1"/>
  <c r="AA36" i="28" s="1"/>
  <c r="Q102" i="28"/>
  <c r="O102" i="28" s="1"/>
  <c r="AA102" i="28" s="1"/>
  <c r="Q37" i="28"/>
  <c r="O37" i="28" s="1"/>
  <c r="AA37" i="28" s="1"/>
  <c r="Q103" i="28"/>
  <c r="O103" i="28" s="1"/>
  <c r="AA103" i="28" s="1"/>
  <c r="Q38" i="28"/>
  <c r="O38" i="28" s="1"/>
  <c r="AA38" i="28" s="1"/>
  <c r="Q104" i="28"/>
  <c r="O104" i="28" s="1"/>
  <c r="AA104" i="28" s="1"/>
  <c r="Q39" i="28"/>
  <c r="O39" i="28" s="1"/>
  <c r="AA39" i="28" s="1"/>
  <c r="Q105" i="28"/>
  <c r="O105" i="28" s="1"/>
  <c r="AA105" i="28" s="1"/>
  <c r="Q40" i="28"/>
  <c r="O40" i="28" s="1"/>
  <c r="AA40" i="28" s="1"/>
  <c r="Q106" i="28"/>
  <c r="O106" i="28" s="1"/>
  <c r="AA106" i="28" s="1"/>
  <c r="Q41" i="28"/>
  <c r="O41" i="28" s="1"/>
  <c r="AA41" i="28" s="1"/>
  <c r="Q107" i="28"/>
  <c r="O107" i="28" s="1"/>
  <c r="AA107" i="28" s="1"/>
  <c r="Q42" i="28"/>
  <c r="O42" i="28" s="1"/>
  <c r="AA42" i="28" s="1"/>
  <c r="Q108" i="28"/>
  <c r="O108" i="28" s="1"/>
  <c r="AA108" i="28" s="1"/>
  <c r="Q43" i="28"/>
  <c r="O43" i="28" s="1"/>
  <c r="AA43" i="28" s="1"/>
  <c r="Q109" i="28"/>
  <c r="O109" i="28" s="1"/>
  <c r="AA109" i="28" s="1"/>
  <c r="Q44" i="28"/>
  <c r="O44" i="28" s="1"/>
  <c r="AA44" i="28" s="1"/>
  <c r="Q110" i="28"/>
  <c r="O110" i="28" s="1"/>
  <c r="AA110" i="28" s="1"/>
  <c r="Q45" i="28"/>
  <c r="O45" i="28" s="1"/>
  <c r="AA45" i="28" s="1"/>
  <c r="Q111" i="28"/>
  <c r="O111" i="28" s="1"/>
  <c r="AA111" i="28" s="1"/>
  <c r="Q46" i="28"/>
  <c r="O46" i="28" s="1"/>
  <c r="AA46" i="28" s="1"/>
  <c r="Q112" i="28"/>
  <c r="O112" i="28" s="1"/>
  <c r="AA112" i="28" s="1"/>
  <c r="Q47" i="28"/>
  <c r="O47" i="28" s="1"/>
  <c r="AA47" i="28" s="1"/>
  <c r="Q113" i="28"/>
  <c r="O113" i="28" s="1"/>
  <c r="AA113" i="28" s="1"/>
  <c r="Q48" i="28"/>
  <c r="O48" i="28" s="1"/>
  <c r="AA48" i="28" s="1"/>
  <c r="Q114" i="28"/>
  <c r="O114" i="28" s="1"/>
  <c r="AA114" i="28" s="1"/>
  <c r="Q49" i="28"/>
  <c r="O49" i="28" s="1"/>
  <c r="AA49" i="28" s="1"/>
  <c r="Q115" i="28"/>
  <c r="O115" i="28" s="1"/>
  <c r="AA115" i="28" s="1"/>
  <c r="Q50" i="28"/>
  <c r="O50" i="28" s="1"/>
  <c r="AA50" i="28" s="1"/>
  <c r="Q116" i="28"/>
  <c r="O116" i="28" s="1"/>
  <c r="AA116" i="28" s="1"/>
  <c r="Q51" i="28"/>
  <c r="O51" i="28" s="1"/>
  <c r="AA51" i="28" s="1"/>
  <c r="Q117" i="28"/>
  <c r="O117" i="28" s="1"/>
  <c r="AA117" i="28" s="1"/>
  <c r="Q52" i="28"/>
  <c r="O52" i="28" s="1"/>
  <c r="AA52" i="28" s="1"/>
  <c r="Q78" i="28"/>
  <c r="O78" i="28" s="1"/>
  <c r="AA78" i="28" s="1"/>
  <c r="Q53" i="28"/>
  <c r="O53" i="28" s="1"/>
  <c r="AA53" i="28" s="1"/>
  <c r="Q118" i="28"/>
  <c r="O118" i="28" s="1"/>
  <c r="AA118" i="28" s="1"/>
  <c r="Q54" i="28"/>
  <c r="O54" i="28" s="1"/>
  <c r="AA54" i="28" s="1"/>
  <c r="Q119" i="28"/>
  <c r="O119" i="28" s="1"/>
  <c r="AA119" i="28" s="1"/>
  <c r="Q55" i="28"/>
  <c r="O55" i="28" s="1"/>
  <c r="AA55" i="28" s="1"/>
  <c r="Q120" i="28"/>
  <c r="O120" i="28" s="1"/>
  <c r="AA120" i="28" s="1"/>
  <c r="Q56" i="28"/>
  <c r="O56" i="28" s="1"/>
  <c r="AA56" i="28" s="1"/>
  <c r="Q121" i="28"/>
  <c r="O121" i="28" s="1"/>
  <c r="AA121" i="28" s="1"/>
  <c r="Q57" i="28"/>
  <c r="O57" i="28" s="1"/>
  <c r="AA57" i="28" s="1"/>
  <c r="Q122" i="28"/>
  <c r="O122" i="28" s="1"/>
  <c r="AA122" i="28" s="1"/>
  <c r="Q58" i="28"/>
  <c r="O58" i="28" s="1"/>
  <c r="AA58" i="28" s="1"/>
  <c r="Q72" i="28"/>
  <c r="O72" i="28" s="1"/>
  <c r="AA72" i="28" s="1"/>
  <c r="Q59" i="28"/>
  <c r="O59" i="28" s="1"/>
  <c r="AA59" i="28" s="1"/>
  <c r="Q73" i="28"/>
  <c r="O73" i="28" s="1"/>
  <c r="AA73" i="28" s="1"/>
  <c r="Q60" i="28"/>
  <c r="O60" i="28" s="1"/>
  <c r="AA60" i="28" s="1"/>
  <c r="Q74" i="28"/>
  <c r="O74" i="28" s="1"/>
  <c r="AA74" i="28" s="1"/>
  <c r="Q61" i="28"/>
  <c r="O61" i="28" s="1"/>
  <c r="AA61" i="28" s="1"/>
  <c r="Q75" i="28"/>
  <c r="O75" i="28" s="1"/>
  <c r="AA75" i="28" s="1"/>
  <c r="Q62" i="28"/>
  <c r="O62" i="28" s="1"/>
  <c r="AA62" i="28" s="1"/>
  <c r="Q76" i="28"/>
  <c r="O76" i="28" s="1"/>
  <c r="AA76" i="28" s="1"/>
  <c r="Q63" i="28"/>
  <c r="O63" i="28" s="1"/>
  <c r="AA63" i="28" s="1"/>
  <c r="Q77" i="28"/>
  <c r="O77" i="28" s="1"/>
  <c r="AA77" i="28" s="1"/>
  <c r="Q64" i="28"/>
  <c r="O64" i="28" s="1"/>
  <c r="AA64" i="28" s="1"/>
  <c r="Q79" i="28"/>
  <c r="O79" i="28" s="1"/>
  <c r="AA79" i="28" s="1"/>
  <c r="Q65" i="28"/>
  <c r="O65" i="28" s="1"/>
  <c r="AA65" i="28" s="1"/>
  <c r="Q80" i="28"/>
  <c r="O80" i="28" s="1"/>
  <c r="AA80" i="28" s="1"/>
  <c r="Q66" i="28"/>
  <c r="O66" i="28" s="1"/>
  <c r="AA66" i="28" s="1"/>
  <c r="Q81" i="28"/>
  <c r="O81" i="28" s="1"/>
  <c r="AA81" i="28" s="1"/>
  <c r="Q67" i="28"/>
  <c r="O67" i="28" s="1"/>
  <c r="AA67" i="28" s="1"/>
  <c r="Q82" i="28"/>
  <c r="O82" i="28" s="1"/>
  <c r="AA82" i="28" s="1"/>
  <c r="Q68" i="28"/>
  <c r="O68" i="28" s="1"/>
  <c r="AA68" i="28" s="1"/>
  <c r="Q83" i="28"/>
  <c r="O83" i="28" s="1"/>
  <c r="AA83" i="28" s="1"/>
  <c r="Q69" i="28"/>
  <c r="O69" i="28" s="1"/>
  <c r="AA69" i="28" s="1"/>
  <c r="Q84" i="28"/>
  <c r="O84" i="28" s="1"/>
  <c r="AA84" i="28" s="1"/>
  <c r="Q70" i="28"/>
  <c r="O70" i="28" s="1"/>
  <c r="AA70" i="28" s="1"/>
  <c r="Q85" i="28"/>
  <c r="O85" i="28" s="1"/>
  <c r="AA85" i="28" s="1"/>
  <c r="Q71" i="28"/>
  <c r="O71" i="28" s="1"/>
  <c r="AA71" i="28" s="1"/>
  <c r="Q86" i="28"/>
  <c r="O86" i="28" s="1"/>
  <c r="AA86" i="28" s="1"/>
  <c r="Q87" i="28"/>
  <c r="O87" i="28" s="1"/>
  <c r="AA87" i="28" s="1"/>
  <c r="Q88" i="28"/>
  <c r="O88" i="28" s="1"/>
  <c r="AA88" i="28" s="1"/>
  <c r="Q89" i="28"/>
  <c r="O89" i="28" s="1"/>
  <c r="AA89" i="28" s="1"/>
  <c r="Q90" i="28"/>
  <c r="O90" i="28" s="1"/>
  <c r="AA90" i="28" s="1"/>
  <c r="Q91" i="28"/>
  <c r="O91" i="28" s="1"/>
  <c r="AA91" i="28" s="1"/>
  <c r="Q92" i="28"/>
  <c r="O92" i="28" s="1"/>
  <c r="AA92" i="28" s="1"/>
  <c r="Q93" i="28"/>
  <c r="O93" i="28" s="1"/>
  <c r="AA93" i="28" s="1"/>
  <c r="Q94" i="28"/>
  <c r="O94" i="28" s="1"/>
  <c r="AA94" i="28" s="1"/>
  <c r="Q95" i="28"/>
  <c r="O95" i="28" s="1"/>
  <c r="AA95" i="28" s="1"/>
  <c r="Q96" i="28"/>
  <c r="O96" i="28" s="1"/>
  <c r="AA96" i="28" s="1"/>
  <c r="P4" i="28"/>
  <c r="N4" i="28" s="1"/>
  <c r="Z4" i="28" s="1"/>
  <c r="P33" i="28"/>
  <c r="N33" i="28" s="1"/>
  <c r="Z33" i="28" s="1"/>
  <c r="P34" i="28"/>
  <c r="N34" i="28" s="1"/>
  <c r="Z34" i="28" s="1"/>
  <c r="P35" i="28"/>
  <c r="N35" i="28" s="1"/>
  <c r="Z35" i="28" s="1"/>
  <c r="P36" i="28"/>
  <c r="N36" i="28" s="1"/>
  <c r="Z36" i="28" s="1"/>
  <c r="P37" i="28"/>
  <c r="N37" i="28" s="1"/>
  <c r="Z37" i="28" s="1"/>
  <c r="P38" i="28"/>
  <c r="N38" i="28" s="1"/>
  <c r="Z38" i="28" s="1"/>
  <c r="P39" i="28"/>
  <c r="N39" i="28" s="1"/>
  <c r="Z39" i="28" s="1"/>
  <c r="P40" i="28"/>
  <c r="N40" i="28" s="1"/>
  <c r="Z40" i="28" s="1"/>
  <c r="P41" i="28"/>
  <c r="N41" i="28" s="1"/>
  <c r="Z41" i="28" s="1"/>
  <c r="P42" i="28"/>
  <c r="N42" i="28" s="1"/>
  <c r="Z42" i="28" s="1"/>
  <c r="P43" i="28"/>
  <c r="N43" i="28" s="1"/>
  <c r="Z43" i="28" s="1"/>
  <c r="P44" i="28"/>
  <c r="N44" i="28" s="1"/>
  <c r="Z44" i="28" s="1"/>
  <c r="P45" i="28"/>
  <c r="N45" i="28" s="1"/>
  <c r="Z45" i="28" s="1"/>
  <c r="P46" i="28"/>
  <c r="N46" i="28" s="1"/>
  <c r="Z46" i="28" s="1"/>
  <c r="P47" i="28"/>
  <c r="N47" i="28" s="1"/>
  <c r="Z47" i="28" s="1"/>
  <c r="P48" i="28"/>
  <c r="N48" i="28" s="1"/>
  <c r="Z48" i="28" s="1"/>
  <c r="P49" i="28"/>
  <c r="N49" i="28" s="1"/>
  <c r="Z49" i="28" s="1"/>
  <c r="P50" i="28"/>
  <c r="N50" i="28" s="1"/>
  <c r="Z50" i="28" s="1"/>
  <c r="P51" i="28"/>
  <c r="N51" i="28" s="1"/>
  <c r="Z51" i="28" s="1"/>
  <c r="P52" i="28"/>
  <c r="N52" i="28" s="1"/>
  <c r="Z52" i="28" s="1"/>
  <c r="P53" i="28"/>
  <c r="N53" i="28" s="1"/>
  <c r="Z53" i="28" s="1"/>
  <c r="P54" i="28"/>
  <c r="N54" i="28" s="1"/>
  <c r="Z54" i="28" s="1"/>
  <c r="P55" i="28"/>
  <c r="N55" i="28" s="1"/>
  <c r="Z55" i="28" s="1"/>
  <c r="P56" i="28"/>
  <c r="N56" i="28" s="1"/>
  <c r="Z56" i="28" s="1"/>
  <c r="P57" i="28"/>
  <c r="N57" i="28" s="1"/>
  <c r="Z57" i="28" s="1"/>
  <c r="P58" i="28"/>
  <c r="N58" i="28" s="1"/>
  <c r="Z58" i="28" s="1"/>
  <c r="P59" i="28"/>
  <c r="N59" i="28" s="1"/>
  <c r="Z59" i="28" s="1"/>
  <c r="P60" i="28"/>
  <c r="N60" i="28" s="1"/>
  <c r="Z60" i="28" s="1"/>
  <c r="P61" i="28"/>
  <c r="N61" i="28" s="1"/>
  <c r="Z61" i="28" s="1"/>
  <c r="P62" i="28"/>
  <c r="N62" i="28" s="1"/>
  <c r="Z62" i="28" s="1"/>
  <c r="P63" i="28"/>
  <c r="N63" i="28" s="1"/>
  <c r="Z63" i="28" s="1"/>
  <c r="P64" i="28"/>
  <c r="N64" i="28" s="1"/>
  <c r="Z64" i="28" s="1"/>
  <c r="P65" i="28"/>
  <c r="N65" i="28" s="1"/>
  <c r="Z65" i="28" s="1"/>
  <c r="P66" i="28"/>
  <c r="N66" i="28" s="1"/>
  <c r="Z66" i="28" s="1"/>
  <c r="P67" i="28"/>
  <c r="N67" i="28" s="1"/>
  <c r="Z67" i="28" s="1"/>
  <c r="P68" i="28"/>
  <c r="N68" i="28" s="1"/>
  <c r="Z68" i="28" s="1"/>
  <c r="P69" i="28"/>
  <c r="N69" i="28" s="1"/>
  <c r="Z69" i="28" s="1"/>
  <c r="P70" i="28"/>
  <c r="N70" i="28" s="1"/>
  <c r="Z70" i="28" s="1"/>
  <c r="P71" i="28"/>
  <c r="N71" i="28" s="1"/>
  <c r="Z71" i="28" s="1"/>
  <c r="P86" i="28"/>
  <c r="N86" i="28" s="1"/>
  <c r="Z86" i="28" s="1"/>
  <c r="P88" i="28"/>
  <c r="N88" i="28" s="1"/>
  <c r="Z88" i="28" s="1"/>
  <c r="P89" i="28"/>
  <c r="N89" i="28" s="1"/>
  <c r="Z89" i="28" s="1"/>
  <c r="P93" i="28"/>
  <c r="N93" i="28" s="1"/>
  <c r="Z93" i="28" s="1"/>
  <c r="P96" i="28"/>
  <c r="N96" i="28" s="1"/>
  <c r="Z96" i="28" s="1"/>
  <c r="P107" i="28"/>
  <c r="N107" i="28" s="1"/>
  <c r="Z107" i="28" s="1"/>
  <c r="P119" i="28"/>
  <c r="N119" i="28" s="1"/>
  <c r="Z119" i="28" s="1"/>
  <c r="P101" i="28"/>
  <c r="N101" i="28" s="1"/>
  <c r="Z101" i="28" s="1"/>
  <c r="P120" i="28"/>
  <c r="N120" i="28" s="1"/>
  <c r="Z120" i="28" s="1"/>
  <c r="P108" i="28"/>
  <c r="N108" i="28" s="1"/>
  <c r="Z108" i="28" s="1"/>
  <c r="P121" i="28"/>
  <c r="N121" i="28" s="1"/>
  <c r="Z121" i="28" s="1"/>
  <c r="P98" i="28"/>
  <c r="N98" i="28" s="1"/>
  <c r="Z98" i="28" s="1"/>
  <c r="P122" i="28"/>
  <c r="N122" i="28" s="1"/>
  <c r="Z122" i="28" s="1"/>
  <c r="P109" i="28"/>
  <c r="N109" i="28" s="1"/>
  <c r="Z109" i="28" s="1"/>
  <c r="P72" i="28"/>
  <c r="N72" i="28" s="1"/>
  <c r="Z72" i="28" s="1"/>
  <c r="P102" i="28"/>
  <c r="N102" i="28" s="1"/>
  <c r="Z102" i="28" s="1"/>
  <c r="P73" i="28"/>
  <c r="N73" i="28" s="1"/>
  <c r="Z73" i="28" s="1"/>
  <c r="P110" i="28"/>
  <c r="N110" i="28" s="1"/>
  <c r="Z110" i="28" s="1"/>
  <c r="P74" i="28"/>
  <c r="N74" i="28" s="1"/>
  <c r="Z74" i="28" s="1"/>
  <c r="P95" i="28"/>
  <c r="N95" i="28" s="1"/>
  <c r="Z95" i="28" s="1"/>
  <c r="P75" i="28"/>
  <c r="N75" i="28" s="1"/>
  <c r="Z75" i="28" s="1"/>
  <c r="P111" i="28"/>
  <c r="N111" i="28" s="1"/>
  <c r="Z111" i="28" s="1"/>
  <c r="P76" i="28"/>
  <c r="N76" i="28" s="1"/>
  <c r="Z76" i="28" s="1"/>
  <c r="P103" i="28"/>
  <c r="N103" i="28" s="1"/>
  <c r="Z103" i="28" s="1"/>
  <c r="P77" i="28"/>
  <c r="N77" i="28" s="1"/>
  <c r="Z77" i="28" s="1"/>
  <c r="P112" i="28"/>
  <c r="N112" i="28" s="1"/>
  <c r="Z112" i="28" s="1"/>
  <c r="P78" i="28"/>
  <c r="N78" i="28" s="1"/>
  <c r="Z78" i="28" s="1"/>
  <c r="P118" i="28"/>
  <c r="N118" i="28" s="1"/>
  <c r="Z118" i="28" s="1"/>
  <c r="P79" i="28"/>
  <c r="N79" i="28" s="1"/>
  <c r="Z79" i="28" s="1"/>
  <c r="P99" i="28"/>
  <c r="N99" i="28" s="1"/>
  <c r="Z99" i="28" s="1"/>
  <c r="P80" i="28"/>
  <c r="N80" i="28" s="1"/>
  <c r="Z80" i="28" s="1"/>
  <c r="P113" i="28"/>
  <c r="N113" i="28" s="1"/>
  <c r="Z113" i="28" s="1"/>
  <c r="P81" i="28"/>
  <c r="N81" i="28" s="1"/>
  <c r="Z81" i="28" s="1"/>
  <c r="P104" i="28"/>
  <c r="N104" i="28" s="1"/>
  <c r="Z104" i="28" s="1"/>
  <c r="P82" i="28"/>
  <c r="N82" i="28" s="1"/>
  <c r="Z82" i="28" s="1"/>
  <c r="P114" i="28"/>
  <c r="N114" i="28" s="1"/>
  <c r="Z114" i="28" s="1"/>
  <c r="P83" i="28"/>
  <c r="N83" i="28" s="1"/>
  <c r="Z83" i="28" s="1"/>
  <c r="P97" i="28"/>
  <c r="N97" i="28" s="1"/>
  <c r="Z97" i="28" s="1"/>
  <c r="P84" i="28"/>
  <c r="N84" i="28" s="1"/>
  <c r="Z84" i="28" s="1"/>
  <c r="P115" i="28"/>
  <c r="N115" i="28" s="1"/>
  <c r="Z115" i="28" s="1"/>
  <c r="P85" i="28"/>
  <c r="N85" i="28" s="1"/>
  <c r="Z85" i="28" s="1"/>
  <c r="P105" i="28"/>
  <c r="N105" i="28" s="1"/>
  <c r="Z105" i="28" s="1"/>
  <c r="P116" i="28"/>
  <c r="N116" i="28" s="1"/>
  <c r="Z116" i="28" s="1"/>
  <c r="P87" i="28"/>
  <c r="N87" i="28" s="1"/>
  <c r="Z87" i="28" s="1"/>
  <c r="P100" i="28"/>
  <c r="N100" i="28" s="1"/>
  <c r="Z100" i="28" s="1"/>
  <c r="P117" i="28"/>
  <c r="N117" i="28" s="1"/>
  <c r="Z117" i="28" s="1"/>
  <c r="P90" i="28"/>
  <c r="N90" i="28" s="1"/>
  <c r="Z90" i="28" s="1"/>
  <c r="P91" i="28"/>
  <c r="N91" i="28" s="1"/>
  <c r="Z91" i="28" s="1"/>
  <c r="P92" i="28"/>
  <c r="N92" i="28" s="1"/>
  <c r="Z92" i="28" s="1"/>
  <c r="P106" i="28"/>
  <c r="N106" i="28" s="1"/>
  <c r="Z106" i="28" s="1"/>
  <c r="P94" i="28"/>
  <c r="N94" i="28" s="1"/>
  <c r="Z94" i="28" s="1"/>
  <c r="AM22" i="22"/>
  <c r="AO50" i="19"/>
  <c r="AO14" i="3"/>
  <c r="AM62" i="2"/>
  <c r="B7" i="2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33" i="2" s="1"/>
  <c r="B35" i="2" s="1"/>
  <c r="B37" i="2" s="1"/>
  <c r="B39" i="2" s="1"/>
  <c r="B41" i="2" s="1"/>
  <c r="B43" i="2" s="1"/>
  <c r="B45" i="2" s="1"/>
  <c r="B47" i="2" s="1"/>
  <c r="B49" i="2" s="1"/>
  <c r="B51" i="2" s="1"/>
  <c r="B53" i="2" s="1"/>
  <c r="B55" i="2" s="1"/>
  <c r="B57" i="2" s="1"/>
  <c r="B59" i="2" s="1"/>
  <c r="B61" i="2" s="1"/>
  <c r="B63" i="2" s="1"/>
  <c r="B65" i="2" s="1"/>
  <c r="A5" i="2"/>
  <c r="H59" i="8"/>
  <c r="AO59" i="8" s="1"/>
  <c r="E65" i="5"/>
  <c r="G65" i="5" s="1"/>
  <c r="AN65" i="5" s="1"/>
  <c r="Q18" i="28"/>
  <c r="O18" i="28" s="1"/>
  <c r="AA18" i="28" s="1"/>
  <c r="Q19" i="28"/>
  <c r="O19" i="28" s="1"/>
  <c r="AA19" i="28" s="1"/>
  <c r="Q20" i="28"/>
  <c r="O20" i="28" s="1"/>
  <c r="AA20" i="28" s="1"/>
  <c r="Q21" i="28"/>
  <c r="O21" i="28" s="1"/>
  <c r="AA21" i="28" s="1"/>
  <c r="Q22" i="28"/>
  <c r="O22" i="28" s="1"/>
  <c r="AA22" i="28" s="1"/>
  <c r="Q23" i="28"/>
  <c r="O23" i="28" s="1"/>
  <c r="AA23" i="28" s="1"/>
  <c r="Q24" i="28"/>
  <c r="O24" i="28" s="1"/>
  <c r="AA24" i="28" s="1"/>
  <c r="Q25" i="28"/>
  <c r="O25" i="28" s="1"/>
  <c r="AA25" i="28" s="1"/>
  <c r="Q26" i="28"/>
  <c r="O26" i="28" s="1"/>
  <c r="AA26" i="28" s="1"/>
  <c r="Q27" i="28"/>
  <c r="O27" i="28" s="1"/>
  <c r="AA27" i="28" s="1"/>
  <c r="Q28" i="28"/>
  <c r="O28" i="28" s="1"/>
  <c r="AA28" i="28" s="1"/>
  <c r="Q29" i="28"/>
  <c r="O29" i="28" s="1"/>
  <c r="AA29" i="28" s="1"/>
  <c r="Q30" i="28"/>
  <c r="O30" i="28" s="1"/>
  <c r="AA30" i="28" s="1"/>
  <c r="Q31" i="28"/>
  <c r="O31" i="28" s="1"/>
  <c r="AA31" i="28" s="1"/>
  <c r="Q32" i="28"/>
  <c r="O32" i="28" s="1"/>
  <c r="AA32" i="28" s="1"/>
  <c r="P18" i="28"/>
  <c r="N18" i="28" s="1"/>
  <c r="Z18" i="28" s="1"/>
  <c r="P19" i="28"/>
  <c r="N19" i="28" s="1"/>
  <c r="Z19" i="28" s="1"/>
  <c r="P20" i="28"/>
  <c r="N20" i="28" s="1"/>
  <c r="Z20" i="28" s="1"/>
  <c r="P21" i="28"/>
  <c r="N21" i="28" s="1"/>
  <c r="Z21" i="28" s="1"/>
  <c r="P22" i="28"/>
  <c r="N22" i="28" s="1"/>
  <c r="Z22" i="28" s="1"/>
  <c r="P23" i="28"/>
  <c r="N23" i="28" s="1"/>
  <c r="Z23" i="28" s="1"/>
  <c r="P24" i="28"/>
  <c r="N24" i="28" s="1"/>
  <c r="Z24" i="28" s="1"/>
  <c r="P25" i="28"/>
  <c r="N25" i="28" s="1"/>
  <c r="Z25" i="28" s="1"/>
  <c r="P26" i="28"/>
  <c r="N26" i="28" s="1"/>
  <c r="Z26" i="28" s="1"/>
  <c r="P27" i="28"/>
  <c r="N27" i="28" s="1"/>
  <c r="Z27" i="28" s="1"/>
  <c r="P28" i="28"/>
  <c r="N28" i="28" s="1"/>
  <c r="Z28" i="28" s="1"/>
  <c r="P29" i="28"/>
  <c r="N29" i="28" s="1"/>
  <c r="Z29" i="28" s="1"/>
  <c r="P30" i="28"/>
  <c r="N30" i="28" s="1"/>
  <c r="Z30" i="28" s="1"/>
  <c r="P31" i="28"/>
  <c r="N31" i="28" s="1"/>
  <c r="Z31" i="28" s="1"/>
  <c r="P32" i="28"/>
  <c r="N32" i="28" s="1"/>
  <c r="Z32" i="28" s="1"/>
  <c r="AO4" i="5"/>
  <c r="AN4" i="5"/>
  <c r="AP4" i="5" s="1"/>
  <c r="H43" i="8"/>
  <c r="AO43" i="8" s="1"/>
  <c r="AM46" i="2"/>
  <c r="H42" i="2"/>
  <c r="AO42" i="2" s="1"/>
  <c r="H31" i="4"/>
  <c r="AM35" i="22"/>
  <c r="AN31" i="2"/>
  <c r="AM32" i="5"/>
  <c r="H21" i="6"/>
  <c r="AO21" i="6" s="1"/>
  <c r="AO18" i="3"/>
  <c r="H26" i="2"/>
  <c r="AM15" i="2"/>
  <c r="AO20" i="8"/>
  <c r="Q17" i="28"/>
  <c r="O17" i="28" s="1"/>
  <c r="P17" i="28"/>
  <c r="N17" i="28" s="1"/>
  <c r="AM11" i="3"/>
  <c r="AO11" i="6"/>
  <c r="AO4" i="6"/>
  <c r="AN4" i="6"/>
  <c r="G7" i="4"/>
  <c r="AN7" i="4" s="1"/>
  <c r="AO4" i="4"/>
  <c r="AN4" i="4"/>
  <c r="AP4" i="4" s="1"/>
  <c r="H8" i="2"/>
  <c r="AO8" i="2" s="1"/>
  <c r="AO4" i="2"/>
  <c r="AN4" i="2"/>
  <c r="AO4" i="3"/>
  <c r="AN4" i="3"/>
  <c r="AO64" i="8"/>
  <c r="AO62" i="3"/>
  <c r="AN64" i="4"/>
  <c r="AP64" i="4" s="1"/>
  <c r="H65" i="2"/>
  <c r="AO65" i="2" s="1"/>
  <c r="AO64" i="2"/>
  <c r="AN64" i="2"/>
  <c r="AP64" i="6"/>
  <c r="AO56" i="3"/>
  <c r="AO55" i="3"/>
  <c r="AO56" i="6"/>
  <c r="AM53" i="5"/>
  <c r="AO56" i="8"/>
  <c r="AO49" i="8"/>
  <c r="AP64" i="8"/>
  <c r="Q213" i="24"/>
  <c r="O213" i="24" s="1"/>
  <c r="Z213" i="24" s="1"/>
  <c r="Q207" i="24"/>
  <c r="O207" i="24" s="1"/>
  <c r="Z207" i="24" s="1"/>
  <c r="Q205" i="24"/>
  <c r="O205" i="24" s="1"/>
  <c r="Z205" i="24" s="1"/>
  <c r="Q181" i="24"/>
  <c r="O181" i="24" s="1"/>
  <c r="Z181" i="24" s="1"/>
  <c r="P172" i="24"/>
  <c r="N172" i="24" s="1"/>
  <c r="Y172" i="24" s="1"/>
  <c r="P168" i="24"/>
  <c r="N168" i="24" s="1"/>
  <c r="Y168" i="24" s="1"/>
  <c r="P166" i="24"/>
  <c r="N166" i="24" s="1"/>
  <c r="Y166" i="24" s="1"/>
  <c r="Q156" i="24"/>
  <c r="O156" i="24" s="1"/>
  <c r="Z156" i="24" s="1"/>
  <c r="P154" i="24"/>
  <c r="N154" i="24" s="1"/>
  <c r="Y154" i="24" s="1"/>
  <c r="Q147" i="24"/>
  <c r="O147" i="24" s="1"/>
  <c r="Z147" i="24" s="1"/>
  <c r="Q139" i="24"/>
  <c r="O139" i="24" s="1"/>
  <c r="Z139" i="24" s="1"/>
  <c r="P138" i="24"/>
  <c r="N138" i="24" s="1"/>
  <c r="Y138" i="24" s="1"/>
  <c r="Q127" i="24"/>
  <c r="O127" i="24" s="1"/>
  <c r="Z127" i="24" s="1"/>
  <c r="P119" i="24"/>
  <c r="N119" i="24" s="1"/>
  <c r="Y119" i="24" s="1"/>
  <c r="Q91" i="24"/>
  <c r="O91" i="24" s="1"/>
  <c r="Z91" i="24" s="1"/>
  <c r="P91" i="24"/>
  <c r="N91" i="24" s="1"/>
  <c r="Y91" i="24" s="1"/>
  <c r="P87" i="24"/>
  <c r="N87" i="24" s="1"/>
  <c r="Y87" i="24" s="1"/>
  <c r="P85" i="24"/>
  <c r="N85" i="24" s="1"/>
  <c r="Y85" i="24" s="1"/>
  <c r="Q83" i="24"/>
  <c r="O83" i="24" s="1"/>
  <c r="Z83" i="24" s="1"/>
  <c r="Q78" i="24"/>
  <c r="O78" i="24" s="1"/>
  <c r="Z78" i="24" s="1"/>
  <c r="P78" i="24"/>
  <c r="N78" i="24" s="1"/>
  <c r="Y78" i="24" s="1"/>
  <c r="Q71" i="24"/>
  <c r="O71" i="24" s="1"/>
  <c r="Z71" i="24" s="1"/>
  <c r="P71" i="24"/>
  <c r="N71" i="24" s="1"/>
  <c r="Y71" i="24" s="1"/>
  <c r="Q58" i="24"/>
  <c r="O58" i="24" s="1"/>
  <c r="Z58" i="24" s="1"/>
  <c r="P49" i="24"/>
  <c r="N49" i="24" s="1"/>
  <c r="Y49" i="24" s="1"/>
  <c r="Q42" i="24"/>
  <c r="O42" i="24" s="1"/>
  <c r="Z42" i="24" s="1"/>
  <c r="Q38" i="24"/>
  <c r="O38" i="24" s="1"/>
  <c r="Z38" i="24" s="1"/>
  <c r="P29" i="24"/>
  <c r="N29" i="24" s="1"/>
  <c r="Y29" i="24" s="1"/>
  <c r="P5" i="24"/>
  <c r="N5" i="24" s="1"/>
  <c r="Y5" i="24" s="1"/>
  <c r="R46" i="15"/>
  <c r="T60" i="13"/>
  <c r="T43" i="13"/>
  <c r="T40" i="13"/>
  <c r="U238" i="12"/>
  <c r="T210" i="12"/>
  <c r="R210" i="12" s="1"/>
  <c r="R199" i="12"/>
  <c r="T165" i="12"/>
  <c r="T160" i="12"/>
  <c r="T157" i="12"/>
  <c r="T148" i="12"/>
  <c r="U96" i="12"/>
  <c r="U76" i="12"/>
  <c r="U73" i="12"/>
  <c r="U69" i="12"/>
  <c r="T52" i="12"/>
  <c r="T51" i="12"/>
  <c r="T46" i="12"/>
  <c r="T40" i="12"/>
  <c r="U39" i="12"/>
  <c r="S39" i="12" s="1"/>
  <c r="U10" i="12"/>
  <c r="T4" i="12"/>
  <c r="T3" i="12"/>
  <c r="U90" i="11"/>
  <c r="U88" i="11"/>
  <c r="T84" i="11"/>
  <c r="U75" i="11"/>
  <c r="Q279" i="24"/>
  <c r="O279" i="24" s="1"/>
  <c r="Z279" i="24" s="1"/>
  <c r="P271" i="24"/>
  <c r="N271" i="24" s="1"/>
  <c r="Y271" i="24" s="1"/>
  <c r="P248" i="24"/>
  <c r="N248" i="24" s="1"/>
  <c r="Y248" i="24" s="1"/>
  <c r="Q240" i="24"/>
  <c r="P226" i="24"/>
  <c r="N226" i="24" s="1"/>
  <c r="Y226" i="24" s="1"/>
  <c r="P221" i="24"/>
  <c r="N221" i="24" s="1"/>
  <c r="Y221" i="24" s="1"/>
  <c r="P9" i="24"/>
  <c r="N9" i="24" s="1"/>
  <c r="Y9" i="24" s="1"/>
  <c r="S46" i="15"/>
  <c r="T64" i="13"/>
  <c r="T55" i="13"/>
  <c r="U240" i="12"/>
  <c r="T153" i="12"/>
  <c r="T147" i="12"/>
  <c r="T145" i="12"/>
  <c r="T45" i="12"/>
  <c r="T121" i="11"/>
  <c r="T54" i="13"/>
  <c r="T49" i="13"/>
  <c r="A6" i="4"/>
  <c r="T243" i="12"/>
  <c r="R243" i="12" s="1"/>
  <c r="U198" i="12"/>
  <c r="S198" i="12" s="1"/>
  <c r="U175" i="12"/>
  <c r="U108" i="12"/>
  <c r="U105" i="12"/>
  <c r="U103" i="12"/>
  <c r="U79" i="12"/>
  <c r="U72" i="12"/>
  <c r="U70" i="12"/>
  <c r="T61" i="12"/>
  <c r="T60" i="12"/>
  <c r="R118" i="11"/>
  <c r="U57" i="11"/>
  <c r="G16" i="2"/>
  <c r="AN16" i="2" s="1"/>
  <c r="G12" i="2"/>
  <c r="AN12" i="2" s="1"/>
  <c r="P177" i="25"/>
  <c r="N177" i="25" s="1"/>
  <c r="Y177" i="25" s="1"/>
  <c r="Q169" i="25"/>
  <c r="O169" i="25" s="1"/>
  <c r="Z169" i="25" s="1"/>
  <c r="Q167" i="25"/>
  <c r="O167" i="25" s="1"/>
  <c r="Z167" i="25" s="1"/>
  <c r="P161" i="25"/>
  <c r="N161" i="25" s="1"/>
  <c r="Y161" i="25" s="1"/>
  <c r="Q152" i="25"/>
  <c r="O152" i="25" s="1"/>
  <c r="Z152" i="25" s="1"/>
  <c r="Q150" i="25"/>
  <c r="O150" i="25" s="1"/>
  <c r="Z150" i="25" s="1"/>
  <c r="Q148" i="25"/>
  <c r="O148" i="25" s="1"/>
  <c r="Z148" i="25" s="1"/>
  <c r="P145" i="25"/>
  <c r="N145" i="25" s="1"/>
  <c r="Y145" i="25" s="1"/>
  <c r="P111" i="25"/>
  <c r="N111" i="25" s="1"/>
  <c r="Y111" i="25" s="1"/>
  <c r="P99" i="25"/>
  <c r="N99" i="25" s="1"/>
  <c r="Y99" i="25" s="1"/>
  <c r="P91" i="25"/>
  <c r="N91" i="25" s="1"/>
  <c r="Y91" i="25" s="1"/>
  <c r="Q88" i="25"/>
  <c r="O88" i="25" s="1"/>
  <c r="Z88" i="25" s="1"/>
  <c r="P77" i="25"/>
  <c r="N77" i="25" s="1"/>
  <c r="Y77" i="25" s="1"/>
  <c r="P75" i="25"/>
  <c r="N75" i="25" s="1"/>
  <c r="Y75" i="25" s="1"/>
  <c r="P73" i="25"/>
  <c r="N73" i="25" s="1"/>
  <c r="Y73" i="25" s="1"/>
  <c r="P63" i="25"/>
  <c r="N63" i="25" s="1"/>
  <c r="Y63" i="25" s="1"/>
  <c r="P61" i="25"/>
  <c r="N61" i="25" s="1"/>
  <c r="Y61" i="25" s="1"/>
  <c r="Q26" i="25"/>
  <c r="O26" i="25" s="1"/>
  <c r="Z26" i="25" s="1"/>
  <c r="Q22" i="25"/>
  <c r="O22" i="25" s="1"/>
  <c r="Z22" i="25" s="1"/>
  <c r="Q20" i="25"/>
  <c r="O20" i="25" s="1"/>
  <c r="Z20" i="25" s="1"/>
  <c r="Q11" i="25"/>
  <c r="O11" i="25" s="1"/>
  <c r="Z11" i="25" s="1"/>
  <c r="P5" i="25"/>
  <c r="N5" i="25" s="1"/>
  <c r="Y5" i="25" s="1"/>
  <c r="Q130" i="27"/>
  <c r="O130" i="27" s="1"/>
  <c r="Z130" i="27" s="1"/>
  <c r="Q113" i="27"/>
  <c r="O113" i="27" s="1"/>
  <c r="Z113" i="27" s="1"/>
  <c r="Q109" i="27"/>
  <c r="O109" i="27" s="1"/>
  <c r="Z109" i="27" s="1"/>
  <c r="Q98" i="27"/>
  <c r="O98" i="27" s="1"/>
  <c r="Z98" i="27" s="1"/>
  <c r="Q91" i="27"/>
  <c r="O91" i="27" s="1"/>
  <c r="Z91" i="27" s="1"/>
  <c r="Q89" i="27"/>
  <c r="O89" i="27" s="1"/>
  <c r="Z89" i="27" s="1"/>
  <c r="Q83" i="27"/>
  <c r="O83" i="27" s="1"/>
  <c r="Z83" i="27" s="1"/>
  <c r="Q81" i="27"/>
  <c r="O81" i="27" s="1"/>
  <c r="Z81" i="27" s="1"/>
  <c r="Q79" i="27"/>
  <c r="O79" i="27" s="1"/>
  <c r="Z79" i="27" s="1"/>
  <c r="Q77" i="27"/>
  <c r="O77" i="27" s="1"/>
  <c r="Z77" i="27" s="1"/>
  <c r="P69" i="27"/>
  <c r="N69" i="27" s="1"/>
  <c r="Y69" i="27" s="1"/>
  <c r="P59" i="27"/>
  <c r="N59" i="27" s="1"/>
  <c r="Y59" i="27" s="1"/>
  <c r="P53" i="27"/>
  <c r="P36" i="27"/>
  <c r="N36" i="27" s="1"/>
  <c r="Y36" i="27" s="1"/>
  <c r="P33" i="27"/>
  <c r="N33" i="27" s="1"/>
  <c r="Y33" i="27" s="1"/>
  <c r="Q26" i="27"/>
  <c r="O26" i="27" s="1"/>
  <c r="Z26" i="27" s="1"/>
  <c r="P26" i="27"/>
  <c r="N26" i="27" s="1"/>
  <c r="Y26" i="27" s="1"/>
  <c r="Q24" i="27"/>
  <c r="O24" i="27" s="1"/>
  <c r="Z24" i="27" s="1"/>
  <c r="P24" i="27"/>
  <c r="N24" i="27" s="1"/>
  <c r="Y24" i="27" s="1"/>
  <c r="Q13" i="27"/>
  <c r="O13" i="27" s="1"/>
  <c r="Z13" i="27" s="1"/>
  <c r="P8" i="27"/>
  <c r="N8" i="27" s="1"/>
  <c r="Y8" i="27" s="1"/>
  <c r="H53" i="6"/>
  <c r="AO53" i="6" s="1"/>
  <c r="AM54" i="2"/>
  <c r="H50" i="2"/>
  <c r="AO50" i="2" s="1"/>
  <c r="AM35" i="2"/>
  <c r="G35" i="2"/>
  <c r="AN35" i="2" s="1"/>
  <c r="H44" i="4"/>
  <c r="AO44" i="4" s="1"/>
  <c r="J67" i="8"/>
  <c r="G9" i="1"/>
  <c r="AR33" i="8"/>
  <c r="AM33" i="8"/>
  <c r="H42" i="3"/>
  <c r="AO42" i="3" s="1"/>
  <c r="H39" i="3"/>
  <c r="AO39" i="3" s="1"/>
  <c r="H39" i="2"/>
  <c r="AO39" i="2" s="1"/>
  <c r="T106" i="16"/>
  <c r="R106" i="16" s="1"/>
  <c r="U105" i="16"/>
  <c r="S105" i="16" s="1"/>
  <c r="T105" i="16"/>
  <c r="R105" i="16" s="1"/>
  <c r="U91" i="16"/>
  <c r="S91" i="16" s="1"/>
  <c r="T91" i="16"/>
  <c r="R91" i="16" s="1"/>
  <c r="U90" i="16"/>
  <c r="S90" i="16" s="1"/>
  <c r="T90" i="16"/>
  <c r="R90" i="16" s="1"/>
  <c r="U88" i="16"/>
  <c r="S88" i="16" s="1"/>
  <c r="U85" i="16"/>
  <c r="S85" i="16" s="1"/>
  <c r="T85" i="16"/>
  <c r="R85" i="16" s="1"/>
  <c r="S84" i="16"/>
  <c r="R84" i="16"/>
  <c r="S82" i="16"/>
  <c r="R82" i="16"/>
  <c r="S81" i="16"/>
  <c r="R81" i="16"/>
  <c r="S79" i="16"/>
  <c r="R79" i="16"/>
  <c r="S78" i="16"/>
  <c r="R78" i="16"/>
  <c r="S76" i="16"/>
  <c r="R76" i="16"/>
  <c r="S75" i="16"/>
  <c r="R75" i="16"/>
  <c r="S73" i="16"/>
  <c r="R73" i="16"/>
  <c r="S72" i="16"/>
  <c r="R72" i="16"/>
  <c r="S70" i="16"/>
  <c r="R70" i="16"/>
  <c r="S69" i="16"/>
  <c r="R69" i="16"/>
  <c r="S67" i="16"/>
  <c r="R67" i="16"/>
  <c r="S66" i="16"/>
  <c r="R66" i="16"/>
  <c r="S64" i="16"/>
  <c r="R64" i="16"/>
  <c r="S63" i="16"/>
  <c r="R63" i="16"/>
  <c r="S61" i="16"/>
  <c r="R61" i="16"/>
  <c r="S60" i="16"/>
  <c r="R60" i="16"/>
  <c r="S58" i="16"/>
  <c r="R58" i="16"/>
  <c r="S57" i="16"/>
  <c r="R57" i="16"/>
  <c r="S55" i="16"/>
  <c r="R55" i="16"/>
  <c r="R54" i="16"/>
  <c r="S54" i="16"/>
  <c r="R52" i="16"/>
  <c r="S52" i="16"/>
  <c r="R51" i="16"/>
  <c r="S51" i="16"/>
  <c r="R49" i="16"/>
  <c r="S49" i="16"/>
  <c r="R48" i="16"/>
  <c r="S48" i="16"/>
  <c r="R46" i="16"/>
  <c r="S46" i="16"/>
  <c r="R45" i="16"/>
  <c r="S45" i="16"/>
  <c r="S43" i="16"/>
  <c r="R43" i="16"/>
  <c r="S42" i="16"/>
  <c r="R42" i="16"/>
  <c r="S40" i="16"/>
  <c r="R40" i="16"/>
  <c r="S39" i="16"/>
  <c r="R39" i="16"/>
  <c r="S37" i="16"/>
  <c r="R37" i="16"/>
  <c r="S36" i="16"/>
  <c r="R36" i="16"/>
  <c r="S34" i="16"/>
  <c r="R34" i="16"/>
  <c r="S33" i="16"/>
  <c r="R33" i="16"/>
  <c r="S31" i="16"/>
  <c r="R31" i="16"/>
  <c r="S30" i="16"/>
  <c r="R30" i="16"/>
  <c r="S28" i="16"/>
  <c r="R28" i="16"/>
  <c r="S27" i="16"/>
  <c r="R27" i="16"/>
  <c r="S25" i="16"/>
  <c r="R25" i="16"/>
  <c r="R24" i="16"/>
  <c r="S24" i="16"/>
  <c r="R22" i="16"/>
  <c r="S22" i="16"/>
  <c r="R21" i="16"/>
  <c r="S21" i="16"/>
  <c r="R19" i="16"/>
  <c r="S19" i="16"/>
  <c r="R18" i="16"/>
  <c r="S18" i="16"/>
  <c r="R16" i="16"/>
  <c r="S16" i="16"/>
  <c r="R15" i="16"/>
  <c r="S15" i="16"/>
  <c r="R13" i="16"/>
  <c r="S13" i="16"/>
  <c r="R12" i="16"/>
  <c r="S12" i="16"/>
  <c r="R10" i="16"/>
  <c r="S10" i="16"/>
  <c r="R9" i="16"/>
  <c r="S9" i="16"/>
  <c r="R6" i="16"/>
  <c r="R4" i="16"/>
  <c r="H33" i="7"/>
  <c r="AO33" i="7" s="1"/>
  <c r="AM31" i="7"/>
  <c r="H30" i="7"/>
  <c r="AO30" i="7" s="1"/>
  <c r="G30" i="7"/>
  <c r="AN30" i="7" s="1"/>
  <c r="AP30" i="7" s="1"/>
  <c r="AM29" i="7"/>
  <c r="AM27" i="7"/>
  <c r="H26" i="7"/>
  <c r="AO26" i="7" s="1"/>
  <c r="AM24" i="7"/>
  <c r="H23" i="7"/>
  <c r="AO23" i="7" s="1"/>
  <c r="G23" i="7"/>
  <c r="AN23" i="7" s="1"/>
  <c r="AP23" i="7" s="1"/>
  <c r="AM21" i="7"/>
  <c r="AM20" i="7"/>
  <c r="H20" i="7"/>
  <c r="AO20" i="7" s="1"/>
  <c r="G20" i="7"/>
  <c r="AN20" i="7" s="1"/>
  <c r="AP20" i="7" s="1"/>
  <c r="AM19" i="7"/>
  <c r="AM18" i="7"/>
  <c r="AM17" i="7"/>
  <c r="H17" i="7"/>
  <c r="AO17" i="7" s="1"/>
  <c r="G17" i="7"/>
  <c r="AN17" i="7" s="1"/>
  <c r="AP17" i="7" s="1"/>
  <c r="AM12" i="7"/>
  <c r="AM9" i="7"/>
  <c r="H9" i="7"/>
  <c r="AO9" i="7" s="1"/>
  <c r="G9" i="7"/>
  <c r="AN9" i="7" s="1"/>
  <c r="AP9" i="7" s="1"/>
  <c r="AM5" i="7"/>
  <c r="AN4" i="7"/>
  <c r="T103" i="23"/>
  <c r="R103" i="23" s="1"/>
  <c r="U102" i="23"/>
  <c r="S102" i="23" s="1"/>
  <c r="T102" i="23"/>
  <c r="R102" i="23" s="1"/>
  <c r="U100" i="23"/>
  <c r="S100" i="23" s="1"/>
  <c r="T100" i="23"/>
  <c r="R100" i="23" s="1"/>
  <c r="U99" i="23"/>
  <c r="S99" i="23" s="1"/>
  <c r="U85" i="23"/>
  <c r="S85" i="23" s="1"/>
  <c r="T85" i="23"/>
  <c r="R85" i="23" s="1"/>
  <c r="U84" i="23"/>
  <c r="S84" i="23" s="1"/>
  <c r="U82" i="23"/>
  <c r="S82" i="23" s="1"/>
  <c r="T82" i="23"/>
  <c r="R82" i="23" s="1"/>
  <c r="U81" i="23"/>
  <c r="S81" i="23" s="1"/>
  <c r="T81" i="23"/>
  <c r="R81" i="23" s="1"/>
  <c r="S79" i="23"/>
  <c r="R79" i="23"/>
  <c r="S78" i="23"/>
  <c r="R78" i="23"/>
  <c r="S76" i="23"/>
  <c r="R76" i="23"/>
  <c r="S75" i="23"/>
  <c r="R75" i="23"/>
  <c r="S73" i="23"/>
  <c r="R73" i="23"/>
  <c r="S72" i="23"/>
  <c r="R72" i="23"/>
  <c r="S70" i="23"/>
  <c r="R70" i="23"/>
  <c r="S69" i="23"/>
  <c r="R69" i="23"/>
  <c r="S67" i="23"/>
  <c r="R67" i="23"/>
  <c r="R66" i="23"/>
  <c r="S66" i="23"/>
  <c r="R64" i="23"/>
  <c r="S64" i="23"/>
  <c r="R63" i="23"/>
  <c r="S63" i="23"/>
  <c r="R61" i="23"/>
  <c r="S61" i="23"/>
  <c r="R60" i="23"/>
  <c r="S60" i="23"/>
  <c r="R58" i="23"/>
  <c r="S58" i="23"/>
  <c r="R57" i="23"/>
  <c r="S57" i="23"/>
  <c r="R55" i="23"/>
  <c r="S55" i="23"/>
  <c r="R54" i="23"/>
  <c r="S54" i="23"/>
  <c r="R52" i="23"/>
  <c r="S52" i="23"/>
  <c r="S51" i="23"/>
  <c r="R51" i="23"/>
  <c r="S49" i="23"/>
  <c r="R49" i="23"/>
  <c r="S48" i="23"/>
  <c r="R48" i="23"/>
  <c r="S46" i="23"/>
  <c r="R46" i="23"/>
  <c r="S45" i="23"/>
  <c r="R45" i="23"/>
  <c r="S43" i="23"/>
  <c r="R43" i="23"/>
  <c r="R42" i="23"/>
  <c r="R40" i="23"/>
  <c r="R39" i="23"/>
  <c r="R37" i="23"/>
  <c r="R36" i="23"/>
  <c r="R34" i="23"/>
  <c r="R33" i="23"/>
  <c r="R31" i="23"/>
  <c r="S30" i="23"/>
  <c r="S28" i="23"/>
  <c r="S27" i="23"/>
  <c r="S25" i="23"/>
  <c r="S24" i="23"/>
  <c r="S22" i="23"/>
  <c r="S21" i="23"/>
  <c r="S19" i="23"/>
  <c r="S18" i="23"/>
  <c r="S16" i="23"/>
  <c r="S15" i="23"/>
  <c r="S13" i="23"/>
  <c r="R12" i="23"/>
  <c r="S12" i="23"/>
  <c r="S10" i="23"/>
  <c r="S9" i="23"/>
  <c r="S7" i="23"/>
  <c r="S6" i="23"/>
  <c r="S4" i="23"/>
  <c r="S3" i="23"/>
  <c r="AN64" i="22"/>
  <c r="AM56" i="22"/>
  <c r="AM48" i="22"/>
  <c r="AM40" i="22"/>
  <c r="AM31" i="22"/>
  <c r="G31" i="22"/>
  <c r="AM30" i="22"/>
  <c r="AM27" i="22"/>
  <c r="AM24" i="22"/>
  <c r="H24" i="22"/>
  <c r="AO24" i="22" s="1"/>
  <c r="G21" i="22"/>
  <c r="AN21" i="22" s="1"/>
  <c r="AM18" i="22"/>
  <c r="AM12" i="22"/>
  <c r="G11" i="22"/>
  <c r="AN11" i="22" s="1"/>
  <c r="G6" i="22"/>
  <c r="S103" i="20"/>
  <c r="R103" i="20"/>
  <c r="S102" i="20"/>
  <c r="R102" i="20"/>
  <c r="S100" i="20"/>
  <c r="R100" i="20"/>
  <c r="S99" i="20"/>
  <c r="R99" i="20"/>
  <c r="S85" i="20"/>
  <c r="R85" i="20"/>
  <c r="R84" i="20"/>
  <c r="S84" i="20"/>
  <c r="R82" i="20"/>
  <c r="S82" i="20"/>
  <c r="S81" i="20"/>
  <c r="R81" i="20"/>
  <c r="S79" i="20"/>
  <c r="R79" i="20"/>
  <c r="R78" i="20"/>
  <c r="R76" i="20"/>
  <c r="R75" i="20"/>
  <c r="R73" i="20"/>
  <c r="S69" i="20"/>
  <c r="S67" i="20"/>
  <c r="S66" i="20"/>
  <c r="R66" i="20"/>
  <c r="S64" i="20"/>
  <c r="R64" i="20"/>
  <c r="S63" i="20"/>
  <c r="R63" i="20"/>
  <c r="S61" i="20"/>
  <c r="R61" i="20"/>
  <c r="S60" i="20"/>
  <c r="R60" i="20"/>
  <c r="S58" i="20"/>
  <c r="R58" i="20"/>
  <c r="S57" i="20"/>
  <c r="R57" i="20"/>
  <c r="S55" i="20"/>
  <c r="R55" i="20"/>
  <c r="S54" i="20"/>
  <c r="R54" i="20"/>
  <c r="S52" i="20"/>
  <c r="R52" i="20"/>
  <c r="S51" i="20"/>
  <c r="R51" i="20"/>
  <c r="R49" i="20"/>
  <c r="S49" i="20"/>
  <c r="R48" i="20"/>
  <c r="S48" i="20"/>
  <c r="R46" i="20"/>
  <c r="S46" i="20"/>
  <c r="R45" i="20"/>
  <c r="S45" i="20"/>
  <c r="R43" i="20"/>
  <c r="S43" i="20"/>
  <c r="S42" i="20"/>
  <c r="R42" i="20"/>
  <c r="S40" i="20"/>
  <c r="R40" i="20"/>
  <c r="S39" i="20"/>
  <c r="R39" i="20"/>
  <c r="S37" i="20"/>
  <c r="R37" i="20"/>
  <c r="S36" i="20"/>
  <c r="R36" i="20"/>
  <c r="S34" i="20"/>
  <c r="R34" i="20"/>
  <c r="S33" i="20"/>
  <c r="R33" i="20"/>
  <c r="S31" i="20"/>
  <c r="R31" i="20"/>
  <c r="R30" i="20"/>
  <c r="R28" i="20"/>
  <c r="R27" i="20"/>
  <c r="R25" i="20"/>
  <c r="R24" i="20"/>
  <c r="R22" i="20"/>
  <c r="R21" i="20"/>
  <c r="R19" i="20"/>
  <c r="R18" i="20"/>
  <c r="R16" i="20"/>
  <c r="R15" i="20"/>
  <c r="R13" i="20"/>
  <c r="R12" i="20"/>
  <c r="R10" i="20"/>
  <c r="R9" i="20"/>
  <c r="R7" i="20"/>
  <c r="R6" i="20"/>
  <c r="R4" i="20"/>
  <c r="R3" i="20"/>
  <c r="AM56" i="19"/>
  <c r="G29" i="19"/>
  <c r="H28" i="19"/>
  <c r="AM26" i="19"/>
  <c r="G26" i="19"/>
  <c r="G25" i="19"/>
  <c r="AM22" i="19"/>
  <c r="G22" i="19"/>
  <c r="H20" i="19"/>
  <c r="G20" i="19"/>
  <c r="H19" i="19"/>
  <c r="H11" i="19"/>
  <c r="AO11" i="19" s="1"/>
  <c r="H6" i="19"/>
  <c r="AO6" i="19" s="1"/>
  <c r="AN4" i="19"/>
  <c r="S97" i="18"/>
  <c r="R97" i="18"/>
  <c r="S96" i="18"/>
  <c r="R96" i="18"/>
  <c r="S94" i="18"/>
  <c r="R94" i="18"/>
  <c r="R93" i="18"/>
  <c r="S93" i="18"/>
  <c r="R91" i="18"/>
  <c r="S91" i="18"/>
  <c r="S90" i="18"/>
  <c r="R90" i="18"/>
  <c r="T87" i="18"/>
  <c r="R87" i="18" s="1"/>
  <c r="S85" i="18"/>
  <c r="R85" i="18"/>
  <c r="S84" i="18"/>
  <c r="R84" i="18"/>
  <c r="S82" i="18"/>
  <c r="R82" i="18"/>
  <c r="R81" i="18"/>
  <c r="S81" i="18"/>
  <c r="R79" i="18"/>
  <c r="S79" i="18"/>
  <c r="S78" i="18"/>
  <c r="R78" i="18"/>
  <c r="S76" i="18"/>
  <c r="R76" i="18"/>
  <c r="S75" i="18"/>
  <c r="R75" i="18"/>
  <c r="S73" i="18"/>
  <c r="R73" i="18"/>
  <c r="S72" i="18"/>
  <c r="R72" i="18"/>
  <c r="S70" i="18"/>
  <c r="R70" i="18"/>
  <c r="R69" i="18"/>
  <c r="S69" i="18"/>
  <c r="R67" i="18"/>
  <c r="S67" i="18"/>
  <c r="S66" i="18"/>
  <c r="R66" i="18"/>
  <c r="S64" i="18"/>
  <c r="R64" i="18"/>
  <c r="S63" i="18"/>
  <c r="R63" i="18"/>
  <c r="S61" i="18"/>
  <c r="R61" i="18"/>
  <c r="S60" i="18"/>
  <c r="R60" i="18"/>
  <c r="S58" i="18"/>
  <c r="R58" i="18"/>
  <c r="R57" i="18"/>
  <c r="S57" i="18"/>
  <c r="R55" i="18"/>
  <c r="S55" i="18"/>
  <c r="S54" i="18"/>
  <c r="R54" i="18"/>
  <c r="S52" i="18"/>
  <c r="R52" i="18"/>
  <c r="S51" i="18"/>
  <c r="R51" i="18"/>
  <c r="S49" i="18"/>
  <c r="R49" i="18"/>
  <c r="S48" i="18"/>
  <c r="R48" i="18"/>
  <c r="S46" i="18"/>
  <c r="R46" i="18"/>
  <c r="R45" i="18"/>
  <c r="S45" i="18"/>
  <c r="R43" i="18"/>
  <c r="S43" i="18"/>
  <c r="R42" i="18"/>
  <c r="S42" i="18"/>
  <c r="R40" i="18"/>
  <c r="S40" i="18"/>
  <c r="S39" i="18"/>
  <c r="R39" i="18"/>
  <c r="S37" i="18"/>
  <c r="R37" i="18"/>
  <c r="S36" i="18"/>
  <c r="R36" i="18"/>
  <c r="S34" i="18"/>
  <c r="R34" i="18"/>
  <c r="S33" i="18"/>
  <c r="R33" i="18"/>
  <c r="S31" i="18"/>
  <c r="R31" i="18"/>
  <c r="S30" i="18"/>
  <c r="R30" i="18"/>
  <c r="S28" i="18"/>
  <c r="R28" i="18"/>
  <c r="S27" i="18"/>
  <c r="R27" i="18"/>
  <c r="S25" i="18"/>
  <c r="R25" i="18"/>
  <c r="S24" i="18"/>
  <c r="R24" i="18"/>
  <c r="S22" i="18"/>
  <c r="R22" i="18"/>
  <c r="S21" i="18"/>
  <c r="R21" i="18"/>
  <c r="S19" i="18"/>
  <c r="R19" i="18"/>
  <c r="S18" i="18"/>
  <c r="R18" i="18"/>
  <c r="S16" i="18"/>
  <c r="R16" i="18"/>
  <c r="S15" i="18"/>
  <c r="R15" i="18"/>
  <c r="S13" i="18"/>
  <c r="R13" i="18"/>
  <c r="S12" i="18"/>
  <c r="R12" i="18"/>
  <c r="S10" i="18"/>
  <c r="R10" i="18"/>
  <c r="S9" i="18"/>
  <c r="R9" i="18"/>
  <c r="S7" i="18"/>
  <c r="R7" i="18"/>
  <c r="S6" i="18"/>
  <c r="R6" i="18"/>
  <c r="S4" i="18"/>
  <c r="R4" i="18"/>
  <c r="S3" i="18"/>
  <c r="R3" i="18"/>
  <c r="AM65" i="8"/>
  <c r="H65" i="8"/>
  <c r="AO65" i="8" s="1"/>
  <c r="G63" i="8"/>
  <c r="AN63" i="8" s="1"/>
  <c r="H62" i="8"/>
  <c r="AO62" i="8" s="1"/>
  <c r="G60" i="8"/>
  <c r="AN60" i="8" s="1"/>
  <c r="G57" i="8"/>
  <c r="AN57" i="8" s="1"/>
  <c r="H55" i="8"/>
  <c r="AO55" i="8" s="1"/>
  <c r="G55" i="8"/>
  <c r="AN55" i="8" s="1"/>
  <c r="G53" i="8"/>
  <c r="AN53" i="8" s="1"/>
  <c r="H52" i="8"/>
  <c r="AO52" i="8" s="1"/>
  <c r="G50" i="8"/>
  <c r="AN50" i="8" s="1"/>
  <c r="G47" i="8"/>
  <c r="AN47" i="8" s="1"/>
  <c r="AM45" i="8"/>
  <c r="G44" i="8"/>
  <c r="AN44" i="8" s="1"/>
  <c r="AM42" i="8"/>
  <c r="AM41" i="8"/>
  <c r="H41" i="8"/>
  <c r="AO41" i="8" s="1"/>
  <c r="H40" i="8"/>
  <c r="AO40" i="8" s="1"/>
  <c r="G40" i="8"/>
  <c r="AN40" i="8" s="1"/>
  <c r="G38" i="8"/>
  <c r="AN38" i="8" s="1"/>
  <c r="H37" i="8"/>
  <c r="AO37" i="8" s="1"/>
  <c r="G37" i="8"/>
  <c r="AN37" i="8" s="1"/>
  <c r="G35" i="8"/>
  <c r="AN35" i="8" s="1"/>
  <c r="Q94" i="24"/>
  <c r="O94" i="24" s="1"/>
  <c r="Z94" i="24" s="1"/>
  <c r="Q92" i="24"/>
  <c r="O92" i="24" s="1"/>
  <c r="Z92" i="24" s="1"/>
  <c r="Q87" i="24"/>
  <c r="O87" i="24" s="1"/>
  <c r="Z87" i="24" s="1"/>
  <c r="P88" i="24"/>
  <c r="N88" i="24" s="1"/>
  <c r="Y88" i="24" s="1"/>
  <c r="Q77" i="24"/>
  <c r="O77" i="24" s="1"/>
  <c r="Z77" i="24" s="1"/>
  <c r="P77" i="24"/>
  <c r="N77" i="24" s="1"/>
  <c r="Y77" i="24" s="1"/>
  <c r="Q69" i="24"/>
  <c r="O69" i="24" s="1"/>
  <c r="Z69" i="24" s="1"/>
  <c r="Q65" i="24"/>
  <c r="O65" i="24" s="1"/>
  <c r="Z65" i="24" s="1"/>
  <c r="Q66" i="24"/>
  <c r="O66" i="24" s="1"/>
  <c r="Z66" i="24" s="1"/>
  <c r="P66" i="24"/>
  <c r="N66" i="24" s="1"/>
  <c r="Y66" i="24" s="1"/>
  <c r="P60" i="24"/>
  <c r="N60" i="24" s="1"/>
  <c r="Y60" i="24" s="1"/>
  <c r="Q54" i="24"/>
  <c r="O54" i="24" s="1"/>
  <c r="Z54" i="24" s="1"/>
  <c r="P54" i="24"/>
  <c r="N54" i="24" s="1"/>
  <c r="Y54" i="24" s="1"/>
  <c r="Q49" i="24"/>
  <c r="O49" i="24" s="1"/>
  <c r="Z49" i="24" s="1"/>
  <c r="Q50" i="24"/>
  <c r="O50" i="24" s="1"/>
  <c r="Z50" i="24" s="1"/>
  <c r="P50" i="24"/>
  <c r="N50" i="24" s="1"/>
  <c r="Y50" i="24" s="1"/>
  <c r="Q47" i="24"/>
  <c r="O47" i="24" s="1"/>
  <c r="Z47" i="24" s="1"/>
  <c r="Q46" i="24"/>
  <c r="O46" i="24" s="1"/>
  <c r="Z46" i="24" s="1"/>
  <c r="P47" i="24"/>
  <c r="N47" i="24" s="1"/>
  <c r="Y47" i="24" s="1"/>
  <c r="P43" i="24"/>
  <c r="N43" i="24" s="1"/>
  <c r="Y43" i="24" s="1"/>
  <c r="Q43" i="24"/>
  <c r="O43" i="24" s="1"/>
  <c r="Z43" i="24" s="1"/>
  <c r="Q29" i="24"/>
  <c r="O29" i="24" s="1"/>
  <c r="Z29" i="24" s="1"/>
  <c r="Q27" i="24"/>
  <c r="O27" i="24" s="1"/>
  <c r="Z27" i="24" s="1"/>
  <c r="Q17" i="24"/>
  <c r="O17" i="24" s="1"/>
  <c r="Z17" i="24" s="1"/>
  <c r="Q16" i="24"/>
  <c r="O16" i="24" s="1"/>
  <c r="Z16" i="24" s="1"/>
  <c r="P16" i="24"/>
  <c r="N16" i="24" s="1"/>
  <c r="Y16" i="24" s="1"/>
  <c r="P17" i="24"/>
  <c r="N17" i="24" s="1"/>
  <c r="Y17" i="24" s="1"/>
  <c r="P13" i="24"/>
  <c r="N13" i="24" s="1"/>
  <c r="Y13" i="24" s="1"/>
  <c r="Q10" i="24"/>
  <c r="O10" i="24" s="1"/>
  <c r="Z10" i="24" s="1"/>
  <c r="P10" i="24"/>
  <c r="N10" i="24" s="1"/>
  <c r="Y10" i="24" s="1"/>
  <c r="Q6" i="24"/>
  <c r="O6" i="24" s="1"/>
  <c r="Z6" i="24" s="1"/>
  <c r="U79" i="15"/>
  <c r="S79" i="15" s="1"/>
  <c r="U78" i="15"/>
  <c r="S78" i="15" s="1"/>
  <c r="T76" i="15"/>
  <c r="R76" i="15" s="1"/>
  <c r="T75" i="15"/>
  <c r="R75" i="15" s="1"/>
  <c r="T72" i="15"/>
  <c r="R72" i="15" s="1"/>
  <c r="T67" i="15"/>
  <c r="R67" i="15" s="1"/>
  <c r="T66" i="15"/>
  <c r="R66" i="15" s="1"/>
  <c r="T64" i="15"/>
  <c r="R64" i="15" s="1"/>
  <c r="U63" i="15"/>
  <c r="S63" i="15" s="1"/>
  <c r="T60" i="15"/>
  <c r="R60" i="15" s="1"/>
  <c r="U58" i="15"/>
  <c r="S58" i="15" s="1"/>
  <c r="T55" i="15"/>
  <c r="R55" i="15" s="1"/>
  <c r="T52" i="15"/>
  <c r="R52" i="15" s="1"/>
  <c r="U51" i="15"/>
  <c r="S51" i="15" s="1"/>
  <c r="T48" i="15"/>
  <c r="R48" i="15" s="1"/>
  <c r="Q172" i="25"/>
  <c r="O172" i="25" s="1"/>
  <c r="Z172" i="25" s="1"/>
  <c r="P169" i="25"/>
  <c r="N169" i="25" s="1"/>
  <c r="Y169" i="25" s="1"/>
  <c r="Q153" i="25"/>
  <c r="O153" i="25" s="1"/>
  <c r="Z153" i="25" s="1"/>
  <c r="Q142" i="25"/>
  <c r="O142" i="25" s="1"/>
  <c r="Z142" i="25" s="1"/>
  <c r="P141" i="25"/>
  <c r="N141" i="25" s="1"/>
  <c r="Y141" i="25" s="1"/>
  <c r="Q140" i="25"/>
  <c r="O140" i="25" s="1"/>
  <c r="Z140" i="25" s="1"/>
  <c r="P139" i="25"/>
  <c r="N139" i="25" s="1"/>
  <c r="Y139" i="25" s="1"/>
  <c r="P135" i="25"/>
  <c r="N135" i="25" s="1"/>
  <c r="Y135" i="25" s="1"/>
  <c r="Q131" i="25"/>
  <c r="O131" i="25" s="1"/>
  <c r="Z131" i="25" s="1"/>
  <c r="P129" i="25"/>
  <c r="N129" i="25" s="1"/>
  <c r="Y129" i="25" s="1"/>
  <c r="Q104" i="25"/>
  <c r="O104" i="25" s="1"/>
  <c r="Z104" i="25" s="1"/>
  <c r="P100" i="25"/>
  <c r="N100" i="25" s="1"/>
  <c r="Y100" i="25" s="1"/>
  <c r="Q92" i="25"/>
  <c r="O92" i="25" s="1"/>
  <c r="Z92" i="25" s="1"/>
  <c r="P89" i="25"/>
  <c r="N89" i="25" s="1"/>
  <c r="Y89" i="25" s="1"/>
  <c r="P83" i="25"/>
  <c r="N83" i="25" s="1"/>
  <c r="Y83" i="25" s="1"/>
  <c r="Q76" i="25"/>
  <c r="O76" i="25" s="1"/>
  <c r="Z76" i="25" s="1"/>
  <c r="P65" i="25"/>
  <c r="N65" i="25" s="1"/>
  <c r="Y65" i="25" s="1"/>
  <c r="Q64" i="25"/>
  <c r="O64" i="25" s="1"/>
  <c r="Z64" i="25" s="1"/>
  <c r="Q60" i="25"/>
  <c r="O60" i="25" s="1"/>
  <c r="Z60" i="25" s="1"/>
  <c r="P55" i="25"/>
  <c r="N55" i="25" s="1"/>
  <c r="Y55" i="25" s="1"/>
  <c r="Q43" i="25"/>
  <c r="O43" i="25" s="1"/>
  <c r="Z43" i="25" s="1"/>
  <c r="P37" i="25"/>
  <c r="N37" i="25" s="1"/>
  <c r="Y37" i="25" s="1"/>
  <c r="Q32" i="25"/>
  <c r="P27" i="25"/>
  <c r="N27" i="25" s="1"/>
  <c r="Y27" i="25" s="1"/>
  <c r="P25" i="25"/>
  <c r="N25" i="25" s="1"/>
  <c r="Y25" i="25" s="1"/>
  <c r="Q9" i="25"/>
  <c r="O9" i="25" s="1"/>
  <c r="Z9" i="25" s="1"/>
  <c r="P125" i="27"/>
  <c r="N125" i="27" s="1"/>
  <c r="Y125" i="27" s="1"/>
  <c r="Q122" i="27"/>
  <c r="O122" i="27" s="1"/>
  <c r="Z122" i="27" s="1"/>
  <c r="Q116" i="27"/>
  <c r="O116" i="27" s="1"/>
  <c r="Z116" i="27" s="1"/>
  <c r="P95" i="27"/>
  <c r="N95" i="27" s="1"/>
  <c r="Y95" i="27" s="1"/>
  <c r="Q95" i="27"/>
  <c r="O95" i="27" s="1"/>
  <c r="Z95" i="27" s="1"/>
  <c r="Q92" i="27"/>
  <c r="O92" i="27" s="1"/>
  <c r="Z92" i="27" s="1"/>
  <c r="Q86" i="27"/>
  <c r="O86" i="27" s="1"/>
  <c r="Z86" i="27" s="1"/>
  <c r="Q82" i="27"/>
  <c r="O82" i="27" s="1"/>
  <c r="Z82" i="27" s="1"/>
  <c r="Q78" i="27"/>
  <c r="O78" i="27" s="1"/>
  <c r="Z78" i="27" s="1"/>
  <c r="Q76" i="27"/>
  <c r="O76" i="27" s="1"/>
  <c r="Z76" i="27" s="1"/>
  <c r="Q72" i="27"/>
  <c r="O72" i="27" s="1"/>
  <c r="Z72" i="27" s="1"/>
  <c r="P71" i="27"/>
  <c r="N71" i="27" s="1"/>
  <c r="Y71" i="27" s="1"/>
  <c r="P70" i="27"/>
  <c r="N70" i="27" s="1"/>
  <c r="Y70" i="27" s="1"/>
  <c r="Q54" i="27"/>
  <c r="O54" i="27" s="1"/>
  <c r="Z54" i="27" s="1"/>
  <c r="Q52" i="27"/>
  <c r="Q47" i="27"/>
  <c r="O47" i="27" s="1"/>
  <c r="Z47" i="27" s="1"/>
  <c r="P41" i="27"/>
  <c r="N41" i="27" s="1"/>
  <c r="Y41" i="27" s="1"/>
  <c r="P37" i="27"/>
  <c r="N37" i="27" s="1"/>
  <c r="Y37" i="27" s="1"/>
  <c r="Q33" i="27"/>
  <c r="O33" i="27" s="1"/>
  <c r="Z33" i="27" s="1"/>
  <c r="Q27" i="27"/>
  <c r="O27" i="27" s="1"/>
  <c r="Z27" i="27" s="1"/>
  <c r="Q15" i="27"/>
  <c r="O15" i="27" s="1"/>
  <c r="Z15" i="27" s="1"/>
  <c r="Q11" i="27"/>
  <c r="O11" i="27" s="1"/>
  <c r="Z11" i="27" s="1"/>
  <c r="Q9" i="27"/>
  <c r="O9" i="27" s="1"/>
  <c r="Z9" i="27" s="1"/>
  <c r="H31" i="8"/>
  <c r="AM29" i="8"/>
  <c r="G26" i="8"/>
  <c r="G21" i="8"/>
  <c r="AM20" i="8"/>
  <c r="AM19" i="8"/>
  <c r="G18" i="8"/>
  <c r="AN18" i="8" s="1"/>
  <c r="G15" i="8"/>
  <c r="AN15" i="8" s="1"/>
  <c r="AM11" i="8"/>
  <c r="G9" i="8"/>
  <c r="AN9" i="8" s="1"/>
  <c r="AM7" i="8"/>
  <c r="AM6" i="8"/>
  <c r="H5" i="8"/>
  <c r="AO5" i="8" s="1"/>
  <c r="R193" i="17"/>
  <c r="S193" i="17"/>
  <c r="S192" i="17"/>
  <c r="R192" i="17"/>
  <c r="S190" i="17"/>
  <c r="R190" i="17"/>
  <c r="R189" i="17"/>
  <c r="R187" i="17"/>
  <c r="S184" i="17"/>
  <c r="R183" i="17"/>
  <c r="R181" i="17"/>
  <c r="S178" i="17"/>
  <c r="R178" i="17"/>
  <c r="S177" i="17"/>
  <c r="R177" i="17"/>
  <c r="S175" i="17"/>
  <c r="R175" i="17"/>
  <c r="S174" i="17"/>
  <c r="R174" i="17"/>
  <c r="S172" i="17"/>
  <c r="R172" i="17"/>
  <c r="R171" i="17"/>
  <c r="S171" i="17"/>
  <c r="R169" i="17"/>
  <c r="S169" i="17"/>
  <c r="S168" i="17"/>
  <c r="R168" i="17"/>
  <c r="S166" i="17"/>
  <c r="R166" i="17"/>
  <c r="R165" i="17"/>
  <c r="R163" i="17"/>
  <c r="S153" i="17"/>
  <c r="R153" i="17"/>
  <c r="S151" i="17"/>
  <c r="R151" i="17"/>
  <c r="S150" i="17"/>
  <c r="R150" i="17"/>
  <c r="S148" i="17"/>
  <c r="R148" i="17"/>
  <c r="R147" i="17"/>
  <c r="S147" i="17"/>
  <c r="R145" i="17"/>
  <c r="S145" i="17"/>
  <c r="R144" i="17"/>
  <c r="S144" i="17"/>
  <c r="R142" i="17"/>
  <c r="S142" i="17"/>
  <c r="S141" i="17"/>
  <c r="R141" i="17"/>
  <c r="S139" i="17"/>
  <c r="R139" i="17"/>
  <c r="R138" i="17"/>
  <c r="R136" i="17"/>
  <c r="R135" i="17"/>
  <c r="R133" i="17"/>
  <c r="R132" i="17"/>
  <c r="R130" i="17"/>
  <c r="R129" i="17"/>
  <c r="R127" i="17"/>
  <c r="R96" i="17"/>
  <c r="R94" i="17"/>
  <c r="R93" i="17"/>
  <c r="R90" i="17"/>
  <c r="S90" i="17"/>
  <c r="R88" i="17"/>
  <c r="S87" i="17"/>
  <c r="R85" i="17"/>
  <c r="S85" i="17"/>
  <c r="R84" i="17"/>
  <c r="S84" i="17"/>
  <c r="R82" i="17"/>
  <c r="S82" i="17"/>
  <c r="R81" i="17"/>
  <c r="S81" i="17"/>
  <c r="R79" i="17"/>
  <c r="S79" i="17"/>
  <c r="R78" i="17"/>
  <c r="S78" i="17"/>
  <c r="R76" i="17"/>
  <c r="S76" i="17"/>
  <c r="R75" i="17"/>
  <c r="S75" i="17"/>
  <c r="R73" i="17"/>
  <c r="S73" i="17"/>
  <c r="S72" i="17"/>
  <c r="R72" i="17"/>
  <c r="S70" i="17"/>
  <c r="R70" i="17"/>
  <c r="S69" i="17"/>
  <c r="R69" i="17"/>
  <c r="S64" i="17"/>
  <c r="S63" i="17"/>
  <c r="R63" i="17"/>
  <c r="S61" i="17"/>
  <c r="R61" i="17"/>
  <c r="S60" i="17"/>
  <c r="R60" i="17"/>
  <c r="S58" i="17"/>
  <c r="R58" i="17"/>
  <c r="S57" i="17"/>
  <c r="R57" i="17"/>
  <c r="S55" i="17"/>
  <c r="R55" i="17"/>
  <c r="S54" i="17"/>
  <c r="R54" i="17"/>
  <c r="S52" i="17"/>
  <c r="R52" i="17"/>
  <c r="S51" i="17"/>
  <c r="R51" i="17"/>
  <c r="S49" i="17"/>
  <c r="R49" i="17"/>
  <c r="S48" i="17"/>
  <c r="R48" i="17"/>
  <c r="S46" i="17"/>
  <c r="R46" i="17"/>
  <c r="S45" i="17"/>
  <c r="R45" i="17"/>
  <c r="S43" i="17"/>
  <c r="R43" i="17"/>
  <c r="S42" i="17"/>
  <c r="R42" i="17"/>
  <c r="S40" i="17"/>
  <c r="R40" i="17"/>
  <c r="S39" i="17"/>
  <c r="R39" i="17"/>
  <c r="S37" i="17"/>
  <c r="R37" i="17"/>
  <c r="R36" i="17"/>
  <c r="S36" i="17"/>
  <c r="R34" i="17"/>
  <c r="S34" i="17"/>
  <c r="R33" i="17"/>
  <c r="S33" i="17"/>
  <c r="R31" i="17"/>
  <c r="S31" i="17"/>
  <c r="S30" i="17"/>
  <c r="R30" i="17"/>
  <c r="S28" i="17"/>
  <c r="R28" i="17"/>
  <c r="S27" i="17"/>
  <c r="R27" i="17"/>
  <c r="S21" i="17"/>
  <c r="R21" i="17"/>
  <c r="S19" i="17"/>
  <c r="R19" i="17"/>
  <c r="S18" i="17"/>
  <c r="R18" i="17"/>
  <c r="S16" i="17"/>
  <c r="R16" i="17"/>
  <c r="S15" i="17"/>
  <c r="R15" i="17"/>
  <c r="S13" i="17"/>
  <c r="R13" i="17"/>
  <c r="S12" i="17"/>
  <c r="R12" i="17"/>
  <c r="S10" i="17"/>
  <c r="R10" i="17"/>
  <c r="S9" i="17"/>
  <c r="R9" i="17"/>
  <c r="S7" i="17"/>
  <c r="R7" i="17"/>
  <c r="R6" i="17"/>
  <c r="S4" i="17"/>
  <c r="R4" i="17"/>
  <c r="S3" i="17"/>
  <c r="R3" i="17"/>
  <c r="H63" i="5"/>
  <c r="AO63" i="5" s="1"/>
  <c r="H60" i="5"/>
  <c r="AO60" i="5" s="1"/>
  <c r="G60" i="5"/>
  <c r="AN60" i="5" s="1"/>
  <c r="AM50" i="5"/>
  <c r="H50" i="5"/>
  <c r="AO50" i="5" s="1"/>
  <c r="H47" i="5"/>
  <c r="AO47" i="5" s="1"/>
  <c r="AM43" i="5"/>
  <c r="H43" i="5"/>
  <c r="AO43" i="5" s="1"/>
  <c r="H42" i="5"/>
  <c r="AO42" i="5" s="1"/>
  <c r="H37" i="5"/>
  <c r="AO37" i="5" s="1"/>
  <c r="H29" i="5"/>
  <c r="H25" i="5"/>
  <c r="AO25" i="5" s="1"/>
  <c r="AM24" i="5"/>
  <c r="H24" i="5"/>
  <c r="AO24" i="5" s="1"/>
  <c r="AM23" i="5"/>
  <c r="AM21" i="5"/>
  <c r="AM20" i="5"/>
  <c r="H20" i="5"/>
  <c r="AM19" i="5"/>
  <c r="AM15" i="5"/>
  <c r="H15" i="5"/>
  <c r="AO15" i="5" s="1"/>
  <c r="AM11" i="5"/>
  <c r="H11" i="5"/>
  <c r="AO11" i="5" s="1"/>
  <c r="H6" i="5"/>
  <c r="AO6" i="5" s="1"/>
  <c r="P284" i="24"/>
  <c r="N284" i="24" s="1"/>
  <c r="Y284" i="24" s="1"/>
  <c r="Q283" i="24"/>
  <c r="O283" i="24" s="1"/>
  <c r="Z283" i="24" s="1"/>
  <c r="P283" i="24"/>
  <c r="N283" i="24" s="1"/>
  <c r="Y283" i="24" s="1"/>
  <c r="Q282" i="24"/>
  <c r="O282" i="24" s="1"/>
  <c r="Z282" i="24" s="1"/>
  <c r="P280" i="24"/>
  <c r="N280" i="24" s="1"/>
  <c r="Y280" i="24" s="1"/>
  <c r="P278" i="24"/>
  <c r="N278" i="24" s="1"/>
  <c r="Y278" i="24" s="1"/>
  <c r="Q276" i="24"/>
  <c r="O276" i="24" s="1"/>
  <c r="Z276" i="24" s="1"/>
  <c r="P276" i="24"/>
  <c r="N276" i="24" s="1"/>
  <c r="Y276" i="24" s="1"/>
  <c r="Q274" i="24"/>
  <c r="O274" i="24" s="1"/>
  <c r="Z274" i="24" s="1"/>
  <c r="P274" i="24"/>
  <c r="N274" i="24" s="1"/>
  <c r="Y274" i="24" s="1"/>
  <c r="Q272" i="24"/>
  <c r="O272" i="24" s="1"/>
  <c r="Z272" i="24" s="1"/>
  <c r="P272" i="24"/>
  <c r="N272" i="24" s="1"/>
  <c r="Y272" i="24" s="1"/>
  <c r="Q268" i="24"/>
  <c r="O268" i="24" s="1"/>
  <c r="Z268" i="24" s="1"/>
  <c r="P268" i="24"/>
  <c r="N268" i="24" s="1"/>
  <c r="Y268" i="24" s="1"/>
  <c r="Q267" i="24"/>
  <c r="O267" i="24" s="1"/>
  <c r="Z267" i="24" s="1"/>
  <c r="P266" i="24"/>
  <c r="N266" i="24" s="1"/>
  <c r="Y266" i="24" s="1"/>
  <c r="P265" i="24"/>
  <c r="N265" i="24" s="1"/>
  <c r="Y265" i="24" s="1"/>
  <c r="P264" i="24"/>
  <c r="N264" i="24" s="1"/>
  <c r="Y264" i="24" s="1"/>
  <c r="Q265" i="24"/>
  <c r="O265" i="24" s="1"/>
  <c r="Z265" i="24" s="1"/>
  <c r="Q262" i="24"/>
  <c r="O262" i="24" s="1"/>
  <c r="Z262" i="24" s="1"/>
  <c r="P261" i="24"/>
  <c r="N261" i="24" s="1"/>
  <c r="Y261" i="24" s="1"/>
  <c r="Q261" i="24"/>
  <c r="O261" i="24" s="1"/>
  <c r="Z261" i="24" s="1"/>
  <c r="P259" i="24"/>
  <c r="N259" i="24" s="1"/>
  <c r="Y259" i="24" s="1"/>
  <c r="P258" i="24"/>
  <c r="N258" i="24" s="1"/>
  <c r="Y258" i="24" s="1"/>
  <c r="Q259" i="24"/>
  <c r="O259" i="24" s="1"/>
  <c r="Z259" i="24" s="1"/>
  <c r="Q256" i="24"/>
  <c r="O256" i="24" s="1"/>
  <c r="Z256" i="24" s="1"/>
  <c r="P255" i="24"/>
  <c r="N255" i="24" s="1"/>
  <c r="Y255" i="24" s="1"/>
  <c r="Q255" i="24"/>
  <c r="O255" i="24" s="1"/>
  <c r="Z255" i="24" s="1"/>
  <c r="Q251" i="24"/>
  <c r="O251" i="24" s="1"/>
  <c r="Z251" i="24" s="1"/>
  <c r="Q249" i="24"/>
  <c r="O249" i="24" s="1"/>
  <c r="Z249" i="24" s="1"/>
  <c r="P247" i="24"/>
  <c r="N247" i="24" s="1"/>
  <c r="Y247" i="24" s="1"/>
  <c r="Q244" i="24"/>
  <c r="O244" i="24" s="1"/>
  <c r="Z244" i="24" s="1"/>
  <c r="Q241" i="24"/>
  <c r="O241" i="24" s="1"/>
  <c r="Z241" i="24" s="1"/>
  <c r="P240" i="24"/>
  <c r="N240" i="24" s="1"/>
  <c r="Y240" i="24" s="1"/>
  <c r="Q239" i="24"/>
  <c r="O239" i="24" s="1"/>
  <c r="Z239" i="24" s="1"/>
  <c r="P237" i="24"/>
  <c r="N237" i="24" s="1"/>
  <c r="Y237" i="24" s="1"/>
  <c r="Q234" i="24"/>
  <c r="O234" i="24" s="1"/>
  <c r="Z234" i="24" s="1"/>
  <c r="Q232" i="24"/>
  <c r="O232" i="24" s="1"/>
  <c r="Z232" i="24" s="1"/>
  <c r="Q231" i="24"/>
  <c r="O231" i="24" s="1"/>
  <c r="Z231" i="24" s="1"/>
  <c r="P232" i="24"/>
  <c r="N232" i="24" s="1"/>
  <c r="Y232" i="24" s="1"/>
  <c r="Q225" i="24"/>
  <c r="O225" i="24" s="1"/>
  <c r="Z225" i="24" s="1"/>
  <c r="Q223" i="24"/>
  <c r="O223" i="24" s="1"/>
  <c r="Z223" i="24" s="1"/>
  <c r="Q222" i="24"/>
  <c r="O222" i="24" s="1"/>
  <c r="Z222" i="24" s="1"/>
  <c r="P220" i="24"/>
  <c r="N220" i="24" s="1"/>
  <c r="Y220" i="24" s="1"/>
  <c r="Q220" i="24"/>
  <c r="O220" i="24" s="1"/>
  <c r="Z220" i="24" s="1"/>
  <c r="P219" i="24"/>
  <c r="N219" i="24" s="1"/>
  <c r="Y219" i="24" s="1"/>
  <c r="Q221" i="24"/>
  <c r="O221" i="24" s="1"/>
  <c r="Z221" i="24" s="1"/>
  <c r="Q216" i="24"/>
  <c r="O216" i="24" s="1"/>
  <c r="Z216" i="24" s="1"/>
  <c r="P217" i="24"/>
  <c r="N217" i="24" s="1"/>
  <c r="Y217" i="24" s="1"/>
  <c r="P214" i="24"/>
  <c r="N214" i="24" s="1"/>
  <c r="Y214" i="24" s="1"/>
  <c r="Q214" i="24"/>
  <c r="O214" i="24" s="1"/>
  <c r="Z214" i="24" s="1"/>
  <c r="P211" i="24"/>
  <c r="N211" i="24" s="1"/>
  <c r="Y211" i="24" s="1"/>
  <c r="Q211" i="24"/>
  <c r="O211" i="24" s="1"/>
  <c r="Z211" i="24" s="1"/>
  <c r="Q210" i="24"/>
  <c r="O210" i="24" s="1"/>
  <c r="Z210" i="24" s="1"/>
  <c r="P210" i="24"/>
  <c r="N210" i="24" s="1"/>
  <c r="Y210" i="24" s="1"/>
  <c r="Q208" i="24"/>
  <c r="O208" i="24" s="1"/>
  <c r="Z208" i="24" s="1"/>
  <c r="P207" i="24"/>
  <c r="N207" i="24" s="1"/>
  <c r="Y207" i="24" s="1"/>
  <c r="Q206" i="24"/>
  <c r="O206" i="24" s="1"/>
  <c r="Z206" i="24" s="1"/>
  <c r="P205" i="24"/>
  <c r="N205" i="24" s="1"/>
  <c r="Y205" i="24" s="1"/>
  <c r="Q204" i="24"/>
  <c r="O204" i="24" s="1"/>
  <c r="Z204" i="24" s="1"/>
  <c r="Q203" i="24"/>
  <c r="O203" i="24" s="1"/>
  <c r="Z203" i="24" s="1"/>
  <c r="Q202" i="24"/>
  <c r="O202" i="24" s="1"/>
  <c r="Z202" i="24" s="1"/>
  <c r="P202" i="24"/>
  <c r="N202" i="24" s="1"/>
  <c r="Y202" i="24" s="1"/>
  <c r="Q200" i="24"/>
  <c r="O200" i="24" s="1"/>
  <c r="Z200" i="24" s="1"/>
  <c r="Q199" i="24"/>
  <c r="O199" i="24" s="1"/>
  <c r="Z199" i="24" s="1"/>
  <c r="P199" i="24"/>
  <c r="N199" i="24" s="1"/>
  <c r="Y199" i="24" s="1"/>
  <c r="Q196" i="24"/>
  <c r="O196" i="24" s="1"/>
  <c r="Z196" i="24" s="1"/>
  <c r="P196" i="24"/>
  <c r="N196" i="24" s="1"/>
  <c r="Y196" i="24" s="1"/>
  <c r="Q193" i="24"/>
  <c r="O193" i="24" s="1"/>
  <c r="Z193" i="24" s="1"/>
  <c r="P193" i="24"/>
  <c r="N193" i="24" s="1"/>
  <c r="Y193" i="24" s="1"/>
  <c r="P192" i="24"/>
  <c r="N192" i="24" s="1"/>
  <c r="Y192" i="24" s="1"/>
  <c r="Q190" i="24"/>
  <c r="O190" i="24" s="1"/>
  <c r="Z190" i="24" s="1"/>
  <c r="P190" i="24"/>
  <c r="N190" i="24" s="1"/>
  <c r="Y190" i="24" s="1"/>
  <c r="Q188" i="24"/>
  <c r="O188" i="24" s="1"/>
  <c r="Z188" i="24" s="1"/>
  <c r="Q187" i="24"/>
  <c r="O187" i="24" s="1"/>
  <c r="Z187" i="24" s="1"/>
  <c r="P187" i="24"/>
  <c r="N187" i="24" s="1"/>
  <c r="Y187" i="24" s="1"/>
  <c r="Q185" i="24"/>
  <c r="O185" i="24" s="1"/>
  <c r="Z185" i="24" s="1"/>
  <c r="P185" i="24"/>
  <c r="N185" i="24" s="1"/>
  <c r="Y185" i="24" s="1"/>
  <c r="P184" i="24"/>
  <c r="N184" i="24" s="1"/>
  <c r="Y184" i="24" s="1"/>
  <c r="Q183" i="24"/>
  <c r="O183" i="24" s="1"/>
  <c r="Z183" i="24" s="1"/>
  <c r="P183" i="24"/>
  <c r="N183" i="24" s="1"/>
  <c r="Y183" i="24" s="1"/>
  <c r="Q178" i="24"/>
  <c r="O178" i="24" s="1"/>
  <c r="Z178" i="24" s="1"/>
  <c r="P178" i="24"/>
  <c r="N178" i="24" s="1"/>
  <c r="Y178" i="24" s="1"/>
  <c r="Q176" i="24"/>
  <c r="O176" i="24" s="1"/>
  <c r="Z176" i="24" s="1"/>
  <c r="P176" i="24"/>
  <c r="N176" i="24" s="1"/>
  <c r="Y176" i="24" s="1"/>
  <c r="Q171" i="24"/>
  <c r="O171" i="24" s="1"/>
  <c r="Z171" i="24" s="1"/>
  <c r="P174" i="24"/>
  <c r="N174" i="24" s="1"/>
  <c r="Y174" i="24" s="1"/>
  <c r="Q173" i="24"/>
  <c r="O173" i="24" s="1"/>
  <c r="Z173" i="24" s="1"/>
  <c r="P173" i="24"/>
  <c r="N173" i="24" s="1"/>
  <c r="Y173" i="24" s="1"/>
  <c r="Q169" i="24"/>
  <c r="O169" i="24" s="1"/>
  <c r="Z169" i="24" s="1"/>
  <c r="P169" i="24"/>
  <c r="N169" i="24" s="1"/>
  <c r="Y169" i="24" s="1"/>
  <c r="Q165" i="24"/>
  <c r="O165" i="24" s="1"/>
  <c r="Z165" i="24" s="1"/>
  <c r="P165" i="24"/>
  <c r="N165" i="24" s="1"/>
  <c r="Y165" i="24" s="1"/>
  <c r="Q163" i="24"/>
  <c r="O163" i="24" s="1"/>
  <c r="Z163" i="24" s="1"/>
  <c r="P163" i="24"/>
  <c r="N163" i="24" s="1"/>
  <c r="Y163" i="24" s="1"/>
  <c r="Q162" i="24"/>
  <c r="O162" i="24" s="1"/>
  <c r="Z162" i="24" s="1"/>
  <c r="P161" i="24"/>
  <c r="N161" i="24" s="1"/>
  <c r="Y161" i="24" s="1"/>
  <c r="Q160" i="24"/>
  <c r="O160" i="24" s="1"/>
  <c r="Z160" i="24" s="1"/>
  <c r="P160" i="24"/>
  <c r="N160" i="24" s="1"/>
  <c r="Y160" i="24" s="1"/>
  <c r="Q157" i="24"/>
  <c r="O157" i="24" s="1"/>
  <c r="Z157" i="24" s="1"/>
  <c r="P158" i="24"/>
  <c r="N158" i="24" s="1"/>
  <c r="Y158" i="24" s="1"/>
  <c r="P155" i="24"/>
  <c r="N155" i="24" s="1"/>
  <c r="Y155" i="24" s="1"/>
  <c r="P156" i="24"/>
  <c r="N156" i="24" s="1"/>
  <c r="Y156" i="24" s="1"/>
  <c r="Q154" i="24"/>
  <c r="O154" i="24" s="1"/>
  <c r="Z154" i="24" s="1"/>
  <c r="Q152" i="24"/>
  <c r="O152" i="24" s="1"/>
  <c r="Z152" i="24" s="1"/>
  <c r="Q151" i="24"/>
  <c r="O151" i="24" s="1"/>
  <c r="Z151" i="24" s="1"/>
  <c r="Q141" i="24"/>
  <c r="O141" i="24" s="1"/>
  <c r="Z141" i="24" s="1"/>
  <c r="Q138" i="24"/>
  <c r="O138" i="24" s="1"/>
  <c r="Z138" i="24" s="1"/>
  <c r="P139" i="24"/>
  <c r="P140" i="24"/>
  <c r="N140" i="24" s="1"/>
  <c r="Y140" i="24" s="1"/>
  <c r="Q133" i="24"/>
  <c r="O133" i="24" s="1"/>
  <c r="Z133" i="24" s="1"/>
  <c r="P133" i="24"/>
  <c r="N133" i="24" s="1"/>
  <c r="Y133" i="24" s="1"/>
  <c r="P127" i="24"/>
  <c r="N127" i="24" s="1"/>
  <c r="Y127" i="24" s="1"/>
  <c r="Q124" i="24"/>
  <c r="O124" i="24" s="1"/>
  <c r="Z124" i="24" s="1"/>
  <c r="P122" i="24"/>
  <c r="N122" i="24" s="1"/>
  <c r="Y122" i="24" s="1"/>
  <c r="Q120" i="24"/>
  <c r="O120" i="24" s="1"/>
  <c r="Z120" i="24" s="1"/>
  <c r="P120" i="24"/>
  <c r="N120" i="24" s="1"/>
  <c r="Y120" i="24" s="1"/>
  <c r="Q117" i="24"/>
  <c r="O117" i="24" s="1"/>
  <c r="Z117" i="24" s="1"/>
  <c r="P117" i="24"/>
  <c r="N117" i="24" s="1"/>
  <c r="Y117" i="24" s="1"/>
  <c r="Q113" i="24"/>
  <c r="O113" i="24" s="1"/>
  <c r="Z113" i="24" s="1"/>
  <c r="P113" i="24"/>
  <c r="N113" i="24" s="1"/>
  <c r="Y113" i="24" s="1"/>
  <c r="Q111" i="24"/>
  <c r="O111" i="24" s="1"/>
  <c r="Z111" i="24" s="1"/>
  <c r="P111" i="24"/>
  <c r="N111" i="24" s="1"/>
  <c r="Y111" i="24" s="1"/>
  <c r="Q108" i="24"/>
  <c r="O108" i="24" s="1"/>
  <c r="Z108" i="24" s="1"/>
  <c r="P108" i="24"/>
  <c r="N108" i="24" s="1"/>
  <c r="Y108" i="24" s="1"/>
  <c r="Q109" i="24"/>
  <c r="O109" i="24" s="1"/>
  <c r="Z109" i="24" s="1"/>
  <c r="P109" i="24"/>
  <c r="N109" i="24" s="1"/>
  <c r="Y109" i="24" s="1"/>
  <c r="Q105" i="24"/>
  <c r="O105" i="24" s="1"/>
  <c r="Z105" i="24" s="1"/>
  <c r="P105" i="24"/>
  <c r="N105" i="24" s="1"/>
  <c r="Y105" i="24" s="1"/>
  <c r="Q103" i="24"/>
  <c r="O103" i="24" s="1"/>
  <c r="Z103" i="24" s="1"/>
  <c r="P103" i="24"/>
  <c r="N103" i="24" s="1"/>
  <c r="Y103" i="24" s="1"/>
  <c r="Q100" i="24"/>
  <c r="O100" i="24" s="1"/>
  <c r="Z100" i="24" s="1"/>
  <c r="P101" i="24"/>
  <c r="N101" i="24" s="1"/>
  <c r="Y101" i="24" s="1"/>
  <c r="Q96" i="24"/>
  <c r="O96" i="24" s="1"/>
  <c r="Z96" i="24" s="1"/>
  <c r="P97" i="24"/>
  <c r="N97" i="24" s="1"/>
  <c r="Y97" i="24" s="1"/>
  <c r="P94" i="24"/>
  <c r="N94" i="24" s="1"/>
  <c r="Y94" i="24" s="1"/>
  <c r="Q85" i="24"/>
  <c r="O85" i="24" s="1"/>
  <c r="Z85" i="24" s="1"/>
  <c r="P84" i="24"/>
  <c r="N84" i="24" s="1"/>
  <c r="Y84" i="24" s="1"/>
  <c r="Q82" i="24"/>
  <c r="O82" i="24" s="1"/>
  <c r="Z82" i="24" s="1"/>
  <c r="P83" i="24"/>
  <c r="N83" i="24" s="1"/>
  <c r="Y83" i="24" s="1"/>
  <c r="Q79" i="24"/>
  <c r="O79" i="24" s="1"/>
  <c r="Z79" i="24" s="1"/>
  <c r="P79" i="24"/>
  <c r="N79" i="24" s="1"/>
  <c r="Y79" i="24" s="1"/>
  <c r="Q74" i="24"/>
  <c r="O74" i="24" s="1"/>
  <c r="Z74" i="24" s="1"/>
  <c r="P74" i="24"/>
  <c r="N74" i="24" s="1"/>
  <c r="Y74" i="24" s="1"/>
  <c r="Q72" i="24"/>
  <c r="O72" i="24" s="1"/>
  <c r="Z72" i="24" s="1"/>
  <c r="P72" i="24"/>
  <c r="N72" i="24" s="1"/>
  <c r="Y72" i="24" s="1"/>
  <c r="P69" i="24"/>
  <c r="N69" i="24" s="1"/>
  <c r="Y69" i="24" s="1"/>
  <c r="Q63" i="24"/>
  <c r="O63" i="24" s="1"/>
  <c r="Z63" i="24" s="1"/>
  <c r="Q62" i="24"/>
  <c r="O62" i="24" s="1"/>
  <c r="Z62" i="24" s="1"/>
  <c r="P61" i="24"/>
  <c r="N61" i="24" s="1"/>
  <c r="Y61" i="24" s="1"/>
  <c r="P59" i="24"/>
  <c r="N59" i="24" s="1"/>
  <c r="Y59" i="24" s="1"/>
  <c r="Q59" i="24"/>
  <c r="O59" i="24" s="1"/>
  <c r="Z59" i="24" s="1"/>
  <c r="P52" i="24"/>
  <c r="N52" i="24" s="1"/>
  <c r="Y52" i="24" s="1"/>
  <c r="Q55" i="24"/>
  <c r="O55" i="24" s="1"/>
  <c r="Z55" i="24" s="1"/>
  <c r="P55" i="24"/>
  <c r="N55" i="24" s="1"/>
  <c r="Y55" i="24" s="1"/>
  <c r="P44" i="24"/>
  <c r="N44" i="24" s="1"/>
  <c r="Y44" i="24" s="1"/>
  <c r="P38" i="24"/>
  <c r="N38" i="24" s="1"/>
  <c r="Y38" i="24" s="1"/>
  <c r="Q39" i="24"/>
  <c r="O39" i="24" s="1"/>
  <c r="Z39" i="24" s="1"/>
  <c r="P39" i="24"/>
  <c r="N39" i="24" s="1"/>
  <c r="Y39" i="24" s="1"/>
  <c r="Q34" i="24"/>
  <c r="O34" i="24" s="1"/>
  <c r="Z34" i="24" s="1"/>
  <c r="P34" i="24"/>
  <c r="N34" i="24" s="1"/>
  <c r="Y34" i="24" s="1"/>
  <c r="Q30" i="24"/>
  <c r="O30" i="24" s="1"/>
  <c r="Z30" i="24" s="1"/>
  <c r="P30" i="24"/>
  <c r="N30" i="24" s="1"/>
  <c r="Y30" i="24" s="1"/>
  <c r="Q26" i="24"/>
  <c r="O26" i="24" s="1"/>
  <c r="Z26" i="24" s="1"/>
  <c r="P27" i="24"/>
  <c r="N27" i="24" s="1"/>
  <c r="Y27" i="24" s="1"/>
  <c r="Q24" i="24"/>
  <c r="O24" i="24" s="1"/>
  <c r="Z24" i="24" s="1"/>
  <c r="P23" i="24"/>
  <c r="N23" i="24" s="1"/>
  <c r="Y23" i="24" s="1"/>
  <c r="Q21" i="24"/>
  <c r="O21" i="24" s="1"/>
  <c r="Z21" i="24" s="1"/>
  <c r="P19" i="24"/>
  <c r="N19" i="24" s="1"/>
  <c r="Y19" i="24" s="1"/>
  <c r="Q13" i="24"/>
  <c r="O13" i="24" s="1"/>
  <c r="Z13" i="24" s="1"/>
  <c r="Q9" i="24"/>
  <c r="O9" i="24" s="1"/>
  <c r="Z9" i="24" s="1"/>
  <c r="P6" i="24"/>
  <c r="N6" i="24" s="1"/>
  <c r="Y6" i="24" s="1"/>
  <c r="T79" i="15"/>
  <c r="R79" i="15" s="1"/>
  <c r="U75" i="15"/>
  <c r="S75" i="15" s="1"/>
  <c r="U73" i="15"/>
  <c r="S73" i="15" s="1"/>
  <c r="U70" i="15"/>
  <c r="S70" i="15" s="1"/>
  <c r="U67" i="15"/>
  <c r="S67" i="15" s="1"/>
  <c r="U66" i="15"/>
  <c r="S66" i="15" s="1"/>
  <c r="T63" i="15"/>
  <c r="R63" i="15" s="1"/>
  <c r="T58" i="15"/>
  <c r="R58" i="15" s="1"/>
  <c r="U57" i="15"/>
  <c r="S57" i="15" s="1"/>
  <c r="U55" i="15"/>
  <c r="S55" i="15" s="1"/>
  <c r="U54" i="15"/>
  <c r="S54" i="15" s="1"/>
  <c r="T51" i="15"/>
  <c r="R51" i="15" s="1"/>
  <c r="U49" i="15"/>
  <c r="S49" i="15" s="1"/>
  <c r="P173" i="25"/>
  <c r="N173" i="25" s="1"/>
  <c r="Y173" i="25" s="1"/>
  <c r="P171" i="25"/>
  <c r="N171" i="25" s="1"/>
  <c r="Y171" i="25" s="1"/>
  <c r="P162" i="25"/>
  <c r="Q158" i="25"/>
  <c r="O158" i="25" s="1"/>
  <c r="Z158" i="25" s="1"/>
  <c r="P152" i="25"/>
  <c r="N152" i="25" s="1"/>
  <c r="Y152" i="25" s="1"/>
  <c r="P133" i="25"/>
  <c r="N133" i="25" s="1"/>
  <c r="Y133" i="25" s="1"/>
  <c r="Q129" i="25"/>
  <c r="O129" i="25" s="1"/>
  <c r="Z129" i="25" s="1"/>
  <c r="Q125" i="25"/>
  <c r="O125" i="25" s="1"/>
  <c r="Z125" i="25" s="1"/>
  <c r="P125" i="25"/>
  <c r="N125" i="25" s="1"/>
  <c r="Y125" i="25" s="1"/>
  <c r="P123" i="25"/>
  <c r="N123" i="25" s="1"/>
  <c r="Y123" i="25" s="1"/>
  <c r="P121" i="25"/>
  <c r="N121" i="25" s="1"/>
  <c r="Y121" i="25" s="1"/>
  <c r="Q119" i="25"/>
  <c r="O119" i="25" s="1"/>
  <c r="Z119" i="25" s="1"/>
  <c r="P119" i="25"/>
  <c r="N119" i="25" s="1"/>
  <c r="Y119" i="25" s="1"/>
  <c r="P117" i="25"/>
  <c r="N117" i="25" s="1"/>
  <c r="Y117" i="25" s="1"/>
  <c r="P115" i="25"/>
  <c r="N115" i="25" s="1"/>
  <c r="Y115" i="25" s="1"/>
  <c r="P112" i="25"/>
  <c r="N112" i="25" s="1"/>
  <c r="Y112" i="25" s="1"/>
  <c r="Q113" i="25"/>
  <c r="O113" i="25" s="1"/>
  <c r="Z113" i="25" s="1"/>
  <c r="P109" i="25"/>
  <c r="N109" i="25" s="1"/>
  <c r="Y109" i="25" s="1"/>
  <c r="P104" i="25"/>
  <c r="N104" i="25" s="1"/>
  <c r="Y104" i="25" s="1"/>
  <c r="Q102" i="25"/>
  <c r="O102" i="25" s="1"/>
  <c r="Z102" i="25" s="1"/>
  <c r="Q100" i="25"/>
  <c r="O100" i="25" s="1"/>
  <c r="Z100" i="25" s="1"/>
  <c r="Q96" i="25"/>
  <c r="O96" i="25" s="1"/>
  <c r="Z96" i="25" s="1"/>
  <c r="P93" i="25"/>
  <c r="N93" i="25" s="1"/>
  <c r="Y93" i="25" s="1"/>
  <c r="Q94" i="25"/>
  <c r="O94" i="25" s="1"/>
  <c r="Z94" i="25" s="1"/>
  <c r="Q78" i="25"/>
  <c r="O78" i="25" s="1"/>
  <c r="Z78" i="25" s="1"/>
  <c r="P71" i="25"/>
  <c r="N71" i="25" s="1"/>
  <c r="Y71" i="25" s="1"/>
  <c r="Q66" i="25"/>
  <c r="O66" i="25" s="1"/>
  <c r="Z66" i="25" s="1"/>
  <c r="P51" i="25"/>
  <c r="N51" i="25" s="1"/>
  <c r="Y51" i="25" s="1"/>
  <c r="P49" i="25"/>
  <c r="N49" i="25" s="1"/>
  <c r="Y49" i="25" s="1"/>
  <c r="Q42" i="25"/>
  <c r="O42" i="25" s="1"/>
  <c r="Z42" i="25" s="1"/>
  <c r="P43" i="25"/>
  <c r="N43" i="25" s="1"/>
  <c r="Y43" i="25" s="1"/>
  <c r="Q41" i="25"/>
  <c r="O41" i="25" s="1"/>
  <c r="Z41" i="25" s="1"/>
  <c r="Q34" i="25"/>
  <c r="O34" i="25" s="1"/>
  <c r="Z34" i="25" s="1"/>
  <c r="P30" i="25"/>
  <c r="N30" i="25" s="1"/>
  <c r="Y30" i="25" s="1"/>
  <c r="P29" i="25"/>
  <c r="N29" i="25" s="1"/>
  <c r="Y29" i="25" s="1"/>
  <c r="Q25" i="25"/>
  <c r="O25" i="25" s="1"/>
  <c r="Z25" i="25" s="1"/>
  <c r="Q17" i="25"/>
  <c r="O17" i="25" s="1"/>
  <c r="Z17" i="25" s="1"/>
  <c r="P12" i="25"/>
  <c r="N12" i="25" s="1"/>
  <c r="Y12" i="25" s="1"/>
  <c r="Q7" i="25"/>
  <c r="O7" i="25" s="1"/>
  <c r="Z7" i="25" s="1"/>
  <c r="P127" i="27"/>
  <c r="N127" i="27" s="1"/>
  <c r="Y127" i="27" s="1"/>
  <c r="Q126" i="27"/>
  <c r="O126" i="27" s="1"/>
  <c r="Z126" i="27" s="1"/>
  <c r="Q120" i="27"/>
  <c r="O120" i="27" s="1"/>
  <c r="Z120" i="27" s="1"/>
  <c r="P113" i="27"/>
  <c r="N113" i="27" s="1"/>
  <c r="Y113" i="27" s="1"/>
  <c r="P109" i="27"/>
  <c r="N109" i="27" s="1"/>
  <c r="Y109" i="27" s="1"/>
  <c r="Q107" i="27"/>
  <c r="O107" i="27" s="1"/>
  <c r="Z107" i="27" s="1"/>
  <c r="Q106" i="27"/>
  <c r="O106" i="27" s="1"/>
  <c r="Z106" i="27" s="1"/>
  <c r="Q102" i="27"/>
  <c r="O102" i="27" s="1"/>
  <c r="Z102" i="27" s="1"/>
  <c r="P98" i="27"/>
  <c r="N98" i="27" s="1"/>
  <c r="Y98" i="27" s="1"/>
  <c r="P94" i="27"/>
  <c r="N94" i="27" s="1"/>
  <c r="Y94" i="27" s="1"/>
  <c r="P91" i="27"/>
  <c r="N91" i="27" s="1"/>
  <c r="Y91" i="27" s="1"/>
  <c r="P87" i="27"/>
  <c r="N87" i="27" s="1"/>
  <c r="Y87" i="27" s="1"/>
  <c r="P84" i="27"/>
  <c r="N84" i="27" s="1"/>
  <c r="Y84" i="27" s="1"/>
  <c r="P79" i="27"/>
  <c r="N79" i="27" s="1"/>
  <c r="Y79" i="27" s="1"/>
  <c r="Q69" i="27"/>
  <c r="O69" i="27" s="1"/>
  <c r="Z69" i="27" s="1"/>
  <c r="P64" i="27"/>
  <c r="N64" i="27" s="1"/>
  <c r="Y64" i="27" s="1"/>
  <c r="Q64" i="27"/>
  <c r="O64" i="27" s="1"/>
  <c r="Z64" i="27" s="1"/>
  <c r="Q56" i="27"/>
  <c r="O56" i="27" s="1"/>
  <c r="Z56" i="27" s="1"/>
  <c r="P45" i="27"/>
  <c r="N45" i="27" s="1"/>
  <c r="Y45" i="27" s="1"/>
  <c r="P39" i="27"/>
  <c r="N39" i="27" s="1"/>
  <c r="Y39" i="27" s="1"/>
  <c r="Q34" i="27"/>
  <c r="O34" i="27" s="1"/>
  <c r="Z34" i="27" s="1"/>
  <c r="Q32" i="27"/>
  <c r="O32" i="27" s="1"/>
  <c r="Z32" i="27" s="1"/>
  <c r="Q28" i="27"/>
  <c r="O28" i="27" s="1"/>
  <c r="Z28" i="27" s="1"/>
  <c r="P28" i="27"/>
  <c r="N28" i="27" s="1"/>
  <c r="Y28" i="27" s="1"/>
  <c r="Q21" i="27"/>
  <c r="O21" i="27" s="1"/>
  <c r="Z21" i="27" s="1"/>
  <c r="Q19" i="27"/>
  <c r="O19" i="27" s="1"/>
  <c r="Z19" i="27" s="1"/>
  <c r="P13" i="27"/>
  <c r="N13" i="27" s="1"/>
  <c r="Y13" i="27" s="1"/>
  <c r="P9" i="27"/>
  <c r="N9" i="27" s="1"/>
  <c r="Y9" i="27" s="1"/>
  <c r="S45" i="15"/>
  <c r="R45" i="15"/>
  <c r="S43" i="15"/>
  <c r="R43" i="15"/>
  <c r="R42" i="15"/>
  <c r="S42" i="15"/>
  <c r="R40" i="15"/>
  <c r="S40" i="15"/>
  <c r="S39" i="15"/>
  <c r="R37" i="15"/>
  <c r="S37" i="15"/>
  <c r="S34" i="15"/>
  <c r="S33" i="15"/>
  <c r="R33" i="15"/>
  <c r="S31" i="15"/>
  <c r="R31" i="15"/>
  <c r="S30" i="15"/>
  <c r="R30" i="15"/>
  <c r="S28" i="15"/>
  <c r="R28" i="15"/>
  <c r="S27" i="15"/>
  <c r="R27" i="15"/>
  <c r="S25" i="15"/>
  <c r="R25" i="15"/>
  <c r="S24" i="15"/>
  <c r="R24" i="15"/>
  <c r="S22" i="15"/>
  <c r="R22" i="15"/>
  <c r="R21" i="15"/>
  <c r="S21" i="15"/>
  <c r="R19" i="15"/>
  <c r="S19" i="15"/>
  <c r="S18" i="15"/>
  <c r="R18" i="15"/>
  <c r="S16" i="15"/>
  <c r="R16" i="15"/>
  <c r="S15" i="15"/>
  <c r="R15" i="15"/>
  <c r="R13" i="15"/>
  <c r="S13" i="15"/>
  <c r="R12" i="15"/>
  <c r="S12" i="15"/>
  <c r="S10" i="15"/>
  <c r="R10" i="15"/>
  <c r="S9" i="15"/>
  <c r="R9" i="15"/>
  <c r="R7" i="15"/>
  <c r="S7" i="15"/>
  <c r="R6" i="15"/>
  <c r="S6" i="15"/>
  <c r="S4" i="15"/>
  <c r="R4" i="15"/>
  <c r="S3" i="15"/>
  <c r="R3" i="15"/>
  <c r="G62" i="6"/>
  <c r="AN62" i="6" s="1"/>
  <c r="AM60" i="6"/>
  <c r="G59" i="6"/>
  <c r="AN59" i="6" s="1"/>
  <c r="G54" i="6"/>
  <c r="AN54" i="6" s="1"/>
  <c r="H52" i="6"/>
  <c r="AO52" i="6" s="1"/>
  <c r="G50" i="6"/>
  <c r="AN50" i="6" s="1"/>
  <c r="H49" i="6"/>
  <c r="AO49" i="6" s="1"/>
  <c r="G46" i="6"/>
  <c r="AN46" i="6" s="1"/>
  <c r="H44" i="6"/>
  <c r="AO44" i="6" s="1"/>
  <c r="H41" i="6"/>
  <c r="AO41" i="6" s="1"/>
  <c r="G33" i="6"/>
  <c r="AN33" i="6" s="1"/>
  <c r="H20" i="6"/>
  <c r="AO20" i="6" s="1"/>
  <c r="AM19" i="6"/>
  <c r="H17" i="6"/>
  <c r="AO17" i="6" s="1"/>
  <c r="G17" i="6"/>
  <c r="AN17" i="6" s="1"/>
  <c r="AP17" i="6" s="1"/>
  <c r="AM15" i="6"/>
  <c r="H13" i="6"/>
  <c r="AO13" i="6" s="1"/>
  <c r="G13" i="6"/>
  <c r="AN13" i="6" s="1"/>
  <c r="AP13" i="6" s="1"/>
  <c r="H9" i="6"/>
  <c r="AO9" i="6" s="1"/>
  <c r="G9" i="6"/>
  <c r="AN9" i="6" s="1"/>
  <c r="AP9" i="6" s="1"/>
  <c r="AM6" i="6"/>
  <c r="H5" i="6"/>
  <c r="AO5" i="6" s="1"/>
  <c r="G5" i="6"/>
  <c r="AN5" i="6" s="1"/>
  <c r="S124" i="13"/>
  <c r="R124" i="13"/>
  <c r="S123" i="13"/>
  <c r="R123" i="13"/>
  <c r="S121" i="13"/>
  <c r="R121" i="13"/>
  <c r="R120" i="13"/>
  <c r="S120" i="13"/>
  <c r="R118" i="13"/>
  <c r="S118" i="13"/>
  <c r="S117" i="13"/>
  <c r="R117" i="13"/>
  <c r="S115" i="13"/>
  <c r="R115" i="13"/>
  <c r="R114" i="13"/>
  <c r="R112" i="13"/>
  <c r="S111" i="13"/>
  <c r="S109" i="13"/>
  <c r="R108" i="13"/>
  <c r="R106" i="13"/>
  <c r="S105" i="13"/>
  <c r="S103" i="13"/>
  <c r="S102" i="13"/>
  <c r="R102" i="13"/>
  <c r="S100" i="13"/>
  <c r="R100" i="13"/>
  <c r="S99" i="13"/>
  <c r="R99" i="13"/>
  <c r="S97" i="13"/>
  <c r="R97" i="13"/>
  <c r="R96" i="13"/>
  <c r="S96" i="13"/>
  <c r="R94" i="13"/>
  <c r="S94" i="13"/>
  <c r="S93" i="13"/>
  <c r="R93" i="13"/>
  <c r="S91" i="13"/>
  <c r="R91" i="13"/>
  <c r="R90" i="13"/>
  <c r="R88" i="13"/>
  <c r="S87" i="13"/>
  <c r="S85" i="13"/>
  <c r="R84" i="13"/>
  <c r="R82" i="13"/>
  <c r="S81" i="13"/>
  <c r="S79" i="13"/>
  <c r="S78" i="13"/>
  <c r="R78" i="13"/>
  <c r="S76" i="13"/>
  <c r="R76" i="13"/>
  <c r="S75" i="13"/>
  <c r="R75" i="13"/>
  <c r="S73" i="13"/>
  <c r="R73" i="13"/>
  <c r="R72" i="13"/>
  <c r="S72" i="13"/>
  <c r="R70" i="13"/>
  <c r="S70" i="13"/>
  <c r="S69" i="13"/>
  <c r="R69" i="13"/>
  <c r="S67" i="13"/>
  <c r="R67" i="13"/>
  <c r="S66" i="13"/>
  <c r="R66" i="13"/>
  <c r="S64" i="13"/>
  <c r="R64" i="13"/>
  <c r="S63" i="13"/>
  <c r="R63" i="13"/>
  <c r="S61" i="13"/>
  <c r="R61" i="13"/>
  <c r="S60" i="13"/>
  <c r="R60" i="13"/>
  <c r="S58" i="13"/>
  <c r="R58" i="13"/>
  <c r="S57" i="13"/>
  <c r="R57" i="13"/>
  <c r="S55" i="13"/>
  <c r="R55" i="13"/>
  <c r="S54" i="13"/>
  <c r="R54" i="13"/>
  <c r="S52" i="13"/>
  <c r="R52" i="13"/>
  <c r="S51" i="13"/>
  <c r="R51" i="13"/>
  <c r="S49" i="13"/>
  <c r="R49" i="13"/>
  <c r="S48" i="13"/>
  <c r="R48" i="13"/>
  <c r="S46" i="13"/>
  <c r="R46" i="13"/>
  <c r="S45" i="13"/>
  <c r="R45" i="13"/>
  <c r="S43" i="13"/>
  <c r="R43" i="13"/>
  <c r="S42" i="13"/>
  <c r="R42" i="13"/>
  <c r="S40" i="13"/>
  <c r="R40" i="13"/>
  <c r="S39" i="13"/>
  <c r="R39" i="13"/>
  <c r="S37" i="13"/>
  <c r="R37" i="13"/>
  <c r="S36" i="13"/>
  <c r="R36" i="13"/>
  <c r="S34" i="13"/>
  <c r="R34" i="13"/>
  <c r="S33" i="13"/>
  <c r="R33" i="13"/>
  <c r="S31" i="13"/>
  <c r="R31" i="13"/>
  <c r="R30" i="13"/>
  <c r="R28" i="13"/>
  <c r="R27" i="13"/>
  <c r="R25" i="13"/>
  <c r="R24" i="13"/>
  <c r="R22" i="13"/>
  <c r="R21" i="13"/>
  <c r="R19" i="13"/>
  <c r="R18" i="13"/>
  <c r="R16" i="13"/>
  <c r="R15" i="13"/>
  <c r="R13" i="13"/>
  <c r="R12" i="13"/>
  <c r="R10" i="13"/>
  <c r="R9" i="13"/>
  <c r="R7" i="13"/>
  <c r="R6" i="13"/>
  <c r="R4" i="13"/>
  <c r="R3" i="13"/>
  <c r="H62" i="4"/>
  <c r="AO62" i="4" s="1"/>
  <c r="G62" i="4"/>
  <c r="AN62" i="4" s="1"/>
  <c r="AP62" i="4" s="1"/>
  <c r="H59" i="4"/>
  <c r="AO59" i="4" s="1"/>
  <c r="G59" i="4"/>
  <c r="AN59" i="4" s="1"/>
  <c r="AP59" i="4" s="1"/>
  <c r="AM57" i="4"/>
  <c r="H56" i="4"/>
  <c r="AO56" i="4" s="1"/>
  <c r="G56" i="4"/>
  <c r="AN56" i="4" s="1"/>
  <c r="AP56" i="4" s="1"/>
  <c r="H54" i="4"/>
  <c r="AO54" i="4" s="1"/>
  <c r="G54" i="4"/>
  <c r="AN54" i="4" s="1"/>
  <c r="H51" i="4"/>
  <c r="AO51" i="4" s="1"/>
  <c r="G51" i="4"/>
  <c r="AN51" i="4" s="1"/>
  <c r="H48" i="4"/>
  <c r="AO48" i="4" s="1"/>
  <c r="G48" i="4"/>
  <c r="AN48" i="4" s="1"/>
  <c r="AP48" i="4" s="1"/>
  <c r="H41" i="4"/>
  <c r="AO41" i="4" s="1"/>
  <c r="G41" i="4"/>
  <c r="AN41" i="4" s="1"/>
  <c r="AM39" i="4"/>
  <c r="H38" i="4"/>
  <c r="AO38" i="4" s="1"/>
  <c r="G38" i="4"/>
  <c r="AN38" i="4" s="1"/>
  <c r="H35" i="4"/>
  <c r="AO35" i="4" s="1"/>
  <c r="G35" i="4"/>
  <c r="AN35" i="4" s="1"/>
  <c r="G30" i="4"/>
  <c r="AN30" i="4" s="1"/>
  <c r="H28" i="4"/>
  <c r="AO28" i="4" s="1"/>
  <c r="AM27" i="4"/>
  <c r="AM25" i="4"/>
  <c r="AM24" i="4"/>
  <c r="H24" i="4"/>
  <c r="AO24" i="4" s="1"/>
  <c r="G24" i="4"/>
  <c r="AN24" i="4" s="1"/>
  <c r="H21" i="4"/>
  <c r="AO21" i="4" s="1"/>
  <c r="G21" i="4"/>
  <c r="AN21" i="4" s="1"/>
  <c r="H18" i="4"/>
  <c r="AO18" i="4" s="1"/>
  <c r="G18" i="4"/>
  <c r="AN18" i="4" s="1"/>
  <c r="AP18" i="4" s="1"/>
  <c r="H15" i="4"/>
  <c r="AO15" i="4" s="1"/>
  <c r="G15" i="4"/>
  <c r="AN15" i="4" s="1"/>
  <c r="AM14" i="4"/>
  <c r="AM12" i="4"/>
  <c r="AM9" i="4"/>
  <c r="AM5" i="4"/>
  <c r="S247" i="12"/>
  <c r="R247" i="12"/>
  <c r="S246" i="12"/>
  <c r="S244" i="12"/>
  <c r="R244" i="12"/>
  <c r="S243" i="12"/>
  <c r="R241" i="12"/>
  <c r="S240" i="12"/>
  <c r="R240" i="12"/>
  <c r="S238" i="12"/>
  <c r="R238" i="12"/>
  <c r="S237" i="12"/>
  <c r="R237" i="12"/>
  <c r="S235" i="12"/>
  <c r="R235" i="12"/>
  <c r="R234" i="12"/>
  <c r="R232" i="12"/>
  <c r="R231" i="12"/>
  <c r="R229" i="12"/>
  <c r="R228" i="12"/>
  <c r="R226" i="12"/>
  <c r="R225" i="12"/>
  <c r="R223" i="12"/>
  <c r="R222" i="12"/>
  <c r="R220" i="12"/>
  <c r="R219" i="12"/>
  <c r="R217" i="12"/>
  <c r="S216" i="12"/>
  <c r="S214" i="12"/>
  <c r="S213" i="12"/>
  <c r="S211" i="12"/>
  <c r="S210" i="12"/>
  <c r="S208" i="12"/>
  <c r="S207" i="12"/>
  <c r="S205" i="12"/>
  <c r="S204" i="12"/>
  <c r="S202" i="12"/>
  <c r="S201" i="12"/>
  <c r="S199" i="12"/>
  <c r="R198" i="12"/>
  <c r="R196" i="12"/>
  <c r="R195" i="12"/>
  <c r="R193" i="12"/>
  <c r="R192" i="12"/>
  <c r="S192" i="12"/>
  <c r="R190" i="12"/>
  <c r="S190" i="12"/>
  <c r="R189" i="12"/>
  <c r="S189" i="12"/>
  <c r="R187" i="12"/>
  <c r="S187" i="12"/>
  <c r="R186" i="12"/>
  <c r="S186" i="12"/>
  <c r="R184" i="12"/>
  <c r="S184" i="12"/>
  <c r="R183" i="12"/>
  <c r="S183" i="12"/>
  <c r="R181" i="12"/>
  <c r="S181" i="12"/>
  <c r="S180" i="12"/>
  <c r="R180" i="12"/>
  <c r="S178" i="12"/>
  <c r="R178" i="12"/>
  <c r="S177" i="12"/>
  <c r="R177" i="12"/>
  <c r="S175" i="12"/>
  <c r="R175" i="12"/>
  <c r="S174" i="12"/>
  <c r="R174" i="12"/>
  <c r="S172" i="12"/>
  <c r="R172" i="12"/>
  <c r="S171" i="12"/>
  <c r="R171" i="12"/>
  <c r="S169" i="12"/>
  <c r="R169" i="12"/>
  <c r="S168" i="12"/>
  <c r="R168" i="12"/>
  <c r="S166" i="12"/>
  <c r="R166" i="12"/>
  <c r="S165" i="12"/>
  <c r="R165" i="12"/>
  <c r="S163" i="12"/>
  <c r="R163" i="12"/>
  <c r="S162" i="12"/>
  <c r="R162" i="12"/>
  <c r="S160" i="12"/>
  <c r="R160" i="12"/>
  <c r="S159" i="12"/>
  <c r="R159" i="12"/>
  <c r="S157" i="12"/>
  <c r="R157" i="12"/>
  <c r="S156" i="12"/>
  <c r="R156" i="12"/>
  <c r="S154" i="12"/>
  <c r="R154" i="12"/>
  <c r="S153" i="12"/>
  <c r="R153" i="12"/>
  <c r="S151" i="12"/>
  <c r="R151" i="12"/>
  <c r="S150" i="12"/>
  <c r="R150" i="12"/>
  <c r="S148" i="12"/>
  <c r="R148" i="12"/>
  <c r="S147" i="12"/>
  <c r="R147" i="12"/>
  <c r="S145" i="12"/>
  <c r="R145" i="12"/>
  <c r="S144" i="12"/>
  <c r="R144" i="12"/>
  <c r="S142" i="12"/>
  <c r="R142" i="12"/>
  <c r="S141" i="12"/>
  <c r="R141" i="12"/>
  <c r="S139" i="12"/>
  <c r="R139" i="12"/>
  <c r="S138" i="12"/>
  <c r="R138" i="12"/>
  <c r="S136" i="12"/>
  <c r="R136" i="12"/>
  <c r="S135" i="12"/>
  <c r="R135" i="12"/>
  <c r="S133" i="12"/>
  <c r="R133" i="12"/>
  <c r="S132" i="12"/>
  <c r="R132" i="12"/>
  <c r="S130" i="12"/>
  <c r="R130" i="12"/>
  <c r="S129" i="12"/>
  <c r="R129" i="12"/>
  <c r="S127" i="12"/>
  <c r="R127" i="12"/>
  <c r="R126" i="12"/>
  <c r="S126" i="12"/>
  <c r="R124" i="12"/>
  <c r="S124" i="12"/>
  <c r="R123" i="12"/>
  <c r="S123" i="12"/>
  <c r="R121" i="12"/>
  <c r="S121" i="12"/>
  <c r="R120" i="12"/>
  <c r="S120" i="12"/>
  <c r="R118" i="12"/>
  <c r="S118" i="12"/>
  <c r="R117" i="12"/>
  <c r="S117" i="12"/>
  <c r="R115" i="12"/>
  <c r="S115" i="12"/>
  <c r="R114" i="12"/>
  <c r="S114" i="12"/>
  <c r="R112" i="12"/>
  <c r="S112" i="12"/>
  <c r="R111" i="12"/>
  <c r="S111" i="12"/>
  <c r="R109" i="12"/>
  <c r="S109" i="12"/>
  <c r="R108" i="12"/>
  <c r="S108" i="12"/>
  <c r="R106" i="12"/>
  <c r="S106" i="12"/>
  <c r="R105" i="12"/>
  <c r="S105" i="12"/>
  <c r="R103" i="12"/>
  <c r="S103" i="12"/>
  <c r="R102" i="12"/>
  <c r="S102" i="12"/>
  <c r="R100" i="12"/>
  <c r="S100" i="12"/>
  <c r="R99" i="12"/>
  <c r="S99" i="12"/>
  <c r="R97" i="12"/>
  <c r="S97" i="12"/>
  <c r="S96" i="12"/>
  <c r="R96" i="12"/>
  <c r="S94" i="12"/>
  <c r="R94" i="12"/>
  <c r="R93" i="12"/>
  <c r="S88" i="12"/>
  <c r="R88" i="12"/>
  <c r="S87" i="12"/>
  <c r="R87" i="12"/>
  <c r="S85" i="12"/>
  <c r="R85" i="12"/>
  <c r="R84" i="12"/>
  <c r="S84" i="12"/>
  <c r="R82" i="12"/>
  <c r="S82" i="12"/>
  <c r="S81" i="12"/>
  <c r="R81" i="12"/>
  <c r="S79" i="12"/>
  <c r="R79" i="12"/>
  <c r="S78" i="12"/>
  <c r="R78" i="12"/>
  <c r="S76" i="12"/>
  <c r="R76" i="12"/>
  <c r="S75" i="12"/>
  <c r="R75" i="12"/>
  <c r="S73" i="12"/>
  <c r="R73" i="12"/>
  <c r="S72" i="12"/>
  <c r="R72" i="12"/>
  <c r="S70" i="12"/>
  <c r="R70" i="12"/>
  <c r="S69" i="12"/>
  <c r="R69" i="12"/>
  <c r="S67" i="12"/>
  <c r="R67" i="12"/>
  <c r="R66" i="12"/>
  <c r="S63" i="12"/>
  <c r="R63" i="12"/>
  <c r="S61" i="12"/>
  <c r="R61" i="12"/>
  <c r="S60" i="12"/>
  <c r="R60" i="12"/>
  <c r="S58" i="12"/>
  <c r="R58" i="12"/>
  <c r="S57" i="12"/>
  <c r="R57" i="12"/>
  <c r="S55" i="12"/>
  <c r="R55" i="12"/>
  <c r="S54" i="12"/>
  <c r="R54" i="12"/>
  <c r="S52" i="12"/>
  <c r="R52" i="12"/>
  <c r="S51" i="12"/>
  <c r="R51" i="12"/>
  <c r="S49" i="12"/>
  <c r="R49" i="12"/>
  <c r="S48" i="12"/>
  <c r="R48" i="12"/>
  <c r="S46" i="12"/>
  <c r="R46" i="12"/>
  <c r="S45" i="12"/>
  <c r="R45" i="12"/>
  <c r="S43" i="12"/>
  <c r="R43" i="12"/>
  <c r="S42" i="12"/>
  <c r="R42" i="12"/>
  <c r="S40" i="12"/>
  <c r="R40" i="12"/>
  <c r="R39" i="12"/>
  <c r="R37" i="12"/>
  <c r="R36" i="12"/>
  <c r="R34" i="12"/>
  <c r="R33" i="12"/>
  <c r="S31" i="12"/>
  <c r="R31" i="12"/>
  <c r="S30" i="12"/>
  <c r="R30" i="12"/>
  <c r="S28" i="12"/>
  <c r="R28" i="12"/>
  <c r="S27" i="12"/>
  <c r="R27" i="12"/>
  <c r="S25" i="12"/>
  <c r="R25" i="12"/>
  <c r="S24" i="12"/>
  <c r="R24" i="12"/>
  <c r="S22" i="12"/>
  <c r="R22" i="12"/>
  <c r="S21" i="12"/>
  <c r="R21" i="12"/>
  <c r="S19" i="12"/>
  <c r="R19" i="12"/>
  <c r="S18" i="12"/>
  <c r="R18" i="12"/>
  <c r="S16" i="12"/>
  <c r="R16" i="12"/>
  <c r="S15" i="12"/>
  <c r="R15" i="12"/>
  <c r="S13" i="12"/>
  <c r="R13" i="12"/>
  <c r="R12" i="12"/>
  <c r="S12" i="12"/>
  <c r="R10" i="12"/>
  <c r="S10" i="12"/>
  <c r="R9" i="12"/>
  <c r="S9" i="12"/>
  <c r="S6" i="12"/>
  <c r="R6" i="12"/>
  <c r="S4" i="12"/>
  <c r="R4" i="12"/>
  <c r="S3" i="12"/>
  <c r="R3" i="12"/>
  <c r="H65" i="3"/>
  <c r="AO65" i="3" s="1"/>
  <c r="G65" i="3"/>
  <c r="AN65" i="3" s="1"/>
  <c r="AO64" i="3"/>
  <c r="AN64" i="3"/>
  <c r="H63" i="3"/>
  <c r="AO63" i="3" s="1"/>
  <c r="G63" i="3"/>
  <c r="AN63" i="3" s="1"/>
  <c r="AM62" i="3"/>
  <c r="AM59" i="3"/>
  <c r="AM55" i="3"/>
  <c r="H53" i="3"/>
  <c r="AO53" i="3" s="1"/>
  <c r="G51" i="3"/>
  <c r="AN51" i="3" s="1"/>
  <c r="H50" i="3"/>
  <c r="AO50" i="3" s="1"/>
  <c r="G30" i="3"/>
  <c r="AM21" i="3"/>
  <c r="AM18" i="3"/>
  <c r="AM10" i="3"/>
  <c r="AM7" i="3"/>
  <c r="H7" i="3"/>
  <c r="AO7" i="3" s="1"/>
  <c r="S121" i="11"/>
  <c r="R121" i="11"/>
  <c r="S120" i="11"/>
  <c r="R120" i="11"/>
  <c r="S118" i="11"/>
  <c r="R117" i="11"/>
  <c r="S117" i="11"/>
  <c r="S112" i="11"/>
  <c r="S111" i="11"/>
  <c r="R111" i="11"/>
  <c r="S109" i="11"/>
  <c r="R109" i="11"/>
  <c r="S108" i="11"/>
  <c r="R108" i="11"/>
  <c r="S106" i="11"/>
  <c r="R106" i="11"/>
  <c r="S105" i="11"/>
  <c r="R105" i="11"/>
  <c r="S103" i="11"/>
  <c r="R103" i="11"/>
  <c r="S102" i="11"/>
  <c r="R102" i="11"/>
  <c r="S100" i="11"/>
  <c r="R100" i="11"/>
  <c r="S99" i="11"/>
  <c r="R99" i="11"/>
  <c r="S97" i="11"/>
  <c r="R97" i="11"/>
  <c r="S96" i="11"/>
  <c r="R96" i="11"/>
  <c r="S94" i="11"/>
  <c r="R94" i="11"/>
  <c r="S93" i="11"/>
  <c r="R93" i="11"/>
  <c r="S91" i="11"/>
  <c r="R91" i="11"/>
  <c r="R90" i="11"/>
  <c r="S90" i="11"/>
  <c r="R88" i="11"/>
  <c r="S88" i="11"/>
  <c r="S87" i="11"/>
  <c r="R87" i="11"/>
  <c r="S85" i="11"/>
  <c r="R85" i="11"/>
  <c r="S84" i="11"/>
  <c r="R84" i="11"/>
  <c r="S82" i="11"/>
  <c r="S81" i="11"/>
  <c r="S79" i="11"/>
  <c r="R79" i="11"/>
  <c r="S78" i="11"/>
  <c r="R78" i="11"/>
  <c r="S76" i="11"/>
  <c r="R76" i="11"/>
  <c r="R75" i="11"/>
  <c r="S75" i="11"/>
  <c r="R73" i="11"/>
  <c r="S72" i="11"/>
  <c r="R72" i="11"/>
  <c r="S70" i="11"/>
  <c r="R69" i="11"/>
  <c r="S67" i="11"/>
  <c r="R67" i="11"/>
  <c r="S66" i="11"/>
  <c r="R66" i="11"/>
  <c r="S64" i="11"/>
  <c r="R64" i="11"/>
  <c r="S63" i="11"/>
  <c r="R63" i="11"/>
  <c r="S61" i="11"/>
  <c r="R61" i="11"/>
  <c r="S60" i="11"/>
  <c r="R60" i="11"/>
  <c r="S58" i="11"/>
  <c r="R58" i="11"/>
  <c r="R57" i="11"/>
  <c r="S57" i="11"/>
  <c r="R55" i="11"/>
  <c r="S55" i="11"/>
  <c r="R54" i="11"/>
  <c r="S54" i="11"/>
  <c r="R52" i="11"/>
  <c r="S52" i="11"/>
  <c r="S51" i="11"/>
  <c r="R51" i="11"/>
  <c r="S49" i="11"/>
  <c r="R49" i="11"/>
  <c r="S48" i="11"/>
  <c r="R48" i="11"/>
  <c r="S46" i="11"/>
  <c r="R46" i="11"/>
  <c r="S45" i="11"/>
  <c r="R45" i="11"/>
  <c r="S43" i="11"/>
  <c r="R43" i="11"/>
  <c r="S42" i="11"/>
  <c r="R42" i="11"/>
  <c r="S40" i="11"/>
  <c r="R40" i="11"/>
  <c r="S39" i="11"/>
  <c r="R39" i="11"/>
  <c r="S37" i="11"/>
  <c r="R37" i="11"/>
  <c r="S36" i="11"/>
  <c r="R36" i="11"/>
  <c r="S34" i="11"/>
  <c r="R34" i="11"/>
  <c r="S33" i="11"/>
  <c r="R33" i="11"/>
  <c r="S31" i="11"/>
  <c r="R31" i="11"/>
  <c r="S30" i="11"/>
  <c r="R30" i="11"/>
  <c r="S27" i="11"/>
  <c r="R27" i="11"/>
  <c r="S25" i="11"/>
  <c r="R25" i="11"/>
  <c r="S24" i="11"/>
  <c r="R24" i="11"/>
  <c r="S22" i="11"/>
  <c r="R22" i="11"/>
  <c r="S21" i="11"/>
  <c r="R21" i="11"/>
  <c r="S19" i="11"/>
  <c r="R19" i="11"/>
  <c r="S18" i="11"/>
  <c r="R18" i="11"/>
  <c r="S16" i="11"/>
  <c r="R16" i="11"/>
  <c r="S15" i="11"/>
  <c r="R15" i="11"/>
  <c r="S13" i="11"/>
  <c r="R13" i="11"/>
  <c r="S12" i="11"/>
  <c r="R12" i="11"/>
  <c r="S10" i="11"/>
  <c r="R10" i="11"/>
  <c r="S9" i="11"/>
  <c r="R9" i="11"/>
  <c r="S6" i="11"/>
  <c r="R6" i="11"/>
  <c r="S4" i="11"/>
  <c r="R4" i="11"/>
  <c r="S3" i="11"/>
  <c r="R3" i="11"/>
  <c r="AM63" i="2"/>
  <c r="G63" i="2"/>
  <c r="AN63" i="2" s="1"/>
  <c r="H61" i="2"/>
  <c r="AO61" i="2" s="1"/>
  <c r="G61" i="2"/>
  <c r="AN61" i="2" s="1"/>
  <c r="AP61" i="2" s="1"/>
  <c r="AM59" i="2"/>
  <c r="G59" i="2"/>
  <c r="AN59" i="2" s="1"/>
  <c r="AM55" i="2"/>
  <c r="G55" i="2"/>
  <c r="AN55" i="2" s="1"/>
  <c r="H49" i="2"/>
  <c r="AO49" i="2" s="1"/>
  <c r="G49" i="2"/>
  <c r="AN49" i="2" s="1"/>
  <c r="AP49" i="2" s="1"/>
  <c r="G47" i="2"/>
  <c r="AN47" i="2" s="1"/>
  <c r="AM45" i="2"/>
  <c r="G30" i="2"/>
  <c r="AN30" i="2" s="1"/>
  <c r="H27" i="2"/>
  <c r="AO27" i="2" s="1"/>
  <c r="H24" i="2"/>
  <c r="AO24" i="2" s="1"/>
  <c r="P158" i="25"/>
  <c r="N158" i="25" s="1"/>
  <c r="Y158" i="25" s="1"/>
  <c r="P150" i="25"/>
  <c r="N150" i="25" s="1"/>
  <c r="Y150" i="25" s="1"/>
  <c r="Q147" i="25"/>
  <c r="O147" i="25" s="1"/>
  <c r="Z147" i="25" s="1"/>
  <c r="Q138" i="25"/>
  <c r="O138" i="25" s="1"/>
  <c r="Z138" i="25" s="1"/>
  <c r="P131" i="25"/>
  <c r="N131" i="25" s="1"/>
  <c r="Y131" i="25" s="1"/>
  <c r="P127" i="25"/>
  <c r="N127" i="25" s="1"/>
  <c r="Y127" i="25" s="1"/>
  <c r="Q123" i="25"/>
  <c r="O123" i="25" s="1"/>
  <c r="Z123" i="25" s="1"/>
  <c r="Q108" i="25"/>
  <c r="O108" i="25" s="1"/>
  <c r="Z108" i="25" s="1"/>
  <c r="Q84" i="25"/>
  <c r="O84" i="25" s="1"/>
  <c r="Z84" i="25" s="1"/>
  <c r="Q82" i="25"/>
  <c r="O82" i="25" s="1"/>
  <c r="Z82" i="25" s="1"/>
  <c r="Q80" i="25"/>
  <c r="O80" i="25" s="1"/>
  <c r="Z80" i="25" s="1"/>
  <c r="Q74" i="25"/>
  <c r="O74" i="25" s="1"/>
  <c r="Z74" i="25" s="1"/>
  <c r="Q72" i="25"/>
  <c r="O72" i="25" s="1"/>
  <c r="Z72" i="25" s="1"/>
  <c r="Q55" i="25"/>
  <c r="O55" i="25" s="1"/>
  <c r="Z55" i="25" s="1"/>
  <c r="Q51" i="25"/>
  <c r="O51" i="25" s="1"/>
  <c r="Z51" i="25" s="1"/>
  <c r="P45" i="25"/>
  <c r="N45" i="25" s="1"/>
  <c r="Y45" i="25" s="1"/>
  <c r="Q19" i="25"/>
  <c r="O19" i="25" s="1"/>
  <c r="Z19" i="25" s="1"/>
  <c r="Q14" i="25"/>
  <c r="Q4" i="25"/>
  <c r="O4" i="25" s="1"/>
  <c r="Z4" i="25" s="1"/>
  <c r="P130" i="27"/>
  <c r="N130" i="27" s="1"/>
  <c r="Y130" i="27" s="1"/>
  <c r="Q128" i="27"/>
  <c r="O128" i="27" s="1"/>
  <c r="Z128" i="27" s="1"/>
  <c r="P120" i="27"/>
  <c r="N120" i="27" s="1"/>
  <c r="Y120" i="27" s="1"/>
  <c r="P116" i="27"/>
  <c r="N116" i="27" s="1"/>
  <c r="Y116" i="27" s="1"/>
  <c r="Q99" i="27"/>
  <c r="O99" i="27" s="1"/>
  <c r="Z99" i="27" s="1"/>
  <c r="P99" i="27"/>
  <c r="N99" i="27" s="1"/>
  <c r="Y99" i="27" s="1"/>
  <c r="P89" i="27"/>
  <c r="N89" i="27" s="1"/>
  <c r="Y89" i="27" s="1"/>
  <c r="Q87" i="27"/>
  <c r="O87" i="27" s="1"/>
  <c r="Z87" i="27" s="1"/>
  <c r="Q84" i="27"/>
  <c r="O84" i="27" s="1"/>
  <c r="Z84" i="27" s="1"/>
  <c r="P83" i="27"/>
  <c r="N83" i="27" s="1"/>
  <c r="Y83" i="27" s="1"/>
  <c r="P81" i="27"/>
  <c r="N81" i="27" s="1"/>
  <c r="Y81" i="27" s="1"/>
  <c r="Q75" i="27"/>
  <c r="O75" i="27" s="1"/>
  <c r="Z75" i="27" s="1"/>
  <c r="Q70" i="27"/>
  <c r="O70" i="27" s="1"/>
  <c r="Z70" i="27" s="1"/>
  <c r="Q62" i="27"/>
  <c r="O62" i="27" s="1"/>
  <c r="Z62" i="27" s="1"/>
  <c r="P52" i="27"/>
  <c r="Q51" i="27"/>
  <c r="O51" i="27" s="1"/>
  <c r="Z51" i="27" s="1"/>
  <c r="Q45" i="27"/>
  <c r="O45" i="27" s="1"/>
  <c r="Z45" i="27" s="1"/>
  <c r="Q41" i="27"/>
  <c r="O41" i="27" s="1"/>
  <c r="Z41" i="27" s="1"/>
  <c r="P34" i="27"/>
  <c r="N34" i="27" s="1"/>
  <c r="Y34" i="27" s="1"/>
  <c r="P23" i="27"/>
  <c r="N23" i="27" s="1"/>
  <c r="Y23" i="27" s="1"/>
  <c r="P22" i="27"/>
  <c r="N22" i="27" s="1"/>
  <c r="Y22" i="27" s="1"/>
  <c r="P21" i="27"/>
  <c r="N21" i="27" s="1"/>
  <c r="Y21" i="27" s="1"/>
  <c r="P15" i="27"/>
  <c r="N15" i="27" s="1"/>
  <c r="Y15" i="27" s="1"/>
  <c r="AM27" i="2"/>
  <c r="AM26" i="2"/>
  <c r="G24" i="2"/>
  <c r="H19" i="2"/>
  <c r="AM18" i="2"/>
  <c r="AM12" i="2"/>
  <c r="H7" i="2"/>
  <c r="AO7" i="2" s="1"/>
  <c r="P167" i="25"/>
  <c r="N167" i="25" s="1"/>
  <c r="Y167" i="25" s="1"/>
  <c r="Q165" i="25"/>
  <c r="O165" i="25" s="1"/>
  <c r="Z165" i="25" s="1"/>
  <c r="Q164" i="25"/>
  <c r="Q162" i="25"/>
  <c r="P153" i="25"/>
  <c r="N153" i="25" s="1"/>
  <c r="Y153" i="25" s="1"/>
  <c r="P148" i="25"/>
  <c r="N148" i="25" s="1"/>
  <c r="Y148" i="25" s="1"/>
  <c r="P137" i="25"/>
  <c r="N137" i="25" s="1"/>
  <c r="Y137" i="25" s="1"/>
  <c r="Q133" i="25"/>
  <c r="O133" i="25" s="1"/>
  <c r="Z133" i="25" s="1"/>
  <c r="Q127" i="25"/>
  <c r="O127" i="25" s="1"/>
  <c r="Z127" i="25" s="1"/>
  <c r="Q121" i="25"/>
  <c r="O121" i="25" s="1"/>
  <c r="Z121" i="25" s="1"/>
  <c r="Q117" i="25"/>
  <c r="O117" i="25" s="1"/>
  <c r="Z117" i="25" s="1"/>
  <c r="Q115" i="25"/>
  <c r="O115" i="25" s="1"/>
  <c r="Z115" i="25" s="1"/>
  <c r="P108" i="25"/>
  <c r="N108" i="25" s="1"/>
  <c r="Y108" i="25" s="1"/>
  <c r="P105" i="25"/>
  <c r="N105" i="25" s="1"/>
  <c r="Y105" i="25" s="1"/>
  <c r="Q106" i="25"/>
  <c r="O106" i="25" s="1"/>
  <c r="Z106" i="25" s="1"/>
  <c r="P101" i="25"/>
  <c r="N101" i="25" s="1"/>
  <c r="Y101" i="25" s="1"/>
  <c r="P97" i="25"/>
  <c r="N97" i="25" s="1"/>
  <c r="Y97" i="25" s="1"/>
  <c r="Q98" i="25"/>
  <c r="O98" i="25" s="1"/>
  <c r="Z98" i="25" s="1"/>
  <c r="P96" i="25"/>
  <c r="N96" i="25" s="1"/>
  <c r="Y96" i="25" s="1"/>
  <c r="Q90" i="25"/>
  <c r="O90" i="25" s="1"/>
  <c r="Z90" i="25" s="1"/>
  <c r="Q86" i="25"/>
  <c r="O86" i="25" s="1"/>
  <c r="Z86" i="25" s="1"/>
  <c r="Q70" i="25"/>
  <c r="O70" i="25" s="1"/>
  <c r="Z70" i="25" s="1"/>
  <c r="Q68" i="25"/>
  <c r="O68" i="25" s="1"/>
  <c r="Z68" i="25" s="1"/>
  <c r="Q62" i="25"/>
  <c r="O62" i="25" s="1"/>
  <c r="Z62" i="25" s="1"/>
  <c r="P59" i="25"/>
  <c r="N59" i="25" s="1"/>
  <c r="Y59" i="25" s="1"/>
  <c r="P58" i="25"/>
  <c r="N58" i="25" s="1"/>
  <c r="Y58" i="25" s="1"/>
  <c r="P57" i="25"/>
  <c r="N57" i="25" s="1"/>
  <c r="Y57" i="25" s="1"/>
  <c r="P53" i="25"/>
  <c r="N53" i="25" s="1"/>
  <c r="Y53" i="25" s="1"/>
  <c r="Q49" i="25"/>
  <c r="O49" i="25" s="1"/>
  <c r="Z49" i="25" s="1"/>
  <c r="P47" i="25"/>
  <c r="N47" i="25" s="1"/>
  <c r="Y47" i="25" s="1"/>
  <c r="P41" i="25"/>
  <c r="N41" i="25" s="1"/>
  <c r="Y41" i="25" s="1"/>
  <c r="Q35" i="25"/>
  <c r="O35" i="25" s="1"/>
  <c r="Z35" i="25" s="1"/>
  <c r="P31" i="25"/>
  <c r="N31" i="25" s="1"/>
  <c r="Y31" i="25" s="1"/>
  <c r="P22" i="25"/>
  <c r="N22" i="25" s="1"/>
  <c r="Y22" i="25" s="1"/>
  <c r="Q13" i="25"/>
  <c r="O13" i="25" s="1"/>
  <c r="Z13" i="25" s="1"/>
  <c r="P122" i="27"/>
  <c r="N122" i="27" s="1"/>
  <c r="Y122" i="27" s="1"/>
  <c r="Q110" i="27"/>
  <c r="O110" i="27" s="1"/>
  <c r="Z110" i="27" s="1"/>
  <c r="P107" i="27"/>
  <c r="N107" i="27" s="1"/>
  <c r="Y107" i="27" s="1"/>
  <c r="P102" i="27"/>
  <c r="N102" i="27" s="1"/>
  <c r="Y102" i="27" s="1"/>
  <c r="Q100" i="27"/>
  <c r="O100" i="27" s="1"/>
  <c r="Z100" i="27" s="1"/>
  <c r="Q88" i="27"/>
  <c r="O88" i="27" s="1"/>
  <c r="Z88" i="27" s="1"/>
  <c r="Q80" i="27"/>
  <c r="O80" i="27" s="1"/>
  <c r="Z80" i="27" s="1"/>
  <c r="P77" i="27"/>
  <c r="N77" i="27" s="1"/>
  <c r="Y77" i="27" s="1"/>
  <c r="P75" i="27"/>
  <c r="N75" i="27" s="1"/>
  <c r="Y75" i="27" s="1"/>
  <c r="P66" i="27"/>
  <c r="N66" i="27" s="1"/>
  <c r="Y66" i="27" s="1"/>
  <c r="Q66" i="27"/>
  <c r="O66" i="27" s="1"/>
  <c r="Z66" i="27" s="1"/>
  <c r="P62" i="27"/>
  <c r="N62" i="27" s="1"/>
  <c r="Y62" i="27" s="1"/>
  <c r="Q58" i="27"/>
  <c r="O58" i="27" s="1"/>
  <c r="Z58" i="27" s="1"/>
  <c r="P51" i="27"/>
  <c r="N51" i="27" s="1"/>
  <c r="Y51" i="27" s="1"/>
  <c r="Q49" i="27"/>
  <c r="O49" i="27" s="1"/>
  <c r="Z49" i="27" s="1"/>
  <c r="P49" i="27"/>
  <c r="N49" i="27" s="1"/>
  <c r="Y49" i="27" s="1"/>
  <c r="P47" i="27"/>
  <c r="N47" i="27" s="1"/>
  <c r="Y47" i="27" s="1"/>
  <c r="Q39" i="27"/>
  <c r="O39" i="27" s="1"/>
  <c r="Z39" i="27" s="1"/>
  <c r="Q37" i="27"/>
  <c r="O37" i="27" s="1"/>
  <c r="Z37" i="27" s="1"/>
  <c r="P32" i="27"/>
  <c r="N32" i="27" s="1"/>
  <c r="Y32" i="27" s="1"/>
  <c r="P27" i="27"/>
  <c r="N27" i="27" s="1"/>
  <c r="Y27" i="27" s="1"/>
  <c r="P19" i="27"/>
  <c r="N19" i="27" s="1"/>
  <c r="Y19" i="27" s="1"/>
  <c r="Q14" i="27"/>
  <c r="O14" i="27" s="1"/>
  <c r="Z14" i="27" s="1"/>
  <c r="P11" i="27"/>
  <c r="N11" i="27" s="1"/>
  <c r="Y11" i="27" s="1"/>
  <c r="Q7" i="27"/>
  <c r="O7" i="27" s="1"/>
  <c r="Z7" i="27" s="1"/>
  <c r="Q5" i="27"/>
  <c r="O5" i="27" s="1"/>
  <c r="Z5" i="27" s="1"/>
  <c r="S3" i="16"/>
  <c r="R3" i="16"/>
  <c r="J67" i="7"/>
  <c r="L66" i="7"/>
  <c r="K66" i="7"/>
  <c r="H37" i="7"/>
  <c r="AO37" i="7" s="1"/>
  <c r="AM37" i="7"/>
  <c r="AM36" i="7"/>
  <c r="AR36" i="7"/>
  <c r="H36" i="7"/>
  <c r="AO36" i="7" s="1"/>
  <c r="G36" i="7"/>
  <c r="AN36" i="7" s="1"/>
  <c r="AP36" i="7" s="1"/>
  <c r="AM33" i="7"/>
  <c r="AR33" i="7"/>
  <c r="G33" i="7"/>
  <c r="AN33" i="7" s="1"/>
  <c r="AP33" i="7" s="1"/>
  <c r="AR31" i="7"/>
  <c r="H31" i="7"/>
  <c r="AO31" i="7" s="1"/>
  <c r="AM30" i="7"/>
  <c r="AR30" i="7"/>
  <c r="AM28" i="7"/>
  <c r="AR28" i="7"/>
  <c r="H28" i="7"/>
  <c r="AO28" i="7" s="1"/>
  <c r="G28" i="7"/>
  <c r="AN28" i="7" s="1"/>
  <c r="AR27" i="7"/>
  <c r="H27" i="7"/>
  <c r="AO27" i="7" s="1"/>
  <c r="AM26" i="7"/>
  <c r="AR26" i="7"/>
  <c r="G26" i="7"/>
  <c r="AR24" i="7"/>
  <c r="H24" i="7"/>
  <c r="AO24" i="7" s="1"/>
  <c r="AM23" i="7"/>
  <c r="AR23" i="7"/>
  <c r="AR21" i="7"/>
  <c r="H21" i="7"/>
  <c r="AO21" i="7" s="1"/>
  <c r="G18" i="7"/>
  <c r="AR18" i="7"/>
  <c r="H18" i="7"/>
  <c r="AO18" i="7" s="1"/>
  <c r="H16" i="7"/>
  <c r="AO16" i="7" s="1"/>
  <c r="AM16" i="7"/>
  <c r="AM15" i="7"/>
  <c r="AR15" i="7"/>
  <c r="H15" i="7"/>
  <c r="AO15" i="7" s="1"/>
  <c r="G15" i="7"/>
  <c r="AN15" i="7" s="1"/>
  <c r="AP15" i="7" s="1"/>
  <c r="AM10" i="7"/>
  <c r="AR10" i="7"/>
  <c r="H10" i="7"/>
  <c r="AO10" i="7" s="1"/>
  <c r="G10" i="7"/>
  <c r="AN10" i="7" s="1"/>
  <c r="AM6" i="7"/>
  <c r="AR6" i="7"/>
  <c r="H6" i="7"/>
  <c r="G6" i="7"/>
  <c r="AN6" i="7" s="1"/>
  <c r="AR5" i="7"/>
  <c r="H5" i="7"/>
  <c r="AO5" i="7" s="1"/>
  <c r="G5" i="7"/>
  <c r="AN5" i="7" s="1"/>
  <c r="AP5" i="7" s="1"/>
  <c r="A5" i="7"/>
  <c r="B7" i="7"/>
  <c r="X12" i="10"/>
  <c r="Y12" i="10"/>
  <c r="S12" i="10"/>
  <c r="T12" i="10"/>
  <c r="E12" i="10"/>
  <c r="D12" i="10"/>
  <c r="AM65" i="22"/>
  <c r="H65" i="22"/>
  <c r="AO65" i="22" s="1"/>
  <c r="AR63" i="22"/>
  <c r="AM63" i="22"/>
  <c r="H63" i="22"/>
  <c r="AO63" i="22" s="1"/>
  <c r="G63" i="22"/>
  <c r="AN63" i="22" s="1"/>
  <c r="AP63" i="22" s="1"/>
  <c r="AM61" i="22"/>
  <c r="AR61" i="22"/>
  <c r="H61" i="22"/>
  <c r="AO61" i="22" s="1"/>
  <c r="G61" i="22"/>
  <c r="AN61" i="22" s="1"/>
  <c r="H60" i="22"/>
  <c r="AO60" i="22" s="1"/>
  <c r="AR60" i="22"/>
  <c r="G60" i="22"/>
  <c r="AN60" i="22" s="1"/>
  <c r="H59" i="22"/>
  <c r="AO59" i="22" s="1"/>
  <c r="AM59" i="22"/>
  <c r="AM58" i="22"/>
  <c r="H58" i="22"/>
  <c r="AO58" i="22" s="1"/>
  <c r="H57" i="22"/>
  <c r="AO57" i="22" s="1"/>
  <c r="AM57" i="22"/>
  <c r="AR56" i="22"/>
  <c r="H56" i="22"/>
  <c r="AR55" i="22"/>
  <c r="AM55" i="22"/>
  <c r="H55" i="22"/>
  <c r="AO55" i="22" s="1"/>
  <c r="G55" i="22"/>
  <c r="AN55" i="22" s="1"/>
  <c r="AM53" i="22"/>
  <c r="AR53" i="22"/>
  <c r="H53" i="22"/>
  <c r="AO53" i="22" s="1"/>
  <c r="G53" i="22"/>
  <c r="H52" i="22"/>
  <c r="AO52" i="22" s="1"/>
  <c r="AR52" i="22"/>
  <c r="G52" i="22"/>
  <c r="AN52" i="22" s="1"/>
  <c r="AP52" i="22" s="1"/>
  <c r="H51" i="22"/>
  <c r="AO51" i="22" s="1"/>
  <c r="AM51" i="22"/>
  <c r="AM50" i="22"/>
  <c r="H50" i="22"/>
  <c r="AO50" i="22" s="1"/>
  <c r="H49" i="22"/>
  <c r="AO49" i="22" s="1"/>
  <c r="AM49" i="22"/>
  <c r="AR48" i="22"/>
  <c r="H48" i="22"/>
  <c r="AO48" i="22" s="1"/>
  <c r="AR47" i="22"/>
  <c r="AM47" i="22"/>
  <c r="H47" i="22"/>
  <c r="AO47" i="22" s="1"/>
  <c r="G47" i="22"/>
  <c r="AN47" i="22" s="1"/>
  <c r="AM45" i="22"/>
  <c r="AR45" i="22"/>
  <c r="H45" i="22"/>
  <c r="AO45" i="22" s="1"/>
  <c r="G45" i="22"/>
  <c r="H44" i="22"/>
  <c r="AO44" i="22" s="1"/>
  <c r="AR44" i="22"/>
  <c r="G44" i="22"/>
  <c r="AN44" i="22" s="1"/>
  <c r="H43" i="22"/>
  <c r="AO43" i="22" s="1"/>
  <c r="AM43" i="22"/>
  <c r="AM42" i="22"/>
  <c r="H42" i="22"/>
  <c r="AO42" i="22" s="1"/>
  <c r="H41" i="22"/>
  <c r="AO41" i="22" s="1"/>
  <c r="AM41" i="22"/>
  <c r="AR40" i="22"/>
  <c r="H40" i="22"/>
  <c r="AO40" i="22" s="1"/>
  <c r="G40" i="22"/>
  <c r="AN40" i="22" s="1"/>
  <c r="AP40" i="22" s="1"/>
  <c r="AR39" i="22"/>
  <c r="AM39" i="22"/>
  <c r="H39" i="22"/>
  <c r="AO39" i="22" s="1"/>
  <c r="G39" i="22"/>
  <c r="AN39" i="22" s="1"/>
  <c r="AP39" i="22" s="1"/>
  <c r="AM37" i="22"/>
  <c r="AR37" i="22"/>
  <c r="H37" i="22"/>
  <c r="AO37" i="22" s="1"/>
  <c r="G37" i="22"/>
  <c r="AN37" i="22" s="1"/>
  <c r="AP37" i="22" s="1"/>
  <c r="AR36" i="22"/>
  <c r="G36" i="22"/>
  <c r="AN36" i="22" s="1"/>
  <c r="AM34" i="22"/>
  <c r="H34" i="22"/>
  <c r="AO34" i="22" s="1"/>
  <c r="H33" i="22"/>
  <c r="AO33" i="22" s="1"/>
  <c r="AM33" i="22"/>
  <c r="AR31" i="22"/>
  <c r="H31" i="22"/>
  <c r="AR30" i="22"/>
  <c r="G30" i="22"/>
  <c r="AR23" i="22"/>
  <c r="AM23" i="22"/>
  <c r="H23" i="22"/>
  <c r="AO23" i="22" s="1"/>
  <c r="G23" i="22"/>
  <c r="AN23" i="22" s="1"/>
  <c r="AM21" i="22"/>
  <c r="AR21" i="22"/>
  <c r="H21" i="22"/>
  <c r="AO21" i="22" s="1"/>
  <c r="AR20" i="22"/>
  <c r="G20" i="22"/>
  <c r="S72" i="20"/>
  <c r="R72" i="20"/>
  <c r="S70" i="20"/>
  <c r="R70" i="20"/>
  <c r="H65" i="19"/>
  <c r="G65" i="19"/>
  <c r="H63" i="19"/>
  <c r="G63" i="19"/>
  <c r="H61" i="19"/>
  <c r="G61" i="19"/>
  <c r="AR59" i="19"/>
  <c r="AM59" i="19"/>
  <c r="H59" i="19"/>
  <c r="AO59" i="19" s="1"/>
  <c r="G59" i="19"/>
  <c r="AN59" i="19" s="1"/>
  <c r="AP59" i="19" s="1"/>
  <c r="AM58" i="19"/>
  <c r="AR58" i="19"/>
  <c r="H58" i="19"/>
  <c r="AO58" i="19" s="1"/>
  <c r="G58" i="19"/>
  <c r="AN58" i="19" s="1"/>
  <c r="AR56" i="19"/>
  <c r="H56" i="19"/>
  <c r="AO56" i="19" s="1"/>
  <c r="G56" i="19"/>
  <c r="AN56" i="19" s="1"/>
  <c r="AP56" i="19" s="1"/>
  <c r="AR55" i="19"/>
  <c r="AM55" i="19"/>
  <c r="H55" i="19"/>
  <c r="AO55" i="19" s="1"/>
  <c r="G55" i="19"/>
  <c r="AN55" i="19" s="1"/>
  <c r="AP55" i="19" s="1"/>
  <c r="AM54" i="19"/>
  <c r="AR54" i="19"/>
  <c r="H54" i="19"/>
  <c r="AO54" i="19" s="1"/>
  <c r="G54" i="19"/>
  <c r="AN54" i="19" s="1"/>
  <c r="AR52" i="19"/>
  <c r="AM52" i="19"/>
  <c r="H52" i="19"/>
  <c r="AO52" i="19" s="1"/>
  <c r="G52" i="19"/>
  <c r="AN52" i="19" s="1"/>
  <c r="AP52" i="19" s="1"/>
  <c r="AM51" i="19"/>
  <c r="AR51" i="19"/>
  <c r="H51" i="19"/>
  <c r="AO51" i="19" s="1"/>
  <c r="G51" i="19"/>
  <c r="AN51" i="19" s="1"/>
  <c r="AR49" i="19"/>
  <c r="AM49" i="19"/>
  <c r="H49" i="19"/>
  <c r="AO49" i="19" s="1"/>
  <c r="G49" i="19"/>
  <c r="AN49" i="19" s="1"/>
  <c r="AM48" i="19"/>
  <c r="AR48" i="19"/>
  <c r="H48" i="19"/>
  <c r="AO48" i="19" s="1"/>
  <c r="G48" i="19"/>
  <c r="AN48" i="19" s="1"/>
  <c r="AM46" i="19"/>
  <c r="AR46" i="19"/>
  <c r="H46" i="19"/>
  <c r="AO46" i="19" s="1"/>
  <c r="G46" i="19"/>
  <c r="AN46" i="19" s="1"/>
  <c r="AM45" i="19"/>
  <c r="AR45" i="19"/>
  <c r="H45" i="19"/>
  <c r="AO45" i="19" s="1"/>
  <c r="G45" i="19"/>
  <c r="AN45" i="19" s="1"/>
  <c r="AM43" i="19"/>
  <c r="AR43" i="19"/>
  <c r="H43" i="19"/>
  <c r="AO43" i="19" s="1"/>
  <c r="G43" i="19"/>
  <c r="AN43" i="19" s="1"/>
  <c r="AP43" i="19" s="1"/>
  <c r="H42" i="19"/>
  <c r="AO42" i="19" s="1"/>
  <c r="AR42" i="19"/>
  <c r="G42" i="19"/>
  <c r="AN42" i="19" s="1"/>
  <c r="AM40" i="19"/>
  <c r="AR40" i="19"/>
  <c r="H40" i="19"/>
  <c r="AO40" i="19" s="1"/>
  <c r="G40" i="19"/>
  <c r="AN40" i="19" s="1"/>
  <c r="H39" i="19"/>
  <c r="AO39" i="19" s="1"/>
  <c r="AR39" i="19"/>
  <c r="AR38" i="19"/>
  <c r="AM38" i="19"/>
  <c r="H38" i="19"/>
  <c r="AO38" i="19" s="1"/>
  <c r="AM37" i="19"/>
  <c r="AR37" i="19"/>
  <c r="H37" i="19"/>
  <c r="AO37" i="19" s="1"/>
  <c r="G37" i="19"/>
  <c r="AN37" i="19" s="1"/>
  <c r="AP37" i="19" s="1"/>
  <c r="G35" i="19"/>
  <c r="AN35" i="19" s="1"/>
  <c r="AR35" i="19"/>
  <c r="AM35" i="19"/>
  <c r="H35" i="19"/>
  <c r="AO35" i="19" s="1"/>
  <c r="AM34" i="19"/>
  <c r="AR34" i="19"/>
  <c r="H34" i="19"/>
  <c r="AO34" i="19" s="1"/>
  <c r="G34" i="19"/>
  <c r="AN34" i="19" s="1"/>
  <c r="AP34" i="19" s="1"/>
  <c r="AR28" i="19"/>
  <c r="G28" i="19"/>
  <c r="AR27" i="19"/>
  <c r="H27" i="19"/>
  <c r="AO27" i="19" s="1"/>
  <c r="G27" i="19"/>
  <c r="H17" i="19"/>
  <c r="AO17" i="19" s="1"/>
  <c r="G17" i="19"/>
  <c r="AN17" i="19" s="1"/>
  <c r="AP17" i="19" s="1"/>
  <c r="H16" i="19"/>
  <c r="AO16" i="19" s="1"/>
  <c r="AR16" i="19"/>
  <c r="G16" i="19"/>
  <c r="AN16" i="19" s="1"/>
  <c r="AP16" i="19" s="1"/>
  <c r="AR14" i="19"/>
  <c r="H14" i="19"/>
  <c r="AO14" i="19" s="1"/>
  <c r="G14" i="19"/>
  <c r="AN14" i="19" s="1"/>
  <c r="H13" i="19"/>
  <c r="AO13" i="19" s="1"/>
  <c r="AM13" i="19"/>
  <c r="AM12" i="19"/>
  <c r="AR12" i="19"/>
  <c r="H12" i="19"/>
  <c r="AO12" i="19" s="1"/>
  <c r="G12" i="19"/>
  <c r="AN12" i="19" s="1"/>
  <c r="AM11" i="19"/>
  <c r="AR11" i="19"/>
  <c r="G11" i="19"/>
  <c r="AN11" i="19" s="1"/>
  <c r="H10" i="19"/>
  <c r="AO10" i="19" s="1"/>
  <c r="G10" i="19"/>
  <c r="AN10" i="19" s="1"/>
  <c r="AR9" i="19"/>
  <c r="AM9" i="19"/>
  <c r="AM7" i="19"/>
  <c r="AR7" i="19"/>
  <c r="H7" i="19"/>
  <c r="AO7" i="19" s="1"/>
  <c r="G7" i="19"/>
  <c r="AN7" i="19" s="1"/>
  <c r="H5" i="19"/>
  <c r="AO5" i="19" s="1"/>
  <c r="AM5" i="19"/>
  <c r="AM63" i="8"/>
  <c r="AR63" i="8"/>
  <c r="H63" i="8"/>
  <c r="AO63" i="8" s="1"/>
  <c r="AR62" i="8"/>
  <c r="AM62" i="8"/>
  <c r="G62" i="8"/>
  <c r="AN62" i="8" s="1"/>
  <c r="AR61" i="8"/>
  <c r="AM61" i="8"/>
  <c r="H61" i="8"/>
  <c r="AO61" i="8" s="1"/>
  <c r="AM60" i="8"/>
  <c r="AR60" i="8"/>
  <c r="H60" i="8"/>
  <c r="AO60" i="8" s="1"/>
  <c r="G58" i="8"/>
  <c r="AN58" i="8" s="1"/>
  <c r="AR58" i="8"/>
  <c r="AM58" i="8"/>
  <c r="H58" i="8"/>
  <c r="AO58" i="8" s="1"/>
  <c r="AM57" i="8"/>
  <c r="AR57" i="8"/>
  <c r="H57" i="8"/>
  <c r="AO57" i="8" s="1"/>
  <c r="AR55" i="8"/>
  <c r="AM55" i="8"/>
  <c r="AR54" i="8"/>
  <c r="AM54" i="8"/>
  <c r="H54" i="8"/>
  <c r="AO54" i="8" s="1"/>
  <c r="AM53" i="8"/>
  <c r="AR53" i="8"/>
  <c r="H53" i="8"/>
  <c r="AO53" i="8" s="1"/>
  <c r="AR52" i="8"/>
  <c r="AM52" i="8"/>
  <c r="G52" i="8"/>
  <c r="AN52" i="8" s="1"/>
  <c r="AR51" i="8"/>
  <c r="AM51" i="8"/>
  <c r="H51" i="8"/>
  <c r="AO51" i="8" s="1"/>
  <c r="AM50" i="8"/>
  <c r="AR50" i="8"/>
  <c r="H50" i="8"/>
  <c r="AO50" i="8" s="1"/>
  <c r="G48" i="8"/>
  <c r="AN48" i="8" s="1"/>
  <c r="AR48" i="8"/>
  <c r="AM48" i="8"/>
  <c r="H48" i="8"/>
  <c r="AO48" i="8" s="1"/>
  <c r="AP48" i="8" s="1"/>
  <c r="AM47" i="8"/>
  <c r="AR47" i="8"/>
  <c r="H47" i="8"/>
  <c r="AO47" i="8" s="1"/>
  <c r="H45" i="8"/>
  <c r="AO45" i="8" s="1"/>
  <c r="AR45" i="8"/>
  <c r="G45" i="8"/>
  <c r="AN45" i="8" s="1"/>
  <c r="AP45" i="8" s="1"/>
  <c r="AM44" i="8"/>
  <c r="AR44" i="8"/>
  <c r="H44" i="8"/>
  <c r="AO44" i="8" s="1"/>
  <c r="H42" i="8"/>
  <c r="AO42" i="8" s="1"/>
  <c r="AR42" i="8"/>
  <c r="G42" i="8"/>
  <c r="AN42" i="8" s="1"/>
  <c r="G41" i="8"/>
  <c r="AN41" i="8" s="1"/>
  <c r="AR41" i="8"/>
  <c r="AR40" i="8"/>
  <c r="AM40" i="8"/>
  <c r="AR39" i="8"/>
  <c r="AM39" i="8"/>
  <c r="H39" i="8"/>
  <c r="AO39" i="8" s="1"/>
  <c r="AM38" i="8"/>
  <c r="AR38" i="8"/>
  <c r="H38" i="8"/>
  <c r="AO38" i="8" s="1"/>
  <c r="AR37" i="8"/>
  <c r="AM37" i="8"/>
  <c r="AR36" i="8"/>
  <c r="AM36" i="8"/>
  <c r="H36" i="8"/>
  <c r="AO36" i="8" s="1"/>
  <c r="AM35" i="8"/>
  <c r="AR35" i="8"/>
  <c r="H35" i="8"/>
  <c r="AO35" i="8" s="1"/>
  <c r="G33" i="8"/>
  <c r="H33" i="8"/>
  <c r="AO33" i="8" s="1"/>
  <c r="G19" i="8"/>
  <c r="AN19" i="8" s="1"/>
  <c r="H19" i="8"/>
  <c r="AR19" i="8"/>
  <c r="AM18" i="8"/>
  <c r="AR18" i="8"/>
  <c r="H17" i="8"/>
  <c r="AO17" i="8" s="1"/>
  <c r="AM17" i="8"/>
  <c r="AM16" i="8"/>
  <c r="G16" i="8"/>
  <c r="AN16" i="8" s="1"/>
  <c r="H16" i="8"/>
  <c r="AO16" i="8" s="1"/>
  <c r="AR16" i="8"/>
  <c r="H14" i="8"/>
  <c r="AO14" i="8" s="1"/>
  <c r="AM14" i="8"/>
  <c r="AM10" i="8"/>
  <c r="G10" i="8"/>
  <c r="AN10" i="8" s="1"/>
  <c r="H10" i="8"/>
  <c r="AO10" i="8" s="1"/>
  <c r="AR10" i="8"/>
  <c r="AM9" i="8"/>
  <c r="AR9" i="8"/>
  <c r="AR7" i="8"/>
  <c r="H7" i="8"/>
  <c r="AO7" i="8" s="1"/>
  <c r="AR6" i="8"/>
  <c r="H6" i="8"/>
  <c r="AO6" i="8" s="1"/>
  <c r="G6" i="8"/>
  <c r="AN6" i="8" s="1"/>
  <c r="A6" i="8"/>
  <c r="B8" i="8"/>
  <c r="AM5" i="8"/>
  <c r="AR5" i="8"/>
  <c r="G5" i="8"/>
  <c r="AN5" i="8" s="1"/>
  <c r="A7" i="8"/>
  <c r="B9" i="8"/>
  <c r="S186" i="17"/>
  <c r="R186" i="17"/>
  <c r="R162" i="17"/>
  <c r="S162" i="17"/>
  <c r="R160" i="17"/>
  <c r="S160" i="17"/>
  <c r="S159" i="17"/>
  <c r="R159" i="17"/>
  <c r="S157" i="17"/>
  <c r="R157" i="17"/>
  <c r="R126" i="17"/>
  <c r="S126" i="17"/>
  <c r="R124" i="17"/>
  <c r="S124" i="17"/>
  <c r="S123" i="17"/>
  <c r="R123" i="17"/>
  <c r="R121" i="17"/>
  <c r="S121" i="17"/>
  <c r="R120" i="17"/>
  <c r="S120" i="17"/>
  <c r="S118" i="17"/>
  <c r="R118" i="17"/>
  <c r="S117" i="17"/>
  <c r="R117" i="17"/>
  <c r="S115" i="17"/>
  <c r="R115" i="17"/>
  <c r="S114" i="17"/>
  <c r="R114" i="17"/>
  <c r="S112" i="17"/>
  <c r="R112" i="17"/>
  <c r="S111" i="17"/>
  <c r="R111" i="17"/>
  <c r="R109" i="17"/>
  <c r="S109" i="17"/>
  <c r="S108" i="17"/>
  <c r="R108" i="17"/>
  <c r="S106" i="17"/>
  <c r="R106" i="17"/>
  <c r="S105" i="17"/>
  <c r="R105" i="17"/>
  <c r="S103" i="17"/>
  <c r="R103" i="17"/>
  <c r="S102" i="17"/>
  <c r="R102" i="17"/>
  <c r="S100" i="17"/>
  <c r="R100" i="17"/>
  <c r="S99" i="17"/>
  <c r="R99" i="17"/>
  <c r="S97" i="17"/>
  <c r="R97" i="17"/>
  <c r="S91" i="17"/>
  <c r="R91" i="17"/>
  <c r="S67" i="17"/>
  <c r="R67" i="17"/>
  <c r="S25" i="17"/>
  <c r="R25" i="17"/>
  <c r="R22" i="17"/>
  <c r="S22" i="17"/>
  <c r="H65" i="5"/>
  <c r="AO65" i="5" s="1"/>
  <c r="G63" i="5"/>
  <c r="AN63" i="5" s="1"/>
  <c r="AR61" i="5"/>
  <c r="H61" i="5"/>
  <c r="AO61" i="5" s="1"/>
  <c r="AM61" i="5"/>
  <c r="AM60" i="5"/>
  <c r="AR60" i="5"/>
  <c r="AR59" i="5"/>
  <c r="AM59" i="5"/>
  <c r="AM58" i="5"/>
  <c r="AR58" i="5"/>
  <c r="H58" i="5"/>
  <c r="AO58" i="5" s="1"/>
  <c r="G58" i="5"/>
  <c r="AN58" i="5" s="1"/>
  <c r="AP58" i="5" s="1"/>
  <c r="AM54" i="5"/>
  <c r="AR54" i="5"/>
  <c r="H54" i="5"/>
  <c r="AO54" i="5" s="1"/>
  <c r="G54" i="5"/>
  <c r="AN54" i="5" s="1"/>
  <c r="AR52" i="5"/>
  <c r="H52" i="5"/>
  <c r="AO52" i="5" s="1"/>
  <c r="G51" i="5"/>
  <c r="AN51" i="5" s="1"/>
  <c r="AR51" i="5"/>
  <c r="H51" i="5"/>
  <c r="AO51" i="5" s="1"/>
  <c r="H48" i="5"/>
  <c r="AO48" i="5" s="1"/>
  <c r="AR48" i="5"/>
  <c r="AM48" i="5"/>
  <c r="G48" i="5"/>
  <c r="AN48" i="5" s="1"/>
  <c r="AR47" i="5"/>
  <c r="AM47" i="5"/>
  <c r="G47" i="5"/>
  <c r="AN47" i="5" s="1"/>
  <c r="AM45" i="5"/>
  <c r="H45" i="5"/>
  <c r="AO45" i="5" s="1"/>
  <c r="AR42" i="5"/>
  <c r="AM42" i="5"/>
  <c r="G42" i="5"/>
  <c r="AN42" i="5" s="1"/>
  <c r="H38" i="5"/>
  <c r="AO38" i="5" s="1"/>
  <c r="AR38" i="5"/>
  <c r="AM38" i="5"/>
  <c r="AN38" i="5"/>
  <c r="G37" i="5"/>
  <c r="AN37" i="5" s="1"/>
  <c r="AR37" i="5"/>
  <c r="AM37" i="5"/>
  <c r="G36" i="5"/>
  <c r="AN36" i="5" s="1"/>
  <c r="H36" i="5"/>
  <c r="AO36" i="5" s="1"/>
  <c r="AM36" i="5"/>
  <c r="AR36" i="5"/>
  <c r="AR33" i="5"/>
  <c r="AM33" i="5"/>
  <c r="G33" i="5"/>
  <c r="AN33" i="5" s="1"/>
  <c r="G29" i="5"/>
  <c r="AR29" i="5"/>
  <c r="AR24" i="5"/>
  <c r="G24" i="5"/>
  <c r="AN24" i="5" s="1"/>
  <c r="H23" i="5"/>
  <c r="AR23" i="5"/>
  <c r="G23" i="5"/>
  <c r="AN23" i="5" s="1"/>
  <c r="AR21" i="5"/>
  <c r="H21" i="5"/>
  <c r="AO21" i="5" s="1"/>
  <c r="H19" i="5"/>
  <c r="AO19" i="5" s="1"/>
  <c r="AR19" i="5"/>
  <c r="G19" i="5"/>
  <c r="AM14" i="5"/>
  <c r="H14" i="5"/>
  <c r="AO14" i="5" s="1"/>
  <c r="G14" i="5"/>
  <c r="AN14" i="5" s="1"/>
  <c r="AR14" i="5"/>
  <c r="AM13" i="5"/>
  <c r="AR13" i="5"/>
  <c r="H13" i="5"/>
  <c r="AO13" i="5" s="1"/>
  <c r="G13" i="5"/>
  <c r="AN13" i="5" s="1"/>
  <c r="AR12" i="5"/>
  <c r="H12" i="5"/>
  <c r="AO12" i="5" s="1"/>
  <c r="AM12" i="5"/>
  <c r="AM10" i="5"/>
  <c r="H10" i="5"/>
  <c r="AO10" i="5" s="1"/>
  <c r="G6" i="5"/>
  <c r="AN6" i="5" s="1"/>
  <c r="AM6" i="5"/>
  <c r="AR6" i="5"/>
  <c r="Q277" i="24"/>
  <c r="O277" i="24" s="1"/>
  <c r="Z277" i="24" s="1"/>
  <c r="Q275" i="24"/>
  <c r="O275" i="24" s="1"/>
  <c r="Z275" i="24" s="1"/>
  <c r="Q248" i="24"/>
  <c r="O248" i="24" s="1"/>
  <c r="Z248" i="24" s="1"/>
  <c r="Q247" i="24"/>
  <c r="O247" i="24" s="1"/>
  <c r="Z247" i="24" s="1"/>
  <c r="P92" i="24"/>
  <c r="N92" i="24" s="1"/>
  <c r="Y92" i="24" s="1"/>
  <c r="P90" i="24"/>
  <c r="N90" i="24" s="1"/>
  <c r="Y90" i="24" s="1"/>
  <c r="AR63" i="6"/>
  <c r="H63" i="6"/>
  <c r="AO63" i="6" s="1"/>
  <c r="AM63" i="6"/>
  <c r="H62" i="6"/>
  <c r="AO62" i="6" s="1"/>
  <c r="AR62" i="6"/>
  <c r="AM62" i="6"/>
  <c r="H60" i="6"/>
  <c r="AO60" i="6" s="1"/>
  <c r="G60" i="6"/>
  <c r="AN60" i="6" s="1"/>
  <c r="AP60" i="6" s="1"/>
  <c r="AR60" i="6"/>
  <c r="H58" i="6"/>
  <c r="AO58" i="6" s="1"/>
  <c r="AM58" i="6"/>
  <c r="AM57" i="6"/>
  <c r="AR57" i="6"/>
  <c r="G57" i="6"/>
  <c r="AN57" i="6" s="1"/>
  <c r="AR55" i="6"/>
  <c r="H55" i="6"/>
  <c r="AO55" i="6" s="1"/>
  <c r="AM54" i="6"/>
  <c r="AR54" i="6"/>
  <c r="AN52" i="6"/>
  <c r="AM52" i="6"/>
  <c r="AR52" i="6"/>
  <c r="AR50" i="6"/>
  <c r="H50" i="6"/>
  <c r="AO50" i="6" s="1"/>
  <c r="AM50" i="6"/>
  <c r="H48" i="6"/>
  <c r="AO48" i="6" s="1"/>
  <c r="AR48" i="6"/>
  <c r="AM48" i="6"/>
  <c r="G48" i="6"/>
  <c r="AN48" i="6" s="1"/>
  <c r="AR47" i="6"/>
  <c r="H47" i="6"/>
  <c r="AO47" i="6" s="1"/>
  <c r="AM46" i="6"/>
  <c r="AR46" i="6"/>
  <c r="AR44" i="6"/>
  <c r="AM44" i="6"/>
  <c r="AN44" i="6"/>
  <c r="H42" i="6"/>
  <c r="AO42" i="6" s="1"/>
  <c r="AM42" i="6"/>
  <c r="G41" i="6"/>
  <c r="AN41" i="6" s="1"/>
  <c r="AM41" i="6"/>
  <c r="AR41" i="6"/>
  <c r="H27" i="6"/>
  <c r="G27" i="6"/>
  <c r="AR27" i="6"/>
  <c r="AM20" i="6"/>
  <c r="AR20" i="6"/>
  <c r="G20" i="6"/>
  <c r="AR18" i="6"/>
  <c r="H18" i="6"/>
  <c r="AO18" i="6" s="1"/>
  <c r="AM17" i="6"/>
  <c r="AR17" i="6"/>
  <c r="AR15" i="6"/>
  <c r="H15" i="6"/>
  <c r="AO15" i="6" s="1"/>
  <c r="G15" i="6"/>
  <c r="AN15" i="6" s="1"/>
  <c r="AP15" i="6" s="1"/>
  <c r="AM13" i="6"/>
  <c r="AR13" i="6"/>
  <c r="H12" i="6"/>
  <c r="AO12" i="6" s="1"/>
  <c r="AM12" i="6"/>
  <c r="AM10" i="6"/>
  <c r="AR10" i="6"/>
  <c r="H10" i="6"/>
  <c r="AO10" i="6" s="1"/>
  <c r="G10" i="6"/>
  <c r="AN10" i="6" s="1"/>
  <c r="AP10" i="6" s="1"/>
  <c r="AM9" i="6"/>
  <c r="AR9" i="6"/>
  <c r="H8" i="6"/>
  <c r="AO8" i="6" s="1"/>
  <c r="AM8" i="6"/>
  <c r="G6" i="6"/>
  <c r="AN6" i="6" s="1"/>
  <c r="H6" i="6"/>
  <c r="AO6" i="6" s="1"/>
  <c r="AR6" i="6"/>
  <c r="A6" i="6"/>
  <c r="B8" i="6"/>
  <c r="A8" i="6" s="1"/>
  <c r="AM5" i="6"/>
  <c r="AR5" i="6"/>
  <c r="AR65" i="4"/>
  <c r="H65" i="4"/>
  <c r="AO65" i="4" s="1"/>
  <c r="AR63" i="4"/>
  <c r="H63" i="4"/>
  <c r="AO63" i="4" s="1"/>
  <c r="AM62" i="4"/>
  <c r="AR62" i="4"/>
  <c r="AR60" i="4"/>
  <c r="H60" i="4"/>
  <c r="AO60" i="4" s="1"/>
  <c r="AM59" i="4"/>
  <c r="AR59" i="4"/>
  <c r="AR58" i="4"/>
  <c r="H58" i="4"/>
  <c r="AO58" i="4" s="1"/>
  <c r="AM58" i="4"/>
  <c r="G57" i="4"/>
  <c r="AN57" i="4" s="1"/>
  <c r="AR57" i="4"/>
  <c r="H57" i="4"/>
  <c r="AO57" i="4" s="1"/>
  <c r="AM56" i="4"/>
  <c r="AR56" i="4"/>
  <c r="AM55" i="4"/>
  <c r="G55" i="4"/>
  <c r="AN55" i="4" s="1"/>
  <c r="H55" i="4"/>
  <c r="AO55" i="4" s="1"/>
  <c r="AR55" i="4"/>
  <c r="AR54" i="4"/>
  <c r="AM54" i="4"/>
  <c r="AR53" i="4"/>
  <c r="AM53" i="4"/>
  <c r="H53" i="4"/>
  <c r="AO53" i="4" s="1"/>
  <c r="AM52" i="4"/>
  <c r="H52" i="4"/>
  <c r="AO52" i="4" s="1"/>
  <c r="AR52" i="4"/>
  <c r="G52" i="4"/>
  <c r="AN52" i="4" s="1"/>
  <c r="AP52" i="4" s="1"/>
  <c r="AM51" i="4"/>
  <c r="AR51" i="4"/>
  <c r="AR49" i="4"/>
  <c r="H49" i="4"/>
  <c r="AO49" i="4" s="1"/>
  <c r="AM49" i="4"/>
  <c r="AM48" i="4"/>
  <c r="AR48" i="4"/>
  <c r="AR46" i="4"/>
  <c r="G46" i="4"/>
  <c r="AN46" i="4" s="1"/>
  <c r="AM45" i="4"/>
  <c r="G45" i="4"/>
  <c r="AN45" i="4" s="1"/>
  <c r="AR45" i="4"/>
  <c r="AR43" i="4"/>
  <c r="G43" i="4"/>
  <c r="AN43" i="4" s="1"/>
  <c r="AM42" i="4"/>
  <c r="G42" i="4"/>
  <c r="AN42" i="4" s="1"/>
  <c r="H42" i="4"/>
  <c r="AO42" i="4" s="1"/>
  <c r="AR42" i="4"/>
  <c r="AM41" i="4"/>
  <c r="AR41" i="4"/>
  <c r="AR39" i="4"/>
  <c r="H39" i="4"/>
  <c r="AO39" i="4" s="1"/>
  <c r="AM38" i="4"/>
  <c r="AR38" i="4"/>
  <c r="AR37" i="4"/>
  <c r="AM37" i="4"/>
  <c r="H37" i="4"/>
  <c r="AO37" i="4" s="1"/>
  <c r="G36" i="4"/>
  <c r="AN36" i="4" s="1"/>
  <c r="AR36" i="4"/>
  <c r="AM36" i="4"/>
  <c r="H36" i="4"/>
  <c r="AO36" i="4" s="1"/>
  <c r="AR35" i="4"/>
  <c r="AM35" i="4"/>
  <c r="AR34" i="4"/>
  <c r="H34" i="4"/>
  <c r="AO34" i="4" s="1"/>
  <c r="AM34" i="4"/>
  <c r="AM33" i="4"/>
  <c r="G33" i="4"/>
  <c r="AN33" i="4" s="1"/>
  <c r="H33" i="4"/>
  <c r="AO33" i="4" s="1"/>
  <c r="AR33" i="4"/>
  <c r="AR28" i="4"/>
  <c r="G28" i="4"/>
  <c r="AN28" i="4" s="1"/>
  <c r="AR25" i="4"/>
  <c r="H25" i="4"/>
  <c r="AO25" i="4" s="1"/>
  <c r="AR22" i="4"/>
  <c r="H22" i="4"/>
  <c r="AM22" i="4"/>
  <c r="AM21" i="4"/>
  <c r="AR21" i="4"/>
  <c r="AR20" i="4"/>
  <c r="H20" i="4"/>
  <c r="AM20" i="4"/>
  <c r="G19" i="4"/>
  <c r="H19" i="4"/>
  <c r="AM19" i="4"/>
  <c r="AR19" i="4"/>
  <c r="AM18" i="4"/>
  <c r="AR18" i="4"/>
  <c r="AR17" i="4"/>
  <c r="H17" i="4"/>
  <c r="AO17" i="4" s="1"/>
  <c r="AM17" i="4"/>
  <c r="AM16" i="4"/>
  <c r="G16" i="4"/>
  <c r="AN16" i="4" s="1"/>
  <c r="H16" i="4"/>
  <c r="AO16" i="4" s="1"/>
  <c r="AR16" i="4"/>
  <c r="AR15" i="4"/>
  <c r="AM15" i="4"/>
  <c r="AR14" i="4"/>
  <c r="H14" i="4"/>
  <c r="AO14" i="4" s="1"/>
  <c r="G12" i="4"/>
  <c r="AN12" i="4" s="1"/>
  <c r="H12" i="4"/>
  <c r="AR12" i="4"/>
  <c r="AM11" i="4"/>
  <c r="H11" i="4"/>
  <c r="AO11" i="4" s="1"/>
  <c r="AR11" i="4"/>
  <c r="G11" i="4"/>
  <c r="AN11" i="4" s="1"/>
  <c r="AP11" i="4" s="1"/>
  <c r="G9" i="4"/>
  <c r="AN9" i="4" s="1"/>
  <c r="H9" i="4"/>
  <c r="AR9" i="4"/>
  <c r="G8" i="4"/>
  <c r="H8" i="4"/>
  <c r="AO8" i="4" s="1"/>
  <c r="AM8" i="4"/>
  <c r="AR8" i="4"/>
  <c r="AR5" i="4"/>
  <c r="H5" i="4"/>
  <c r="R90" i="12"/>
  <c r="S90" i="12"/>
  <c r="K66" i="3"/>
  <c r="L66" i="3"/>
  <c r="AM65" i="3"/>
  <c r="AR65" i="3"/>
  <c r="AM63" i="3"/>
  <c r="AR63" i="3"/>
  <c r="AM61" i="3"/>
  <c r="AR61" i="3"/>
  <c r="H61" i="3"/>
  <c r="AO61" i="3" s="1"/>
  <c r="G61" i="3"/>
  <c r="AN61" i="3" s="1"/>
  <c r="AM58" i="3"/>
  <c r="AR58" i="3"/>
  <c r="H58" i="3"/>
  <c r="AO58" i="3" s="1"/>
  <c r="G58" i="3"/>
  <c r="AN58" i="3" s="1"/>
  <c r="AP58" i="3" s="1"/>
  <c r="AM54" i="3"/>
  <c r="G54" i="3"/>
  <c r="AN54" i="3" s="1"/>
  <c r="H54" i="3"/>
  <c r="AO54" i="3" s="1"/>
  <c r="AR54" i="3"/>
  <c r="AR52" i="3"/>
  <c r="AM52" i="3"/>
  <c r="AR51" i="3"/>
  <c r="H51" i="3"/>
  <c r="AO51" i="3" s="1"/>
  <c r="AR49" i="3"/>
  <c r="AM49" i="3"/>
  <c r="AM47" i="3"/>
  <c r="G47" i="3"/>
  <c r="AN47" i="3" s="1"/>
  <c r="AR47" i="3"/>
  <c r="H46" i="3"/>
  <c r="AO46" i="3" s="1"/>
  <c r="AM46" i="3"/>
  <c r="AM44" i="3"/>
  <c r="AR44" i="3"/>
  <c r="H44" i="3"/>
  <c r="AO44" i="3" s="1"/>
  <c r="G44" i="3"/>
  <c r="AN44" i="3" s="1"/>
  <c r="AM41" i="3"/>
  <c r="AR41" i="3"/>
  <c r="H41" i="3"/>
  <c r="AO41" i="3" s="1"/>
  <c r="G41" i="3"/>
  <c r="AN41" i="3" s="1"/>
  <c r="AP41" i="3" s="1"/>
  <c r="G38" i="3"/>
  <c r="AN38" i="3" s="1"/>
  <c r="AR38" i="3"/>
  <c r="H38" i="3"/>
  <c r="AO38" i="3" s="1"/>
  <c r="AM37" i="3"/>
  <c r="G37" i="3"/>
  <c r="AN37" i="3" s="1"/>
  <c r="AM34" i="3"/>
  <c r="G34" i="3"/>
  <c r="AN34" i="3" s="1"/>
  <c r="AR34" i="3"/>
  <c r="G23" i="3"/>
  <c r="AR23" i="3"/>
  <c r="H23" i="3"/>
  <c r="AO23" i="3" s="1"/>
  <c r="AR21" i="3"/>
  <c r="G21" i="3"/>
  <c r="H21" i="3"/>
  <c r="G20" i="3"/>
  <c r="H20" i="3"/>
  <c r="AR20" i="3"/>
  <c r="AR17" i="3"/>
  <c r="H17" i="3"/>
  <c r="AO17" i="3" s="1"/>
  <c r="AM16" i="3"/>
  <c r="G16" i="3"/>
  <c r="AN16" i="3" s="1"/>
  <c r="AR13" i="3"/>
  <c r="AM13" i="3"/>
  <c r="AR12" i="3"/>
  <c r="H12" i="3"/>
  <c r="AO12" i="3" s="1"/>
  <c r="H10" i="3"/>
  <c r="G10" i="3"/>
  <c r="AN10" i="3" s="1"/>
  <c r="G9" i="3"/>
  <c r="AN9" i="3" s="1"/>
  <c r="AR9" i="3"/>
  <c r="H9" i="3"/>
  <c r="AO9" i="3" s="1"/>
  <c r="AP9" i="3" s="1"/>
  <c r="AR7" i="3"/>
  <c r="G7" i="3"/>
  <c r="AN7" i="3" s="1"/>
  <c r="AR6" i="3"/>
  <c r="H6" i="3"/>
  <c r="AO6" i="3" s="1"/>
  <c r="AM5" i="3"/>
  <c r="AR5" i="3"/>
  <c r="G5" i="3"/>
  <c r="AN5" i="3" s="1"/>
  <c r="A5" i="3"/>
  <c r="B7" i="3"/>
  <c r="S28" i="11"/>
  <c r="R28" i="11"/>
  <c r="AR63" i="2"/>
  <c r="H63" i="2"/>
  <c r="AO63" i="2" s="1"/>
  <c r="AR61" i="2"/>
  <c r="AM61" i="2"/>
  <c r="AR60" i="2"/>
  <c r="AM60" i="2"/>
  <c r="H60" i="2"/>
  <c r="AO60" i="2" s="1"/>
  <c r="AR59" i="2"/>
  <c r="H59" i="2"/>
  <c r="AO59" i="2" s="1"/>
  <c r="AM57" i="2"/>
  <c r="G57" i="2"/>
  <c r="AN57" i="2" s="1"/>
  <c r="AR57" i="2"/>
  <c r="H56" i="2"/>
  <c r="AO56" i="2" s="1"/>
  <c r="AR56" i="2"/>
  <c r="G56" i="2"/>
  <c r="AN56" i="2" s="1"/>
  <c r="AP56" i="2" s="1"/>
  <c r="AR55" i="2"/>
  <c r="H55" i="2"/>
  <c r="AO55" i="2" s="1"/>
  <c r="AM53" i="2"/>
  <c r="AR53" i="2"/>
  <c r="G53" i="2"/>
  <c r="AN53" i="2" s="1"/>
  <c r="H52" i="2"/>
  <c r="AO52" i="2" s="1"/>
  <c r="AR52" i="2"/>
  <c r="G52" i="2"/>
  <c r="AN52" i="2" s="1"/>
  <c r="AP52" i="2" s="1"/>
  <c r="AR49" i="2"/>
  <c r="AM49" i="2"/>
  <c r="AR48" i="2"/>
  <c r="AM48" i="2"/>
  <c r="H48" i="2"/>
  <c r="AO48" i="2" s="1"/>
  <c r="H47" i="2"/>
  <c r="AO47" i="2" s="1"/>
  <c r="AM47" i="2"/>
  <c r="AR47" i="2"/>
  <c r="H45" i="2"/>
  <c r="AO45" i="2" s="1"/>
  <c r="G45" i="2"/>
  <c r="AN45" i="2" s="1"/>
  <c r="AR45" i="2"/>
  <c r="H44" i="2"/>
  <c r="AO44" i="2" s="1"/>
  <c r="G44" i="2"/>
  <c r="AN44" i="2" s="1"/>
  <c r="AR44" i="2"/>
  <c r="H41" i="2"/>
  <c r="AO41" i="2" s="1"/>
  <c r="G41" i="2"/>
  <c r="AN41" i="2" s="1"/>
  <c r="AR41" i="2"/>
  <c r="AR38" i="2"/>
  <c r="G38" i="2"/>
  <c r="AN38" i="2" s="1"/>
  <c r="AM38" i="2"/>
  <c r="H37" i="2"/>
  <c r="AO37" i="2" s="1"/>
  <c r="AM37" i="2"/>
  <c r="AR36" i="2"/>
  <c r="H36" i="2"/>
  <c r="AO36" i="2" s="1"/>
  <c r="AM30" i="2"/>
  <c r="AR30" i="2"/>
  <c r="H30" i="2"/>
  <c r="AR27" i="2"/>
  <c r="G27" i="2"/>
  <c r="AN27" i="2" s="1"/>
  <c r="AR25" i="2"/>
  <c r="H25" i="2"/>
  <c r="H22" i="2"/>
  <c r="G22" i="2"/>
  <c r="AR22" i="2"/>
  <c r="AR19" i="2"/>
  <c r="G19" i="2"/>
  <c r="AR17" i="2"/>
  <c r="H17" i="2"/>
  <c r="AO17" i="2" s="1"/>
  <c r="AM16" i="2"/>
  <c r="AR16" i="2"/>
  <c r="H16" i="2"/>
  <c r="AO16" i="2" s="1"/>
  <c r="H14" i="2"/>
  <c r="AO14" i="2" s="1"/>
  <c r="G14" i="2"/>
  <c r="AN14" i="2" s="1"/>
  <c r="AP14" i="2" s="1"/>
  <c r="AR14" i="2"/>
  <c r="AR13" i="2"/>
  <c r="H13" i="2"/>
  <c r="AO13" i="2" s="1"/>
  <c r="AR12" i="2"/>
  <c r="H12" i="2"/>
  <c r="AO12" i="2" s="1"/>
  <c r="H10" i="2"/>
  <c r="AO10" i="2" s="1"/>
  <c r="AR10" i="2"/>
  <c r="G10" i="2"/>
  <c r="AN10" i="2" s="1"/>
  <c r="H6" i="2"/>
  <c r="AO6" i="2" s="1"/>
  <c r="AM6" i="2"/>
  <c r="AR5" i="2"/>
  <c r="H5" i="2"/>
  <c r="AO5" i="2" s="1"/>
  <c r="P113" i="25"/>
  <c r="N113" i="25" s="1"/>
  <c r="Y113" i="25" s="1"/>
  <c r="P110" i="25"/>
  <c r="N110" i="25" s="1"/>
  <c r="Y110" i="25" s="1"/>
  <c r="P78" i="25"/>
  <c r="N78" i="25" s="1"/>
  <c r="Y78" i="25" s="1"/>
  <c r="P79" i="25"/>
  <c r="N79" i="25" s="1"/>
  <c r="Y79" i="25" s="1"/>
  <c r="P124" i="27"/>
  <c r="N124" i="27" s="1"/>
  <c r="Y124" i="27" s="1"/>
  <c r="P121" i="27"/>
  <c r="N121" i="27" s="1"/>
  <c r="Y121" i="27" s="1"/>
  <c r="P104" i="27"/>
  <c r="N104" i="27" s="1"/>
  <c r="Y104" i="27" s="1"/>
  <c r="P101" i="27"/>
  <c r="N101" i="27" s="1"/>
  <c r="Y101" i="27" s="1"/>
  <c r="P56" i="27"/>
  <c r="N56" i="27" s="1"/>
  <c r="Y56" i="27" s="1"/>
  <c r="P57" i="27"/>
  <c r="N57" i="27" s="1"/>
  <c r="Y57" i="27" s="1"/>
  <c r="P54" i="27"/>
  <c r="N54" i="27" s="1"/>
  <c r="Y54" i="27" s="1"/>
  <c r="P55" i="27"/>
  <c r="N55" i="27" s="1"/>
  <c r="Y55" i="27" s="1"/>
  <c r="P7" i="27"/>
  <c r="N7" i="27" s="1"/>
  <c r="Y7" i="27" s="1"/>
  <c r="P6" i="27"/>
  <c r="N6" i="27" s="1"/>
  <c r="Y6" i="27" s="1"/>
  <c r="AO34" i="2"/>
  <c r="AR34" i="2"/>
  <c r="AM34" i="2"/>
  <c r="G34" i="2"/>
  <c r="AN34" i="2" s="1"/>
  <c r="H33" i="2"/>
  <c r="AO33" i="2" s="1"/>
  <c r="H39" i="6"/>
  <c r="AO39" i="6" s="1"/>
  <c r="AM39" i="6"/>
  <c r="G38" i="6"/>
  <c r="AN38" i="6" s="1"/>
  <c r="H38" i="6"/>
  <c r="AO38" i="6" s="1"/>
  <c r="H37" i="6"/>
  <c r="AO37" i="6" s="1"/>
  <c r="AR37" i="6"/>
  <c r="AM37" i="6"/>
  <c r="G37" i="6"/>
  <c r="AN37" i="6" s="1"/>
  <c r="H36" i="6"/>
  <c r="AO36" i="6" s="1"/>
  <c r="H35" i="6"/>
  <c r="AO35" i="6" s="1"/>
  <c r="AN34" i="6"/>
  <c r="AR35" i="6"/>
  <c r="AM34" i="6"/>
  <c r="AO33" i="6"/>
  <c r="H34" i="6"/>
  <c r="AO34" i="6" s="1"/>
  <c r="AR33" i="6"/>
  <c r="AM33" i="6"/>
  <c r="G33" i="2"/>
  <c r="AN33" i="2" s="1"/>
  <c r="K66" i="2"/>
  <c r="K67" i="2" s="1"/>
  <c r="AO22" i="2"/>
  <c r="AO18" i="2"/>
  <c r="AN19" i="2"/>
  <c r="AM21" i="2"/>
  <c r="AN22" i="2"/>
  <c r="AP22" i="2" s="1"/>
  <c r="G3" i="1"/>
  <c r="AM24" i="2"/>
  <c r="AO25" i="2"/>
  <c r="AN19" i="3"/>
  <c r="AN20" i="3"/>
  <c r="AM19" i="3"/>
  <c r="AN21" i="3"/>
  <c r="AO20" i="3"/>
  <c r="AO21" i="3"/>
  <c r="AN23" i="3"/>
  <c r="AN19" i="4"/>
  <c r="K66" i="4"/>
  <c r="AO22" i="4"/>
  <c r="G5" i="1"/>
  <c r="AO19" i="4"/>
  <c r="AO20" i="4"/>
  <c r="AO19" i="6"/>
  <c r="K66" i="6"/>
  <c r="K67" i="6" s="1"/>
  <c r="G6" i="1"/>
  <c r="AN20" i="6"/>
  <c r="L66" i="6"/>
  <c r="L67" i="6" s="1"/>
  <c r="AM22" i="6"/>
  <c r="AM30" i="5"/>
  <c r="AM21" i="8"/>
  <c r="K66" i="8"/>
  <c r="AM29" i="19"/>
  <c r="AM25" i="22"/>
  <c r="H32" i="22"/>
  <c r="AO32" i="22" s="1"/>
  <c r="AR12" i="22"/>
  <c r="AM19" i="22"/>
  <c r="AO12" i="22"/>
  <c r="AM17" i="22"/>
  <c r="H9" i="22"/>
  <c r="AO9" i="22" s="1"/>
  <c r="AO4" i="22"/>
  <c r="H8" i="22"/>
  <c r="AO8" i="22" s="1"/>
  <c r="G9" i="22"/>
  <c r="AN9" i="22" s="1"/>
  <c r="AM15" i="22"/>
  <c r="G19" i="22"/>
  <c r="AN19" i="22" s="1"/>
  <c r="L66" i="22"/>
  <c r="G15" i="22"/>
  <c r="AN15" i="22" s="1"/>
  <c r="AM6" i="22"/>
  <c r="AO13" i="22"/>
  <c r="AR17" i="22"/>
  <c r="G11" i="1"/>
  <c r="AM9" i="22"/>
  <c r="H5" i="22"/>
  <c r="AO5" i="22" s="1"/>
  <c r="H6" i="22"/>
  <c r="AO6" i="22" s="1"/>
  <c r="H7" i="22"/>
  <c r="AO7" i="22" s="1"/>
  <c r="AM11" i="22"/>
  <c r="H14" i="22"/>
  <c r="AO14" i="22" s="1"/>
  <c r="AR15" i="22"/>
  <c r="G12" i="22"/>
  <c r="AN12" i="22" s="1"/>
  <c r="AM16" i="22"/>
  <c r="G17" i="22"/>
  <c r="AN17" i="22" s="1"/>
  <c r="AN4" i="22"/>
  <c r="AM7" i="22"/>
  <c r="H10" i="22"/>
  <c r="AO10" i="22" s="1"/>
  <c r="AM14" i="22"/>
  <c r="Q22" i="27"/>
  <c r="O22" i="27" s="1"/>
  <c r="Z22" i="27" s="1"/>
  <c r="P67" i="27"/>
  <c r="N67" i="27" s="1"/>
  <c r="Y67" i="27" s="1"/>
  <c r="P103" i="27"/>
  <c r="N103" i="27" s="1"/>
  <c r="Y103" i="27" s="1"/>
  <c r="P123" i="27"/>
  <c r="N123" i="27" s="1"/>
  <c r="Y123" i="27" s="1"/>
  <c r="P20" i="25"/>
  <c r="N20" i="25" s="1"/>
  <c r="Y20" i="25" s="1"/>
  <c r="P179" i="25"/>
  <c r="N179" i="25" s="1"/>
  <c r="Y179" i="25" s="1"/>
  <c r="P183" i="25"/>
  <c r="N183" i="25" s="1"/>
  <c r="Y183" i="25" s="1"/>
  <c r="P187" i="25"/>
  <c r="N187" i="25" s="1"/>
  <c r="Y187" i="25" s="1"/>
  <c r="P146" i="27"/>
  <c r="N146" i="27" s="1"/>
  <c r="Y146" i="27" s="1"/>
  <c r="P142" i="27"/>
  <c r="N142" i="27" s="1"/>
  <c r="Y142" i="27" s="1"/>
  <c r="P138" i="27"/>
  <c r="N138" i="27" s="1"/>
  <c r="Y138" i="27" s="1"/>
  <c r="P134" i="27"/>
  <c r="N134" i="27" s="1"/>
  <c r="Y134" i="27" s="1"/>
  <c r="P10" i="27"/>
  <c r="N10" i="27" s="1"/>
  <c r="Y10" i="27" s="1"/>
  <c r="P12" i="27"/>
  <c r="N12" i="27" s="1"/>
  <c r="Y12" i="27" s="1"/>
  <c r="P14" i="27"/>
  <c r="N14" i="27" s="1"/>
  <c r="Y14" i="27" s="1"/>
  <c r="P16" i="27"/>
  <c r="N16" i="27" s="1"/>
  <c r="Y16" i="27" s="1"/>
  <c r="P18" i="27"/>
  <c r="N18" i="27" s="1"/>
  <c r="Y18" i="27" s="1"/>
  <c r="P38" i="27"/>
  <c r="N38" i="27" s="1"/>
  <c r="Y38" i="27" s="1"/>
  <c r="P40" i="27"/>
  <c r="N40" i="27" s="1"/>
  <c r="Y40" i="27" s="1"/>
  <c r="P42" i="27"/>
  <c r="N42" i="27" s="1"/>
  <c r="Y42" i="27" s="1"/>
  <c r="P44" i="27"/>
  <c r="N44" i="27" s="1"/>
  <c r="Y44" i="27" s="1"/>
  <c r="Q53" i="27"/>
  <c r="Q55" i="27"/>
  <c r="O55" i="27" s="1"/>
  <c r="Z55" i="27" s="1"/>
  <c r="Q57" i="27"/>
  <c r="O57" i="27" s="1"/>
  <c r="Z57" i="27" s="1"/>
  <c r="Q59" i="27"/>
  <c r="O59" i="27" s="1"/>
  <c r="Z59" i="27" s="1"/>
  <c r="Q61" i="27"/>
  <c r="O61" i="27" s="1"/>
  <c r="Z61" i="27" s="1"/>
  <c r="Q63" i="27"/>
  <c r="O63" i="27" s="1"/>
  <c r="Z63" i="27" s="1"/>
  <c r="Q65" i="27"/>
  <c r="O65" i="27" s="1"/>
  <c r="Z65" i="27" s="1"/>
  <c r="Q67" i="27"/>
  <c r="O67" i="27" s="1"/>
  <c r="Z67" i="27" s="1"/>
  <c r="P76" i="27"/>
  <c r="N76" i="27" s="1"/>
  <c r="Y76" i="27" s="1"/>
  <c r="P78" i="27"/>
  <c r="N78" i="27" s="1"/>
  <c r="Y78" i="27" s="1"/>
  <c r="P80" i="27"/>
  <c r="N80" i="27" s="1"/>
  <c r="Y80" i="27" s="1"/>
  <c r="P82" i="27"/>
  <c r="N82" i="27" s="1"/>
  <c r="Y82" i="27" s="1"/>
  <c r="P88" i="27"/>
  <c r="N88" i="27" s="1"/>
  <c r="Y88" i="27" s="1"/>
  <c r="P90" i="27"/>
  <c r="N90" i="27" s="1"/>
  <c r="Y90" i="27" s="1"/>
  <c r="P92" i="27"/>
  <c r="N92" i="27" s="1"/>
  <c r="Y92" i="27" s="1"/>
  <c r="Q101" i="27"/>
  <c r="O101" i="27" s="1"/>
  <c r="Z101" i="27" s="1"/>
  <c r="Q103" i="27"/>
  <c r="O103" i="27" s="1"/>
  <c r="Z103" i="27" s="1"/>
  <c r="P108" i="27"/>
  <c r="N108" i="27" s="1"/>
  <c r="Y108" i="27" s="1"/>
  <c r="P110" i="27"/>
  <c r="N110" i="27" s="1"/>
  <c r="Y110" i="27" s="1"/>
  <c r="P112" i="27"/>
  <c r="N112" i="27" s="1"/>
  <c r="Y112" i="27" s="1"/>
  <c r="Q121" i="27"/>
  <c r="O121" i="27" s="1"/>
  <c r="Z121" i="27" s="1"/>
  <c r="Q123" i="27"/>
  <c r="O123" i="27" s="1"/>
  <c r="Z123" i="27" s="1"/>
  <c r="P149" i="27"/>
  <c r="N149" i="27" s="1"/>
  <c r="Y149" i="27" s="1"/>
  <c r="O14" i="25"/>
  <c r="Z14" i="25" s="1"/>
  <c r="O32" i="25"/>
  <c r="Z32" i="25" s="1"/>
  <c r="P69" i="25"/>
  <c r="N69" i="25" s="1"/>
  <c r="Y69" i="25" s="1"/>
  <c r="N74" i="25"/>
  <c r="Y74" i="25" s="1"/>
  <c r="P87" i="25"/>
  <c r="N87" i="25" s="1"/>
  <c r="Y87" i="25" s="1"/>
  <c r="N92" i="25"/>
  <c r="Y92" i="25" s="1"/>
  <c r="Q145" i="25"/>
  <c r="O145" i="25" s="1"/>
  <c r="Z145" i="25" s="1"/>
  <c r="N162" i="25"/>
  <c r="Y162" i="25" s="1"/>
  <c r="Q173" i="25"/>
  <c r="O173" i="25" s="1"/>
  <c r="Z173" i="25" s="1"/>
  <c r="Q146" i="27"/>
  <c r="O146" i="27" s="1"/>
  <c r="Z146" i="27" s="1"/>
  <c r="Q142" i="27"/>
  <c r="O142" i="27" s="1"/>
  <c r="Z142" i="27" s="1"/>
  <c r="Q148" i="27"/>
  <c r="O148" i="27" s="1"/>
  <c r="Z148" i="27" s="1"/>
  <c r="Q144" i="27"/>
  <c r="O144" i="27" s="1"/>
  <c r="Z144" i="27" s="1"/>
  <c r="Q140" i="27"/>
  <c r="O140" i="27" s="1"/>
  <c r="Z140" i="27" s="1"/>
  <c r="Q136" i="27"/>
  <c r="O136" i="27" s="1"/>
  <c r="Z136" i="27" s="1"/>
  <c r="Q132" i="27"/>
  <c r="O132" i="27" s="1"/>
  <c r="Z132" i="27" s="1"/>
  <c r="Q10" i="27"/>
  <c r="O10" i="27" s="1"/>
  <c r="Z10" i="27" s="1"/>
  <c r="Q12" i="27"/>
  <c r="O12" i="27" s="1"/>
  <c r="Z12" i="27" s="1"/>
  <c r="Q16" i="27"/>
  <c r="O16" i="27" s="1"/>
  <c r="Z16" i="27" s="1"/>
  <c r="Q18" i="27"/>
  <c r="O18" i="27" s="1"/>
  <c r="Z18" i="27" s="1"/>
  <c r="P29" i="27"/>
  <c r="N29" i="27" s="1"/>
  <c r="Y29" i="27" s="1"/>
  <c r="P31" i="27"/>
  <c r="N31" i="27" s="1"/>
  <c r="Y31" i="27" s="1"/>
  <c r="Q38" i="27"/>
  <c r="O38" i="27" s="1"/>
  <c r="Z38" i="27" s="1"/>
  <c r="Q40" i="27"/>
  <c r="O40" i="27" s="1"/>
  <c r="Z40" i="27" s="1"/>
  <c r="Q42" i="27"/>
  <c r="O42" i="27" s="1"/>
  <c r="Z42" i="27" s="1"/>
  <c r="Q44" i="27"/>
  <c r="O44" i="27" s="1"/>
  <c r="Z44" i="27" s="1"/>
  <c r="Q90" i="27"/>
  <c r="O90" i="27" s="1"/>
  <c r="Z90" i="27" s="1"/>
  <c r="Q94" i="27"/>
  <c r="O94" i="27" s="1"/>
  <c r="Z94" i="27" s="1"/>
  <c r="Q108" i="27"/>
  <c r="O108" i="27" s="1"/>
  <c r="Z108" i="27" s="1"/>
  <c r="Q112" i="27"/>
  <c r="O112" i="27" s="1"/>
  <c r="Z112" i="27" s="1"/>
  <c r="P115" i="27"/>
  <c r="N115" i="27" s="1"/>
  <c r="Y115" i="27" s="1"/>
  <c r="P117" i="27"/>
  <c r="N117" i="27" s="1"/>
  <c r="Y117" i="27" s="1"/>
  <c r="P119" i="27"/>
  <c r="N119" i="27" s="1"/>
  <c r="Y119" i="27" s="1"/>
  <c r="P147" i="27"/>
  <c r="N147" i="27" s="1"/>
  <c r="Y147" i="27" s="1"/>
  <c r="P148" i="27"/>
  <c r="N148" i="27" s="1"/>
  <c r="Y148" i="27" s="1"/>
  <c r="Q149" i="27"/>
  <c r="O149" i="27" s="1"/>
  <c r="Z149" i="27" s="1"/>
  <c r="P194" i="25"/>
  <c r="N194" i="25" s="1"/>
  <c r="Y194" i="25" s="1"/>
  <c r="Q27" i="25"/>
  <c r="O27" i="25" s="1"/>
  <c r="Z27" i="25" s="1"/>
  <c r="P66" i="25"/>
  <c r="N66" i="25" s="1"/>
  <c r="Y66" i="25" s="1"/>
  <c r="P70" i="25"/>
  <c r="N70" i="25" s="1"/>
  <c r="Y70" i="25" s="1"/>
  <c r="P88" i="25"/>
  <c r="N88" i="25" s="1"/>
  <c r="Y88" i="25" s="1"/>
  <c r="P94" i="25"/>
  <c r="N94" i="25" s="1"/>
  <c r="Y94" i="25" s="1"/>
  <c r="P98" i="25"/>
  <c r="N98" i="25" s="1"/>
  <c r="Y98" i="25" s="1"/>
  <c r="P102" i="25"/>
  <c r="N102" i="25" s="1"/>
  <c r="Y102" i="25" s="1"/>
  <c r="P106" i="25"/>
  <c r="N106" i="25" s="1"/>
  <c r="Y106" i="25" s="1"/>
  <c r="AQ1" i="7"/>
  <c r="AQ1" i="22"/>
  <c r="AQ1" i="19"/>
  <c r="AQ1" i="8"/>
  <c r="AQ1" i="5"/>
  <c r="AQ1" i="4"/>
  <c r="AQ1" i="6"/>
  <c r="AQ64" i="6" s="1"/>
  <c r="H63" i="21" s="1"/>
  <c r="AQ1" i="3"/>
  <c r="AQ1" i="2"/>
  <c r="Q29" i="27"/>
  <c r="O29" i="27" s="1"/>
  <c r="Z29" i="27" s="1"/>
  <c r="Q31" i="27"/>
  <c r="O31" i="27" s="1"/>
  <c r="Z31" i="27" s="1"/>
  <c r="P72" i="27"/>
  <c r="N72" i="27" s="1"/>
  <c r="Y72" i="27" s="1"/>
  <c r="P74" i="27"/>
  <c r="N74" i="27" s="1"/>
  <c r="Y74" i="27" s="1"/>
  <c r="P86" i="27"/>
  <c r="N86" i="27" s="1"/>
  <c r="Y86" i="27" s="1"/>
  <c r="P106" i="27"/>
  <c r="N106" i="27" s="1"/>
  <c r="Y106" i="27" s="1"/>
  <c r="Q115" i="27"/>
  <c r="O115" i="27" s="1"/>
  <c r="Z115" i="27" s="1"/>
  <c r="Q117" i="27"/>
  <c r="O117" i="27" s="1"/>
  <c r="Z117" i="27" s="1"/>
  <c r="Q119" i="27"/>
  <c r="O119" i="27" s="1"/>
  <c r="Z119" i="27" s="1"/>
  <c r="P126" i="27"/>
  <c r="N126" i="27" s="1"/>
  <c r="Y126" i="27" s="1"/>
  <c r="P128" i="27"/>
  <c r="N128" i="27" s="1"/>
  <c r="Y128" i="27" s="1"/>
  <c r="P131" i="27"/>
  <c r="N131" i="27" s="1"/>
  <c r="Y131" i="27" s="1"/>
  <c r="P133" i="27"/>
  <c r="N133" i="27" s="1"/>
  <c r="Y133" i="27" s="1"/>
  <c r="Q147" i="27"/>
  <c r="O147" i="27" s="1"/>
  <c r="Z147" i="27" s="1"/>
  <c r="Q265" i="25"/>
  <c r="O265" i="25" s="1"/>
  <c r="Z265" i="25" s="1"/>
  <c r="Q261" i="25"/>
  <c r="O261" i="25" s="1"/>
  <c r="Z261" i="25" s="1"/>
  <c r="Q257" i="25"/>
  <c r="O257" i="25" s="1"/>
  <c r="Z257" i="25" s="1"/>
  <c r="Q253" i="25"/>
  <c r="O253" i="25" s="1"/>
  <c r="Z253" i="25" s="1"/>
  <c r="Q249" i="25"/>
  <c r="O249" i="25" s="1"/>
  <c r="Z249" i="25" s="1"/>
  <c r="Q245" i="25"/>
  <c r="O245" i="25" s="1"/>
  <c r="Z245" i="25" s="1"/>
  <c r="Q241" i="25"/>
  <c r="O241" i="25" s="1"/>
  <c r="Z241" i="25" s="1"/>
  <c r="Q237" i="25"/>
  <c r="O237" i="25" s="1"/>
  <c r="Z237" i="25" s="1"/>
  <c r="Q233" i="25"/>
  <c r="O233" i="25" s="1"/>
  <c r="Z233" i="25" s="1"/>
  <c r="Q229" i="25"/>
  <c r="O229" i="25" s="1"/>
  <c r="Z229" i="25" s="1"/>
  <c r="Q225" i="25"/>
  <c r="O225" i="25" s="1"/>
  <c r="Z225" i="25" s="1"/>
  <c r="Q221" i="25"/>
  <c r="O221" i="25" s="1"/>
  <c r="Z221" i="25" s="1"/>
  <c r="Q217" i="25"/>
  <c r="O217" i="25" s="1"/>
  <c r="Z217" i="25" s="1"/>
  <c r="Q213" i="25"/>
  <c r="O213" i="25" s="1"/>
  <c r="Z213" i="25" s="1"/>
  <c r="Q264" i="25"/>
  <c r="O264" i="25" s="1"/>
  <c r="Z264" i="25" s="1"/>
  <c r="Q260" i="25"/>
  <c r="O260" i="25" s="1"/>
  <c r="Z260" i="25" s="1"/>
  <c r="Q256" i="25"/>
  <c r="O256" i="25" s="1"/>
  <c r="Z256" i="25" s="1"/>
  <c r="Q252" i="25"/>
  <c r="O252" i="25" s="1"/>
  <c r="Z252" i="25" s="1"/>
  <c r="Q248" i="25"/>
  <c r="O248" i="25" s="1"/>
  <c r="Z248" i="25" s="1"/>
  <c r="Q244" i="25"/>
  <c r="O244" i="25" s="1"/>
  <c r="Z244" i="25" s="1"/>
  <c r="Q240" i="25"/>
  <c r="O240" i="25" s="1"/>
  <c r="Z240" i="25" s="1"/>
  <c r="Q236" i="25"/>
  <c r="O236" i="25" s="1"/>
  <c r="Z236" i="25" s="1"/>
  <c r="Q232" i="25"/>
  <c r="O232" i="25" s="1"/>
  <c r="Z232" i="25" s="1"/>
  <c r="Q228" i="25"/>
  <c r="O228" i="25" s="1"/>
  <c r="Z228" i="25" s="1"/>
  <c r="Q224" i="25"/>
  <c r="O224" i="25" s="1"/>
  <c r="Z224" i="25" s="1"/>
  <c r="Q220" i="25"/>
  <c r="O220" i="25" s="1"/>
  <c r="Z220" i="25" s="1"/>
  <c r="Q216" i="25"/>
  <c r="O216" i="25" s="1"/>
  <c r="Z216" i="25" s="1"/>
  <c r="Q212" i="25"/>
  <c r="O212" i="25" s="1"/>
  <c r="Z212" i="25" s="1"/>
  <c r="Q208" i="25"/>
  <c r="O208" i="25" s="1"/>
  <c r="Z208" i="25" s="1"/>
  <c r="Q204" i="25"/>
  <c r="O204" i="25" s="1"/>
  <c r="Z204" i="25" s="1"/>
  <c r="Q263" i="25"/>
  <c r="O263" i="25" s="1"/>
  <c r="Z263" i="25" s="1"/>
  <c r="Q259" i="25"/>
  <c r="O259" i="25" s="1"/>
  <c r="Z259" i="25" s="1"/>
  <c r="Q255" i="25"/>
  <c r="O255" i="25" s="1"/>
  <c r="Z255" i="25" s="1"/>
  <c r="Q251" i="25"/>
  <c r="O251" i="25" s="1"/>
  <c r="Z251" i="25" s="1"/>
  <c r="Q247" i="25"/>
  <c r="O247" i="25" s="1"/>
  <c r="Z247" i="25" s="1"/>
  <c r="Q243" i="25"/>
  <c r="O243" i="25" s="1"/>
  <c r="Z243" i="25" s="1"/>
  <c r="Q239" i="25"/>
  <c r="O239" i="25" s="1"/>
  <c r="Z239" i="25" s="1"/>
  <c r="Q235" i="25"/>
  <c r="O235" i="25" s="1"/>
  <c r="Z235" i="25" s="1"/>
  <c r="Q231" i="25"/>
  <c r="O231" i="25" s="1"/>
  <c r="Z231" i="25" s="1"/>
  <c r="Q227" i="25"/>
  <c r="O227" i="25" s="1"/>
  <c r="Z227" i="25" s="1"/>
  <c r="Q223" i="25"/>
  <c r="O223" i="25" s="1"/>
  <c r="Z223" i="25" s="1"/>
  <c r="Q219" i="25"/>
  <c r="O219" i="25" s="1"/>
  <c r="Z219" i="25" s="1"/>
  <c r="Q215" i="25"/>
  <c r="O215" i="25" s="1"/>
  <c r="Z215" i="25" s="1"/>
  <c r="Q211" i="25"/>
  <c r="O211" i="25" s="1"/>
  <c r="Z211" i="25" s="1"/>
  <c r="Q207" i="25"/>
  <c r="O207" i="25" s="1"/>
  <c r="Z207" i="25" s="1"/>
  <c r="Q203" i="25"/>
  <c r="O203" i="25" s="1"/>
  <c r="Z203" i="25" s="1"/>
  <c r="Q266" i="25"/>
  <c r="O266" i="25" s="1"/>
  <c r="Z266" i="25" s="1"/>
  <c r="Q262" i="25"/>
  <c r="O262" i="25" s="1"/>
  <c r="Z262" i="25" s="1"/>
  <c r="Q258" i="25"/>
  <c r="O258" i="25" s="1"/>
  <c r="Z258" i="25" s="1"/>
  <c r="Q254" i="25"/>
  <c r="O254" i="25" s="1"/>
  <c r="Z254" i="25" s="1"/>
  <c r="Q250" i="25"/>
  <c r="O250" i="25" s="1"/>
  <c r="Z250" i="25" s="1"/>
  <c r="Q246" i="25"/>
  <c r="O246" i="25" s="1"/>
  <c r="Z246" i="25" s="1"/>
  <c r="Q242" i="25"/>
  <c r="O242" i="25" s="1"/>
  <c r="Z242" i="25" s="1"/>
  <c r="Q238" i="25"/>
  <c r="O238" i="25" s="1"/>
  <c r="Z238" i="25" s="1"/>
  <c r="Q234" i="25"/>
  <c r="O234" i="25" s="1"/>
  <c r="Z234" i="25" s="1"/>
  <c r="Q230" i="25"/>
  <c r="O230" i="25" s="1"/>
  <c r="Z230" i="25" s="1"/>
  <c r="Q226" i="25"/>
  <c r="O226" i="25" s="1"/>
  <c r="Z226" i="25" s="1"/>
  <c r="Q222" i="25"/>
  <c r="O222" i="25" s="1"/>
  <c r="Z222" i="25" s="1"/>
  <c r="Q218" i="25"/>
  <c r="O218" i="25" s="1"/>
  <c r="Z218" i="25" s="1"/>
  <c r="Q214" i="25"/>
  <c r="O214" i="25" s="1"/>
  <c r="Z214" i="25" s="1"/>
  <c r="Q210" i="25"/>
  <c r="O210" i="25" s="1"/>
  <c r="Z210" i="25" s="1"/>
  <c r="Q206" i="25"/>
  <c r="O206" i="25" s="1"/>
  <c r="Z206" i="25" s="1"/>
  <c r="Q202" i="25"/>
  <c r="O202" i="25" s="1"/>
  <c r="Z202" i="25" s="1"/>
  <c r="Q198" i="25"/>
  <c r="O198" i="25" s="1"/>
  <c r="Z198" i="25" s="1"/>
  <c r="Q194" i="25"/>
  <c r="O194" i="25" s="1"/>
  <c r="Z194" i="25" s="1"/>
  <c r="Q190" i="25"/>
  <c r="O190" i="25" s="1"/>
  <c r="Z190" i="25" s="1"/>
  <c r="Q186" i="25"/>
  <c r="O186" i="25" s="1"/>
  <c r="Z186" i="25" s="1"/>
  <c r="Q182" i="25"/>
  <c r="O182" i="25" s="1"/>
  <c r="Z182" i="25" s="1"/>
  <c r="Q178" i="25"/>
  <c r="O178" i="25" s="1"/>
  <c r="Z178" i="25" s="1"/>
  <c r="Q199" i="25"/>
  <c r="O199" i="25" s="1"/>
  <c r="Z199" i="25" s="1"/>
  <c r="Q195" i="25"/>
  <c r="O195" i="25" s="1"/>
  <c r="Z195" i="25" s="1"/>
  <c r="Q193" i="25"/>
  <c r="O193" i="25" s="1"/>
  <c r="Z193" i="25" s="1"/>
  <c r="Q189" i="25"/>
  <c r="O189" i="25" s="1"/>
  <c r="Z189" i="25" s="1"/>
  <c r="Q185" i="25"/>
  <c r="O185" i="25" s="1"/>
  <c r="Z185" i="25" s="1"/>
  <c r="Q181" i="25"/>
  <c r="O181" i="25" s="1"/>
  <c r="Z181" i="25" s="1"/>
  <c r="Q205" i="25"/>
  <c r="O205" i="25" s="1"/>
  <c r="Z205" i="25" s="1"/>
  <c r="Q200" i="25"/>
  <c r="O200" i="25" s="1"/>
  <c r="Z200" i="25" s="1"/>
  <c r="Q196" i="25"/>
  <c r="O196" i="25" s="1"/>
  <c r="Z196" i="25" s="1"/>
  <c r="Q192" i="25"/>
  <c r="O192" i="25" s="1"/>
  <c r="Z192" i="25" s="1"/>
  <c r="Q188" i="25"/>
  <c r="O188" i="25" s="1"/>
  <c r="Z188" i="25" s="1"/>
  <c r="Q184" i="25"/>
  <c r="O184" i="25" s="1"/>
  <c r="Z184" i="25" s="1"/>
  <c r="Q180" i="25"/>
  <c r="O180" i="25" s="1"/>
  <c r="Z180" i="25" s="1"/>
  <c r="Q209" i="25"/>
  <c r="O209" i="25" s="1"/>
  <c r="Z209" i="25" s="1"/>
  <c r="Q201" i="25"/>
  <c r="O201" i="25" s="1"/>
  <c r="Z201" i="25" s="1"/>
  <c r="Q197" i="25"/>
  <c r="O197" i="25" s="1"/>
  <c r="Z197" i="25" s="1"/>
  <c r="Q191" i="25"/>
  <c r="O191" i="25" s="1"/>
  <c r="Z191" i="25" s="1"/>
  <c r="Q187" i="25"/>
  <c r="O187" i="25" s="1"/>
  <c r="Z187" i="25" s="1"/>
  <c r="Q183" i="25"/>
  <c r="O183" i="25" s="1"/>
  <c r="Z183" i="25" s="1"/>
  <c r="Q179" i="25"/>
  <c r="O179" i="25" s="1"/>
  <c r="Z179" i="25" s="1"/>
  <c r="Q144" i="25"/>
  <c r="O144" i="25" s="1"/>
  <c r="Z144" i="25" s="1"/>
  <c r="P156" i="25"/>
  <c r="N156" i="25" s="1"/>
  <c r="Y156" i="25" s="1"/>
  <c r="P5" i="27"/>
  <c r="N5" i="27" s="1"/>
  <c r="Y5" i="27" s="1"/>
  <c r="P17" i="27"/>
  <c r="N17" i="27" s="1"/>
  <c r="Y17" i="27" s="1"/>
  <c r="P43" i="27"/>
  <c r="N43" i="27" s="1"/>
  <c r="Y43" i="27" s="1"/>
  <c r="Q74" i="27"/>
  <c r="O74" i="27" s="1"/>
  <c r="Z74" i="27" s="1"/>
  <c r="P93" i="27"/>
  <c r="N93" i="27" s="1"/>
  <c r="Y93" i="27" s="1"/>
  <c r="Q104" i="27"/>
  <c r="O104" i="27" s="1"/>
  <c r="Z104" i="27" s="1"/>
  <c r="P111" i="27"/>
  <c r="N111" i="27" s="1"/>
  <c r="Y111" i="27" s="1"/>
  <c r="Q124" i="27"/>
  <c r="O124" i="27" s="1"/>
  <c r="Z124" i="27" s="1"/>
  <c r="Q131" i="27"/>
  <c r="O131" i="27" s="1"/>
  <c r="Z131" i="27" s="1"/>
  <c r="P132" i="27"/>
  <c r="N132" i="27" s="1"/>
  <c r="Y132" i="27" s="1"/>
  <c r="Q133" i="27"/>
  <c r="O133" i="27" s="1"/>
  <c r="Z133" i="27" s="1"/>
  <c r="Q134" i="27"/>
  <c r="O134" i="27" s="1"/>
  <c r="Z134" i="27" s="1"/>
  <c r="P135" i="27"/>
  <c r="N135" i="27" s="1"/>
  <c r="Y135" i="27" s="1"/>
  <c r="P137" i="27"/>
  <c r="N137" i="27" s="1"/>
  <c r="Y137" i="27" s="1"/>
  <c r="P143" i="27"/>
  <c r="N143" i="27" s="1"/>
  <c r="Y143" i="27" s="1"/>
  <c r="P145" i="27"/>
  <c r="N145" i="27" s="1"/>
  <c r="Y145" i="27" s="1"/>
  <c r="Q5" i="25"/>
  <c r="O5" i="25" s="1"/>
  <c r="Z5" i="25" s="1"/>
  <c r="P8" i="25"/>
  <c r="N8" i="25" s="1"/>
  <c r="Y8" i="25" s="1"/>
  <c r="Q12" i="25"/>
  <c r="O12" i="25" s="1"/>
  <c r="Z12" i="25" s="1"/>
  <c r="Q10" i="25"/>
  <c r="O10" i="25" s="1"/>
  <c r="Z10" i="25" s="1"/>
  <c r="P11" i="25"/>
  <c r="N11" i="25" s="1"/>
  <c r="Y11" i="25" s="1"/>
  <c r="P17" i="25"/>
  <c r="N17" i="25" s="1"/>
  <c r="Y17" i="25" s="1"/>
  <c r="P19" i="25"/>
  <c r="N19" i="25" s="1"/>
  <c r="Y19" i="25" s="1"/>
  <c r="P21" i="25"/>
  <c r="N21" i="25" s="1"/>
  <c r="Y21" i="25" s="1"/>
  <c r="P35" i="25"/>
  <c r="N35" i="25" s="1"/>
  <c r="Y35" i="25" s="1"/>
  <c r="P33" i="25"/>
  <c r="N33" i="25" s="1"/>
  <c r="Y33" i="25" s="1"/>
  <c r="P34" i="25"/>
  <c r="N34" i="25" s="1"/>
  <c r="Y34" i="25" s="1"/>
  <c r="P36" i="25"/>
  <c r="N36" i="25" s="1"/>
  <c r="Y36" i="25" s="1"/>
  <c r="Q39" i="25"/>
  <c r="O39" i="25" s="1"/>
  <c r="Z39" i="25" s="1"/>
  <c r="Q40" i="25"/>
  <c r="O40" i="25" s="1"/>
  <c r="Z40" i="25" s="1"/>
  <c r="P82" i="25"/>
  <c r="N82" i="25" s="1"/>
  <c r="Y82" i="25" s="1"/>
  <c r="Q156" i="25"/>
  <c r="O156" i="25" s="1"/>
  <c r="Z156" i="25" s="1"/>
  <c r="Q154" i="25"/>
  <c r="O154" i="25" s="1"/>
  <c r="Z154" i="25" s="1"/>
  <c r="Q155" i="25"/>
  <c r="O155" i="25" s="1"/>
  <c r="Z155" i="25" s="1"/>
  <c r="Q17" i="27"/>
  <c r="O17" i="27" s="1"/>
  <c r="Z17" i="27" s="1"/>
  <c r="P30" i="27"/>
  <c r="N30" i="27" s="1"/>
  <c r="Y30" i="27" s="1"/>
  <c r="Q43" i="27"/>
  <c r="O43" i="27" s="1"/>
  <c r="Z43" i="27" s="1"/>
  <c r="Q93" i="27"/>
  <c r="O93" i="27" s="1"/>
  <c r="Z93" i="27" s="1"/>
  <c r="P100" i="27"/>
  <c r="N100" i="27" s="1"/>
  <c r="Y100" i="27" s="1"/>
  <c r="Q111" i="27"/>
  <c r="O111" i="27" s="1"/>
  <c r="Z111" i="27" s="1"/>
  <c r="P118" i="27"/>
  <c r="N118" i="27" s="1"/>
  <c r="Y118" i="27" s="1"/>
  <c r="Q135" i="27"/>
  <c r="O135" i="27" s="1"/>
  <c r="Z135" i="27" s="1"/>
  <c r="P136" i="27"/>
  <c r="N136" i="27" s="1"/>
  <c r="Y136" i="27" s="1"/>
  <c r="Q137" i="27"/>
  <c r="O137" i="27" s="1"/>
  <c r="Z137" i="27" s="1"/>
  <c r="Q138" i="27"/>
  <c r="O138" i="27" s="1"/>
  <c r="Z138" i="27" s="1"/>
  <c r="P139" i="27"/>
  <c r="N139" i="27" s="1"/>
  <c r="Y139" i="27" s="1"/>
  <c r="P141" i="27"/>
  <c r="N141" i="27" s="1"/>
  <c r="Y141" i="27" s="1"/>
  <c r="Q143" i="27"/>
  <c r="O143" i="27" s="1"/>
  <c r="Z143" i="27" s="1"/>
  <c r="P144" i="27"/>
  <c r="N144" i="27" s="1"/>
  <c r="Y144" i="27" s="1"/>
  <c r="Q145" i="27"/>
  <c r="O145" i="27" s="1"/>
  <c r="Z145" i="27" s="1"/>
  <c r="Q8" i="25"/>
  <c r="O8" i="25" s="1"/>
  <c r="Z8" i="25" s="1"/>
  <c r="Q45" i="25"/>
  <c r="O45" i="25" s="1"/>
  <c r="Z45" i="25" s="1"/>
  <c r="Q46" i="25"/>
  <c r="O46" i="25" s="1"/>
  <c r="Z46" i="25" s="1"/>
  <c r="Q177" i="25"/>
  <c r="O177" i="25" s="1"/>
  <c r="Z177" i="25" s="1"/>
  <c r="Q30" i="27"/>
  <c r="O30" i="27" s="1"/>
  <c r="Z30" i="27" s="1"/>
  <c r="P73" i="27"/>
  <c r="N73" i="27" s="1"/>
  <c r="Y73" i="27" s="1"/>
  <c r="P85" i="27"/>
  <c r="N85" i="27" s="1"/>
  <c r="Y85" i="27" s="1"/>
  <c r="P105" i="27"/>
  <c r="N105" i="27" s="1"/>
  <c r="Y105" i="27" s="1"/>
  <c r="Q118" i="27"/>
  <c r="O118" i="27" s="1"/>
  <c r="Z118" i="27" s="1"/>
  <c r="P129" i="27"/>
  <c r="N129" i="27" s="1"/>
  <c r="Y129" i="27" s="1"/>
  <c r="Q139" i="27"/>
  <c r="O139" i="27" s="1"/>
  <c r="Z139" i="27" s="1"/>
  <c r="P140" i="27"/>
  <c r="N140" i="27" s="1"/>
  <c r="Y140" i="27" s="1"/>
  <c r="Q141" i="27"/>
  <c r="O141" i="27" s="1"/>
  <c r="Z141" i="27" s="1"/>
  <c r="O31" i="25"/>
  <c r="Z31" i="25" s="1"/>
  <c r="P64" i="25"/>
  <c r="N64" i="25" s="1"/>
  <c r="Y64" i="25" s="1"/>
  <c r="P68" i="25"/>
  <c r="N68" i="25" s="1"/>
  <c r="Y68" i="25" s="1"/>
  <c r="P86" i="25"/>
  <c r="N86" i="25" s="1"/>
  <c r="Y86" i="25" s="1"/>
  <c r="P155" i="25"/>
  <c r="N155" i="25" s="1"/>
  <c r="Y155" i="25" s="1"/>
  <c r="O162" i="25"/>
  <c r="Z162" i="25" s="1"/>
  <c r="P165" i="25"/>
  <c r="N165" i="25" s="1"/>
  <c r="Y165" i="25" s="1"/>
  <c r="P163" i="25"/>
  <c r="N163" i="25" s="1"/>
  <c r="Y163" i="25" s="1"/>
  <c r="P164" i="25"/>
  <c r="N164" i="25" s="1"/>
  <c r="Y164" i="25" s="1"/>
  <c r="P32" i="25"/>
  <c r="N32" i="25" s="1"/>
  <c r="Y32" i="25" s="1"/>
  <c r="Q37" i="25"/>
  <c r="O37" i="25" s="1"/>
  <c r="Z37" i="25" s="1"/>
  <c r="Q38" i="25"/>
  <c r="O38" i="25" s="1"/>
  <c r="Z38" i="25" s="1"/>
  <c r="Q136" i="25"/>
  <c r="O136" i="25" s="1"/>
  <c r="Z136" i="25" s="1"/>
  <c r="P159" i="25"/>
  <c r="N159" i="25" s="1"/>
  <c r="Y159" i="25" s="1"/>
  <c r="O164" i="25"/>
  <c r="Z164" i="25" s="1"/>
  <c r="P38" i="25"/>
  <c r="N38" i="25" s="1"/>
  <c r="Y38" i="25" s="1"/>
  <c r="P40" i="25"/>
  <c r="N40" i="25" s="1"/>
  <c r="Y40" i="25" s="1"/>
  <c r="P46" i="25"/>
  <c r="N46" i="25" s="1"/>
  <c r="Y46" i="25" s="1"/>
  <c r="P48" i="25"/>
  <c r="N48" i="25" s="1"/>
  <c r="Y48" i="25" s="1"/>
  <c r="P50" i="25"/>
  <c r="N50" i="25" s="1"/>
  <c r="Y50" i="25" s="1"/>
  <c r="P52" i="25"/>
  <c r="N52" i="25" s="1"/>
  <c r="Y52" i="25" s="1"/>
  <c r="P54" i="25"/>
  <c r="N54" i="25" s="1"/>
  <c r="Y54" i="25" s="1"/>
  <c r="P56" i="25"/>
  <c r="N56" i="25" s="1"/>
  <c r="Y56" i="25" s="1"/>
  <c r="Q61" i="25"/>
  <c r="O61" i="25" s="1"/>
  <c r="Z61" i="25" s="1"/>
  <c r="Q63" i="25"/>
  <c r="O63" i="25" s="1"/>
  <c r="Z63" i="25" s="1"/>
  <c r="Q65" i="25"/>
  <c r="O65" i="25" s="1"/>
  <c r="Z65" i="25" s="1"/>
  <c r="Q67" i="25"/>
  <c r="O67" i="25" s="1"/>
  <c r="Z67" i="25" s="1"/>
  <c r="Q69" i="25"/>
  <c r="O69" i="25" s="1"/>
  <c r="Z69" i="25" s="1"/>
  <c r="Q71" i="25"/>
  <c r="O71" i="25" s="1"/>
  <c r="Z71" i="25" s="1"/>
  <c r="Q73" i="25"/>
  <c r="O73" i="25" s="1"/>
  <c r="Z73" i="25" s="1"/>
  <c r="Q75" i="25"/>
  <c r="O75" i="25" s="1"/>
  <c r="Z75" i="25" s="1"/>
  <c r="Q77" i="25"/>
  <c r="O77" i="25" s="1"/>
  <c r="Z77" i="25" s="1"/>
  <c r="Q79" i="25"/>
  <c r="O79" i="25" s="1"/>
  <c r="Z79" i="25" s="1"/>
  <c r="Q81" i="25"/>
  <c r="O81" i="25" s="1"/>
  <c r="Z81" i="25" s="1"/>
  <c r="Q83" i="25"/>
  <c r="O83" i="25" s="1"/>
  <c r="Z83" i="25" s="1"/>
  <c r="Q85" i="25"/>
  <c r="O85" i="25" s="1"/>
  <c r="Z85" i="25" s="1"/>
  <c r="Q87" i="25"/>
  <c r="O87" i="25" s="1"/>
  <c r="Z87" i="25" s="1"/>
  <c r="Q89" i="25"/>
  <c r="O89" i="25" s="1"/>
  <c r="Z89" i="25" s="1"/>
  <c r="Q91" i="25"/>
  <c r="O91" i="25" s="1"/>
  <c r="Z91" i="25" s="1"/>
  <c r="Q93" i="25"/>
  <c r="O93" i="25" s="1"/>
  <c r="Z93" i="25" s="1"/>
  <c r="Q95" i="25"/>
  <c r="O95" i="25" s="1"/>
  <c r="Z95" i="25" s="1"/>
  <c r="Q97" i="25"/>
  <c r="O97" i="25" s="1"/>
  <c r="Z97" i="25" s="1"/>
  <c r="Q99" i="25"/>
  <c r="O99" i="25" s="1"/>
  <c r="Z99" i="25" s="1"/>
  <c r="Q101" i="25"/>
  <c r="O101" i="25" s="1"/>
  <c r="Z101" i="25" s="1"/>
  <c r="Q103" i="25"/>
  <c r="O103" i="25" s="1"/>
  <c r="Z103" i="25" s="1"/>
  <c r="Q105" i="25"/>
  <c r="O105" i="25" s="1"/>
  <c r="Z105" i="25" s="1"/>
  <c r="Q107" i="25"/>
  <c r="O107" i="25" s="1"/>
  <c r="Z107" i="25" s="1"/>
  <c r="Q109" i="25"/>
  <c r="O109" i="25" s="1"/>
  <c r="Z109" i="25" s="1"/>
  <c r="Q111" i="25"/>
  <c r="O111" i="25" s="1"/>
  <c r="Z111" i="25" s="1"/>
  <c r="P114" i="25"/>
  <c r="N114" i="25" s="1"/>
  <c r="Y114" i="25" s="1"/>
  <c r="P116" i="25"/>
  <c r="N116" i="25" s="1"/>
  <c r="Y116" i="25" s="1"/>
  <c r="P118" i="25"/>
  <c r="N118" i="25" s="1"/>
  <c r="Y118" i="25" s="1"/>
  <c r="P120" i="25"/>
  <c r="N120" i="25" s="1"/>
  <c r="Y120" i="25" s="1"/>
  <c r="P122" i="25"/>
  <c r="N122" i="25" s="1"/>
  <c r="Y122" i="25" s="1"/>
  <c r="P124" i="25"/>
  <c r="N124" i="25" s="1"/>
  <c r="Y124" i="25" s="1"/>
  <c r="P126" i="25"/>
  <c r="N126" i="25" s="1"/>
  <c r="Y126" i="25" s="1"/>
  <c r="P128" i="25"/>
  <c r="N128" i="25" s="1"/>
  <c r="Y128" i="25" s="1"/>
  <c r="P130" i="25"/>
  <c r="N130" i="25" s="1"/>
  <c r="Y130" i="25" s="1"/>
  <c r="P132" i="25"/>
  <c r="N132" i="25" s="1"/>
  <c r="Y132" i="25" s="1"/>
  <c r="P134" i="25"/>
  <c r="N134" i="25" s="1"/>
  <c r="Y134" i="25" s="1"/>
  <c r="P136" i="25"/>
  <c r="N136" i="25" s="1"/>
  <c r="Y136" i="25" s="1"/>
  <c r="P138" i="25"/>
  <c r="N138" i="25" s="1"/>
  <c r="Y138" i="25" s="1"/>
  <c r="P140" i="25"/>
  <c r="N140" i="25" s="1"/>
  <c r="Y140" i="25" s="1"/>
  <c r="P142" i="25"/>
  <c r="N142" i="25" s="1"/>
  <c r="Y142" i="25" s="1"/>
  <c r="P144" i="25"/>
  <c r="N144" i="25" s="1"/>
  <c r="Y144" i="25" s="1"/>
  <c r="Q157" i="25"/>
  <c r="O157" i="25" s="1"/>
  <c r="Z157" i="25" s="1"/>
  <c r="Q159" i="25"/>
  <c r="O159" i="25" s="1"/>
  <c r="Z159" i="25" s="1"/>
  <c r="Q161" i="25"/>
  <c r="O161" i="25" s="1"/>
  <c r="Z161" i="25" s="1"/>
  <c r="P166" i="25"/>
  <c r="N166" i="25" s="1"/>
  <c r="Y166" i="25" s="1"/>
  <c r="P168" i="25"/>
  <c r="N168" i="25" s="1"/>
  <c r="Y168" i="25" s="1"/>
  <c r="P170" i="25"/>
  <c r="N170" i="25" s="1"/>
  <c r="Y170" i="25" s="1"/>
  <c r="P172" i="25"/>
  <c r="N172" i="25" s="1"/>
  <c r="Y172" i="25" s="1"/>
  <c r="P174" i="25"/>
  <c r="N174" i="25" s="1"/>
  <c r="Y174" i="25" s="1"/>
  <c r="P176" i="25"/>
  <c r="N176" i="25" s="1"/>
  <c r="Y176" i="25" s="1"/>
  <c r="Q36" i="25"/>
  <c r="O36" i="25" s="1"/>
  <c r="Z36" i="25" s="1"/>
  <c r="Q52" i="25"/>
  <c r="O52" i="25" s="1"/>
  <c r="Z52" i="25" s="1"/>
  <c r="Q56" i="25"/>
  <c r="O56" i="25" s="1"/>
  <c r="Z56" i="25" s="1"/>
  <c r="Q116" i="25"/>
  <c r="O116" i="25" s="1"/>
  <c r="Z116" i="25" s="1"/>
  <c r="Q118" i="25"/>
  <c r="O118" i="25" s="1"/>
  <c r="Z118" i="25" s="1"/>
  <c r="Q120" i="25"/>
  <c r="O120" i="25" s="1"/>
  <c r="Z120" i="25" s="1"/>
  <c r="Q126" i="25"/>
  <c r="O126" i="25" s="1"/>
  <c r="Z126" i="25" s="1"/>
  <c r="Q128" i="25"/>
  <c r="O128" i="25" s="1"/>
  <c r="Z128" i="25" s="1"/>
  <c r="Q134" i="25"/>
  <c r="O134" i="25" s="1"/>
  <c r="Z134" i="25" s="1"/>
  <c r="X163" i="25"/>
  <c r="Q170" i="25"/>
  <c r="O170" i="25" s="1"/>
  <c r="Z170" i="25" s="1"/>
  <c r="Q174" i="25"/>
  <c r="O174" i="25" s="1"/>
  <c r="Z174" i="25" s="1"/>
  <c r="Q176" i="25"/>
  <c r="O176" i="25" s="1"/>
  <c r="Z176" i="25" s="1"/>
  <c r="P180" i="25"/>
  <c r="N180" i="25" s="1"/>
  <c r="Y180" i="25" s="1"/>
  <c r="P184" i="25"/>
  <c r="N184" i="25" s="1"/>
  <c r="Y184" i="25" s="1"/>
  <c r="P188" i="25"/>
  <c r="N188" i="25" s="1"/>
  <c r="Y188" i="25" s="1"/>
  <c r="P192" i="25"/>
  <c r="N192" i="25" s="1"/>
  <c r="Y192" i="25" s="1"/>
  <c r="P39" i="25"/>
  <c r="N39" i="25" s="1"/>
  <c r="Y39" i="25" s="1"/>
  <c r="Q110" i="25"/>
  <c r="O110" i="25" s="1"/>
  <c r="Z110" i="25" s="1"/>
  <c r="Q112" i="25"/>
  <c r="O112" i="25" s="1"/>
  <c r="Z112" i="25" s="1"/>
  <c r="P143" i="25"/>
  <c r="N143" i="25" s="1"/>
  <c r="Y143" i="25" s="1"/>
  <c r="P147" i="25"/>
  <c r="N147" i="25" s="1"/>
  <c r="Y147" i="25" s="1"/>
  <c r="Q160" i="25"/>
  <c r="O160" i="25" s="1"/>
  <c r="Z160" i="25" s="1"/>
  <c r="P175" i="25"/>
  <c r="N175" i="25" s="1"/>
  <c r="Y175" i="25" s="1"/>
  <c r="P181" i="25"/>
  <c r="N181" i="25" s="1"/>
  <c r="Y181" i="25" s="1"/>
  <c r="P185" i="25"/>
  <c r="N185" i="25" s="1"/>
  <c r="Y185" i="25" s="1"/>
  <c r="P189" i="25"/>
  <c r="N189" i="25" s="1"/>
  <c r="Y189" i="25" s="1"/>
  <c r="P193" i="25"/>
  <c r="N193" i="25" s="1"/>
  <c r="Y193" i="25" s="1"/>
  <c r="P4" i="25"/>
  <c r="N4" i="25" s="1"/>
  <c r="Y4" i="25" s="1"/>
  <c r="P6" i="25"/>
  <c r="N6" i="25" s="1"/>
  <c r="Y6" i="25" s="1"/>
  <c r="Q175" i="25"/>
  <c r="O175" i="25" s="1"/>
  <c r="Z175" i="25" s="1"/>
  <c r="P178" i="25"/>
  <c r="N178" i="25" s="1"/>
  <c r="Y178" i="25" s="1"/>
  <c r="P182" i="25"/>
  <c r="N182" i="25" s="1"/>
  <c r="Y182" i="25" s="1"/>
  <c r="P186" i="25"/>
  <c r="N186" i="25" s="1"/>
  <c r="Y186" i="25" s="1"/>
  <c r="P190" i="25"/>
  <c r="N190" i="25" s="1"/>
  <c r="Y190" i="25" s="1"/>
  <c r="P266" i="25"/>
  <c r="N266" i="25" s="1"/>
  <c r="Y266" i="25" s="1"/>
  <c r="P262" i="25"/>
  <c r="N262" i="25" s="1"/>
  <c r="Y262" i="25" s="1"/>
  <c r="P258" i="25"/>
  <c r="N258" i="25" s="1"/>
  <c r="Y258" i="25" s="1"/>
  <c r="P254" i="25"/>
  <c r="N254" i="25" s="1"/>
  <c r="Y254" i="25" s="1"/>
  <c r="P250" i="25"/>
  <c r="N250" i="25" s="1"/>
  <c r="Y250" i="25" s="1"/>
  <c r="P246" i="25"/>
  <c r="N246" i="25" s="1"/>
  <c r="Y246" i="25" s="1"/>
  <c r="P242" i="25"/>
  <c r="N242" i="25" s="1"/>
  <c r="Y242" i="25" s="1"/>
  <c r="P238" i="25"/>
  <c r="N238" i="25" s="1"/>
  <c r="Y238" i="25" s="1"/>
  <c r="P234" i="25"/>
  <c r="N234" i="25" s="1"/>
  <c r="Y234" i="25" s="1"/>
  <c r="P230" i="25"/>
  <c r="N230" i="25" s="1"/>
  <c r="Y230" i="25" s="1"/>
  <c r="P226" i="25"/>
  <c r="N226" i="25" s="1"/>
  <c r="Y226" i="25" s="1"/>
  <c r="P222" i="25"/>
  <c r="N222" i="25" s="1"/>
  <c r="Y222" i="25" s="1"/>
  <c r="P218" i="25"/>
  <c r="N218" i="25" s="1"/>
  <c r="Y218" i="25" s="1"/>
  <c r="P214" i="25"/>
  <c r="N214" i="25" s="1"/>
  <c r="Y214" i="25" s="1"/>
  <c r="P210" i="25"/>
  <c r="N210" i="25" s="1"/>
  <c r="Y210" i="25" s="1"/>
  <c r="P206" i="25"/>
  <c r="N206" i="25" s="1"/>
  <c r="Y206" i="25" s="1"/>
  <c r="P202" i="25"/>
  <c r="N202" i="25" s="1"/>
  <c r="Y202" i="25" s="1"/>
  <c r="P198" i="25"/>
  <c r="N198" i="25" s="1"/>
  <c r="Y198" i="25" s="1"/>
  <c r="P265" i="25"/>
  <c r="N265" i="25" s="1"/>
  <c r="Y265" i="25" s="1"/>
  <c r="P261" i="25"/>
  <c r="N261" i="25" s="1"/>
  <c r="Y261" i="25" s="1"/>
  <c r="P257" i="25"/>
  <c r="N257" i="25" s="1"/>
  <c r="Y257" i="25" s="1"/>
  <c r="P253" i="25"/>
  <c r="N253" i="25" s="1"/>
  <c r="Y253" i="25" s="1"/>
  <c r="P249" i="25"/>
  <c r="N249" i="25" s="1"/>
  <c r="Y249" i="25" s="1"/>
  <c r="P245" i="25"/>
  <c r="N245" i="25" s="1"/>
  <c r="Y245" i="25" s="1"/>
  <c r="P241" i="25"/>
  <c r="N241" i="25" s="1"/>
  <c r="Y241" i="25" s="1"/>
  <c r="P237" i="25"/>
  <c r="N237" i="25" s="1"/>
  <c r="Y237" i="25" s="1"/>
  <c r="P233" i="25"/>
  <c r="N233" i="25" s="1"/>
  <c r="Y233" i="25" s="1"/>
  <c r="P229" i="25"/>
  <c r="N229" i="25" s="1"/>
  <c r="Y229" i="25" s="1"/>
  <c r="P225" i="25"/>
  <c r="N225" i="25" s="1"/>
  <c r="Y225" i="25" s="1"/>
  <c r="P221" i="25"/>
  <c r="N221" i="25" s="1"/>
  <c r="Y221" i="25" s="1"/>
  <c r="P217" i="25"/>
  <c r="N217" i="25" s="1"/>
  <c r="Y217" i="25" s="1"/>
  <c r="P213" i="25"/>
  <c r="N213" i="25" s="1"/>
  <c r="Y213" i="25" s="1"/>
  <c r="P209" i="25"/>
  <c r="N209" i="25" s="1"/>
  <c r="Y209" i="25" s="1"/>
  <c r="P205" i="25"/>
  <c r="N205" i="25" s="1"/>
  <c r="Y205" i="25" s="1"/>
  <c r="P201" i="25"/>
  <c r="N201" i="25" s="1"/>
  <c r="Y201" i="25" s="1"/>
  <c r="P197" i="25"/>
  <c r="N197" i="25" s="1"/>
  <c r="Y197" i="25" s="1"/>
  <c r="P264" i="25"/>
  <c r="N264" i="25" s="1"/>
  <c r="Y264" i="25" s="1"/>
  <c r="P260" i="25"/>
  <c r="N260" i="25" s="1"/>
  <c r="Y260" i="25" s="1"/>
  <c r="P256" i="25"/>
  <c r="N256" i="25" s="1"/>
  <c r="Y256" i="25" s="1"/>
  <c r="P252" i="25"/>
  <c r="N252" i="25" s="1"/>
  <c r="Y252" i="25" s="1"/>
  <c r="P248" i="25"/>
  <c r="N248" i="25" s="1"/>
  <c r="Y248" i="25" s="1"/>
  <c r="P244" i="25"/>
  <c r="N244" i="25" s="1"/>
  <c r="Y244" i="25" s="1"/>
  <c r="P240" i="25"/>
  <c r="N240" i="25" s="1"/>
  <c r="Y240" i="25" s="1"/>
  <c r="P236" i="25"/>
  <c r="N236" i="25" s="1"/>
  <c r="Y236" i="25" s="1"/>
  <c r="P232" i="25"/>
  <c r="N232" i="25" s="1"/>
  <c r="Y232" i="25" s="1"/>
  <c r="P228" i="25"/>
  <c r="N228" i="25" s="1"/>
  <c r="Y228" i="25" s="1"/>
  <c r="P224" i="25"/>
  <c r="N224" i="25" s="1"/>
  <c r="Y224" i="25" s="1"/>
  <c r="P220" i="25"/>
  <c r="N220" i="25" s="1"/>
  <c r="Y220" i="25" s="1"/>
  <c r="P216" i="25"/>
  <c r="N216" i="25" s="1"/>
  <c r="Y216" i="25" s="1"/>
  <c r="P212" i="25"/>
  <c r="N212" i="25" s="1"/>
  <c r="Y212" i="25" s="1"/>
  <c r="P208" i="25"/>
  <c r="N208" i="25" s="1"/>
  <c r="Y208" i="25" s="1"/>
  <c r="P204" i="25"/>
  <c r="N204" i="25" s="1"/>
  <c r="Y204" i="25" s="1"/>
  <c r="P200" i="25"/>
  <c r="N200" i="25" s="1"/>
  <c r="Y200" i="25" s="1"/>
  <c r="P196" i="25"/>
  <c r="N196" i="25" s="1"/>
  <c r="Y196" i="25" s="1"/>
  <c r="P263" i="25"/>
  <c r="N263" i="25" s="1"/>
  <c r="Y263" i="25" s="1"/>
  <c r="P259" i="25"/>
  <c r="N259" i="25" s="1"/>
  <c r="Y259" i="25" s="1"/>
  <c r="P255" i="25"/>
  <c r="N255" i="25" s="1"/>
  <c r="Y255" i="25" s="1"/>
  <c r="P251" i="25"/>
  <c r="N251" i="25" s="1"/>
  <c r="Y251" i="25" s="1"/>
  <c r="P247" i="25"/>
  <c r="N247" i="25" s="1"/>
  <c r="Y247" i="25" s="1"/>
  <c r="P243" i="25"/>
  <c r="N243" i="25" s="1"/>
  <c r="Y243" i="25" s="1"/>
  <c r="P239" i="25"/>
  <c r="N239" i="25" s="1"/>
  <c r="Y239" i="25" s="1"/>
  <c r="P235" i="25"/>
  <c r="N235" i="25" s="1"/>
  <c r="Y235" i="25" s="1"/>
  <c r="P231" i="25"/>
  <c r="N231" i="25" s="1"/>
  <c r="Y231" i="25" s="1"/>
  <c r="P227" i="25"/>
  <c r="N227" i="25" s="1"/>
  <c r="Y227" i="25" s="1"/>
  <c r="P223" i="25"/>
  <c r="N223" i="25" s="1"/>
  <c r="Y223" i="25" s="1"/>
  <c r="P219" i="25"/>
  <c r="N219" i="25" s="1"/>
  <c r="Y219" i="25" s="1"/>
  <c r="P215" i="25"/>
  <c r="N215" i="25" s="1"/>
  <c r="Y215" i="25" s="1"/>
  <c r="P211" i="25"/>
  <c r="N211" i="25" s="1"/>
  <c r="Y211" i="25" s="1"/>
  <c r="P207" i="25"/>
  <c r="N207" i="25" s="1"/>
  <c r="Y207" i="25" s="1"/>
  <c r="P203" i="25"/>
  <c r="N203" i="25" s="1"/>
  <c r="Y203" i="25" s="1"/>
  <c r="P199" i="25"/>
  <c r="N199" i="25" s="1"/>
  <c r="Y199" i="25" s="1"/>
  <c r="P195" i="25"/>
  <c r="N195" i="25" s="1"/>
  <c r="Y195" i="25" s="1"/>
  <c r="AM8" i="2"/>
  <c r="AM20" i="2"/>
  <c r="AR35" i="2"/>
  <c r="H38" i="2"/>
  <c r="AO38" i="2" s="1"/>
  <c r="AM39" i="2"/>
  <c r="AM42" i="2"/>
  <c r="G46" i="2"/>
  <c r="AN46" i="2" s="1"/>
  <c r="AR46" i="2"/>
  <c r="AM50" i="2"/>
  <c r="G54" i="2"/>
  <c r="AN54" i="2" s="1"/>
  <c r="AR54" i="2"/>
  <c r="G58" i="2"/>
  <c r="AN58" i="2" s="1"/>
  <c r="AR58" i="2"/>
  <c r="G62" i="2"/>
  <c r="AN62" i="2" s="1"/>
  <c r="AR62" i="2"/>
  <c r="AM65" i="2"/>
  <c r="AO10" i="3"/>
  <c r="AM5" i="2"/>
  <c r="G9" i="2"/>
  <c r="AN9" i="2" s="1"/>
  <c r="AR9" i="2"/>
  <c r="AM13" i="2"/>
  <c r="AM17" i="2"/>
  <c r="G21" i="2"/>
  <c r="AN21" i="2" s="1"/>
  <c r="AR21" i="2"/>
  <c r="AM25" i="2"/>
  <c r="G32" i="2"/>
  <c r="AN32" i="2" s="1"/>
  <c r="AR32" i="2"/>
  <c r="H35" i="2"/>
  <c r="AO35" i="2" s="1"/>
  <c r="AM36" i="2"/>
  <c r="G40" i="2"/>
  <c r="AN40" i="2" s="1"/>
  <c r="AR40" i="2"/>
  <c r="G43" i="2"/>
  <c r="AN43" i="2" s="1"/>
  <c r="AR43" i="2"/>
  <c r="H46" i="2"/>
  <c r="AO46" i="2" s="1"/>
  <c r="G51" i="2"/>
  <c r="AN51" i="2" s="1"/>
  <c r="AR51" i="2"/>
  <c r="H54" i="2"/>
  <c r="AO54" i="2" s="1"/>
  <c r="H58" i="2"/>
  <c r="AO58" i="2" s="1"/>
  <c r="H62" i="2"/>
  <c r="AO62" i="2" s="1"/>
  <c r="G6" i="2"/>
  <c r="AN6" i="2" s="1"/>
  <c r="AR6" i="2"/>
  <c r="H9" i="2"/>
  <c r="AO9" i="2" s="1"/>
  <c r="AM10" i="2"/>
  <c r="AM14" i="2"/>
  <c r="G18" i="2"/>
  <c r="AN18" i="2" s="1"/>
  <c r="AR18" i="2"/>
  <c r="H21" i="2"/>
  <c r="AO21" i="2" s="1"/>
  <c r="AM22" i="2"/>
  <c r="G26" i="2"/>
  <c r="AN26" i="2" s="1"/>
  <c r="AR26" i="2"/>
  <c r="H32" i="2"/>
  <c r="AO32" i="2" s="1"/>
  <c r="AM33" i="2"/>
  <c r="G37" i="2"/>
  <c r="AN37" i="2" s="1"/>
  <c r="AR37" i="2"/>
  <c r="H40" i="2"/>
  <c r="AO40" i="2" s="1"/>
  <c r="AM41" i="2"/>
  <c r="H43" i="2"/>
  <c r="AO43" i="2" s="1"/>
  <c r="AM44" i="2"/>
  <c r="G48" i="2"/>
  <c r="AN48" i="2" s="1"/>
  <c r="H51" i="2"/>
  <c r="AO51" i="2" s="1"/>
  <c r="AM52" i="2"/>
  <c r="AM56" i="2"/>
  <c r="G60" i="2"/>
  <c r="AN60" i="2" s="1"/>
  <c r="AM7" i="2"/>
  <c r="G11" i="2"/>
  <c r="AN11" i="2" s="1"/>
  <c r="AR11" i="2"/>
  <c r="G15" i="2"/>
  <c r="AN15" i="2" s="1"/>
  <c r="AR15" i="2"/>
  <c r="AM19" i="2"/>
  <c r="G23" i="2"/>
  <c r="AN23" i="2" s="1"/>
  <c r="AR23" i="2"/>
  <c r="G8" i="2"/>
  <c r="AN8" i="2" s="1"/>
  <c r="AR8" i="2"/>
  <c r="H11" i="2"/>
  <c r="AO11" i="2" s="1"/>
  <c r="H15" i="2"/>
  <c r="AO15" i="2" s="1"/>
  <c r="G20" i="2"/>
  <c r="AN20" i="2" s="1"/>
  <c r="AP20" i="2" s="1"/>
  <c r="AR20" i="2"/>
  <c r="H23" i="2"/>
  <c r="AO23" i="2" s="1"/>
  <c r="G39" i="2"/>
  <c r="AN39" i="2" s="1"/>
  <c r="AR39" i="2"/>
  <c r="G42" i="2"/>
  <c r="AN42" i="2" s="1"/>
  <c r="AR42" i="2"/>
  <c r="G50" i="2"/>
  <c r="AN50" i="2" s="1"/>
  <c r="AR50" i="2"/>
  <c r="H53" i="2"/>
  <c r="AO53" i="2" s="1"/>
  <c r="H57" i="2"/>
  <c r="AO57" i="2" s="1"/>
  <c r="G65" i="2"/>
  <c r="AN65" i="2" s="1"/>
  <c r="AR65" i="2"/>
  <c r="G5" i="2"/>
  <c r="AN5" i="2" s="1"/>
  <c r="G13" i="2"/>
  <c r="AN13" i="2" s="1"/>
  <c r="G17" i="2"/>
  <c r="AN17" i="2" s="1"/>
  <c r="G25" i="2"/>
  <c r="AN25" i="2" s="1"/>
  <c r="G36" i="2"/>
  <c r="AN36" i="2" s="1"/>
  <c r="G7" i="2"/>
  <c r="AN7" i="2" s="1"/>
  <c r="S64" i="12"/>
  <c r="S91" i="12"/>
  <c r="B10" i="4"/>
  <c r="B12" i="4" s="1"/>
  <c r="B14" i="4" s="1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A8" i="4"/>
  <c r="AM7" i="4"/>
  <c r="H7" i="4"/>
  <c r="AO7" i="4" s="1"/>
  <c r="AR7" i="4"/>
  <c r="AM6" i="4"/>
  <c r="H6" i="4"/>
  <c r="AO6" i="4" s="1"/>
  <c r="AR6" i="4"/>
  <c r="G6" i="4"/>
  <c r="AN6" i="4" s="1"/>
  <c r="H5" i="3"/>
  <c r="AO5" i="3" s="1"/>
  <c r="A6" i="3"/>
  <c r="G8" i="3"/>
  <c r="AN8" i="3" s="1"/>
  <c r="AR8" i="3"/>
  <c r="G11" i="3"/>
  <c r="AN11" i="3" s="1"/>
  <c r="AR11" i="3"/>
  <c r="AM14" i="3"/>
  <c r="H16" i="3"/>
  <c r="AO16" i="3" s="1"/>
  <c r="AR16" i="3"/>
  <c r="H19" i="3"/>
  <c r="AO19" i="3" s="1"/>
  <c r="AR19" i="3"/>
  <c r="G22" i="3"/>
  <c r="AN22" i="3" s="1"/>
  <c r="AR22" i="3"/>
  <c r="G33" i="3"/>
  <c r="AN33" i="3" s="1"/>
  <c r="H34" i="3"/>
  <c r="AO34" i="3" s="1"/>
  <c r="AM35" i="3"/>
  <c r="H37" i="3"/>
  <c r="AO37" i="3" s="1"/>
  <c r="AR37" i="3"/>
  <c r="AM39" i="3"/>
  <c r="AM42" i="3"/>
  <c r="AM45" i="3"/>
  <c r="H47" i="3"/>
  <c r="AO47" i="3" s="1"/>
  <c r="AM48" i="3"/>
  <c r="G50" i="3"/>
  <c r="AN50" i="3" s="1"/>
  <c r="AR50" i="3"/>
  <c r="G53" i="3"/>
  <c r="AN53" i="3" s="1"/>
  <c r="AM56" i="3"/>
  <c r="AM6" i="3"/>
  <c r="H8" i="3"/>
  <c r="AO8" i="3" s="1"/>
  <c r="AM9" i="3"/>
  <c r="H11" i="3"/>
  <c r="AO11" i="3" s="1"/>
  <c r="AM12" i="3"/>
  <c r="G15" i="3"/>
  <c r="AN15" i="3" s="1"/>
  <c r="AM17" i="3"/>
  <c r="AM20" i="3"/>
  <c r="H22" i="3"/>
  <c r="AO22" i="3" s="1"/>
  <c r="AM23" i="3"/>
  <c r="H33" i="3"/>
  <c r="AO33" i="3" s="1"/>
  <c r="AR33" i="3"/>
  <c r="G36" i="3"/>
  <c r="AN36" i="3" s="1"/>
  <c r="AR36" i="3"/>
  <c r="AM38" i="3"/>
  <c r="G40" i="3"/>
  <c r="AN40" i="3" s="1"/>
  <c r="AR40" i="3"/>
  <c r="G43" i="3"/>
  <c r="AN43" i="3" s="1"/>
  <c r="AR43" i="3"/>
  <c r="AM51" i="3"/>
  <c r="AR53" i="3"/>
  <c r="G57" i="3"/>
  <c r="AN57" i="3" s="1"/>
  <c r="AR57" i="3"/>
  <c r="G60" i="3"/>
  <c r="AN60" i="3" s="1"/>
  <c r="AR60" i="3"/>
  <c r="AO5" i="4"/>
  <c r="B9" i="4"/>
  <c r="B11" i="4" s="1"/>
  <c r="B13" i="4" s="1"/>
  <c r="B15" i="4" s="1"/>
  <c r="B17" i="4" s="1"/>
  <c r="B19" i="4" s="1"/>
  <c r="B21" i="4" s="1"/>
  <c r="B23" i="4" s="1"/>
  <c r="B25" i="4" s="1"/>
  <c r="B27" i="4" s="1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B53" i="4" s="1"/>
  <c r="B55" i="4" s="1"/>
  <c r="B57" i="4" s="1"/>
  <c r="B59" i="4" s="1"/>
  <c r="B61" i="4" s="1"/>
  <c r="B63" i="4" s="1"/>
  <c r="B65" i="4" s="1"/>
  <c r="G13" i="3"/>
  <c r="AN13" i="3" s="1"/>
  <c r="H15" i="3"/>
  <c r="AO15" i="3" s="1"/>
  <c r="AR15" i="3"/>
  <c r="G18" i="3"/>
  <c r="AN18" i="3" s="1"/>
  <c r="AR18" i="3"/>
  <c r="H36" i="3"/>
  <c r="AO36" i="3" s="1"/>
  <c r="H40" i="3"/>
  <c r="AO40" i="3" s="1"/>
  <c r="H43" i="3"/>
  <c r="AO43" i="3" s="1"/>
  <c r="G46" i="3"/>
  <c r="AN46" i="3" s="1"/>
  <c r="AR46" i="3"/>
  <c r="G49" i="3"/>
  <c r="AN49" i="3" s="1"/>
  <c r="G52" i="3"/>
  <c r="AN52" i="3" s="1"/>
  <c r="H57" i="3"/>
  <c r="AO57" i="3" s="1"/>
  <c r="H60" i="3"/>
  <c r="AO60" i="3" s="1"/>
  <c r="AM10" i="4"/>
  <c r="H10" i="4"/>
  <c r="AO10" i="4" s="1"/>
  <c r="AR10" i="4"/>
  <c r="G10" i="4"/>
  <c r="AN10" i="4" s="1"/>
  <c r="AM13" i="4"/>
  <c r="AR13" i="4"/>
  <c r="H13" i="4"/>
  <c r="AO13" i="4" s="1"/>
  <c r="G13" i="4"/>
  <c r="AN13" i="4" s="1"/>
  <c r="AR10" i="3"/>
  <c r="H13" i="3"/>
  <c r="AO13" i="3" s="1"/>
  <c r="H49" i="3"/>
  <c r="AO49" i="3" s="1"/>
  <c r="H52" i="3"/>
  <c r="AO52" i="3" s="1"/>
  <c r="G55" i="3"/>
  <c r="AN55" i="3" s="1"/>
  <c r="AR55" i="3"/>
  <c r="G59" i="3"/>
  <c r="AN59" i="3" s="1"/>
  <c r="G62" i="3"/>
  <c r="AN62" i="3" s="1"/>
  <c r="AR62" i="3"/>
  <c r="G14" i="3"/>
  <c r="AN14" i="3" s="1"/>
  <c r="AP14" i="3" s="1"/>
  <c r="AR14" i="3"/>
  <c r="G35" i="3"/>
  <c r="AN35" i="3" s="1"/>
  <c r="AR35" i="3"/>
  <c r="G39" i="3"/>
  <c r="AN39" i="3" s="1"/>
  <c r="AR39" i="3"/>
  <c r="G42" i="3"/>
  <c r="AN42" i="3" s="1"/>
  <c r="AR42" i="3"/>
  <c r="G45" i="3"/>
  <c r="AN45" i="3" s="1"/>
  <c r="G48" i="3"/>
  <c r="AN48" i="3" s="1"/>
  <c r="G56" i="3"/>
  <c r="AN56" i="3" s="1"/>
  <c r="AR56" i="3"/>
  <c r="H59" i="3"/>
  <c r="AO59" i="3" s="1"/>
  <c r="S241" i="12"/>
  <c r="A5" i="4"/>
  <c r="G6" i="3"/>
  <c r="AN6" i="3" s="1"/>
  <c r="G12" i="3"/>
  <c r="AN12" i="3" s="1"/>
  <c r="G17" i="3"/>
  <c r="AN17" i="3" s="1"/>
  <c r="H45" i="3"/>
  <c r="AO45" i="3" s="1"/>
  <c r="H48" i="3"/>
  <c r="AO48" i="3" s="1"/>
  <c r="AO9" i="4"/>
  <c r="AO12" i="4"/>
  <c r="A9" i="6"/>
  <c r="B11" i="6"/>
  <c r="AM23" i="4"/>
  <c r="AM40" i="4"/>
  <c r="AM44" i="4"/>
  <c r="AM47" i="4"/>
  <c r="AM50" i="4"/>
  <c r="AM61" i="4"/>
  <c r="A7" i="6"/>
  <c r="AM16" i="6"/>
  <c r="AM24" i="6"/>
  <c r="AR25" i="6"/>
  <c r="AR34" i="6"/>
  <c r="AM35" i="6"/>
  <c r="AR38" i="6"/>
  <c r="AM45" i="6"/>
  <c r="G49" i="6"/>
  <c r="AN49" i="6" s="1"/>
  <c r="AR49" i="6"/>
  <c r="AM53" i="6"/>
  <c r="R36" i="15"/>
  <c r="AM43" i="4"/>
  <c r="H45" i="4"/>
  <c r="AO45" i="4" s="1"/>
  <c r="AM46" i="4"/>
  <c r="AM7" i="6"/>
  <c r="AM11" i="6"/>
  <c r="AM21" i="6"/>
  <c r="AM56" i="6"/>
  <c r="AR58" i="6"/>
  <c r="H61" i="6"/>
  <c r="AO61" i="6" s="1"/>
  <c r="AM60" i="4"/>
  <c r="AM63" i="4"/>
  <c r="AM65" i="4"/>
  <c r="G14" i="6"/>
  <c r="AN14" i="6" s="1"/>
  <c r="AR14" i="6"/>
  <c r="AM18" i="6"/>
  <c r="G22" i="6"/>
  <c r="AN22" i="6" s="1"/>
  <c r="AR22" i="6"/>
  <c r="AM36" i="6"/>
  <c r="G40" i="6"/>
  <c r="AN40" i="6" s="1"/>
  <c r="AR40" i="6"/>
  <c r="G43" i="6"/>
  <c r="AN43" i="6" s="1"/>
  <c r="AR43" i="6"/>
  <c r="H46" i="6"/>
  <c r="AO46" i="6" s="1"/>
  <c r="AM47" i="6"/>
  <c r="G51" i="6"/>
  <c r="AN51" i="6" s="1"/>
  <c r="AR51" i="6"/>
  <c r="H54" i="6"/>
  <c r="AO54" i="6" s="1"/>
  <c r="AM55" i="6"/>
  <c r="H57" i="6"/>
  <c r="AO57" i="6" s="1"/>
  <c r="H59" i="6"/>
  <c r="AO59" i="6" s="1"/>
  <c r="AM59" i="6"/>
  <c r="H65" i="6"/>
  <c r="AO65" i="6" s="1"/>
  <c r="AR65" i="6"/>
  <c r="G65" i="6"/>
  <c r="AN65" i="6" s="1"/>
  <c r="AP65" i="6" s="1"/>
  <c r="S36" i="15"/>
  <c r="G23" i="4"/>
  <c r="AN23" i="4" s="1"/>
  <c r="AM28" i="4"/>
  <c r="G31" i="4"/>
  <c r="G40" i="4"/>
  <c r="AN40" i="4" s="1"/>
  <c r="G44" i="4"/>
  <c r="AN44" i="4" s="1"/>
  <c r="AR44" i="4"/>
  <c r="G47" i="4"/>
  <c r="AN47" i="4" s="1"/>
  <c r="G50" i="4"/>
  <c r="AN50" i="4" s="1"/>
  <c r="G61" i="4"/>
  <c r="AN61" i="4" s="1"/>
  <c r="G8" i="6"/>
  <c r="AN8" i="6" s="1"/>
  <c r="AR8" i="6"/>
  <c r="B10" i="6"/>
  <c r="G12" i="6"/>
  <c r="AN12" i="6" s="1"/>
  <c r="AR12" i="6"/>
  <c r="H14" i="6"/>
  <c r="AO14" i="6" s="1"/>
  <c r="G19" i="6"/>
  <c r="AN19" i="6" s="1"/>
  <c r="AR19" i="6"/>
  <c r="H22" i="6"/>
  <c r="AO22" i="6" s="1"/>
  <c r="H40" i="6"/>
  <c r="AO40" i="6" s="1"/>
  <c r="H43" i="6"/>
  <c r="AO43" i="6" s="1"/>
  <c r="H51" i="6"/>
  <c r="AO51" i="6" s="1"/>
  <c r="R34" i="15"/>
  <c r="G5" i="4"/>
  <c r="AN5" i="4" s="1"/>
  <c r="AP5" i="4" s="1"/>
  <c r="G14" i="4"/>
  <c r="AN14" i="4" s="1"/>
  <c r="G17" i="4"/>
  <c r="AN17" i="4" s="1"/>
  <c r="G20" i="4"/>
  <c r="AN20" i="4" s="1"/>
  <c r="H23" i="4"/>
  <c r="AO23" i="4" s="1"/>
  <c r="G34" i="4"/>
  <c r="AN34" i="4" s="1"/>
  <c r="G37" i="4"/>
  <c r="AN37" i="4" s="1"/>
  <c r="H40" i="4"/>
  <c r="AO40" i="4" s="1"/>
  <c r="H47" i="4"/>
  <c r="AO47" i="4" s="1"/>
  <c r="H50" i="4"/>
  <c r="AO50" i="4" s="1"/>
  <c r="G53" i="4"/>
  <c r="AN53" i="4" s="1"/>
  <c r="G58" i="4"/>
  <c r="AN58" i="4" s="1"/>
  <c r="H61" i="4"/>
  <c r="AO61" i="4" s="1"/>
  <c r="G16" i="6"/>
  <c r="AN16" i="6" s="1"/>
  <c r="AP16" i="6" s="1"/>
  <c r="AR16" i="6"/>
  <c r="G45" i="6"/>
  <c r="AN45" i="6" s="1"/>
  <c r="AR45" i="6"/>
  <c r="G53" i="6"/>
  <c r="AN53" i="6" s="1"/>
  <c r="AR53" i="6"/>
  <c r="G58" i="6"/>
  <c r="AN58" i="6" s="1"/>
  <c r="AP58" i="6" s="1"/>
  <c r="G7" i="6"/>
  <c r="AN7" i="6" s="1"/>
  <c r="AR7" i="6"/>
  <c r="G11" i="6"/>
  <c r="AN11" i="6" s="1"/>
  <c r="AR11" i="6"/>
  <c r="G21" i="6"/>
  <c r="AN21" i="6" s="1"/>
  <c r="AR21" i="6"/>
  <c r="G35" i="6"/>
  <c r="AN35" i="6" s="1"/>
  <c r="G39" i="6"/>
  <c r="AN39" i="6" s="1"/>
  <c r="AR39" i="6"/>
  <c r="G42" i="6"/>
  <c r="AN42" i="6" s="1"/>
  <c r="AQ42" i="6" s="1"/>
  <c r="AR42" i="6"/>
  <c r="AR56" i="6"/>
  <c r="G22" i="4"/>
  <c r="AN22" i="4" s="1"/>
  <c r="G25" i="4"/>
  <c r="AN25" i="4" s="1"/>
  <c r="H27" i="4"/>
  <c r="AO27" i="4" s="1"/>
  <c r="G39" i="4"/>
  <c r="AN39" i="4" s="1"/>
  <c r="H43" i="4"/>
  <c r="AO43" i="4" s="1"/>
  <c r="H46" i="4"/>
  <c r="AO46" i="4" s="1"/>
  <c r="G49" i="4"/>
  <c r="AN49" i="4" s="1"/>
  <c r="G60" i="4"/>
  <c r="AN60" i="4" s="1"/>
  <c r="G63" i="4"/>
  <c r="AN63" i="4" s="1"/>
  <c r="G65" i="4"/>
  <c r="AN65" i="4" s="1"/>
  <c r="AP65" i="4" s="1"/>
  <c r="G18" i="6"/>
  <c r="AN18" i="6" s="1"/>
  <c r="AP18" i="6" s="1"/>
  <c r="AM27" i="6"/>
  <c r="G36" i="6"/>
  <c r="AN36" i="6" s="1"/>
  <c r="G47" i="6"/>
  <c r="AN47" i="6" s="1"/>
  <c r="G55" i="6"/>
  <c r="AN55" i="6" s="1"/>
  <c r="AP55" i="6" s="1"/>
  <c r="G56" i="6"/>
  <c r="AN56" i="6" s="1"/>
  <c r="AR61" i="6"/>
  <c r="G61" i="6"/>
  <c r="AN61" i="6" s="1"/>
  <c r="AP61" i="6" s="1"/>
  <c r="P4" i="24"/>
  <c r="N4" i="24" s="1"/>
  <c r="Y4" i="24" s="1"/>
  <c r="Q19" i="24"/>
  <c r="O19" i="24" s="1"/>
  <c r="Z19" i="24" s="1"/>
  <c r="P22" i="24"/>
  <c r="N22" i="24" s="1"/>
  <c r="Y22" i="24" s="1"/>
  <c r="P24" i="24"/>
  <c r="N24" i="24" s="1"/>
  <c r="Y24" i="24" s="1"/>
  <c r="P26" i="24"/>
  <c r="N26" i="24" s="1"/>
  <c r="Y26" i="24" s="1"/>
  <c r="Q37" i="24"/>
  <c r="O37" i="24" s="1"/>
  <c r="Z37" i="24" s="1"/>
  <c r="P46" i="24"/>
  <c r="N46" i="24" s="1"/>
  <c r="Y46" i="24" s="1"/>
  <c r="P62" i="24"/>
  <c r="N62" i="24" s="1"/>
  <c r="Y62" i="24" s="1"/>
  <c r="P64" i="24"/>
  <c r="N64" i="24" s="1"/>
  <c r="Y64" i="24" s="1"/>
  <c r="P81" i="24"/>
  <c r="N81" i="24" s="1"/>
  <c r="Y81" i="24" s="1"/>
  <c r="P86" i="24"/>
  <c r="N86" i="24" s="1"/>
  <c r="Y86" i="24" s="1"/>
  <c r="P99" i="24"/>
  <c r="N99" i="24" s="1"/>
  <c r="Y99" i="24" s="1"/>
  <c r="P107" i="24"/>
  <c r="N107" i="24" s="1"/>
  <c r="Y107" i="24" s="1"/>
  <c r="X115" i="24"/>
  <c r="Q118" i="24"/>
  <c r="O118" i="24" s="1"/>
  <c r="Z118" i="24" s="1"/>
  <c r="Q122" i="24"/>
  <c r="O122" i="24" s="1"/>
  <c r="Z122" i="24" s="1"/>
  <c r="Q135" i="24"/>
  <c r="O135" i="24" s="1"/>
  <c r="Z135" i="24" s="1"/>
  <c r="Q136" i="24"/>
  <c r="O136" i="24" s="1"/>
  <c r="Z136" i="24" s="1"/>
  <c r="N139" i="24"/>
  <c r="Y139" i="24" s="1"/>
  <c r="G63" i="6"/>
  <c r="AN63" i="6" s="1"/>
  <c r="Q4" i="24"/>
  <c r="O4" i="24" s="1"/>
  <c r="Z4" i="24" s="1"/>
  <c r="P11" i="24"/>
  <c r="N11" i="24" s="1"/>
  <c r="Y11" i="24" s="1"/>
  <c r="P15" i="24"/>
  <c r="N15" i="24" s="1"/>
  <c r="Y15" i="24" s="1"/>
  <c r="Q22" i="24"/>
  <c r="O22" i="24" s="1"/>
  <c r="Z22" i="24" s="1"/>
  <c r="P31" i="24"/>
  <c r="N31" i="24" s="1"/>
  <c r="Y31" i="24" s="1"/>
  <c r="P33" i="24"/>
  <c r="N33" i="24" s="1"/>
  <c r="Y33" i="24" s="1"/>
  <c r="P35" i="24"/>
  <c r="N35" i="24" s="1"/>
  <c r="Y35" i="24" s="1"/>
  <c r="Q44" i="24"/>
  <c r="O44" i="24" s="1"/>
  <c r="Z44" i="24" s="1"/>
  <c r="P51" i="24"/>
  <c r="N51" i="24" s="1"/>
  <c r="Y51" i="24" s="1"/>
  <c r="P53" i="24"/>
  <c r="N53" i="24" s="1"/>
  <c r="Y53" i="24" s="1"/>
  <c r="Q60" i="24"/>
  <c r="O60" i="24" s="1"/>
  <c r="Z60" i="24" s="1"/>
  <c r="Q64" i="24"/>
  <c r="O64" i="24" s="1"/>
  <c r="Z64" i="24" s="1"/>
  <c r="P67" i="24"/>
  <c r="N67" i="24" s="1"/>
  <c r="Y67" i="24" s="1"/>
  <c r="P73" i="24"/>
  <c r="N73" i="24" s="1"/>
  <c r="Y73" i="24" s="1"/>
  <c r="P75" i="24"/>
  <c r="N75" i="24" s="1"/>
  <c r="Y75" i="24" s="1"/>
  <c r="Q81" i="24"/>
  <c r="O81" i="24" s="1"/>
  <c r="Z81" i="24" s="1"/>
  <c r="Q86" i="24"/>
  <c r="O86" i="24" s="1"/>
  <c r="Z86" i="24" s="1"/>
  <c r="Q88" i="24"/>
  <c r="O88" i="24" s="1"/>
  <c r="Z88" i="24" s="1"/>
  <c r="P93" i="24"/>
  <c r="N93" i="24" s="1"/>
  <c r="Y93" i="24" s="1"/>
  <c r="P95" i="24"/>
  <c r="N95" i="24" s="1"/>
  <c r="Y95" i="24" s="1"/>
  <c r="Q97" i="24"/>
  <c r="O97" i="24" s="1"/>
  <c r="Z97" i="24" s="1"/>
  <c r="Q99" i="24"/>
  <c r="O99" i="24" s="1"/>
  <c r="Z99" i="24" s="1"/>
  <c r="Q101" i="24"/>
  <c r="O101" i="24" s="1"/>
  <c r="Z101" i="24" s="1"/>
  <c r="Q107" i="24"/>
  <c r="O107" i="24" s="1"/>
  <c r="Z107" i="24" s="1"/>
  <c r="P110" i="24"/>
  <c r="N110" i="24" s="1"/>
  <c r="Y110" i="24" s="1"/>
  <c r="P112" i="24"/>
  <c r="N112" i="24" s="1"/>
  <c r="Y112" i="24" s="1"/>
  <c r="P114" i="24"/>
  <c r="N114" i="24" s="1"/>
  <c r="Y114" i="24" s="1"/>
  <c r="P116" i="24"/>
  <c r="N116" i="24" s="1"/>
  <c r="Y116" i="24" s="1"/>
  <c r="Q126" i="24"/>
  <c r="O126" i="24" s="1"/>
  <c r="Z126" i="24" s="1"/>
  <c r="P142" i="24"/>
  <c r="N142" i="24" s="1"/>
  <c r="Y142" i="24" s="1"/>
  <c r="P298" i="24"/>
  <c r="N298" i="24" s="1"/>
  <c r="Y298" i="24" s="1"/>
  <c r="P294" i="24"/>
  <c r="N294" i="24" s="1"/>
  <c r="Y294" i="24" s="1"/>
  <c r="P290" i="24"/>
  <c r="N290" i="24" s="1"/>
  <c r="Y290" i="24" s="1"/>
  <c r="P286" i="24"/>
  <c r="N286" i="24" s="1"/>
  <c r="Y286" i="24" s="1"/>
  <c r="P297" i="24"/>
  <c r="N297" i="24" s="1"/>
  <c r="Y297" i="24" s="1"/>
  <c r="P293" i="24"/>
  <c r="N293" i="24" s="1"/>
  <c r="Y293" i="24" s="1"/>
  <c r="P289" i="24"/>
  <c r="N289" i="24" s="1"/>
  <c r="Y289" i="24" s="1"/>
  <c r="P285" i="24"/>
  <c r="N285" i="24" s="1"/>
  <c r="Y285" i="24" s="1"/>
  <c r="P296" i="24"/>
  <c r="N296" i="24" s="1"/>
  <c r="Y296" i="24" s="1"/>
  <c r="P292" i="24"/>
  <c r="N292" i="24" s="1"/>
  <c r="Y292" i="24" s="1"/>
  <c r="P288" i="24"/>
  <c r="N288" i="24" s="1"/>
  <c r="Y288" i="24" s="1"/>
  <c r="P295" i="24"/>
  <c r="N295" i="24" s="1"/>
  <c r="Y295" i="24" s="1"/>
  <c r="P291" i="24"/>
  <c r="N291" i="24" s="1"/>
  <c r="Y291" i="24" s="1"/>
  <c r="P287" i="24"/>
  <c r="N287" i="24" s="1"/>
  <c r="Y287" i="24" s="1"/>
  <c r="Q11" i="24"/>
  <c r="O11" i="24" s="1"/>
  <c r="Z11" i="24" s="1"/>
  <c r="Q15" i="24"/>
  <c r="O15" i="24" s="1"/>
  <c r="Z15" i="24" s="1"/>
  <c r="P18" i="24"/>
  <c r="N18" i="24" s="1"/>
  <c r="Y18" i="24" s="1"/>
  <c r="P20" i="24"/>
  <c r="N20" i="24" s="1"/>
  <c r="Y20" i="24" s="1"/>
  <c r="Q31" i="24"/>
  <c r="O31" i="24" s="1"/>
  <c r="Z31" i="24" s="1"/>
  <c r="Q33" i="24"/>
  <c r="O33" i="24" s="1"/>
  <c r="Z33" i="24" s="1"/>
  <c r="Q35" i="24"/>
  <c r="O35" i="24" s="1"/>
  <c r="Z35" i="24" s="1"/>
  <c r="P40" i="24"/>
  <c r="N40" i="24" s="1"/>
  <c r="Y40" i="24" s="1"/>
  <c r="P42" i="24"/>
  <c r="N42" i="24" s="1"/>
  <c r="Y42" i="24" s="1"/>
  <c r="Q51" i="24"/>
  <c r="O51" i="24" s="1"/>
  <c r="Z51" i="24" s="1"/>
  <c r="Q53" i="24"/>
  <c r="O53" i="24" s="1"/>
  <c r="Z53" i="24" s="1"/>
  <c r="P56" i="24"/>
  <c r="N56" i="24" s="1"/>
  <c r="Y56" i="24" s="1"/>
  <c r="P58" i="24"/>
  <c r="N58" i="24" s="1"/>
  <c r="Y58" i="24" s="1"/>
  <c r="Q67" i="24"/>
  <c r="O67" i="24" s="1"/>
  <c r="Z67" i="24" s="1"/>
  <c r="Q73" i="24"/>
  <c r="O73" i="24" s="1"/>
  <c r="Z73" i="24" s="1"/>
  <c r="Q75" i="24"/>
  <c r="O75" i="24" s="1"/>
  <c r="Z75" i="24" s="1"/>
  <c r="Q84" i="24"/>
  <c r="O84" i="24" s="1"/>
  <c r="Z84" i="24" s="1"/>
  <c r="X90" i="24"/>
  <c r="Q93" i="24"/>
  <c r="O93" i="24" s="1"/>
  <c r="Z93" i="24" s="1"/>
  <c r="Q95" i="24"/>
  <c r="O95" i="24" s="1"/>
  <c r="Z95" i="24" s="1"/>
  <c r="Q110" i="24"/>
  <c r="O110" i="24" s="1"/>
  <c r="Z110" i="24" s="1"/>
  <c r="Q112" i="24"/>
  <c r="O112" i="24" s="1"/>
  <c r="Z112" i="24" s="1"/>
  <c r="Q114" i="24"/>
  <c r="O114" i="24" s="1"/>
  <c r="Z114" i="24" s="1"/>
  <c r="Q116" i="24"/>
  <c r="O116" i="24" s="1"/>
  <c r="Z116" i="24" s="1"/>
  <c r="P121" i="24"/>
  <c r="N121" i="24" s="1"/>
  <c r="Y121" i="24" s="1"/>
  <c r="P123" i="24"/>
  <c r="N123" i="24" s="1"/>
  <c r="Y123" i="24" s="1"/>
  <c r="P126" i="24"/>
  <c r="N126" i="24" s="1"/>
  <c r="Y126" i="24" s="1"/>
  <c r="Q131" i="24"/>
  <c r="O131" i="24" s="1"/>
  <c r="Z131" i="24" s="1"/>
  <c r="P132" i="24"/>
  <c r="N132" i="24" s="1"/>
  <c r="Y132" i="24" s="1"/>
  <c r="Q144" i="24"/>
  <c r="O144" i="24" s="1"/>
  <c r="Z144" i="24" s="1"/>
  <c r="Q142" i="24"/>
  <c r="O142" i="24" s="1"/>
  <c r="Z142" i="24" s="1"/>
  <c r="N145" i="24"/>
  <c r="Y145" i="24" s="1"/>
  <c r="P148" i="24"/>
  <c r="N148" i="24" s="1"/>
  <c r="Y148" i="24" s="1"/>
  <c r="Q298" i="24"/>
  <c r="O298" i="24" s="1"/>
  <c r="Z298" i="24" s="1"/>
  <c r="Q294" i="24"/>
  <c r="O294" i="24" s="1"/>
  <c r="Z294" i="24" s="1"/>
  <c r="Q290" i="24"/>
  <c r="O290" i="24" s="1"/>
  <c r="Z290" i="24" s="1"/>
  <c r="Q286" i="24"/>
  <c r="O286" i="24" s="1"/>
  <c r="Z286" i="24" s="1"/>
  <c r="Q297" i="24"/>
  <c r="O297" i="24" s="1"/>
  <c r="Z297" i="24" s="1"/>
  <c r="Q293" i="24"/>
  <c r="O293" i="24" s="1"/>
  <c r="Z293" i="24" s="1"/>
  <c r="Q289" i="24"/>
  <c r="O289" i="24" s="1"/>
  <c r="Z289" i="24" s="1"/>
  <c r="Q285" i="24"/>
  <c r="O285" i="24" s="1"/>
  <c r="Z285" i="24" s="1"/>
  <c r="Q296" i="24"/>
  <c r="O296" i="24" s="1"/>
  <c r="Z296" i="24" s="1"/>
  <c r="Q292" i="24"/>
  <c r="O292" i="24" s="1"/>
  <c r="Z292" i="24" s="1"/>
  <c r="Q288" i="24"/>
  <c r="O288" i="24" s="1"/>
  <c r="Z288" i="24" s="1"/>
  <c r="Q295" i="24"/>
  <c r="O295" i="24" s="1"/>
  <c r="Z295" i="24" s="1"/>
  <c r="Q291" i="24"/>
  <c r="O291" i="24" s="1"/>
  <c r="Z291" i="24" s="1"/>
  <c r="Q287" i="24"/>
  <c r="O287" i="24" s="1"/>
  <c r="Z287" i="24" s="1"/>
  <c r="Q18" i="24"/>
  <c r="O18" i="24" s="1"/>
  <c r="Z18" i="24" s="1"/>
  <c r="Q20" i="24"/>
  <c r="O20" i="24" s="1"/>
  <c r="Z20" i="24" s="1"/>
  <c r="P25" i="24"/>
  <c r="N25" i="24" s="1"/>
  <c r="Y25" i="24" s="1"/>
  <c r="P45" i="24"/>
  <c r="N45" i="24" s="1"/>
  <c r="Y45" i="24" s="1"/>
  <c r="Q56" i="24"/>
  <c r="O56" i="24" s="1"/>
  <c r="Z56" i="24" s="1"/>
  <c r="P63" i="24"/>
  <c r="N63" i="24" s="1"/>
  <c r="Y63" i="24" s="1"/>
  <c r="P65" i="24"/>
  <c r="N65" i="24" s="1"/>
  <c r="Y65" i="24" s="1"/>
  <c r="P80" i="24"/>
  <c r="N80" i="24" s="1"/>
  <c r="Y80" i="24" s="1"/>
  <c r="P82" i="24"/>
  <c r="N82" i="24" s="1"/>
  <c r="Y82" i="24" s="1"/>
  <c r="Q123" i="24"/>
  <c r="O123" i="24" s="1"/>
  <c r="Z123" i="24" s="1"/>
  <c r="Q130" i="24"/>
  <c r="O130" i="24" s="1"/>
  <c r="Z130" i="24" s="1"/>
  <c r="P143" i="24"/>
  <c r="N143" i="24" s="1"/>
  <c r="Y143" i="24" s="1"/>
  <c r="Q158" i="24"/>
  <c r="O158" i="24" s="1"/>
  <c r="Z158" i="24" s="1"/>
  <c r="Q7" i="24"/>
  <c r="O7" i="24" s="1"/>
  <c r="Z7" i="24" s="1"/>
  <c r="P36" i="24"/>
  <c r="N36" i="24" s="1"/>
  <c r="Y36" i="24" s="1"/>
  <c r="P76" i="24"/>
  <c r="N76" i="24" s="1"/>
  <c r="Y76" i="24" s="1"/>
  <c r="Q89" i="24"/>
  <c r="O89" i="24" s="1"/>
  <c r="Z89" i="24" s="1"/>
  <c r="P151" i="24"/>
  <c r="N151" i="24" s="1"/>
  <c r="Y151" i="24" s="1"/>
  <c r="P152" i="24"/>
  <c r="N152" i="24" s="1"/>
  <c r="Y152" i="24" s="1"/>
  <c r="P150" i="24"/>
  <c r="N150" i="24" s="1"/>
  <c r="Y150" i="24" s="1"/>
  <c r="P124" i="24"/>
  <c r="N124" i="24" s="1"/>
  <c r="Y124" i="24" s="1"/>
  <c r="O145" i="24"/>
  <c r="Z145" i="24" s="1"/>
  <c r="Q5" i="24"/>
  <c r="O5" i="24" s="1"/>
  <c r="Z5" i="24" s="1"/>
  <c r="P8" i="24"/>
  <c r="N8" i="24" s="1"/>
  <c r="Y8" i="24" s="1"/>
  <c r="P28" i="24"/>
  <c r="N28" i="24" s="1"/>
  <c r="Y28" i="24" s="1"/>
  <c r="Q41" i="24"/>
  <c r="O41" i="24" s="1"/>
  <c r="Z41" i="24" s="1"/>
  <c r="P48" i="24"/>
  <c r="N48" i="24" s="1"/>
  <c r="Y48" i="24" s="1"/>
  <c r="Q57" i="24"/>
  <c r="O57" i="24" s="1"/>
  <c r="Z57" i="24" s="1"/>
  <c r="P70" i="24"/>
  <c r="N70" i="24" s="1"/>
  <c r="Y70" i="24" s="1"/>
  <c r="P125" i="24"/>
  <c r="N125" i="24" s="1"/>
  <c r="Y125" i="24" s="1"/>
  <c r="Q140" i="24"/>
  <c r="O140" i="24" s="1"/>
  <c r="Z140" i="24" s="1"/>
  <c r="P149" i="24"/>
  <c r="N149" i="24" s="1"/>
  <c r="Y149" i="24" s="1"/>
  <c r="P146" i="24"/>
  <c r="N146" i="24" s="1"/>
  <c r="Y146" i="24" s="1"/>
  <c r="Q8" i="24"/>
  <c r="O8" i="24" s="1"/>
  <c r="Z8" i="24" s="1"/>
  <c r="Q28" i="24"/>
  <c r="O28" i="24" s="1"/>
  <c r="Z28" i="24" s="1"/>
  <c r="P37" i="24"/>
  <c r="N37" i="24" s="1"/>
  <c r="Y37" i="24" s="1"/>
  <c r="Q48" i="24"/>
  <c r="O48" i="24" s="1"/>
  <c r="Z48" i="24" s="1"/>
  <c r="Q70" i="24"/>
  <c r="O70" i="24" s="1"/>
  <c r="Z70" i="24" s="1"/>
  <c r="Q90" i="24"/>
  <c r="O90" i="24" s="1"/>
  <c r="Z90" i="24" s="1"/>
  <c r="P118" i="24"/>
  <c r="N118" i="24" s="1"/>
  <c r="Y118" i="24" s="1"/>
  <c r="Q125" i="24"/>
  <c r="O125" i="24" s="1"/>
  <c r="Z125" i="24" s="1"/>
  <c r="Q128" i="24"/>
  <c r="O128" i="24" s="1"/>
  <c r="Z128" i="24" s="1"/>
  <c r="P131" i="24"/>
  <c r="N131" i="24" s="1"/>
  <c r="Y131" i="24" s="1"/>
  <c r="P129" i="24"/>
  <c r="N129" i="24" s="1"/>
  <c r="Y129" i="24" s="1"/>
  <c r="P135" i="24"/>
  <c r="N135" i="24" s="1"/>
  <c r="Y135" i="24" s="1"/>
  <c r="P136" i="24"/>
  <c r="N136" i="24" s="1"/>
  <c r="Y136" i="24" s="1"/>
  <c r="Q143" i="24"/>
  <c r="O143" i="24" s="1"/>
  <c r="Z143" i="24" s="1"/>
  <c r="P144" i="24"/>
  <c r="N144" i="24" s="1"/>
  <c r="Y144" i="24" s="1"/>
  <c r="Q149" i="24"/>
  <c r="O149" i="24" s="1"/>
  <c r="Z149" i="24" s="1"/>
  <c r="Q146" i="24"/>
  <c r="O146" i="24" s="1"/>
  <c r="Z146" i="24" s="1"/>
  <c r="Q148" i="24"/>
  <c r="O148" i="24" s="1"/>
  <c r="Z148" i="24" s="1"/>
  <c r="P147" i="24"/>
  <c r="N147" i="24" s="1"/>
  <c r="Y147" i="24" s="1"/>
  <c r="X153" i="24"/>
  <c r="X171" i="24"/>
  <c r="Q174" i="24"/>
  <c r="O174" i="24" s="1"/>
  <c r="Z174" i="24" s="1"/>
  <c r="P181" i="24"/>
  <c r="N181" i="24" s="1"/>
  <c r="Y181" i="24" s="1"/>
  <c r="X191" i="24"/>
  <c r="P195" i="24"/>
  <c r="N195" i="24" s="1"/>
  <c r="Y195" i="24" s="1"/>
  <c r="P197" i="24"/>
  <c r="N197" i="24" s="1"/>
  <c r="Y197" i="24" s="1"/>
  <c r="P215" i="24"/>
  <c r="N215" i="24" s="1"/>
  <c r="Y215" i="24" s="1"/>
  <c r="Q217" i="24"/>
  <c r="O217" i="24" s="1"/>
  <c r="Z217" i="24" s="1"/>
  <c r="Q219" i="24"/>
  <c r="O219" i="24" s="1"/>
  <c r="Z219" i="24" s="1"/>
  <c r="P227" i="24"/>
  <c r="N227" i="24" s="1"/>
  <c r="Y227" i="24" s="1"/>
  <c r="P225" i="24"/>
  <c r="N225" i="24" s="1"/>
  <c r="Y225" i="24" s="1"/>
  <c r="Q228" i="24"/>
  <c r="O228" i="24" s="1"/>
  <c r="Z228" i="24" s="1"/>
  <c r="Q235" i="24"/>
  <c r="O235" i="24" s="1"/>
  <c r="Z235" i="24" s="1"/>
  <c r="O240" i="24"/>
  <c r="Z240" i="24" s="1"/>
  <c r="P159" i="24"/>
  <c r="N159" i="24" s="1"/>
  <c r="Y159" i="24" s="1"/>
  <c r="Q161" i="24"/>
  <c r="O161" i="24" s="1"/>
  <c r="Z161" i="24" s="1"/>
  <c r="P177" i="24"/>
  <c r="N177" i="24" s="1"/>
  <c r="Y177" i="24" s="1"/>
  <c r="P179" i="24"/>
  <c r="N179" i="24" s="1"/>
  <c r="Y179" i="24" s="1"/>
  <c r="Q195" i="24"/>
  <c r="O195" i="24" s="1"/>
  <c r="Z195" i="24" s="1"/>
  <c r="Q197" i="24"/>
  <c r="O197" i="24" s="1"/>
  <c r="Z197" i="24" s="1"/>
  <c r="Q215" i="24"/>
  <c r="O215" i="24" s="1"/>
  <c r="Z215" i="24" s="1"/>
  <c r="Q243" i="24"/>
  <c r="O243" i="24" s="1"/>
  <c r="Z243" i="24" s="1"/>
  <c r="Q245" i="24"/>
  <c r="O245" i="24" s="1"/>
  <c r="Z245" i="24" s="1"/>
  <c r="Q170" i="24"/>
  <c r="O170" i="24" s="1"/>
  <c r="Z170" i="24" s="1"/>
  <c r="Q172" i="24"/>
  <c r="O172" i="24" s="1"/>
  <c r="Z172" i="24" s="1"/>
  <c r="P201" i="24"/>
  <c r="N201" i="24" s="1"/>
  <c r="Y201" i="24" s="1"/>
  <c r="P203" i="24"/>
  <c r="N203" i="24" s="1"/>
  <c r="Y203" i="24" s="1"/>
  <c r="P213" i="24"/>
  <c r="N213" i="24" s="1"/>
  <c r="Y213" i="24" s="1"/>
  <c r="P229" i="24"/>
  <c r="N229" i="24" s="1"/>
  <c r="Y229" i="24" s="1"/>
  <c r="P236" i="24"/>
  <c r="N236" i="24" s="1"/>
  <c r="Y236" i="24" s="1"/>
  <c r="Q242" i="24"/>
  <c r="O242" i="24" s="1"/>
  <c r="Z242" i="24" s="1"/>
  <c r="P182" i="24"/>
  <c r="N182" i="24" s="1"/>
  <c r="Y182" i="24" s="1"/>
  <c r="P164" i="24"/>
  <c r="N164" i="24" s="1"/>
  <c r="Y164" i="24" s="1"/>
  <c r="Q166" i="24"/>
  <c r="O166" i="24" s="1"/>
  <c r="Z166" i="24" s="1"/>
  <c r="Q168" i="24"/>
  <c r="O168" i="24" s="1"/>
  <c r="Z168" i="24" s="1"/>
  <c r="Q182" i="24"/>
  <c r="O182" i="24" s="1"/>
  <c r="Z182" i="24" s="1"/>
  <c r="P216" i="24"/>
  <c r="N216" i="24" s="1"/>
  <c r="Y216" i="24" s="1"/>
  <c r="Q226" i="24"/>
  <c r="O226" i="24" s="1"/>
  <c r="Z226" i="24" s="1"/>
  <c r="Q233" i="24"/>
  <c r="O233" i="24" s="1"/>
  <c r="Z233" i="24" s="1"/>
  <c r="Q227" i="24"/>
  <c r="O227" i="24" s="1"/>
  <c r="Z227" i="24" s="1"/>
  <c r="P235" i="24"/>
  <c r="N235" i="24" s="1"/>
  <c r="Y235" i="24" s="1"/>
  <c r="P234" i="24"/>
  <c r="N234" i="24" s="1"/>
  <c r="Y234" i="24" s="1"/>
  <c r="Q237" i="24"/>
  <c r="O237" i="24" s="1"/>
  <c r="Z237" i="24" s="1"/>
  <c r="P242" i="24"/>
  <c r="N242" i="24" s="1"/>
  <c r="Y242" i="24" s="1"/>
  <c r="P249" i="24"/>
  <c r="N249" i="24" s="1"/>
  <c r="Y249" i="24" s="1"/>
  <c r="P250" i="24"/>
  <c r="N250" i="24" s="1"/>
  <c r="Y250" i="24" s="1"/>
  <c r="P167" i="24"/>
  <c r="N167" i="24" s="1"/>
  <c r="Y167" i="24" s="1"/>
  <c r="P180" i="24"/>
  <c r="N180" i="24" s="1"/>
  <c r="Y180" i="24" s="1"/>
  <c r="Q212" i="24"/>
  <c r="O212" i="24" s="1"/>
  <c r="Z212" i="24" s="1"/>
  <c r="Q238" i="24"/>
  <c r="O238" i="24" s="1"/>
  <c r="Z238" i="24" s="1"/>
  <c r="P244" i="24"/>
  <c r="N244" i="24" s="1"/>
  <c r="Y244" i="24" s="1"/>
  <c r="P245" i="24"/>
  <c r="N245" i="24" s="1"/>
  <c r="Y245" i="24" s="1"/>
  <c r="Q167" i="24"/>
  <c r="O167" i="24" s="1"/>
  <c r="Z167" i="24" s="1"/>
  <c r="Q180" i="24"/>
  <c r="O180" i="24" s="1"/>
  <c r="Z180" i="24" s="1"/>
  <c r="P223" i="24"/>
  <c r="N223" i="24" s="1"/>
  <c r="Y223" i="24" s="1"/>
  <c r="P228" i="24"/>
  <c r="N228" i="24" s="1"/>
  <c r="Y228" i="24" s="1"/>
  <c r="P231" i="24"/>
  <c r="N231" i="24" s="1"/>
  <c r="Y231" i="24" s="1"/>
  <c r="G7" i="5"/>
  <c r="AN7" i="5" s="1"/>
  <c r="AR7" i="5"/>
  <c r="G22" i="5"/>
  <c r="AN22" i="5" s="1"/>
  <c r="G35" i="5"/>
  <c r="AN35" i="5" s="1"/>
  <c r="AR35" i="5"/>
  <c r="AN40" i="5"/>
  <c r="AR40" i="5"/>
  <c r="AM51" i="5"/>
  <c r="S66" i="17"/>
  <c r="S154" i="17"/>
  <c r="Q260" i="24"/>
  <c r="O260" i="24" s="1"/>
  <c r="Z260" i="24" s="1"/>
  <c r="P273" i="24"/>
  <c r="N273" i="24" s="1"/>
  <c r="Y273" i="24" s="1"/>
  <c r="P275" i="24"/>
  <c r="N275" i="24" s="1"/>
  <c r="Y275" i="24" s="1"/>
  <c r="P277" i="24"/>
  <c r="N277" i="24" s="1"/>
  <c r="Y277" i="24" s="1"/>
  <c r="P279" i="24"/>
  <c r="N279" i="24" s="1"/>
  <c r="Y279" i="24" s="1"/>
  <c r="AM5" i="5"/>
  <c r="H7" i="5"/>
  <c r="AO7" i="5" s="1"/>
  <c r="AM8" i="5"/>
  <c r="G10" i="5"/>
  <c r="AN10" i="5" s="1"/>
  <c r="AR10" i="5"/>
  <c r="G17" i="5"/>
  <c r="AN17" i="5" s="1"/>
  <c r="AR17" i="5"/>
  <c r="AM18" i="5"/>
  <c r="H22" i="5"/>
  <c r="AO22" i="5" s="1"/>
  <c r="AR22" i="5"/>
  <c r="H35" i="5"/>
  <c r="AO35" i="5" s="1"/>
  <c r="H40" i="5"/>
  <c r="AO40" i="5" s="1"/>
  <c r="AM41" i="5"/>
  <c r="G45" i="5"/>
  <c r="AN45" i="5" s="1"/>
  <c r="AR45" i="5"/>
  <c r="AM46" i="5"/>
  <c r="G52" i="5"/>
  <c r="AN52" i="5" s="1"/>
  <c r="H53" i="5"/>
  <c r="AO53" i="5" s="1"/>
  <c r="AR53" i="5"/>
  <c r="G53" i="5"/>
  <c r="AN53" i="5" s="1"/>
  <c r="R64" i="17"/>
  <c r="S180" i="17"/>
  <c r="P252" i="24"/>
  <c r="N252" i="24" s="1"/>
  <c r="Y252" i="24" s="1"/>
  <c r="P254" i="24"/>
  <c r="N254" i="24" s="1"/>
  <c r="Y254" i="24" s="1"/>
  <c r="H17" i="5"/>
  <c r="AO17" i="5" s="1"/>
  <c r="S24" i="17"/>
  <c r="R24" i="17"/>
  <c r="AR12" i="8"/>
  <c r="H12" i="8"/>
  <c r="AO12" i="8" s="1"/>
  <c r="G12" i="8"/>
  <c r="AN12" i="8" s="1"/>
  <c r="AM12" i="8"/>
  <c r="Q250" i="24"/>
  <c r="O250" i="24" s="1"/>
  <c r="Z250" i="24" s="1"/>
  <c r="Q252" i="24"/>
  <c r="O252" i="24" s="1"/>
  <c r="Z252" i="24" s="1"/>
  <c r="Q254" i="24"/>
  <c r="O254" i="24" s="1"/>
  <c r="Z254" i="24" s="1"/>
  <c r="Q258" i="24"/>
  <c r="O258" i="24" s="1"/>
  <c r="Z258" i="24" s="1"/>
  <c r="Q264" i="24"/>
  <c r="O264" i="24" s="1"/>
  <c r="Z264" i="24" s="1"/>
  <c r="P269" i="24"/>
  <c r="N269" i="24" s="1"/>
  <c r="Y269" i="24" s="1"/>
  <c r="G9" i="5"/>
  <c r="AN9" i="5" s="1"/>
  <c r="G16" i="5"/>
  <c r="AN16" i="5" s="1"/>
  <c r="AM25" i="5"/>
  <c r="AM27" i="5"/>
  <c r="G34" i="5"/>
  <c r="AN34" i="5" s="1"/>
  <c r="AR34" i="5"/>
  <c r="AN39" i="5"/>
  <c r="G44" i="5"/>
  <c r="AN44" i="5" s="1"/>
  <c r="G49" i="5"/>
  <c r="AN49" i="5" s="1"/>
  <c r="AR49" i="5"/>
  <c r="H57" i="5"/>
  <c r="AO57" i="5" s="1"/>
  <c r="AR57" i="5"/>
  <c r="G57" i="5"/>
  <c r="AN57" i="5" s="1"/>
  <c r="P267" i="24"/>
  <c r="N267" i="24" s="1"/>
  <c r="Y267" i="24" s="1"/>
  <c r="Q269" i="24"/>
  <c r="O269" i="24" s="1"/>
  <c r="Z269" i="24" s="1"/>
  <c r="Q271" i="24"/>
  <c r="O271" i="24" s="1"/>
  <c r="Z271" i="24" s="1"/>
  <c r="H9" i="5"/>
  <c r="AO9" i="5" s="1"/>
  <c r="AR9" i="5"/>
  <c r="G12" i="5"/>
  <c r="AN12" i="5" s="1"/>
  <c r="H16" i="5"/>
  <c r="AO16" i="5" s="1"/>
  <c r="AR16" i="5"/>
  <c r="G21" i="5"/>
  <c r="AN21" i="5" s="1"/>
  <c r="H34" i="5"/>
  <c r="AO34" i="5" s="1"/>
  <c r="H39" i="5"/>
  <c r="AO39" i="5" s="1"/>
  <c r="AR39" i="5"/>
  <c r="H44" i="5"/>
  <c r="AO44" i="5" s="1"/>
  <c r="AR44" i="5"/>
  <c r="H49" i="5"/>
  <c r="AO49" i="5" s="1"/>
  <c r="AR55" i="5"/>
  <c r="G55" i="5"/>
  <c r="AN55" i="5" s="1"/>
  <c r="AM55" i="5"/>
  <c r="H55" i="5"/>
  <c r="AO55" i="5" s="1"/>
  <c r="G5" i="5"/>
  <c r="AN5" i="5" s="1"/>
  <c r="AR5" i="5"/>
  <c r="G8" i="5"/>
  <c r="AN8" i="5" s="1"/>
  <c r="AR8" i="5"/>
  <c r="G18" i="5"/>
  <c r="AN18" i="5" s="1"/>
  <c r="AP18" i="5" s="1"/>
  <c r="AR18" i="5"/>
  <c r="G41" i="5"/>
  <c r="AN41" i="5" s="1"/>
  <c r="AP41" i="5" s="1"/>
  <c r="AR41" i="5"/>
  <c r="G46" i="5"/>
  <c r="AN46" i="5" s="1"/>
  <c r="AP46" i="5" s="1"/>
  <c r="AR46" i="5"/>
  <c r="AM52" i="5"/>
  <c r="G56" i="5"/>
  <c r="AN56" i="5" s="1"/>
  <c r="AM56" i="5"/>
  <c r="AR56" i="5"/>
  <c r="H56" i="5"/>
  <c r="AO56" i="5" s="1"/>
  <c r="S156" i="17"/>
  <c r="Q253" i="24"/>
  <c r="O253" i="24" s="1"/>
  <c r="Z253" i="24" s="1"/>
  <c r="Q257" i="24"/>
  <c r="O257" i="24" s="1"/>
  <c r="Z257" i="24" s="1"/>
  <c r="Q263" i="24"/>
  <c r="O263" i="24" s="1"/>
  <c r="Z263" i="24" s="1"/>
  <c r="P270" i="24"/>
  <c r="N270" i="24" s="1"/>
  <c r="Y270" i="24" s="1"/>
  <c r="AN32" i="5"/>
  <c r="Q270" i="24"/>
  <c r="O270" i="24" s="1"/>
  <c r="Z270" i="24" s="1"/>
  <c r="G11" i="5"/>
  <c r="AN11" i="5" s="1"/>
  <c r="G15" i="5"/>
  <c r="AN15" i="5" s="1"/>
  <c r="G20" i="5"/>
  <c r="AN20" i="5" s="1"/>
  <c r="G25" i="5"/>
  <c r="AN25" i="5" s="1"/>
  <c r="AO32" i="5"/>
  <c r="H33" i="5"/>
  <c r="AO33" i="5" s="1"/>
  <c r="G43" i="5"/>
  <c r="AN43" i="5" s="1"/>
  <c r="G50" i="5"/>
  <c r="AN50" i="5" s="1"/>
  <c r="J67" i="5"/>
  <c r="L66" i="5"/>
  <c r="L67" i="5" s="1"/>
  <c r="K66" i="5"/>
  <c r="R66" i="17"/>
  <c r="H8" i="8"/>
  <c r="AO8" i="8" s="1"/>
  <c r="AR8" i="8"/>
  <c r="G8" i="8"/>
  <c r="AN8" i="8" s="1"/>
  <c r="AM8" i="8"/>
  <c r="G61" i="5"/>
  <c r="AN61" i="5" s="1"/>
  <c r="AM62" i="5"/>
  <c r="H11" i="8"/>
  <c r="AO11" i="8" s="1"/>
  <c r="AM13" i="8"/>
  <c r="H26" i="8"/>
  <c r="G62" i="5"/>
  <c r="AN62" i="5" s="1"/>
  <c r="H9" i="8"/>
  <c r="AO9" i="8" s="1"/>
  <c r="G13" i="8"/>
  <c r="AN13" i="8" s="1"/>
  <c r="H15" i="8"/>
  <c r="AO15" i="8" s="1"/>
  <c r="AR15" i="8"/>
  <c r="H18" i="8"/>
  <c r="AO18" i="8" s="1"/>
  <c r="H21" i="8"/>
  <c r="AO21" i="8" s="1"/>
  <c r="H62" i="5"/>
  <c r="AO62" i="5" s="1"/>
  <c r="H13" i="8"/>
  <c r="AO13" i="8" s="1"/>
  <c r="H30" i="8"/>
  <c r="G59" i="5"/>
  <c r="AN59" i="5" s="1"/>
  <c r="G14" i="8"/>
  <c r="AN14" i="8" s="1"/>
  <c r="AR14" i="8"/>
  <c r="G17" i="8"/>
  <c r="AN17" i="8" s="1"/>
  <c r="AR17" i="8"/>
  <c r="G20" i="8"/>
  <c r="AN20" i="8" s="1"/>
  <c r="AR20" i="8"/>
  <c r="AR26" i="8"/>
  <c r="AO46" i="8"/>
  <c r="A7" i="19"/>
  <c r="B9" i="19"/>
  <c r="B10" i="19"/>
  <c r="A8" i="19"/>
  <c r="H59" i="5"/>
  <c r="AO59" i="5" s="1"/>
  <c r="G7" i="8"/>
  <c r="AN7" i="8" s="1"/>
  <c r="G11" i="8"/>
  <c r="AN11" i="8" s="1"/>
  <c r="AM28" i="8"/>
  <c r="AM34" i="8"/>
  <c r="AM43" i="8"/>
  <c r="AM46" i="8"/>
  <c r="AM49" i="8"/>
  <c r="AM56" i="8"/>
  <c r="AM59" i="8"/>
  <c r="G65" i="8"/>
  <c r="AN65" i="8" s="1"/>
  <c r="A5" i="19"/>
  <c r="H8" i="19"/>
  <c r="AO8" i="19" s="1"/>
  <c r="AM17" i="19"/>
  <c r="AM31" i="8"/>
  <c r="L66" i="8"/>
  <c r="G6" i="19"/>
  <c r="AN6" i="19" s="1"/>
  <c r="AR6" i="19"/>
  <c r="AM8" i="19"/>
  <c r="AM14" i="19"/>
  <c r="AR15" i="19"/>
  <c r="G15" i="19"/>
  <c r="AN15" i="19" s="1"/>
  <c r="AM15" i="19"/>
  <c r="H15" i="19"/>
  <c r="AO15" i="19" s="1"/>
  <c r="G34" i="8"/>
  <c r="AN34" i="8" s="1"/>
  <c r="AP34" i="8" s="1"/>
  <c r="AR34" i="8"/>
  <c r="G43" i="8"/>
  <c r="AN43" i="8" s="1"/>
  <c r="AR43" i="8"/>
  <c r="G46" i="8"/>
  <c r="AN46" i="8" s="1"/>
  <c r="AP46" i="8" s="1"/>
  <c r="AR46" i="8"/>
  <c r="G49" i="8"/>
  <c r="AN49" i="8" s="1"/>
  <c r="AR49" i="8"/>
  <c r="G56" i="8"/>
  <c r="AN56" i="8" s="1"/>
  <c r="AR56" i="8"/>
  <c r="G59" i="8"/>
  <c r="AN59" i="8" s="1"/>
  <c r="AR59" i="8"/>
  <c r="G5" i="19"/>
  <c r="AN5" i="19" s="1"/>
  <c r="AR5" i="19"/>
  <c r="G9" i="19"/>
  <c r="AN9" i="19" s="1"/>
  <c r="AO32" i="8"/>
  <c r="G36" i="8"/>
  <c r="AN36" i="8" s="1"/>
  <c r="G39" i="8"/>
  <c r="AN39" i="8" s="1"/>
  <c r="G51" i="8"/>
  <c r="AN51" i="8" s="1"/>
  <c r="G54" i="8"/>
  <c r="AN54" i="8" s="1"/>
  <c r="G61" i="8"/>
  <c r="AN61" i="8" s="1"/>
  <c r="H9" i="19"/>
  <c r="AO9" i="19" s="1"/>
  <c r="AR10" i="19"/>
  <c r="AM10" i="19"/>
  <c r="G8" i="19"/>
  <c r="AN8" i="19" s="1"/>
  <c r="G13" i="19"/>
  <c r="AN13" i="19" s="1"/>
  <c r="AR13" i="19"/>
  <c r="AM16" i="19"/>
  <c r="AR29" i="19"/>
  <c r="G31" i="19"/>
  <c r="G38" i="19"/>
  <c r="AN38" i="19" s="1"/>
  <c r="AM39" i="19"/>
  <c r="AM42" i="19"/>
  <c r="H62" i="19"/>
  <c r="AM8" i="22"/>
  <c r="H20" i="22"/>
  <c r="AO20" i="22" s="1"/>
  <c r="AM20" i="22"/>
  <c r="AR17" i="19"/>
  <c r="AM53" i="19"/>
  <c r="AM5" i="22"/>
  <c r="AM13" i="22"/>
  <c r="H36" i="22"/>
  <c r="AO36" i="22" s="1"/>
  <c r="AR38" i="22"/>
  <c r="G38" i="22"/>
  <c r="AN38" i="22" s="1"/>
  <c r="AM38" i="22"/>
  <c r="H38" i="22"/>
  <c r="AO38" i="22" s="1"/>
  <c r="AM33" i="19"/>
  <c r="AM36" i="19"/>
  <c r="AM41" i="19"/>
  <c r="AM44" i="19"/>
  <c r="AM47" i="19"/>
  <c r="AM50" i="19"/>
  <c r="AM57" i="19"/>
  <c r="AM29" i="22"/>
  <c r="H29" i="22"/>
  <c r="AR16" i="22"/>
  <c r="G16" i="22"/>
  <c r="AN16" i="22" s="1"/>
  <c r="H25" i="22"/>
  <c r="AO25" i="22" s="1"/>
  <c r="AR25" i="22"/>
  <c r="G25" i="22"/>
  <c r="AN25" i="22" s="1"/>
  <c r="AM26" i="22"/>
  <c r="AR26" i="22"/>
  <c r="G26" i="22"/>
  <c r="AN26" i="22" s="1"/>
  <c r="H35" i="22"/>
  <c r="AO35" i="22" s="1"/>
  <c r="AR35" i="22"/>
  <c r="G35" i="22"/>
  <c r="AN35" i="22" s="1"/>
  <c r="AR46" i="22"/>
  <c r="G46" i="22"/>
  <c r="AN46" i="22" s="1"/>
  <c r="AM46" i="22"/>
  <c r="H46" i="22"/>
  <c r="AO46" i="22" s="1"/>
  <c r="G8" i="22"/>
  <c r="AN8" i="22" s="1"/>
  <c r="AR8" i="22"/>
  <c r="H11" i="22"/>
  <c r="AO11" i="22" s="1"/>
  <c r="H15" i="22"/>
  <c r="AO15" i="22" s="1"/>
  <c r="AR22" i="22"/>
  <c r="G22" i="22"/>
  <c r="AN22" i="22" s="1"/>
  <c r="AO27" i="22"/>
  <c r="AR27" i="22"/>
  <c r="AR54" i="22"/>
  <c r="G54" i="22"/>
  <c r="AN54" i="22" s="1"/>
  <c r="AM54" i="22"/>
  <c r="H54" i="22"/>
  <c r="AO54" i="22" s="1"/>
  <c r="AM23" i="19"/>
  <c r="AM27" i="19"/>
  <c r="G39" i="19"/>
  <c r="AN39" i="19" s="1"/>
  <c r="G53" i="19"/>
  <c r="AN53" i="19" s="1"/>
  <c r="G60" i="19"/>
  <c r="G5" i="22"/>
  <c r="AN5" i="22" s="1"/>
  <c r="AR5" i="22"/>
  <c r="G13" i="22"/>
  <c r="AN13" i="22" s="1"/>
  <c r="AR13" i="22"/>
  <c r="AR62" i="22"/>
  <c r="G62" i="22"/>
  <c r="AN62" i="22" s="1"/>
  <c r="AM62" i="22"/>
  <c r="H62" i="22"/>
  <c r="AO62" i="22" s="1"/>
  <c r="AM28" i="19"/>
  <c r="AN32" i="19"/>
  <c r="G33" i="19"/>
  <c r="AN33" i="19" s="1"/>
  <c r="AP33" i="19" s="1"/>
  <c r="AR33" i="19"/>
  <c r="G36" i="19"/>
  <c r="AN36" i="19" s="1"/>
  <c r="AR36" i="19"/>
  <c r="G41" i="19"/>
  <c r="AN41" i="19" s="1"/>
  <c r="AP41" i="19" s="1"/>
  <c r="AR41" i="19"/>
  <c r="G44" i="19"/>
  <c r="AN44" i="19" s="1"/>
  <c r="AP44" i="19" s="1"/>
  <c r="AR44" i="19"/>
  <c r="G47" i="19"/>
  <c r="AN47" i="19" s="1"/>
  <c r="AP47" i="19" s="1"/>
  <c r="AR47" i="19"/>
  <c r="G50" i="19"/>
  <c r="AN50" i="19" s="1"/>
  <c r="AP50" i="19" s="1"/>
  <c r="AR50" i="19"/>
  <c r="H53" i="19"/>
  <c r="AO53" i="19" s="1"/>
  <c r="G57" i="19"/>
  <c r="AN57" i="19" s="1"/>
  <c r="AP57" i="19" s="1"/>
  <c r="AR57" i="19"/>
  <c r="G10" i="22"/>
  <c r="AN10" i="22" s="1"/>
  <c r="AR10" i="22"/>
  <c r="H16" i="22"/>
  <c r="AO16" i="22" s="1"/>
  <c r="H26" i="22"/>
  <c r="AO26" i="22" s="1"/>
  <c r="H26" i="19"/>
  <c r="G62" i="19"/>
  <c r="G7" i="22"/>
  <c r="AN7" i="22" s="1"/>
  <c r="G14" i="22"/>
  <c r="AN14" i="22" s="1"/>
  <c r="H18" i="22"/>
  <c r="AO18" i="22" s="1"/>
  <c r="G18" i="22"/>
  <c r="AN18" i="22" s="1"/>
  <c r="AO19" i="22"/>
  <c r="AR19" i="22"/>
  <c r="H22" i="22"/>
  <c r="AO22" i="22" s="1"/>
  <c r="G27" i="22"/>
  <c r="AN27" i="22" s="1"/>
  <c r="AP27" i="22" s="1"/>
  <c r="G43" i="22"/>
  <c r="AN43" i="22" s="1"/>
  <c r="AR43" i="22"/>
  <c r="G51" i="22"/>
  <c r="AN51" i="22" s="1"/>
  <c r="AR51" i="22"/>
  <c r="G59" i="22"/>
  <c r="AN59" i="22" s="1"/>
  <c r="AR59" i="22"/>
  <c r="H14" i="7"/>
  <c r="AO14" i="7" s="1"/>
  <c r="G14" i="7"/>
  <c r="AN14" i="7" s="1"/>
  <c r="G24" i="22"/>
  <c r="AN24" i="22" s="1"/>
  <c r="AR32" i="22"/>
  <c r="AM36" i="22"/>
  <c r="AM44" i="22"/>
  <c r="G48" i="22"/>
  <c r="AN48" i="22" s="1"/>
  <c r="AM52" i="22"/>
  <c r="G56" i="22"/>
  <c r="AN56" i="22" s="1"/>
  <c r="AM60" i="22"/>
  <c r="A8" i="7"/>
  <c r="B10" i="7"/>
  <c r="H25" i="7"/>
  <c r="AO25" i="7" s="1"/>
  <c r="AR25" i="7"/>
  <c r="G25" i="7"/>
  <c r="AN25" i="7" s="1"/>
  <c r="H8" i="7"/>
  <c r="AO8" i="7" s="1"/>
  <c r="AR8" i="7"/>
  <c r="G8" i="7"/>
  <c r="AN8" i="7" s="1"/>
  <c r="G32" i="22"/>
  <c r="AN32" i="22" s="1"/>
  <c r="G34" i="22"/>
  <c r="AN34" i="22" s="1"/>
  <c r="AR34" i="22"/>
  <c r="G42" i="22"/>
  <c r="AN42" i="22" s="1"/>
  <c r="AR42" i="22"/>
  <c r="G50" i="22"/>
  <c r="AN50" i="22" s="1"/>
  <c r="AR50" i="22"/>
  <c r="G58" i="22"/>
  <c r="AN58" i="22" s="1"/>
  <c r="AR58" i="22"/>
  <c r="G65" i="22"/>
  <c r="AN65" i="22" s="1"/>
  <c r="AR65" i="22"/>
  <c r="I12" i="10"/>
  <c r="AR22" i="7"/>
  <c r="H22" i="7"/>
  <c r="AO22" i="7" s="1"/>
  <c r="G22" i="7"/>
  <c r="AN22" i="7" s="1"/>
  <c r="AM35" i="7"/>
  <c r="H35" i="7"/>
  <c r="AO35" i="7" s="1"/>
  <c r="AR35" i="7"/>
  <c r="G35" i="7"/>
  <c r="AN35" i="7" s="1"/>
  <c r="AP35" i="7" s="1"/>
  <c r="AM7" i="7"/>
  <c r="H7" i="7"/>
  <c r="AO7" i="7" s="1"/>
  <c r="AR7" i="7"/>
  <c r="G7" i="7"/>
  <c r="AN7" i="7" s="1"/>
  <c r="AP7" i="7" s="1"/>
  <c r="AM14" i="7"/>
  <c r="G33" i="22"/>
  <c r="AN33" i="22" s="1"/>
  <c r="AR33" i="22"/>
  <c r="G41" i="22"/>
  <c r="AN41" i="22" s="1"/>
  <c r="AR41" i="22"/>
  <c r="G49" i="22"/>
  <c r="AN49" i="22" s="1"/>
  <c r="AR49" i="22"/>
  <c r="G57" i="22"/>
  <c r="AN57" i="22" s="1"/>
  <c r="AR57" i="22"/>
  <c r="N12" i="10"/>
  <c r="AO19" i="7"/>
  <c r="AM25" i="7"/>
  <c r="AM34" i="7"/>
  <c r="AO17" i="22"/>
  <c r="H30" i="22"/>
  <c r="AM8" i="7"/>
  <c r="AM13" i="7"/>
  <c r="H13" i="7"/>
  <c r="AO13" i="7" s="1"/>
  <c r="AR13" i="7"/>
  <c r="G13" i="7"/>
  <c r="AN13" i="7" s="1"/>
  <c r="AP13" i="7" s="1"/>
  <c r="H32" i="7"/>
  <c r="AO32" i="7" s="1"/>
  <c r="AR32" i="7"/>
  <c r="G32" i="7"/>
  <c r="AN32" i="7" s="1"/>
  <c r="AP32" i="7" s="1"/>
  <c r="G12" i="7"/>
  <c r="AN12" i="7" s="1"/>
  <c r="AP12" i="7" s="1"/>
  <c r="AR12" i="7"/>
  <c r="G16" i="7"/>
  <c r="AN16" i="7" s="1"/>
  <c r="AR16" i="7"/>
  <c r="G19" i="7"/>
  <c r="AN19" i="7" s="1"/>
  <c r="AR19" i="7"/>
  <c r="G29" i="7"/>
  <c r="AN29" i="7" s="1"/>
  <c r="AP29" i="7" s="1"/>
  <c r="AR29" i="7"/>
  <c r="G37" i="7"/>
  <c r="AN37" i="7" s="1"/>
  <c r="AR37" i="7"/>
  <c r="G11" i="7"/>
  <c r="AN11" i="7" s="1"/>
  <c r="G34" i="7"/>
  <c r="AN34" i="7" s="1"/>
  <c r="AR34" i="7"/>
  <c r="H11" i="7"/>
  <c r="AO11" i="7" s="1"/>
  <c r="AR11" i="7"/>
  <c r="G21" i="7"/>
  <c r="AN21" i="7" s="1"/>
  <c r="G24" i="7"/>
  <c r="AN24" i="7" s="1"/>
  <c r="G27" i="7"/>
  <c r="AN27" i="7" s="1"/>
  <c r="G31" i="7"/>
  <c r="AN31" i="7" s="1"/>
  <c r="H34" i="7"/>
  <c r="AO34" i="7" s="1"/>
  <c r="G32" i="8"/>
  <c r="AN32" i="8" s="1"/>
  <c r="AP32" i="8" s="1"/>
  <c r="G31" i="8"/>
  <c r="AN31" i="8" s="1"/>
  <c r="AM30" i="8"/>
  <c r="G30" i="8"/>
  <c r="AN30" i="8" s="1"/>
  <c r="G29" i="8"/>
  <c r="AN29" i="8" s="1"/>
  <c r="H29" i="8"/>
  <c r="AO29" i="8" s="1"/>
  <c r="AR29" i="8"/>
  <c r="H28" i="8"/>
  <c r="AO28" i="8" s="1"/>
  <c r="G28" i="8"/>
  <c r="AN28" i="8" s="1"/>
  <c r="AM27" i="8"/>
  <c r="H27" i="8"/>
  <c r="AO27" i="8" s="1"/>
  <c r="AR27" i="8"/>
  <c r="G27" i="8"/>
  <c r="AN27" i="8" s="1"/>
  <c r="AO26" i="8"/>
  <c r="AM26" i="8"/>
  <c r="AM25" i="8"/>
  <c r="H25" i="8"/>
  <c r="AO25" i="8" s="1"/>
  <c r="G25" i="8"/>
  <c r="AN25" i="8" s="1"/>
  <c r="AO24" i="8"/>
  <c r="AN24" i="8"/>
  <c r="AO23" i="8"/>
  <c r="AN23" i="8"/>
  <c r="AO22" i="8"/>
  <c r="AN22" i="8"/>
  <c r="AR31" i="4"/>
  <c r="AM31" i="4"/>
  <c r="H30" i="4"/>
  <c r="AO30" i="4" s="1"/>
  <c r="AR30" i="4"/>
  <c r="AM30" i="4"/>
  <c r="AM29" i="4"/>
  <c r="H29" i="4"/>
  <c r="AO29" i="4" s="1"/>
  <c r="G29" i="4"/>
  <c r="AN29" i="4" s="1"/>
  <c r="AO26" i="4"/>
  <c r="G27" i="4"/>
  <c r="AN27" i="4" s="1"/>
  <c r="AR27" i="4"/>
  <c r="AN26" i="4"/>
  <c r="Q9" i="28"/>
  <c r="O9" i="28" s="1"/>
  <c r="AA9" i="28" s="1"/>
  <c r="Q8" i="28"/>
  <c r="O8" i="28" s="1"/>
  <c r="AA8" i="28" s="1"/>
  <c r="Q10" i="28"/>
  <c r="O10" i="28" s="1"/>
  <c r="AA10" i="28" s="1"/>
  <c r="P9" i="28"/>
  <c r="N9" i="28" s="1"/>
  <c r="Z9" i="28" s="1"/>
  <c r="H32" i="3"/>
  <c r="AO32" i="3" s="1"/>
  <c r="AR32" i="3"/>
  <c r="G32" i="3"/>
  <c r="AN32" i="3" s="1"/>
  <c r="AM31" i="3"/>
  <c r="H31" i="3"/>
  <c r="AO31" i="3" s="1"/>
  <c r="G31" i="3"/>
  <c r="AN31" i="3" s="1"/>
  <c r="AR31" i="3"/>
  <c r="H30" i="3"/>
  <c r="AO30" i="3" s="1"/>
  <c r="AN29" i="3"/>
  <c r="AM30" i="3"/>
  <c r="AM29" i="3"/>
  <c r="H29" i="3"/>
  <c r="AO29" i="3" s="1"/>
  <c r="AR29" i="3"/>
  <c r="G28" i="3"/>
  <c r="AN28" i="3" s="1"/>
  <c r="AM28" i="3"/>
  <c r="H28" i="3"/>
  <c r="AO28" i="3" s="1"/>
  <c r="AR28" i="3"/>
  <c r="AM27" i="3"/>
  <c r="H27" i="3"/>
  <c r="AO27" i="3" s="1"/>
  <c r="G27" i="3"/>
  <c r="AN27" i="3" s="1"/>
  <c r="AM26" i="3"/>
  <c r="H26" i="3"/>
  <c r="AO26" i="3" s="1"/>
  <c r="AR26" i="3"/>
  <c r="G26" i="3"/>
  <c r="AN26" i="3" s="1"/>
  <c r="G4" i="1"/>
  <c r="AN24" i="3"/>
  <c r="AM25" i="3"/>
  <c r="H25" i="3"/>
  <c r="AO25" i="3" s="1"/>
  <c r="G25" i="3"/>
  <c r="AN25" i="3" s="1"/>
  <c r="AO24" i="3"/>
  <c r="J67" i="3"/>
  <c r="H32" i="6"/>
  <c r="AO32" i="6" s="1"/>
  <c r="G32" i="6"/>
  <c r="AN32" i="6" s="1"/>
  <c r="AR32" i="6"/>
  <c r="P8" i="28"/>
  <c r="N8" i="28" s="1"/>
  <c r="Z8" i="28" s="1"/>
  <c r="P10" i="28"/>
  <c r="N10" i="28" s="1"/>
  <c r="Z10" i="28" s="1"/>
  <c r="AP32" i="5"/>
  <c r="AR32" i="5"/>
  <c r="AM31" i="5"/>
  <c r="H31" i="5"/>
  <c r="AO31" i="5" s="1"/>
  <c r="G31" i="5"/>
  <c r="AN31" i="5" s="1"/>
  <c r="H30" i="5"/>
  <c r="AO30" i="5" s="1"/>
  <c r="G30" i="5"/>
  <c r="AN30" i="5" s="1"/>
  <c r="AR30" i="5"/>
  <c r="AM29" i="5"/>
  <c r="AM28" i="5"/>
  <c r="H28" i="5"/>
  <c r="AO28" i="5" s="1"/>
  <c r="G28" i="5"/>
  <c r="AN28" i="5" s="1"/>
  <c r="AO26" i="5"/>
  <c r="H27" i="5"/>
  <c r="AO27" i="5" s="1"/>
  <c r="G27" i="5"/>
  <c r="AN27" i="5" s="1"/>
  <c r="AN26" i="5"/>
  <c r="H32" i="19"/>
  <c r="AO32" i="19" s="1"/>
  <c r="AN31" i="19"/>
  <c r="AM32" i="19"/>
  <c r="AM31" i="19"/>
  <c r="H31" i="19"/>
  <c r="AO31" i="19" s="1"/>
  <c r="AR31" i="19"/>
  <c r="H30" i="19"/>
  <c r="AO30" i="19" s="1"/>
  <c r="G30" i="19"/>
  <c r="AN30" i="19" s="1"/>
  <c r="AR30" i="19"/>
  <c r="AO29" i="19"/>
  <c r="AN29" i="19"/>
  <c r="AO28" i="19"/>
  <c r="AO26" i="19"/>
  <c r="AN25" i="19"/>
  <c r="AM25" i="19"/>
  <c r="H25" i="19"/>
  <c r="AO25" i="19" s="1"/>
  <c r="AM24" i="19"/>
  <c r="H24" i="19"/>
  <c r="AO24" i="19" s="1"/>
  <c r="G24" i="19"/>
  <c r="AN24" i="19" s="1"/>
  <c r="H23" i="19"/>
  <c r="AO23" i="19" s="1"/>
  <c r="G23" i="19"/>
  <c r="AN23" i="19" s="1"/>
  <c r="AR23" i="19"/>
  <c r="AN22" i="19"/>
  <c r="H22" i="19"/>
  <c r="AO22" i="19" s="1"/>
  <c r="AN21" i="19"/>
  <c r="AM21" i="19"/>
  <c r="H21" i="19"/>
  <c r="AO21" i="19" s="1"/>
  <c r="AR21" i="19"/>
  <c r="AO20" i="19"/>
  <c r="AN20" i="19"/>
  <c r="AM20" i="19"/>
  <c r="AO19" i="19"/>
  <c r="G19" i="19"/>
  <c r="AN19" i="19" s="1"/>
  <c r="AR19" i="19"/>
  <c r="AO18" i="19"/>
  <c r="AN18" i="19"/>
  <c r="AO23" i="6"/>
  <c r="H24" i="6"/>
  <c r="AO24" i="6" s="1"/>
  <c r="G24" i="6"/>
  <c r="AN24" i="6" s="1"/>
  <c r="AN23" i="6"/>
  <c r="AM31" i="6"/>
  <c r="H31" i="6"/>
  <c r="AO31" i="6" s="1"/>
  <c r="G31" i="6"/>
  <c r="AN31" i="6" s="1"/>
  <c r="AM30" i="6"/>
  <c r="H30" i="6"/>
  <c r="AO30" i="6" s="1"/>
  <c r="G30" i="6"/>
  <c r="AN30" i="6" s="1"/>
  <c r="AM29" i="6"/>
  <c r="H29" i="6"/>
  <c r="AO29" i="6" s="1"/>
  <c r="G29" i="6"/>
  <c r="AN29" i="6" s="1"/>
  <c r="AR29" i="6"/>
  <c r="AM28" i="6"/>
  <c r="H28" i="6"/>
  <c r="AO28" i="6" s="1"/>
  <c r="G28" i="6"/>
  <c r="AN28" i="6" s="1"/>
  <c r="AR28" i="6"/>
  <c r="AM26" i="6"/>
  <c r="H26" i="6"/>
  <c r="AO26" i="6" s="1"/>
  <c r="G26" i="6"/>
  <c r="AN26" i="6" s="1"/>
  <c r="AN25" i="6"/>
  <c r="H25" i="6"/>
  <c r="AO25" i="6" s="1"/>
  <c r="AM25" i="6"/>
  <c r="AN30" i="22"/>
  <c r="AO30" i="22"/>
  <c r="AO29" i="22"/>
  <c r="G29" i="22"/>
  <c r="AN29" i="22" s="1"/>
  <c r="AR29" i="22"/>
  <c r="AO28" i="22"/>
  <c r="AN28" i="22"/>
  <c r="H32" i="4"/>
  <c r="AO32" i="4" s="1"/>
  <c r="AR32" i="4"/>
  <c r="G32" i="4"/>
  <c r="AN32" i="4" s="1"/>
  <c r="J67" i="4"/>
  <c r="H31" i="2"/>
  <c r="AO31" i="2" s="1"/>
  <c r="L66" i="2"/>
  <c r="L67" i="2" s="1"/>
  <c r="G29" i="2"/>
  <c r="AN29" i="2" s="1"/>
  <c r="AM29" i="2"/>
  <c r="AN28" i="2"/>
  <c r="H29" i="2"/>
  <c r="AO29" i="2" s="1"/>
  <c r="AR29" i="2"/>
  <c r="AO28" i="2"/>
  <c r="AP8" i="6" l="1"/>
  <c r="AP5" i="5"/>
  <c r="AP8" i="5"/>
  <c r="AP5" i="6"/>
  <c r="AP8" i="19"/>
  <c r="AP7" i="19"/>
  <c r="AP20" i="8"/>
  <c r="AP57" i="8"/>
  <c r="AP63" i="5"/>
  <c r="AQ63" i="5"/>
  <c r="J62" i="21" s="1"/>
  <c r="AM66" i="5"/>
  <c r="H8" i="1" s="1"/>
  <c r="AP9" i="4"/>
  <c r="AP12" i="4"/>
  <c r="AP17" i="4"/>
  <c r="AP20" i="4"/>
  <c r="AP58" i="4"/>
  <c r="AP22" i="4"/>
  <c r="AP63" i="4"/>
  <c r="AP6" i="2"/>
  <c r="AP58" i="8"/>
  <c r="AQ65" i="5"/>
  <c r="AP65" i="5"/>
  <c r="AP61" i="3"/>
  <c r="AP60" i="5"/>
  <c r="AP57" i="4"/>
  <c r="AP60" i="22"/>
  <c r="AP41" i="2"/>
  <c r="AP51" i="19"/>
  <c r="AP40" i="19"/>
  <c r="AP43" i="8"/>
  <c r="AQ64" i="22"/>
  <c r="M63" i="21" s="1"/>
  <c r="AP49" i="4"/>
  <c r="AQ42" i="2"/>
  <c r="AP44" i="22"/>
  <c r="AO31" i="4"/>
  <c r="AN30" i="3"/>
  <c r="AO30" i="8"/>
  <c r="AN26" i="19"/>
  <c r="AP25" i="4"/>
  <c r="AP21" i="6"/>
  <c r="AP12" i="6"/>
  <c r="AP19" i="6"/>
  <c r="AP14" i="4"/>
  <c r="AP6" i="3"/>
  <c r="AP12" i="3"/>
  <c r="AP17" i="3"/>
  <c r="AP18" i="3"/>
  <c r="AO26" i="2"/>
  <c r="AN24" i="2"/>
  <c r="AP24" i="2" s="1"/>
  <c r="AO19" i="2"/>
  <c r="AP16" i="2"/>
  <c r="AP12" i="22"/>
  <c r="AP7" i="4"/>
  <c r="AN8" i="4"/>
  <c r="AP8" i="4" s="1"/>
  <c r="AA13" i="28"/>
  <c r="Z12" i="28"/>
  <c r="Z13" i="28"/>
  <c r="AA17" i="28"/>
  <c r="Z17" i="28"/>
  <c r="AA12" i="28"/>
  <c r="Z15" i="28"/>
  <c r="AA14" i="28"/>
  <c r="AA15" i="28"/>
  <c r="AP12" i="19"/>
  <c r="AP7" i="3"/>
  <c r="AP4" i="6"/>
  <c r="AP11" i="6"/>
  <c r="AP7" i="6"/>
  <c r="AP12" i="2"/>
  <c r="AP10" i="2"/>
  <c r="AN6" i="22"/>
  <c r="AP4" i="22"/>
  <c r="AP8" i="2"/>
  <c r="AP7" i="2"/>
  <c r="AP4" i="2"/>
  <c r="AP4" i="3"/>
  <c r="AP6" i="5"/>
  <c r="AP8" i="8"/>
  <c r="Z14" i="28"/>
  <c r="AO19" i="8"/>
  <c r="AN21" i="8"/>
  <c r="AQ21" i="8" s="1"/>
  <c r="K20" i="21" s="1"/>
  <c r="AP49" i="8"/>
  <c r="AP56" i="8"/>
  <c r="AP6" i="8"/>
  <c r="AO31" i="22"/>
  <c r="AN20" i="22"/>
  <c r="AP23" i="22"/>
  <c r="AP19" i="8"/>
  <c r="AO20" i="5"/>
  <c r="AN19" i="5"/>
  <c r="AO23" i="5"/>
  <c r="AP13" i="5"/>
  <c r="AP24" i="5"/>
  <c r="AP19" i="5"/>
  <c r="AO27" i="6"/>
  <c r="AP27" i="2"/>
  <c r="AP62" i="3"/>
  <c r="AP64" i="3"/>
  <c r="AP62" i="8"/>
  <c r="AP60" i="4"/>
  <c r="AP65" i="2"/>
  <c r="AP64" i="2"/>
  <c r="AP63" i="6"/>
  <c r="AP50" i="2"/>
  <c r="AP63" i="3"/>
  <c r="AP55" i="22"/>
  <c r="AP47" i="22"/>
  <c r="AP58" i="19"/>
  <c r="AP54" i="19"/>
  <c r="AP56" i="3"/>
  <c r="AP55" i="3"/>
  <c r="AP57" i="6"/>
  <c r="AP56" i="6"/>
  <c r="AP57" i="5"/>
  <c r="AP53" i="5"/>
  <c r="AP51" i="5"/>
  <c r="AP53" i="4"/>
  <c r="AP59" i="8"/>
  <c r="AP59" i="2"/>
  <c r="AQ38" i="8"/>
  <c r="K37" i="21" s="1"/>
  <c r="AP62" i="6"/>
  <c r="AQ33" i="6"/>
  <c r="H32" i="21" s="1"/>
  <c r="AV13" i="6"/>
  <c r="AT27" i="4"/>
  <c r="AP14" i="19"/>
  <c r="AQ14" i="19"/>
  <c r="L13" i="21" s="1"/>
  <c r="AQ19" i="8"/>
  <c r="K18" i="21" s="1"/>
  <c r="AP16" i="8"/>
  <c r="AP10" i="8"/>
  <c r="AP23" i="5"/>
  <c r="AQ34" i="4"/>
  <c r="G33" i="21" s="1"/>
  <c r="AQ40" i="6"/>
  <c r="H39" i="21" s="1"/>
  <c r="AQ19" i="5"/>
  <c r="J18" i="21" s="1"/>
  <c r="AP14" i="5"/>
  <c r="AQ4" i="5"/>
  <c r="J3" i="21" s="1"/>
  <c r="AP47" i="5"/>
  <c r="AP48" i="5"/>
  <c r="AN33" i="8"/>
  <c r="AQ33" i="8" s="1"/>
  <c r="K32" i="21" s="1"/>
  <c r="AP4" i="19"/>
  <c r="AP14" i="8"/>
  <c r="AP17" i="8"/>
  <c r="AP65" i="8"/>
  <c r="AP6" i="19"/>
  <c r="AP5" i="19"/>
  <c r="AP13" i="19"/>
  <c r="AP64" i="22"/>
  <c r="AP4" i="7"/>
  <c r="AN45" i="22"/>
  <c r="AO56" i="22"/>
  <c r="AP56" i="22" s="1"/>
  <c r="AN53" i="22"/>
  <c r="AN31" i="22"/>
  <c r="AP51" i="22"/>
  <c r="AP59" i="22"/>
  <c r="AP24" i="22"/>
  <c r="AP42" i="22"/>
  <c r="AP50" i="22"/>
  <c r="AP58" i="22"/>
  <c r="AP65" i="22"/>
  <c r="AQ22" i="7"/>
  <c r="I21" i="21" s="1"/>
  <c r="AN26" i="7"/>
  <c r="AP26" i="7" s="1"/>
  <c r="L67" i="7"/>
  <c r="K67" i="7"/>
  <c r="AP10" i="7"/>
  <c r="AP28" i="7"/>
  <c r="AP49" i="22"/>
  <c r="AP57" i="22"/>
  <c r="AO6" i="7"/>
  <c r="AP6" i="7" s="1"/>
  <c r="AN18" i="7"/>
  <c r="AP18" i="7" s="1"/>
  <c r="AT41" i="7"/>
  <c r="AP16" i="7"/>
  <c r="AP37" i="7"/>
  <c r="AP21" i="7"/>
  <c r="AP24" i="7"/>
  <c r="AP27" i="7"/>
  <c r="AP31" i="7"/>
  <c r="AO31" i="8"/>
  <c r="AN26" i="8"/>
  <c r="AN29" i="5"/>
  <c r="AO29" i="5"/>
  <c r="AN28" i="19"/>
  <c r="AN27" i="19"/>
  <c r="AN27" i="6"/>
  <c r="AQ30" i="22"/>
  <c r="M29" i="21" s="1"/>
  <c r="AN31" i="4"/>
  <c r="AQ6" i="2"/>
  <c r="E5" i="21" s="1"/>
  <c r="AQ10" i="2"/>
  <c r="E9" i="21" s="1"/>
  <c r="AQ7" i="6"/>
  <c r="H6" i="21" s="1"/>
  <c r="AQ65" i="6"/>
  <c r="H64" i="21" s="1"/>
  <c r="AQ65" i="8"/>
  <c r="K64" i="21" s="1"/>
  <c r="AQ39" i="19"/>
  <c r="L38" i="21" s="1"/>
  <c r="AQ56" i="19"/>
  <c r="L55" i="21" s="1"/>
  <c r="AQ24" i="22"/>
  <c r="M23" i="21" s="1"/>
  <c r="AQ65" i="22"/>
  <c r="M64" i="21" s="1"/>
  <c r="AQ4" i="7"/>
  <c r="AQ12" i="7"/>
  <c r="I11" i="21" s="1"/>
  <c r="AQ29" i="7"/>
  <c r="I28" i="21" s="1"/>
  <c r="AQ33" i="7"/>
  <c r="I32" i="21" s="1"/>
  <c r="AQ37" i="7"/>
  <c r="I36" i="21" s="1"/>
  <c r="AQ16" i="6"/>
  <c r="H15" i="21" s="1"/>
  <c r="AQ58" i="6"/>
  <c r="H57" i="21" s="1"/>
  <c r="AQ42" i="22"/>
  <c r="M41" i="21" s="1"/>
  <c r="AQ46" i="22"/>
  <c r="M45" i="21" s="1"/>
  <c r="AQ17" i="2"/>
  <c r="E16" i="21" s="1"/>
  <c r="AQ21" i="2"/>
  <c r="E20" i="21" s="1"/>
  <c r="AQ25" i="2"/>
  <c r="E24" i="21" s="1"/>
  <c r="AQ59" i="2"/>
  <c r="E58" i="21" s="1"/>
  <c r="AQ64" i="2"/>
  <c r="E63" i="21" s="1"/>
  <c r="AQ8" i="6"/>
  <c r="H7" i="21" s="1"/>
  <c r="AQ17" i="6"/>
  <c r="H16" i="21" s="1"/>
  <c r="AQ21" i="6"/>
  <c r="H20" i="21" s="1"/>
  <c r="AQ38" i="6"/>
  <c r="H37" i="21" s="1"/>
  <c r="AQ59" i="6"/>
  <c r="H58" i="21" s="1"/>
  <c r="AQ63" i="6"/>
  <c r="H62" i="21" s="1"/>
  <c r="AQ5" i="5"/>
  <c r="AQ10" i="5"/>
  <c r="J9" i="21" s="1"/>
  <c r="AQ23" i="5"/>
  <c r="J22" i="21" s="1"/>
  <c r="AQ48" i="5"/>
  <c r="J47" i="21" s="1"/>
  <c r="AQ6" i="8"/>
  <c r="K5" i="21" s="1"/>
  <c r="AQ16" i="8"/>
  <c r="K15" i="21" s="1"/>
  <c r="AQ20" i="8"/>
  <c r="K19" i="21" s="1"/>
  <c r="AQ34" i="8"/>
  <c r="K33" i="21" s="1"/>
  <c r="AQ59" i="8"/>
  <c r="K58" i="21" s="1"/>
  <c r="AQ63" i="8"/>
  <c r="K62" i="21" s="1"/>
  <c r="AQ4" i="19"/>
  <c r="L3" i="21" s="1"/>
  <c r="AQ12" i="19"/>
  <c r="L11" i="21" s="1"/>
  <c r="AQ15" i="19"/>
  <c r="L14" i="21" s="1"/>
  <c r="AQ50" i="19"/>
  <c r="L49" i="21" s="1"/>
  <c r="AQ54" i="19"/>
  <c r="L53" i="21" s="1"/>
  <c r="AQ35" i="22"/>
  <c r="M34" i="21" s="1"/>
  <c r="AQ39" i="22"/>
  <c r="M38" i="21" s="1"/>
  <c r="AQ43" i="22"/>
  <c r="M42" i="21" s="1"/>
  <c r="AQ47" i="22"/>
  <c r="M46" i="21" s="1"/>
  <c r="AQ51" i="22"/>
  <c r="M50" i="21" s="1"/>
  <c r="AQ55" i="22"/>
  <c r="M54" i="21" s="1"/>
  <c r="AQ59" i="22"/>
  <c r="M58" i="21" s="1"/>
  <c r="AQ63" i="22"/>
  <c r="M62" i="21" s="1"/>
  <c r="AQ5" i="7"/>
  <c r="I4" i="21" s="1"/>
  <c r="AQ13" i="7"/>
  <c r="I12" i="21" s="1"/>
  <c r="AQ15" i="7"/>
  <c r="I14" i="21" s="1"/>
  <c r="AQ19" i="7"/>
  <c r="I18" i="21" s="1"/>
  <c r="AQ23" i="7"/>
  <c r="I22" i="21" s="1"/>
  <c r="AQ27" i="7"/>
  <c r="I26" i="21" s="1"/>
  <c r="AQ62" i="6"/>
  <c r="H61" i="21" s="1"/>
  <c r="AQ38" i="22"/>
  <c r="M37" i="21" s="1"/>
  <c r="AQ54" i="22"/>
  <c r="M53" i="21" s="1"/>
  <c r="AQ62" i="22"/>
  <c r="M61" i="21" s="1"/>
  <c r="AQ7" i="2"/>
  <c r="E6" i="21" s="1"/>
  <c r="AQ11" i="2"/>
  <c r="E10" i="21" s="1"/>
  <c r="AQ62" i="2"/>
  <c r="E61" i="21" s="1"/>
  <c r="AQ5" i="3"/>
  <c r="F4" i="21" s="1"/>
  <c r="AQ10" i="3"/>
  <c r="F9" i="21" s="1"/>
  <c r="AQ56" i="3"/>
  <c r="F55" i="21" s="1"/>
  <c r="AQ60" i="3"/>
  <c r="F59" i="21" s="1"/>
  <c r="AQ16" i="4"/>
  <c r="G15" i="21" s="1"/>
  <c r="AQ20" i="4"/>
  <c r="G19" i="21" s="1"/>
  <c r="AQ58" i="4"/>
  <c r="G57" i="21" s="1"/>
  <c r="AQ62" i="4"/>
  <c r="G61" i="21" s="1"/>
  <c r="AQ9" i="6"/>
  <c r="H8" i="21" s="1"/>
  <c r="AQ11" i="5"/>
  <c r="J10" i="21" s="1"/>
  <c r="AQ17" i="5"/>
  <c r="J16" i="21" s="1"/>
  <c r="AQ20" i="5"/>
  <c r="J19" i="21" s="1"/>
  <c r="AQ40" i="5"/>
  <c r="J39" i="21" s="1"/>
  <c r="AQ55" i="5"/>
  <c r="J54" i="21" s="1"/>
  <c r="AQ57" i="5"/>
  <c r="J56" i="21" s="1"/>
  <c r="AQ60" i="5"/>
  <c r="J59" i="21" s="1"/>
  <c r="AQ45" i="8"/>
  <c r="K44" i="21" s="1"/>
  <c r="AQ49" i="8"/>
  <c r="K48" i="21" s="1"/>
  <c r="AQ53" i="8"/>
  <c r="K52" i="21" s="1"/>
  <c r="AQ5" i="19"/>
  <c r="L4" i="21" s="1"/>
  <c r="AQ13" i="19"/>
  <c r="L12" i="21" s="1"/>
  <c r="AQ40" i="19"/>
  <c r="L39" i="21" s="1"/>
  <c r="AQ57" i="19"/>
  <c r="L56" i="21" s="1"/>
  <c r="AQ6" i="22"/>
  <c r="M5" i="21" s="1"/>
  <c r="AQ17" i="22"/>
  <c r="M16" i="21" s="1"/>
  <c r="AQ21" i="22"/>
  <c r="M20" i="21" s="1"/>
  <c r="AQ6" i="7"/>
  <c r="I5" i="21" s="1"/>
  <c r="AQ30" i="7"/>
  <c r="I29" i="21" s="1"/>
  <c r="AQ34" i="7"/>
  <c r="I33" i="21" s="1"/>
  <c r="AQ14" i="2"/>
  <c r="AQ18" i="2"/>
  <c r="E17" i="21" s="1"/>
  <c r="AQ22" i="2"/>
  <c r="E21" i="21" s="1"/>
  <c r="AQ26" i="2"/>
  <c r="E25" i="21" s="1"/>
  <c r="AQ60" i="2"/>
  <c r="E59" i="21" s="1"/>
  <c r="AQ65" i="2"/>
  <c r="E64" i="21" s="1"/>
  <c r="AQ6" i="3"/>
  <c r="F5" i="21" s="1"/>
  <c r="AQ17" i="3"/>
  <c r="F16" i="21" s="1"/>
  <c r="AQ21" i="3"/>
  <c r="F20" i="21" s="1"/>
  <c r="AQ4" i="4"/>
  <c r="AQ10" i="4"/>
  <c r="G9" i="21" s="1"/>
  <c r="AQ48" i="4"/>
  <c r="G47" i="21" s="1"/>
  <c r="AQ52" i="4"/>
  <c r="G51" i="21" s="1"/>
  <c r="AQ65" i="4"/>
  <c r="G64" i="21" s="1"/>
  <c r="AQ10" i="6"/>
  <c r="H9" i="21" s="1"/>
  <c r="AQ14" i="6"/>
  <c r="AQ18" i="6"/>
  <c r="H17" i="21" s="1"/>
  <c r="AQ22" i="6"/>
  <c r="H21" i="21" s="1"/>
  <c r="AQ56" i="6"/>
  <c r="H55" i="21" s="1"/>
  <c r="AQ60" i="6"/>
  <c r="H59" i="21" s="1"/>
  <c r="AQ6" i="5"/>
  <c r="J5" i="21" s="1"/>
  <c r="AQ14" i="5"/>
  <c r="AQ34" i="5"/>
  <c r="J33" i="21" s="1"/>
  <c r="AQ49" i="5"/>
  <c r="J48" i="21" s="1"/>
  <c r="AQ52" i="5"/>
  <c r="J51" i="21" s="1"/>
  <c r="AQ8" i="8"/>
  <c r="K7" i="21" s="1"/>
  <c r="AQ17" i="8"/>
  <c r="K16" i="21" s="1"/>
  <c r="AQ39" i="8"/>
  <c r="K38" i="21" s="1"/>
  <c r="AQ56" i="8"/>
  <c r="K55" i="21" s="1"/>
  <c r="AQ60" i="8"/>
  <c r="K59" i="21" s="1"/>
  <c r="AQ16" i="19"/>
  <c r="L15" i="21" s="1"/>
  <c r="AQ33" i="19"/>
  <c r="L32" i="21" s="1"/>
  <c r="AQ37" i="19"/>
  <c r="L36" i="21" s="1"/>
  <c r="AQ43" i="19"/>
  <c r="L42" i="21" s="1"/>
  <c r="AQ47" i="19"/>
  <c r="L46" i="21" s="1"/>
  <c r="AQ51" i="19"/>
  <c r="L50" i="21" s="1"/>
  <c r="AQ55" i="19"/>
  <c r="L54" i="21" s="1"/>
  <c r="AQ36" i="22"/>
  <c r="M35" i="21" s="1"/>
  <c r="AQ40" i="22"/>
  <c r="M39" i="21" s="1"/>
  <c r="AQ44" i="22"/>
  <c r="M43" i="21" s="1"/>
  <c r="AQ48" i="22"/>
  <c r="M47" i="21" s="1"/>
  <c r="AQ52" i="22"/>
  <c r="M51" i="21" s="1"/>
  <c r="AQ60" i="22"/>
  <c r="M59" i="21" s="1"/>
  <c r="AQ7" i="7"/>
  <c r="I6" i="21" s="1"/>
  <c r="AQ16" i="7"/>
  <c r="I15" i="21" s="1"/>
  <c r="AQ20" i="7"/>
  <c r="I19" i="21" s="1"/>
  <c r="AQ24" i="7"/>
  <c r="I23" i="21" s="1"/>
  <c r="AQ58" i="22"/>
  <c r="M57" i="21" s="1"/>
  <c r="AQ8" i="2"/>
  <c r="E7" i="21" s="1"/>
  <c r="AQ12" i="2"/>
  <c r="E11" i="21" s="1"/>
  <c r="AQ50" i="2"/>
  <c r="E49" i="21" s="1"/>
  <c r="AQ63" i="2"/>
  <c r="E62" i="21" s="1"/>
  <c r="AQ7" i="3"/>
  <c r="F6" i="21" s="1"/>
  <c r="AQ11" i="3"/>
  <c r="F10" i="21" s="1"/>
  <c r="AQ40" i="3"/>
  <c r="F39" i="21" s="1"/>
  <c r="AQ57" i="3"/>
  <c r="F56" i="21" s="1"/>
  <c r="AQ61" i="3"/>
  <c r="F60" i="21" s="1"/>
  <c r="AQ5" i="4"/>
  <c r="G4" i="21" s="1"/>
  <c r="AQ17" i="4"/>
  <c r="G16" i="21" s="1"/>
  <c r="AQ59" i="4"/>
  <c r="G58" i="21" s="1"/>
  <c r="AQ63" i="4"/>
  <c r="G62" i="21" s="1"/>
  <c r="AQ11" i="6"/>
  <c r="H10" i="21" s="1"/>
  <c r="AQ54" i="6"/>
  <c r="H53" i="21" s="1"/>
  <c r="AQ7" i="5"/>
  <c r="J6" i="21" s="1"/>
  <c r="AQ12" i="5"/>
  <c r="J11" i="21" s="1"/>
  <c r="AQ24" i="5"/>
  <c r="J23" i="21" s="1"/>
  <c r="AQ41" i="5"/>
  <c r="J40" i="21" s="1"/>
  <c r="AQ46" i="5"/>
  <c r="J45" i="21" s="1"/>
  <c r="AQ61" i="5"/>
  <c r="J60" i="21" s="1"/>
  <c r="AQ9" i="8"/>
  <c r="K8" i="21" s="1"/>
  <c r="AQ46" i="8"/>
  <c r="K45" i="21" s="1"/>
  <c r="AQ50" i="8"/>
  <c r="K49" i="21" s="1"/>
  <c r="AQ54" i="8"/>
  <c r="K53" i="21" s="1"/>
  <c r="AQ7" i="19"/>
  <c r="L6" i="21" s="1"/>
  <c r="AQ41" i="19"/>
  <c r="L40" i="21" s="1"/>
  <c r="AQ58" i="19"/>
  <c r="L57" i="21" s="1"/>
  <c r="AQ11" i="22"/>
  <c r="M10" i="21" s="1"/>
  <c r="AQ18" i="22"/>
  <c r="M17" i="21" s="1"/>
  <c r="AQ26" i="22"/>
  <c r="M25" i="21" s="1"/>
  <c r="AQ8" i="7"/>
  <c r="I7" i="21" s="1"/>
  <c r="AQ31" i="7"/>
  <c r="I30" i="21" s="1"/>
  <c r="AQ35" i="7"/>
  <c r="I34" i="21" s="1"/>
  <c r="AQ4" i="2"/>
  <c r="AQ15" i="2"/>
  <c r="E14" i="21" s="1"/>
  <c r="AQ23" i="2"/>
  <c r="E22" i="21" s="1"/>
  <c r="AQ27" i="2"/>
  <c r="E26" i="21" s="1"/>
  <c r="AQ61" i="2"/>
  <c r="E60" i="21" s="1"/>
  <c r="AQ14" i="3"/>
  <c r="AQ18" i="3"/>
  <c r="F17" i="21" s="1"/>
  <c r="AQ22" i="3"/>
  <c r="F21" i="21" s="1"/>
  <c r="AQ43" i="3"/>
  <c r="F42" i="21" s="1"/>
  <c r="AQ55" i="3"/>
  <c r="F54" i="21" s="1"/>
  <c r="AQ64" i="3"/>
  <c r="F63" i="21" s="1"/>
  <c r="AQ6" i="4"/>
  <c r="G5" i="21" s="1"/>
  <c r="AQ11" i="4"/>
  <c r="G10" i="21" s="1"/>
  <c r="AQ45" i="4"/>
  <c r="G44" i="21" s="1"/>
  <c r="AQ49" i="4"/>
  <c r="G48" i="21" s="1"/>
  <c r="AQ53" i="4"/>
  <c r="G52" i="21" s="1"/>
  <c r="AQ4" i="6"/>
  <c r="AQ12" i="6"/>
  <c r="H11" i="21" s="1"/>
  <c r="AQ15" i="6"/>
  <c r="H14" i="21" s="1"/>
  <c r="AQ28" i="6"/>
  <c r="AQ57" i="6"/>
  <c r="H56" i="21" s="1"/>
  <c r="AQ61" i="6"/>
  <c r="H60" i="21" s="1"/>
  <c r="AQ13" i="5"/>
  <c r="J12" i="21" s="1"/>
  <c r="AQ15" i="5"/>
  <c r="J14" i="21" s="1"/>
  <c r="AQ18" i="5"/>
  <c r="J17" i="21" s="1"/>
  <c r="AQ35" i="5"/>
  <c r="J34" i="21" s="1"/>
  <c r="AQ53" i="5"/>
  <c r="J52" i="21" s="1"/>
  <c r="AQ58" i="5"/>
  <c r="J57" i="21" s="1"/>
  <c r="AQ10" i="8"/>
  <c r="K9" i="21" s="1"/>
  <c r="AQ14" i="8"/>
  <c r="AQ18" i="8"/>
  <c r="K17" i="21" s="1"/>
  <c r="AQ36" i="8"/>
  <c r="K35" i="21" s="1"/>
  <c r="AQ57" i="8"/>
  <c r="K56" i="21" s="1"/>
  <c r="AQ61" i="8"/>
  <c r="K60" i="21" s="1"/>
  <c r="AQ8" i="19"/>
  <c r="L7" i="21" s="1"/>
  <c r="AQ17" i="19"/>
  <c r="L16" i="21" s="1"/>
  <c r="AQ34" i="19"/>
  <c r="L33" i="21" s="1"/>
  <c r="AQ38" i="19"/>
  <c r="L37" i="21" s="1"/>
  <c r="AQ44" i="19"/>
  <c r="L43" i="21" s="1"/>
  <c r="AQ48" i="19"/>
  <c r="L47" i="21" s="1"/>
  <c r="AQ52" i="19"/>
  <c r="L51" i="21" s="1"/>
  <c r="AQ33" i="22"/>
  <c r="M32" i="21" s="1"/>
  <c r="AQ37" i="22"/>
  <c r="M36" i="21" s="1"/>
  <c r="AQ49" i="22"/>
  <c r="M48" i="21" s="1"/>
  <c r="AQ57" i="22"/>
  <c r="M56" i="21" s="1"/>
  <c r="AQ9" i="7"/>
  <c r="I8" i="21" s="1"/>
  <c r="AQ17" i="7"/>
  <c r="I16" i="21" s="1"/>
  <c r="AQ21" i="7"/>
  <c r="I20" i="21" s="1"/>
  <c r="AQ25" i="7"/>
  <c r="I24" i="21" s="1"/>
  <c r="AQ6" i="6"/>
  <c r="H5" i="21" s="1"/>
  <c r="AQ5" i="2"/>
  <c r="E4" i="21" s="1"/>
  <c r="AQ9" i="2"/>
  <c r="E8" i="21" s="1"/>
  <c r="AQ13" i="2"/>
  <c r="E12" i="21" s="1"/>
  <c r="AQ51" i="2"/>
  <c r="E50" i="21" s="1"/>
  <c r="AQ8" i="3"/>
  <c r="F7" i="21" s="1"/>
  <c r="AQ12" i="3"/>
  <c r="F11" i="21" s="1"/>
  <c r="AQ58" i="3"/>
  <c r="F57" i="21" s="1"/>
  <c r="AQ7" i="4"/>
  <c r="G6" i="21" s="1"/>
  <c r="AQ14" i="4"/>
  <c r="AQ22" i="4"/>
  <c r="G21" i="21" s="1"/>
  <c r="AQ56" i="4"/>
  <c r="G55" i="21" s="1"/>
  <c r="AQ5" i="6"/>
  <c r="H4" i="21" s="1"/>
  <c r="AQ13" i="6"/>
  <c r="H12" i="21" s="1"/>
  <c r="AQ47" i="6"/>
  <c r="H46" i="21" s="1"/>
  <c r="AQ55" i="6"/>
  <c r="H54" i="21" s="1"/>
  <c r="AQ8" i="5"/>
  <c r="J7" i="21" s="1"/>
  <c r="AQ25" i="5"/>
  <c r="J24" i="21" s="1"/>
  <c r="AQ32" i="5"/>
  <c r="J31" i="21" s="1"/>
  <c r="AQ47" i="5"/>
  <c r="J46" i="21" s="1"/>
  <c r="AQ11" i="8"/>
  <c r="K10" i="21" s="1"/>
  <c r="AQ43" i="8"/>
  <c r="K42" i="21" s="1"/>
  <c r="AQ47" i="8"/>
  <c r="K46" i="21" s="1"/>
  <c r="AQ51" i="8"/>
  <c r="K50" i="21" s="1"/>
  <c r="AQ9" i="19"/>
  <c r="L8" i="21" s="1"/>
  <c r="AQ59" i="19"/>
  <c r="L58" i="21" s="1"/>
  <c r="AQ8" i="22"/>
  <c r="M7" i="21" s="1"/>
  <c r="AQ12" i="22"/>
  <c r="M11" i="21" s="1"/>
  <c r="AQ15" i="22"/>
  <c r="M14" i="21" s="1"/>
  <c r="AQ23" i="22"/>
  <c r="M22" i="21" s="1"/>
  <c r="AQ27" i="22"/>
  <c r="M26" i="21" s="1"/>
  <c r="AQ10" i="7"/>
  <c r="I9" i="21" s="1"/>
  <c r="AQ14" i="7"/>
  <c r="AQ28" i="7"/>
  <c r="AQ32" i="7"/>
  <c r="I31" i="21" s="1"/>
  <c r="AQ31" i="2"/>
  <c r="E30" i="21" s="1"/>
  <c r="AO30" i="2"/>
  <c r="AP19" i="4"/>
  <c r="AQ43" i="6"/>
  <c r="H42" i="21" s="1"/>
  <c r="AQ50" i="6"/>
  <c r="H49" i="21" s="1"/>
  <c r="AP53" i="3"/>
  <c r="AQ54" i="3"/>
  <c r="F53" i="21" s="1"/>
  <c r="AT65" i="3"/>
  <c r="AQ50" i="3"/>
  <c r="F49" i="21" s="1"/>
  <c r="AQ51" i="3"/>
  <c r="F50" i="21" s="1"/>
  <c r="AP50" i="3"/>
  <c r="AQ47" i="3"/>
  <c r="F46" i="21" s="1"/>
  <c r="AP47" i="3"/>
  <c r="AQ53" i="6"/>
  <c r="H52" i="21" s="1"/>
  <c r="AP53" i="6"/>
  <c r="AQ52" i="6"/>
  <c r="H51" i="21" s="1"/>
  <c r="AP52" i="6"/>
  <c r="AQ51" i="6"/>
  <c r="H50" i="21" s="1"/>
  <c r="AP50" i="6"/>
  <c r="AQ49" i="6"/>
  <c r="H48" i="21" s="1"/>
  <c r="AP47" i="6"/>
  <c r="AQ46" i="6"/>
  <c r="H45" i="21" s="1"/>
  <c r="AQ58" i="2"/>
  <c r="E57" i="21" s="1"/>
  <c r="AQ57" i="2"/>
  <c r="E56" i="21" s="1"/>
  <c r="AQ56" i="2"/>
  <c r="E55" i="21" s="1"/>
  <c r="AQ54" i="2"/>
  <c r="E53" i="21" s="1"/>
  <c r="AQ53" i="2"/>
  <c r="E52" i="21" s="1"/>
  <c r="AQ52" i="2"/>
  <c r="E51" i="21" s="1"/>
  <c r="AQ49" i="2"/>
  <c r="E48" i="21" s="1"/>
  <c r="AQ48" i="2"/>
  <c r="AQ46" i="2"/>
  <c r="E45" i="21" s="1"/>
  <c r="AP48" i="19"/>
  <c r="AP48" i="22"/>
  <c r="AQ35" i="8"/>
  <c r="K34" i="21" s="1"/>
  <c r="K67" i="8"/>
  <c r="L67" i="8"/>
  <c r="AP45" i="6"/>
  <c r="AQ45" i="6"/>
  <c r="H44" i="21" s="1"/>
  <c r="AQ37" i="4"/>
  <c r="G36" i="21" s="1"/>
  <c r="AP48" i="6"/>
  <c r="AQ48" i="6"/>
  <c r="H47" i="21" s="1"/>
  <c r="AP46" i="19"/>
  <c r="AQ46" i="19"/>
  <c r="L45" i="21" s="1"/>
  <c r="AQ45" i="5"/>
  <c r="J44" i="21" s="1"/>
  <c r="AP47" i="2"/>
  <c r="AQ47" i="2"/>
  <c r="E46" i="21" s="1"/>
  <c r="AP35" i="22"/>
  <c r="AQ43" i="5"/>
  <c r="J42" i="21" s="1"/>
  <c r="AQ42" i="5"/>
  <c r="AP42" i="5"/>
  <c r="AP38" i="5"/>
  <c r="AQ38" i="5"/>
  <c r="J37" i="21" s="1"/>
  <c r="AQ37" i="5"/>
  <c r="J36" i="21" s="1"/>
  <c r="AP36" i="5"/>
  <c r="AP46" i="4"/>
  <c r="AP45" i="4"/>
  <c r="AQ44" i="4"/>
  <c r="G43" i="21" s="1"/>
  <c r="AP44" i="4"/>
  <c r="AP43" i="22"/>
  <c r="AQ41" i="22"/>
  <c r="M40" i="21" s="1"/>
  <c r="AP41" i="22"/>
  <c r="AP34" i="22"/>
  <c r="AQ34" i="22"/>
  <c r="M33" i="21" s="1"/>
  <c r="AP33" i="22"/>
  <c r="AP32" i="22"/>
  <c r="AQ44" i="6"/>
  <c r="AT55" i="6"/>
  <c r="AQ41" i="6"/>
  <c r="H40" i="21" s="1"/>
  <c r="AP41" i="6"/>
  <c r="AP42" i="4"/>
  <c r="AP41" i="4"/>
  <c r="AQ41" i="4"/>
  <c r="G40" i="21" s="1"/>
  <c r="AP38" i="4"/>
  <c r="AQ38" i="4"/>
  <c r="G37" i="21" s="1"/>
  <c r="AP37" i="4"/>
  <c r="AP36" i="4"/>
  <c r="AP39" i="4"/>
  <c r="AQ39" i="4"/>
  <c r="G38" i="21" s="1"/>
  <c r="AP35" i="4"/>
  <c r="AQ35" i="4"/>
  <c r="G34" i="21" s="1"/>
  <c r="AP34" i="4"/>
  <c r="AQ33" i="4"/>
  <c r="G32" i="21" s="1"/>
  <c r="AP42" i="19"/>
  <c r="AQ42" i="19"/>
  <c r="AP39" i="19"/>
  <c r="AP36" i="19"/>
  <c r="AQ36" i="19"/>
  <c r="L35" i="21" s="1"/>
  <c r="AP35" i="19"/>
  <c r="AQ35" i="19"/>
  <c r="L34" i="21" s="1"/>
  <c r="AQ44" i="8"/>
  <c r="K43" i="21" s="1"/>
  <c r="AP42" i="8"/>
  <c r="AQ42" i="8"/>
  <c r="AP41" i="8"/>
  <c r="AP35" i="8"/>
  <c r="AT41" i="8"/>
  <c r="AP46" i="3"/>
  <c r="AQ46" i="3"/>
  <c r="F45" i="21" s="1"/>
  <c r="AQ42" i="3"/>
  <c r="AQ41" i="3"/>
  <c r="F40" i="21" s="1"/>
  <c r="AP39" i="3"/>
  <c r="AQ39" i="3"/>
  <c r="F38" i="21" s="1"/>
  <c r="AP38" i="3"/>
  <c r="AP37" i="3"/>
  <c r="AQ36" i="3"/>
  <c r="F35" i="21" s="1"/>
  <c r="AP35" i="3"/>
  <c r="AQ35" i="3"/>
  <c r="F34" i="21" s="1"/>
  <c r="AQ34" i="3"/>
  <c r="F33" i="21" s="1"/>
  <c r="AP34" i="3"/>
  <c r="AP45" i="2"/>
  <c r="AQ45" i="2"/>
  <c r="E44" i="21" s="1"/>
  <c r="AP44" i="2"/>
  <c r="AQ44" i="2"/>
  <c r="E43" i="21" s="1"/>
  <c r="AQ43" i="2"/>
  <c r="AQ41" i="2"/>
  <c r="E40" i="21" s="1"/>
  <c r="AQ40" i="2"/>
  <c r="E39" i="21" s="1"/>
  <c r="AQ39" i="2"/>
  <c r="E38" i="21" s="1"/>
  <c r="AQ38" i="2"/>
  <c r="E37" i="21" s="1"/>
  <c r="AP39" i="2"/>
  <c r="AQ37" i="2"/>
  <c r="E36" i="21" s="1"/>
  <c r="AP37" i="2"/>
  <c r="AQ36" i="2"/>
  <c r="E35" i="21" s="1"/>
  <c r="A7" i="7"/>
  <c r="B9" i="7"/>
  <c r="A7" i="3"/>
  <c r="B9" i="3"/>
  <c r="B11" i="3" s="1"/>
  <c r="B13" i="3" s="1"/>
  <c r="B15" i="3" s="1"/>
  <c r="B17" i="3" s="1"/>
  <c r="B19" i="3" s="1"/>
  <c r="B21" i="3" s="1"/>
  <c r="B23" i="3" s="1"/>
  <c r="B25" i="3" s="1"/>
  <c r="B27" i="3" s="1"/>
  <c r="B29" i="3" s="1"/>
  <c r="B31" i="3" s="1"/>
  <c r="B33" i="3" s="1"/>
  <c r="B35" i="3" s="1"/>
  <c r="B37" i="3" s="1"/>
  <c r="B39" i="3" s="1"/>
  <c r="B41" i="3" s="1"/>
  <c r="B43" i="3" s="1"/>
  <c r="B45" i="3" s="1"/>
  <c r="B47" i="3" s="1"/>
  <c r="B49" i="3" s="1"/>
  <c r="B51" i="3" s="1"/>
  <c r="B53" i="3" s="1"/>
  <c r="B55" i="3" s="1"/>
  <c r="B57" i="3" s="1"/>
  <c r="B59" i="3" s="1"/>
  <c r="B61" i="3" s="1"/>
  <c r="B63" i="3" s="1"/>
  <c r="B65" i="3" s="1"/>
  <c r="AP21" i="22"/>
  <c r="AP63" i="8"/>
  <c r="AP60" i="8"/>
  <c r="AP53" i="8"/>
  <c r="AP50" i="8"/>
  <c r="AP47" i="8"/>
  <c r="AP44" i="8"/>
  <c r="AP38" i="8"/>
  <c r="AP51" i="3"/>
  <c r="AP63" i="2"/>
  <c r="AP55" i="2"/>
  <c r="AP37" i="5"/>
  <c r="AP44" i="6"/>
  <c r="AP6" i="6"/>
  <c r="AP55" i="4"/>
  <c r="AP33" i="4"/>
  <c r="AP16" i="4"/>
  <c r="AP54" i="3"/>
  <c r="AP21" i="3"/>
  <c r="AQ4" i="22"/>
  <c r="AQ9" i="22"/>
  <c r="M8" i="21" s="1"/>
  <c r="AQ14" i="22"/>
  <c r="M13" i="21" s="1"/>
  <c r="AP38" i="2"/>
  <c r="AT61" i="2"/>
  <c r="AP58" i="2"/>
  <c r="AP10" i="3"/>
  <c r="AT13" i="2"/>
  <c r="AV13" i="2"/>
  <c r="AP18" i="2"/>
  <c r="AV55" i="2"/>
  <c r="AV61" i="2"/>
  <c r="AP60" i="2"/>
  <c r="AP11" i="2"/>
  <c r="AP15" i="2"/>
  <c r="AP53" i="2"/>
  <c r="AP57" i="2"/>
  <c r="AP5" i="2"/>
  <c r="AP13" i="2"/>
  <c r="AP17" i="2"/>
  <c r="AP25" i="2"/>
  <c r="AP36" i="2"/>
  <c r="AP5" i="3"/>
  <c r="AP16" i="3"/>
  <c r="AP19" i="3"/>
  <c r="AT13" i="3"/>
  <c r="AQ15" i="3"/>
  <c r="F14" i="21" s="1"/>
  <c r="AQ33" i="3"/>
  <c r="F32" i="21" s="1"/>
  <c r="AP43" i="3"/>
  <c r="AV13" i="4"/>
  <c r="AV55" i="3"/>
  <c r="AQ52" i="3"/>
  <c r="F51" i="21" s="1"/>
  <c r="AT13" i="4"/>
  <c r="AQ13" i="3"/>
  <c r="F12" i="21" s="1"/>
  <c r="AQ59" i="3"/>
  <c r="F58" i="21" s="1"/>
  <c r="AP45" i="3"/>
  <c r="AQ48" i="3"/>
  <c r="F47" i="21" s="1"/>
  <c r="AP49" i="6"/>
  <c r="AT55" i="4"/>
  <c r="AT13" i="6"/>
  <c r="AP46" i="6"/>
  <c r="AP54" i="6"/>
  <c r="AP59" i="6"/>
  <c r="AP47" i="4"/>
  <c r="AQ61" i="4"/>
  <c r="G60" i="21" s="1"/>
  <c r="AV55" i="6"/>
  <c r="AQ40" i="4"/>
  <c r="G39" i="21" s="1"/>
  <c r="AQ50" i="4"/>
  <c r="G49" i="21" s="1"/>
  <c r="AV55" i="4"/>
  <c r="AQ22" i="5"/>
  <c r="J21" i="21" s="1"/>
  <c r="AT13" i="5"/>
  <c r="AV13" i="5"/>
  <c r="AP10" i="5"/>
  <c r="AP45" i="5"/>
  <c r="AT55" i="5"/>
  <c r="AP52" i="5"/>
  <c r="AT27" i="5"/>
  <c r="AQ39" i="5"/>
  <c r="J38" i="21" s="1"/>
  <c r="AQ9" i="5"/>
  <c r="J8" i="21" s="1"/>
  <c r="AP12" i="5"/>
  <c r="AP21" i="5"/>
  <c r="AQ44" i="5"/>
  <c r="J43" i="21" s="1"/>
  <c r="AP56" i="5"/>
  <c r="AP11" i="5"/>
  <c r="AP15" i="5"/>
  <c r="AP25" i="5"/>
  <c r="AQ33" i="5"/>
  <c r="J32" i="21" s="1"/>
  <c r="AP43" i="5"/>
  <c r="AP50" i="5"/>
  <c r="K67" i="5"/>
  <c r="AT13" i="8"/>
  <c r="AP61" i="5"/>
  <c r="AP62" i="5"/>
  <c r="AP9" i="8"/>
  <c r="AP15" i="8"/>
  <c r="AP18" i="8"/>
  <c r="AQ13" i="8"/>
  <c r="K12" i="21" s="1"/>
  <c r="AQ59" i="5"/>
  <c r="J58" i="21" s="1"/>
  <c r="AV55" i="8"/>
  <c r="AT55" i="8"/>
  <c r="AV13" i="19"/>
  <c r="AT13" i="19"/>
  <c r="AP9" i="19"/>
  <c r="AP36" i="8"/>
  <c r="AP39" i="8"/>
  <c r="AP51" i="8"/>
  <c r="AP54" i="8"/>
  <c r="AP61" i="8"/>
  <c r="AP38" i="19"/>
  <c r="AU13" i="22"/>
  <c r="AP36" i="22"/>
  <c r="AQ25" i="22"/>
  <c r="M24" i="21" s="1"/>
  <c r="AQ53" i="19"/>
  <c r="L52" i="21" s="1"/>
  <c r="AP5" i="22"/>
  <c r="AQ13" i="22"/>
  <c r="M12" i="21" s="1"/>
  <c r="AP62" i="22"/>
  <c r="AV55" i="19"/>
  <c r="AP10" i="22"/>
  <c r="AP7" i="22"/>
  <c r="AP19" i="22"/>
  <c r="AO66" i="7"/>
  <c r="J7" i="1" s="1"/>
  <c r="AT13" i="7"/>
  <c r="AM66" i="7"/>
  <c r="H7" i="1" s="1"/>
  <c r="AV41" i="7"/>
  <c r="AP11" i="7"/>
  <c r="AP29" i="3"/>
  <c r="AQ25" i="3"/>
  <c r="F24" i="21" s="1"/>
  <c r="AQ32" i="19"/>
  <c r="L31" i="21" s="1"/>
  <c r="AQ23" i="6"/>
  <c r="H22" i="21" s="1"/>
  <c r="AQ55" i="8"/>
  <c r="K54" i="21" s="1"/>
  <c r="AP55" i="8"/>
  <c r="AQ40" i="8"/>
  <c r="K39" i="21" s="1"/>
  <c r="AP40" i="8"/>
  <c r="AP37" i="8"/>
  <c r="AQ37" i="8"/>
  <c r="K36" i="21" s="1"/>
  <c r="AQ20" i="6"/>
  <c r="H19" i="21" s="1"/>
  <c r="AP20" i="6"/>
  <c r="AQ54" i="4"/>
  <c r="G53" i="21" s="1"/>
  <c r="AP54" i="4"/>
  <c r="AQ51" i="4"/>
  <c r="G50" i="21" s="1"/>
  <c r="AP51" i="4"/>
  <c r="AQ24" i="4"/>
  <c r="G23" i="21" s="1"/>
  <c r="AP24" i="4"/>
  <c r="AQ21" i="4"/>
  <c r="G20" i="21" s="1"/>
  <c r="AP21" i="4"/>
  <c r="AP15" i="4"/>
  <c r="AQ15" i="4"/>
  <c r="G14" i="21" s="1"/>
  <c r="AP65" i="3"/>
  <c r="AQ65" i="3"/>
  <c r="F64" i="21" s="1"/>
  <c r="AQ61" i="22"/>
  <c r="M60" i="21" s="1"/>
  <c r="AP61" i="22"/>
  <c r="AQ49" i="19"/>
  <c r="L48" i="21" s="1"/>
  <c r="AP49" i="19"/>
  <c r="AP45" i="19"/>
  <c r="AQ45" i="19"/>
  <c r="L44" i="21" s="1"/>
  <c r="AQ11" i="19"/>
  <c r="L10" i="21" s="1"/>
  <c r="AP11" i="19"/>
  <c r="AP10" i="19"/>
  <c r="AQ10" i="19"/>
  <c r="AQ52" i="8"/>
  <c r="K51" i="21" s="1"/>
  <c r="AP52" i="8"/>
  <c r="AQ7" i="8"/>
  <c r="K6" i="21" s="1"/>
  <c r="AP7" i="8"/>
  <c r="AV13" i="8"/>
  <c r="B10" i="8"/>
  <c r="A8" i="8"/>
  <c r="AP5" i="8"/>
  <c r="AQ5" i="8"/>
  <c r="K4" i="21" s="1"/>
  <c r="B11" i="8"/>
  <c r="A9" i="8"/>
  <c r="AQ54" i="5"/>
  <c r="J53" i="21" s="1"/>
  <c r="AP54" i="5"/>
  <c r="AP44" i="3"/>
  <c r="AQ44" i="3"/>
  <c r="F43" i="21" s="1"/>
  <c r="AQ20" i="3"/>
  <c r="F19" i="21" s="1"/>
  <c r="AP20" i="3"/>
  <c r="AP23" i="3"/>
  <c r="AQ23" i="3"/>
  <c r="F22" i="21" s="1"/>
  <c r="AQ36" i="7"/>
  <c r="I35" i="21" s="1"/>
  <c r="I72" i="21" s="1"/>
  <c r="AQ26" i="7"/>
  <c r="I25" i="21" s="1"/>
  <c r="AQ12" i="8"/>
  <c r="K11" i="21" s="1"/>
  <c r="AQ64" i="8"/>
  <c r="K63" i="21" s="1"/>
  <c r="AQ58" i="8"/>
  <c r="K57" i="21" s="1"/>
  <c r="AQ48" i="8"/>
  <c r="K47" i="21" s="1"/>
  <c r="AQ41" i="8"/>
  <c r="K40" i="21" s="1"/>
  <c r="AQ4" i="8"/>
  <c r="K3" i="21" s="1"/>
  <c r="J63" i="21"/>
  <c r="AQ36" i="5"/>
  <c r="J35" i="21" s="1"/>
  <c r="AQ51" i="5"/>
  <c r="J50" i="21" s="1"/>
  <c r="AQ36" i="4"/>
  <c r="G35" i="21" s="1"/>
  <c r="AQ12" i="4"/>
  <c r="G11" i="21" s="1"/>
  <c r="AQ57" i="4"/>
  <c r="G56" i="21" s="1"/>
  <c r="AQ64" i="4"/>
  <c r="G63" i="21" s="1"/>
  <c r="AQ13" i="4"/>
  <c r="G12" i="21" s="1"/>
  <c r="AQ19" i="4"/>
  <c r="G18" i="21" s="1"/>
  <c r="AQ9" i="4"/>
  <c r="G8" i="21" s="1"/>
  <c r="AQ55" i="4"/>
  <c r="G54" i="21" s="1"/>
  <c r="AQ42" i="4"/>
  <c r="G41" i="21" s="1"/>
  <c r="AQ9" i="3"/>
  <c r="F8" i="21" s="1"/>
  <c r="AQ63" i="3"/>
  <c r="F62" i="21" s="1"/>
  <c r="AQ4" i="3"/>
  <c r="F3" i="21" s="1"/>
  <c r="AQ38" i="3"/>
  <c r="F37" i="21" s="1"/>
  <c r="AQ16" i="2"/>
  <c r="E15" i="21" s="1"/>
  <c r="AQ55" i="2"/>
  <c r="E54" i="21" s="1"/>
  <c r="AQ35" i="2"/>
  <c r="E34" i="21" s="1"/>
  <c r="AQ34" i="2"/>
  <c r="E33" i="21" s="1"/>
  <c r="AP35" i="2"/>
  <c r="AP34" i="2"/>
  <c r="AM66" i="2"/>
  <c r="H3" i="1" s="1"/>
  <c r="AT41" i="2"/>
  <c r="AQ33" i="2"/>
  <c r="E32" i="21" s="1"/>
  <c r="AP33" i="2"/>
  <c r="AQ32" i="2"/>
  <c r="E31" i="21" s="1"/>
  <c r="AQ39" i="6"/>
  <c r="H38" i="21" s="1"/>
  <c r="AP39" i="6"/>
  <c r="AP38" i="6"/>
  <c r="AQ37" i="6"/>
  <c r="H36" i="21" s="1"/>
  <c r="AP37" i="6"/>
  <c r="AQ36" i="6"/>
  <c r="H35" i="21" s="1"/>
  <c r="AP36" i="6"/>
  <c r="AQ34" i="6"/>
  <c r="H33" i="21" s="1"/>
  <c r="AP34" i="6"/>
  <c r="AP33" i="6"/>
  <c r="AQ32" i="22"/>
  <c r="M31" i="21" s="1"/>
  <c r="AQ20" i="2"/>
  <c r="E19" i="21" s="1"/>
  <c r="AP21" i="2"/>
  <c r="AQ29" i="2"/>
  <c r="E28" i="21" s="1"/>
  <c r="AP23" i="4"/>
  <c r="AQ18" i="4"/>
  <c r="G17" i="21" s="1"/>
  <c r="AQ25" i="4"/>
  <c r="G24" i="21" s="1"/>
  <c r="AQ19" i="6"/>
  <c r="H18" i="21" s="1"/>
  <c r="AQ21" i="5"/>
  <c r="J20" i="21" s="1"/>
  <c r="AP21" i="19"/>
  <c r="AQ22" i="22"/>
  <c r="M21" i="21" s="1"/>
  <c r="AQ19" i="22"/>
  <c r="M18" i="21" s="1"/>
  <c r="AQ10" i="22"/>
  <c r="M9" i="21" s="1"/>
  <c r="AP17" i="22"/>
  <c r="AP14" i="22"/>
  <c r="AQ7" i="22"/>
  <c r="M6" i="21" s="1"/>
  <c r="AP15" i="22"/>
  <c r="AP9" i="22"/>
  <c r="AP13" i="22"/>
  <c r="AW13" i="22"/>
  <c r="AP16" i="22"/>
  <c r="AQ5" i="22"/>
  <c r="M4" i="21" s="1"/>
  <c r="AP8" i="22"/>
  <c r="AM66" i="22"/>
  <c r="H11" i="1" s="1"/>
  <c r="AQ16" i="22"/>
  <c r="M15" i="21" s="1"/>
  <c r="AP35" i="6"/>
  <c r="AQ35" i="6"/>
  <c r="H34" i="21" s="1"/>
  <c r="AQ23" i="19"/>
  <c r="L22" i="21" s="1"/>
  <c r="AU13" i="7"/>
  <c r="AP11" i="22"/>
  <c r="AP16" i="5"/>
  <c r="AP12" i="8"/>
  <c r="AP7" i="5"/>
  <c r="B13" i="6"/>
  <c r="A11" i="6"/>
  <c r="AP49" i="3"/>
  <c r="AU61" i="2"/>
  <c r="AP48" i="2"/>
  <c r="AV13" i="7"/>
  <c r="AQ11" i="7"/>
  <c r="I10" i="21" s="1"/>
  <c r="AQ15" i="8"/>
  <c r="K14" i="21" s="1"/>
  <c r="AP39" i="5"/>
  <c r="AP33" i="5"/>
  <c r="AP42" i="6"/>
  <c r="AU55" i="6"/>
  <c r="AP61" i="4"/>
  <c r="AP40" i="4"/>
  <c r="AP51" i="6"/>
  <c r="AP13" i="4"/>
  <c r="AP60" i="3"/>
  <c r="AP40" i="3"/>
  <c r="AP33" i="3"/>
  <c r="AQ37" i="3"/>
  <c r="F36" i="21" s="1"/>
  <c r="AP40" i="2"/>
  <c r="AU13" i="2"/>
  <c r="AQ6" i="19"/>
  <c r="L5" i="21" s="1"/>
  <c r="AQ23" i="8"/>
  <c r="K22" i="21" s="1"/>
  <c r="AQ18" i="7"/>
  <c r="I17" i="21" s="1"/>
  <c r="AP54" i="22"/>
  <c r="AP11" i="8"/>
  <c r="AP13" i="8"/>
  <c r="AP55" i="5"/>
  <c r="AP9" i="5"/>
  <c r="AP17" i="5"/>
  <c r="AP40" i="5"/>
  <c r="AT55" i="3"/>
  <c r="AP11" i="3"/>
  <c r="AQ19" i="3"/>
  <c r="F18" i="21" s="1"/>
  <c r="AV13" i="3"/>
  <c r="AP54" i="2"/>
  <c r="AQ50" i="22"/>
  <c r="M49" i="21" s="1"/>
  <c r="AU41" i="7"/>
  <c r="AP25" i="7"/>
  <c r="AP26" i="22"/>
  <c r="AP38" i="22"/>
  <c r="AP15" i="19"/>
  <c r="AU55" i="19"/>
  <c r="B13" i="8"/>
  <c r="A11" i="8"/>
  <c r="AP34" i="5"/>
  <c r="AU55" i="5"/>
  <c r="AQ46" i="4"/>
  <c r="G45" i="21" s="1"/>
  <c r="AP50" i="4"/>
  <c r="AP22" i="6"/>
  <c r="AP48" i="3"/>
  <c r="AQ62" i="3"/>
  <c r="F61" i="21" s="1"/>
  <c r="AP13" i="3"/>
  <c r="AP57" i="3"/>
  <c r="AQ53" i="3"/>
  <c r="F52" i="21" s="1"/>
  <c r="AP22" i="3"/>
  <c r="AQ16" i="3"/>
  <c r="F15" i="21" s="1"/>
  <c r="AP22" i="7"/>
  <c r="AU27" i="7"/>
  <c r="AP14" i="7"/>
  <c r="AP18" i="22"/>
  <c r="AP53" i="19"/>
  <c r="AT55" i="19"/>
  <c r="AQ62" i="5"/>
  <c r="J61" i="21" s="1"/>
  <c r="AP35" i="5"/>
  <c r="AV55" i="5"/>
  <c r="AQ43" i="4"/>
  <c r="AQ47" i="4"/>
  <c r="G46" i="21" s="1"/>
  <c r="AQ23" i="4"/>
  <c r="G22" i="21" s="1"/>
  <c r="AQ45" i="3"/>
  <c r="F44" i="21" s="1"/>
  <c r="AP59" i="3"/>
  <c r="AP36" i="3"/>
  <c r="AP15" i="3"/>
  <c r="AP8" i="3"/>
  <c r="AP51" i="2"/>
  <c r="AP9" i="2"/>
  <c r="AQ22" i="19"/>
  <c r="L21" i="21" s="1"/>
  <c r="AT27" i="7"/>
  <c r="AP8" i="7"/>
  <c r="AV27" i="7"/>
  <c r="AP49" i="5"/>
  <c r="A10" i="6"/>
  <c r="B12" i="6"/>
  <c r="AP43" i="6"/>
  <c r="AP6" i="4"/>
  <c r="AP23" i="2"/>
  <c r="AP32" i="2"/>
  <c r="AP46" i="2"/>
  <c r="AP19" i="7"/>
  <c r="A10" i="7"/>
  <c r="B12" i="7"/>
  <c r="AP22" i="22"/>
  <c r="AP46" i="22"/>
  <c r="AP25" i="22"/>
  <c r="A10" i="19"/>
  <c r="B12" i="19"/>
  <c r="AU55" i="8"/>
  <c r="AP59" i="5"/>
  <c r="AU13" i="19"/>
  <c r="AQ62" i="8"/>
  <c r="K61" i="21" s="1"/>
  <c r="AU13" i="8"/>
  <c r="AQ56" i="5"/>
  <c r="J55" i="21" s="1"/>
  <c r="AP22" i="5"/>
  <c r="AQ60" i="4"/>
  <c r="G59" i="21" s="1"/>
  <c r="AP14" i="6"/>
  <c r="AP43" i="4"/>
  <c r="AP10" i="4"/>
  <c r="AU65" i="3"/>
  <c r="AP52" i="3"/>
  <c r="AU13" i="6"/>
  <c r="AU13" i="3"/>
  <c r="AP42" i="2"/>
  <c r="AU55" i="2"/>
  <c r="AP62" i="2"/>
  <c r="AT55" i="2"/>
  <c r="AP34" i="7"/>
  <c r="AN66" i="7"/>
  <c r="I7" i="1" s="1"/>
  <c r="M7" i="1" s="1"/>
  <c r="N7" i="1" s="1"/>
  <c r="B11" i="19"/>
  <c r="A9" i="19"/>
  <c r="AP44" i="5"/>
  <c r="AQ16" i="5"/>
  <c r="J15" i="21" s="1"/>
  <c r="AQ50" i="5"/>
  <c r="J49" i="21" s="1"/>
  <c r="AU13" i="5"/>
  <c r="AP40" i="6"/>
  <c r="AP42" i="3"/>
  <c r="AU55" i="3"/>
  <c r="AV65" i="3"/>
  <c r="AU55" i="4"/>
  <c r="AQ49" i="3"/>
  <c r="F48" i="21" s="1"/>
  <c r="AT27" i="2"/>
  <c r="AP43" i="2"/>
  <c r="AQ32" i="8"/>
  <c r="K31" i="21" s="1"/>
  <c r="AQ29" i="8"/>
  <c r="K28" i="21" s="1"/>
  <c r="AP29" i="8"/>
  <c r="AQ28" i="8"/>
  <c r="AP28" i="8"/>
  <c r="AP27" i="8"/>
  <c r="AQ27" i="8"/>
  <c r="K26" i="21" s="1"/>
  <c r="AM66" i="8"/>
  <c r="H9" i="1" s="1"/>
  <c r="AT27" i="8"/>
  <c r="AP25" i="8"/>
  <c r="AQ25" i="8"/>
  <c r="K24" i="21" s="1"/>
  <c r="AQ24" i="8"/>
  <c r="K23" i="21" s="1"/>
  <c r="AP24" i="8"/>
  <c r="AP23" i="8"/>
  <c r="AP22" i="8"/>
  <c r="AQ22" i="8"/>
  <c r="K21" i="21" s="1"/>
  <c r="AM66" i="4"/>
  <c r="H5" i="1" s="1"/>
  <c r="AT41" i="4"/>
  <c r="AP28" i="4"/>
  <c r="AP29" i="4"/>
  <c r="AQ29" i="4"/>
  <c r="G28" i="21" s="1"/>
  <c r="AQ28" i="4"/>
  <c r="G27" i="21" s="1"/>
  <c r="AV27" i="4"/>
  <c r="AP27" i="4"/>
  <c r="AQ27" i="4"/>
  <c r="G26" i="21" s="1"/>
  <c r="AQ26" i="4"/>
  <c r="G25" i="21" s="1"/>
  <c r="AP26" i="4"/>
  <c r="AU27" i="4"/>
  <c r="AQ30" i="4"/>
  <c r="G29" i="21" s="1"/>
  <c r="AP30" i="4"/>
  <c r="AP32" i="3"/>
  <c r="AQ32" i="3"/>
  <c r="F31" i="21" s="1"/>
  <c r="AQ31" i="3"/>
  <c r="F30" i="21" s="1"/>
  <c r="AP31" i="3"/>
  <c r="AQ29" i="3"/>
  <c r="F28" i="21" s="1"/>
  <c r="AV41" i="3"/>
  <c r="AT41" i="3"/>
  <c r="AQ27" i="3"/>
  <c r="F26" i="21" s="1"/>
  <c r="AP28" i="3"/>
  <c r="AQ28" i="3"/>
  <c r="F27" i="21" s="1"/>
  <c r="AP27" i="3"/>
  <c r="AT27" i="3"/>
  <c r="AP26" i="3"/>
  <c r="AQ26" i="3"/>
  <c r="F25" i="21" s="1"/>
  <c r="AM66" i="3"/>
  <c r="H4" i="1" s="1"/>
  <c r="AP25" i="3"/>
  <c r="AP24" i="3"/>
  <c r="AU27" i="3"/>
  <c r="AV27" i="3"/>
  <c r="AO66" i="3"/>
  <c r="J4" i="1" s="1"/>
  <c r="AQ24" i="3"/>
  <c r="F23" i="21" s="1"/>
  <c r="K67" i="3"/>
  <c r="L67" i="3"/>
  <c r="AQ32" i="6"/>
  <c r="H31" i="21" s="1"/>
  <c r="AP32" i="6"/>
  <c r="AQ31" i="5"/>
  <c r="J30" i="21" s="1"/>
  <c r="AP31" i="5"/>
  <c r="AQ30" i="5"/>
  <c r="J29" i="21" s="1"/>
  <c r="AP30" i="5"/>
  <c r="AT41" i="5"/>
  <c r="AP28" i="5"/>
  <c r="AQ28" i="5"/>
  <c r="J27" i="21" s="1"/>
  <c r="AP27" i="5"/>
  <c r="AQ27" i="5"/>
  <c r="J26" i="21" s="1"/>
  <c r="AQ26" i="5"/>
  <c r="J25" i="21" s="1"/>
  <c r="AP26" i="5"/>
  <c r="AP32" i="19"/>
  <c r="AQ31" i="19"/>
  <c r="L30" i="21" s="1"/>
  <c r="AT41" i="19"/>
  <c r="AP31" i="19"/>
  <c r="AP30" i="19"/>
  <c r="AP29" i="19"/>
  <c r="AQ30" i="19"/>
  <c r="L29" i="21" s="1"/>
  <c r="AV41" i="19"/>
  <c r="AQ29" i="19"/>
  <c r="L28" i="21" s="1"/>
  <c r="AU41" i="19"/>
  <c r="AQ28" i="19"/>
  <c r="AP28" i="19"/>
  <c r="AP27" i="19"/>
  <c r="AP25" i="19"/>
  <c r="AQ25" i="19"/>
  <c r="L24" i="21" s="1"/>
  <c r="AQ24" i="19"/>
  <c r="L23" i="21" s="1"/>
  <c r="AP24" i="19"/>
  <c r="AP23" i="19"/>
  <c r="AP22" i="19"/>
  <c r="AQ21" i="19"/>
  <c r="L20" i="21" s="1"/>
  <c r="AT27" i="19"/>
  <c r="AQ20" i="19"/>
  <c r="L19" i="21" s="1"/>
  <c r="AP20" i="19"/>
  <c r="AV27" i="19"/>
  <c r="AP19" i="19"/>
  <c r="AQ19" i="19"/>
  <c r="L18" i="21" s="1"/>
  <c r="AU27" i="19"/>
  <c r="AP18" i="19"/>
  <c r="AQ18" i="19"/>
  <c r="L17" i="21" s="1"/>
  <c r="AP23" i="6"/>
  <c r="AQ31" i="6"/>
  <c r="H30" i="21" s="1"/>
  <c r="AP31" i="6"/>
  <c r="AQ30" i="6"/>
  <c r="H29" i="21" s="1"/>
  <c r="AP30" i="6"/>
  <c r="AQ29" i="6"/>
  <c r="H28" i="21" s="1"/>
  <c r="AT41" i="6"/>
  <c r="AP29" i="6"/>
  <c r="AV41" i="6"/>
  <c r="AU41" i="6"/>
  <c r="AP28" i="6"/>
  <c r="AP26" i="6"/>
  <c r="AQ26" i="6"/>
  <c r="H25" i="21" s="1"/>
  <c r="AM66" i="6"/>
  <c r="H6" i="1" s="1"/>
  <c r="AQ25" i="6"/>
  <c r="H24" i="21" s="1"/>
  <c r="AP25" i="6"/>
  <c r="AT27" i="6"/>
  <c r="AP24" i="6"/>
  <c r="AQ24" i="6"/>
  <c r="H23" i="21" s="1"/>
  <c r="AP30" i="22"/>
  <c r="AP29" i="22"/>
  <c r="AQ29" i="22"/>
  <c r="M28" i="21" s="1"/>
  <c r="AP28" i="22"/>
  <c r="AQ28" i="22"/>
  <c r="M27" i="21" s="1"/>
  <c r="AP32" i="4"/>
  <c r="AQ32" i="4"/>
  <c r="G31" i="21" s="1"/>
  <c r="K67" i="4"/>
  <c r="L67" i="4"/>
  <c r="H27" i="21"/>
  <c r="H3" i="21"/>
  <c r="F13" i="21"/>
  <c r="H41" i="21"/>
  <c r="G3" i="21"/>
  <c r="AQ66" i="7"/>
  <c r="AW13" i="7"/>
  <c r="I3" i="21"/>
  <c r="I13" i="21"/>
  <c r="AW27" i="7"/>
  <c r="I27" i="21"/>
  <c r="I70" i="21" s="1"/>
  <c r="AW41" i="7"/>
  <c r="AP31" i="2"/>
  <c r="AP29" i="2"/>
  <c r="AU41" i="2"/>
  <c r="AP28" i="2"/>
  <c r="AQ28" i="2"/>
  <c r="E27" i="21" s="1"/>
  <c r="I71" i="21" l="1"/>
  <c r="L9" i="21"/>
  <c r="AW13" i="19"/>
  <c r="AO66" i="5"/>
  <c r="J8" i="1" s="1"/>
  <c r="AN66" i="5"/>
  <c r="I8" i="1" s="1"/>
  <c r="J64" i="21"/>
  <c r="G73" i="21"/>
  <c r="AQ56" i="22"/>
  <c r="M55" i="21" s="1"/>
  <c r="M73" i="21"/>
  <c r="E41" i="21"/>
  <c r="AP45" i="22"/>
  <c r="AQ45" i="22"/>
  <c r="M44" i="21" s="1"/>
  <c r="AV41" i="4"/>
  <c r="AO66" i="4"/>
  <c r="J5" i="1" s="1"/>
  <c r="AU41" i="4"/>
  <c r="AP31" i="4"/>
  <c r="AQ31" i="4"/>
  <c r="G30" i="21" s="1"/>
  <c r="AQ27" i="19"/>
  <c r="L26" i="21" s="1"/>
  <c r="AP26" i="19"/>
  <c r="AQ26" i="19"/>
  <c r="L25" i="21" s="1"/>
  <c r="AP30" i="3"/>
  <c r="AQ30" i="3"/>
  <c r="F29" i="21" s="1"/>
  <c r="AU41" i="3"/>
  <c r="AN66" i="3"/>
  <c r="I4" i="1" s="1"/>
  <c r="AU41" i="8"/>
  <c r="AP31" i="8"/>
  <c r="AQ31" i="8"/>
  <c r="K30" i="21" s="1"/>
  <c r="AV41" i="8"/>
  <c r="AQ30" i="8"/>
  <c r="K29" i="21" s="1"/>
  <c r="AP30" i="8"/>
  <c r="AO66" i="6"/>
  <c r="J6" i="1" s="1"/>
  <c r="AV27" i="6"/>
  <c r="AU27" i="6"/>
  <c r="AN66" i="6"/>
  <c r="I6" i="1" s="1"/>
  <c r="AP27" i="6"/>
  <c r="AP30" i="2"/>
  <c r="AQ30" i="2"/>
  <c r="E29" i="21" s="1"/>
  <c r="AP26" i="2"/>
  <c r="AN66" i="8"/>
  <c r="I9" i="1" s="1"/>
  <c r="AU27" i="8"/>
  <c r="AP26" i="8"/>
  <c r="AQ31" i="22"/>
  <c r="M30" i="21" s="1"/>
  <c r="AV41" i="5"/>
  <c r="AU41" i="5"/>
  <c r="AQ29" i="5"/>
  <c r="AP29" i="5"/>
  <c r="AQ26" i="8"/>
  <c r="K25" i="21" s="1"/>
  <c r="H13" i="21"/>
  <c r="H70" i="21" s="1"/>
  <c r="G13" i="21"/>
  <c r="AQ24" i="2"/>
  <c r="E23" i="21" s="1"/>
  <c r="AU27" i="2"/>
  <c r="AN66" i="2"/>
  <c r="I3" i="1" s="1"/>
  <c r="AO66" i="2"/>
  <c r="J3" i="1" s="1"/>
  <c r="AP19" i="2"/>
  <c r="AV27" i="2"/>
  <c r="AQ19" i="2"/>
  <c r="E18" i="21" s="1"/>
  <c r="E13" i="21"/>
  <c r="AP20" i="5"/>
  <c r="AV27" i="5"/>
  <c r="AU27" i="5"/>
  <c r="J13" i="21"/>
  <c r="AQ20" i="22"/>
  <c r="M19" i="21" s="1"/>
  <c r="AP21" i="8"/>
  <c r="AO66" i="8"/>
  <c r="J9" i="1" s="1"/>
  <c r="AV27" i="8"/>
  <c r="K13" i="21"/>
  <c r="E3" i="21"/>
  <c r="AQ8" i="4"/>
  <c r="AU13" i="4"/>
  <c r="AN66" i="4"/>
  <c r="I5" i="1" s="1"/>
  <c r="M3" i="21"/>
  <c r="F69" i="21"/>
  <c r="AW13" i="3"/>
  <c r="AW13" i="6"/>
  <c r="AP6" i="22"/>
  <c r="AV13" i="22"/>
  <c r="AW13" i="2"/>
  <c r="J4" i="21"/>
  <c r="AW13" i="5"/>
  <c r="K69" i="21"/>
  <c r="AW13" i="8"/>
  <c r="AP20" i="22"/>
  <c r="AP31" i="22"/>
  <c r="AX13" i="22"/>
  <c r="AP33" i="8"/>
  <c r="AQ27" i="6"/>
  <c r="H26" i="21" s="1"/>
  <c r="AV41" i="2"/>
  <c r="F73" i="21"/>
  <c r="E73" i="21"/>
  <c r="AO66" i="22"/>
  <c r="J11" i="1" s="1"/>
  <c r="AN66" i="22"/>
  <c r="I11" i="1" s="1"/>
  <c r="H73" i="21"/>
  <c r="J73" i="21"/>
  <c r="K73" i="21"/>
  <c r="AQ53" i="22"/>
  <c r="M52" i="21" s="1"/>
  <c r="AP53" i="22"/>
  <c r="AW65" i="3"/>
  <c r="AW61" i="2"/>
  <c r="E47" i="21"/>
  <c r="AW55" i="5"/>
  <c r="J41" i="21"/>
  <c r="H43" i="21"/>
  <c r="H65" i="21" s="1"/>
  <c r="AW55" i="6"/>
  <c r="H71" i="21"/>
  <c r="G42" i="21"/>
  <c r="AW55" i="4"/>
  <c r="AW55" i="19"/>
  <c r="L41" i="21"/>
  <c r="K41" i="21"/>
  <c r="AW55" i="8"/>
  <c r="AW55" i="3"/>
  <c r="F41" i="21"/>
  <c r="E42" i="21"/>
  <c r="AW55" i="2"/>
  <c r="E71" i="21"/>
  <c r="A9" i="7"/>
  <c r="B11" i="7"/>
  <c r="A10" i="8"/>
  <c r="B12" i="8"/>
  <c r="B14" i="7"/>
  <c r="B16" i="7" s="1"/>
  <c r="B18" i="7" s="1"/>
  <c r="B20" i="7" s="1"/>
  <c r="B22" i="7" s="1"/>
  <c r="B24" i="7" s="1"/>
  <c r="B26" i="7" s="1"/>
  <c r="B28" i="7" s="1"/>
  <c r="B30" i="7" s="1"/>
  <c r="B32" i="7" s="1"/>
  <c r="B34" i="7" s="1"/>
  <c r="B36" i="7" s="1"/>
  <c r="B38" i="7" s="1"/>
  <c r="B40" i="7" s="1"/>
  <c r="B42" i="7" s="1"/>
  <c r="B44" i="7" s="1"/>
  <c r="B46" i="7" s="1"/>
  <c r="B48" i="7" s="1"/>
  <c r="B50" i="7" s="1"/>
  <c r="B52" i="7" s="1"/>
  <c r="B54" i="7" s="1"/>
  <c r="B56" i="7" s="1"/>
  <c r="B58" i="7" s="1"/>
  <c r="B60" i="7" s="1"/>
  <c r="B62" i="7" s="1"/>
  <c r="B64" i="7" s="1"/>
  <c r="A12" i="7"/>
  <c r="B14" i="6"/>
  <c r="B16" i="6" s="1"/>
  <c r="B18" i="6" s="1"/>
  <c r="B20" i="6" s="1"/>
  <c r="B22" i="6" s="1"/>
  <c r="B24" i="6" s="1"/>
  <c r="B26" i="6" s="1"/>
  <c r="B28" i="6" s="1"/>
  <c r="B30" i="6" s="1"/>
  <c r="B32" i="6" s="1"/>
  <c r="B34" i="6" s="1"/>
  <c r="B36" i="6" s="1"/>
  <c r="B38" i="6" s="1"/>
  <c r="B40" i="6" s="1"/>
  <c r="B42" i="6" s="1"/>
  <c r="B44" i="6" s="1"/>
  <c r="B46" i="6" s="1"/>
  <c r="B48" i="6" s="1"/>
  <c r="B50" i="6" s="1"/>
  <c r="B52" i="6" s="1"/>
  <c r="B54" i="6" s="1"/>
  <c r="B56" i="6" s="1"/>
  <c r="B58" i="6" s="1"/>
  <c r="B60" i="6" s="1"/>
  <c r="B62" i="6" s="1"/>
  <c r="B64" i="6" s="1"/>
  <c r="A12" i="6"/>
  <c r="B14" i="19"/>
  <c r="B16" i="19" s="1"/>
  <c r="B18" i="19" s="1"/>
  <c r="B20" i="19" s="1"/>
  <c r="B22" i="19" s="1"/>
  <c r="B24" i="19" s="1"/>
  <c r="B26" i="19" s="1"/>
  <c r="B28" i="19" s="1"/>
  <c r="B30" i="19" s="1"/>
  <c r="B32" i="19" s="1"/>
  <c r="B34" i="19" s="1"/>
  <c r="B36" i="19" s="1"/>
  <c r="B38" i="19" s="1"/>
  <c r="B40" i="19" s="1"/>
  <c r="B42" i="19" s="1"/>
  <c r="B44" i="19" s="1"/>
  <c r="B46" i="19" s="1"/>
  <c r="B48" i="19" s="1"/>
  <c r="B50" i="19" s="1"/>
  <c r="B52" i="19" s="1"/>
  <c r="B54" i="19" s="1"/>
  <c r="B56" i="19" s="1"/>
  <c r="B58" i="19" s="1"/>
  <c r="B60" i="19" s="1"/>
  <c r="B62" i="19" s="1"/>
  <c r="B64" i="19" s="1"/>
  <c r="A12" i="19"/>
  <c r="A13" i="6"/>
  <c r="B15" i="6"/>
  <c r="B17" i="6" s="1"/>
  <c r="B19" i="6" s="1"/>
  <c r="B21" i="6" s="1"/>
  <c r="B23" i="6" s="1"/>
  <c r="B25" i="6" s="1"/>
  <c r="B27" i="6" s="1"/>
  <c r="B29" i="6" s="1"/>
  <c r="B31" i="6" s="1"/>
  <c r="B33" i="6" s="1"/>
  <c r="B35" i="6" s="1"/>
  <c r="B37" i="6" s="1"/>
  <c r="B39" i="6" s="1"/>
  <c r="B41" i="6" s="1"/>
  <c r="B43" i="6" s="1"/>
  <c r="B45" i="6" s="1"/>
  <c r="B47" i="6" s="1"/>
  <c r="B49" i="6" s="1"/>
  <c r="B51" i="6" s="1"/>
  <c r="B53" i="6" s="1"/>
  <c r="B55" i="6" s="1"/>
  <c r="B57" i="6" s="1"/>
  <c r="B59" i="6" s="1"/>
  <c r="B61" i="6" s="1"/>
  <c r="B63" i="6" s="1"/>
  <c r="B65" i="6" s="1"/>
  <c r="B15" i="8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13" i="8"/>
  <c r="A11" i="19"/>
  <c r="B13" i="19"/>
  <c r="K27" i="21"/>
  <c r="AW27" i="4"/>
  <c r="F70" i="21"/>
  <c r="AW27" i="3"/>
  <c r="AW27" i="5"/>
  <c r="AW41" i="19"/>
  <c r="L27" i="21"/>
  <c r="L70" i="21"/>
  <c r="AW41" i="6"/>
  <c r="L69" i="21"/>
  <c r="I65" i="21"/>
  <c r="I69" i="21"/>
  <c r="I75" i="21" s="1"/>
  <c r="H69" i="21"/>
  <c r="J28" i="21" l="1"/>
  <c r="J71" i="21" s="1"/>
  <c r="AQ66" i="5"/>
  <c r="M72" i="21"/>
  <c r="J72" i="21"/>
  <c r="L72" i="21"/>
  <c r="H72" i="21"/>
  <c r="H75" i="21" s="1"/>
  <c r="G72" i="21"/>
  <c r="E72" i="21"/>
  <c r="G71" i="21"/>
  <c r="AW41" i="4"/>
  <c r="AW27" i="19"/>
  <c r="L71" i="21"/>
  <c r="F71" i="21"/>
  <c r="F65" i="21"/>
  <c r="AW41" i="3"/>
  <c r="AQ66" i="3"/>
  <c r="M4" i="1"/>
  <c r="N4" i="1" s="1"/>
  <c r="AW41" i="8"/>
  <c r="AQ66" i="6"/>
  <c r="M6" i="1"/>
  <c r="N6" i="1" s="1"/>
  <c r="AW27" i="6"/>
  <c r="AW41" i="2"/>
  <c r="M71" i="21"/>
  <c r="AW41" i="5"/>
  <c r="AQ66" i="8"/>
  <c r="AW27" i="8"/>
  <c r="J65" i="21"/>
  <c r="F72" i="21"/>
  <c r="M3" i="1"/>
  <c r="AQ66" i="2"/>
  <c r="AW27" i="2"/>
  <c r="E70" i="21"/>
  <c r="M8" i="1"/>
  <c r="N8" i="1" s="1"/>
  <c r="J70" i="21"/>
  <c r="M70" i="21"/>
  <c r="M9" i="1"/>
  <c r="N9" i="1" s="1"/>
  <c r="K70" i="21"/>
  <c r="E69" i="21"/>
  <c r="AW13" i="4"/>
  <c r="G7" i="21"/>
  <c r="G70" i="21" s="1"/>
  <c r="M5" i="1"/>
  <c r="N5" i="1" s="1"/>
  <c r="AQ66" i="4"/>
  <c r="M69" i="21"/>
  <c r="J69" i="21"/>
  <c r="K71" i="21"/>
  <c r="K72" i="21"/>
  <c r="M11" i="1"/>
  <c r="N11" i="1" s="1"/>
  <c r="AQ66" i="22"/>
  <c r="M65" i="21"/>
  <c r="E65" i="21"/>
  <c r="K65" i="21"/>
  <c r="B13" i="7"/>
  <c r="A11" i="7"/>
  <c r="B14" i="8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12" i="8"/>
  <c r="B15" i="19"/>
  <c r="B17" i="19" s="1"/>
  <c r="B19" i="19" s="1"/>
  <c r="B21" i="19" s="1"/>
  <c r="B23" i="19" s="1"/>
  <c r="B25" i="19" s="1"/>
  <c r="B27" i="19" s="1"/>
  <c r="B29" i="19" s="1"/>
  <c r="B31" i="19" s="1"/>
  <c r="B33" i="19" s="1"/>
  <c r="B35" i="19" s="1"/>
  <c r="B37" i="19" s="1"/>
  <c r="B39" i="19" s="1"/>
  <c r="B41" i="19" s="1"/>
  <c r="B43" i="19" s="1"/>
  <c r="B45" i="19" s="1"/>
  <c r="B47" i="19" s="1"/>
  <c r="B49" i="19" s="1"/>
  <c r="B51" i="19" s="1"/>
  <c r="B53" i="19" s="1"/>
  <c r="B55" i="19" s="1"/>
  <c r="B57" i="19" s="1"/>
  <c r="B59" i="19" s="1"/>
  <c r="B61" i="19" s="1"/>
  <c r="B63" i="19" s="1"/>
  <c r="B65" i="19" s="1"/>
  <c r="A13" i="19"/>
  <c r="F75" i="21" l="1"/>
  <c r="E75" i="21"/>
  <c r="M75" i="21"/>
  <c r="K75" i="21"/>
  <c r="J75" i="21"/>
  <c r="N3" i="1"/>
  <c r="G65" i="21"/>
  <c r="G69" i="21"/>
  <c r="G75" i="21" s="1"/>
  <c r="B15" i="7"/>
  <c r="B17" i="7" s="1"/>
  <c r="B19" i="7" s="1"/>
  <c r="B21" i="7" s="1"/>
  <c r="B23" i="7" s="1"/>
  <c r="B25" i="7" s="1"/>
  <c r="B27" i="7" s="1"/>
  <c r="B29" i="7" s="1"/>
  <c r="B31" i="7" s="1"/>
  <c r="B33" i="7" s="1"/>
  <c r="B35" i="7" s="1"/>
  <c r="B37" i="7" s="1"/>
  <c r="B39" i="7" s="1"/>
  <c r="B41" i="7" s="1"/>
  <c r="B43" i="7" s="1"/>
  <c r="B45" i="7" s="1"/>
  <c r="B47" i="7" s="1"/>
  <c r="B49" i="7" s="1"/>
  <c r="B51" i="7" s="1"/>
  <c r="B53" i="7" s="1"/>
  <c r="B55" i="7" s="1"/>
  <c r="B57" i="7" s="1"/>
  <c r="B59" i="7" s="1"/>
  <c r="B61" i="7" s="1"/>
  <c r="B63" i="7" s="1"/>
  <c r="B65" i="7" s="1"/>
  <c r="A13" i="7"/>
  <c r="I60" i="19" l="1"/>
  <c r="J66" i="19"/>
  <c r="I65" i="19"/>
  <c r="T65" i="19"/>
  <c r="S65" i="19"/>
  <c r="R65" i="19"/>
  <c r="I64" i="19"/>
  <c r="AR64" i="19"/>
  <c r="T64" i="19"/>
  <c r="S64" i="19"/>
  <c r="R64" i="19"/>
  <c r="AM64" i="19"/>
  <c r="I63" i="19"/>
  <c r="T63" i="19"/>
  <c r="S63" i="19"/>
  <c r="R63" i="19"/>
  <c r="I62" i="19"/>
  <c r="T62" i="19"/>
  <c r="S62" i="19"/>
  <c r="R62" i="19"/>
  <c r="AR62" i="19"/>
  <c r="I61" i="19"/>
  <c r="T61" i="19"/>
  <c r="AO61" i="19" s="1"/>
  <c r="S61" i="19"/>
  <c r="AN61" i="19" s="1"/>
  <c r="S60" i="19"/>
  <c r="AN60" i="19" s="1"/>
  <c r="R60" i="19"/>
  <c r="R61" i="19"/>
  <c r="T60" i="19"/>
  <c r="AO60" i="19"/>
  <c r="AR65" i="19"/>
  <c r="AR63" i="19"/>
  <c r="AR61" i="19"/>
  <c r="AM60" i="19"/>
  <c r="AR60" i="19"/>
  <c r="AQ61" i="19" l="1"/>
  <c r="L60" i="21" s="1"/>
  <c r="AQ60" i="19"/>
  <c r="L59" i="21" s="1"/>
  <c r="K66" i="19"/>
  <c r="AM61" i="19"/>
  <c r="AO64" i="19"/>
  <c r="AP60" i="19"/>
  <c r="AN64" i="19"/>
  <c r="AM65" i="19"/>
  <c r="AO65" i="19"/>
  <c r="AN65" i="19"/>
  <c r="AO63" i="19"/>
  <c r="AN63" i="19"/>
  <c r="G10" i="1"/>
  <c r="G12" i="1" s="1"/>
  <c r="AO62" i="19"/>
  <c r="AM63" i="19"/>
  <c r="AM62" i="19"/>
  <c r="AN62" i="19"/>
  <c r="J67" i="19"/>
  <c r="AP61" i="19"/>
  <c r="L66" i="19"/>
  <c r="AM66" i="19" l="1"/>
  <c r="AQ64" i="19"/>
  <c r="L63" i="21" s="1"/>
  <c r="AP64" i="19"/>
  <c r="AQ65" i="19"/>
  <c r="L64" i="21" s="1"/>
  <c r="AP65" i="19"/>
  <c r="AP63" i="19"/>
  <c r="AQ63" i="19"/>
  <c r="L62" i="21" s="1"/>
  <c r="AN66" i="19"/>
  <c r="I10" i="1" s="1"/>
  <c r="AQ62" i="19"/>
  <c r="AP62" i="19"/>
  <c r="K67" i="19"/>
  <c r="L67" i="19"/>
  <c r="AO66" i="19"/>
  <c r="J10" i="1" s="1"/>
  <c r="J12" i="1" s="1"/>
  <c r="H10" i="1" l="1"/>
  <c r="H12" i="1" s="1"/>
  <c r="I12" i="1"/>
  <c r="M10" i="1"/>
  <c r="AQ66" i="19"/>
  <c r="L61" i="21"/>
  <c r="M12" i="1" l="1"/>
  <c r="N12" i="1" s="1"/>
  <c r="N10" i="1"/>
  <c r="L65" i="21"/>
  <c r="L73" i="21"/>
  <c r="L75" i="21" s="1"/>
</calcChain>
</file>

<file path=xl/sharedStrings.xml><?xml version="1.0" encoding="utf-8"?>
<sst xmlns="http://schemas.openxmlformats.org/spreadsheetml/2006/main" count="4903" uniqueCount="146">
  <si>
    <t>JH</t>
  </si>
  <si>
    <t>SP RMC</t>
  </si>
  <si>
    <t>2001</t>
  </si>
  <si>
    <t>Itki</t>
  </si>
  <si>
    <t>2002</t>
  </si>
  <si>
    <t>Pali</t>
  </si>
  <si>
    <t>2003</t>
  </si>
  <si>
    <t>Hisri Thakurgaon</t>
  </si>
  <si>
    <t>2004</t>
  </si>
  <si>
    <t>Choreya</t>
  </si>
  <si>
    <t>2005</t>
  </si>
  <si>
    <t>Baski</t>
  </si>
  <si>
    <t>2006</t>
  </si>
  <si>
    <t>Ormanjhi Rmc</t>
  </si>
  <si>
    <t>2007</t>
  </si>
  <si>
    <t>Piragutu Rmc</t>
  </si>
  <si>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</si>
  <si>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</si>
  <si>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</si>
  <si>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</si>
  <si>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</si>
  <si>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</si>
  <si>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</si>
  <si>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</si>
  <si>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FAT Rate</t>
  </si>
  <si>
    <t>SNF Rate</t>
  </si>
  <si>
    <t>Amount</t>
  </si>
  <si>
    <t>Loss/gain per Kg</t>
  </si>
  <si>
    <t>Remarks</t>
  </si>
  <si>
    <t>Jharkhand Total</t>
  </si>
  <si>
    <t>Itki Rmc</t>
  </si>
  <si>
    <t>Date</t>
  </si>
  <si>
    <t>Shift</t>
  </si>
  <si>
    <t>OB</t>
  </si>
  <si>
    <t>Milk from MPG in Ltr</t>
  </si>
  <si>
    <t>Transfer from other BMC/RMC</t>
  </si>
  <si>
    <t>Total Milk Receipt in Kg</t>
  </si>
  <si>
    <t>Tanker Dispatch Details</t>
  </si>
  <si>
    <t>Plant Receipt</t>
  </si>
  <si>
    <t>CB</t>
  </si>
  <si>
    <t>Loss/(Gain)</t>
  </si>
  <si>
    <t xml:space="preserve"> Qty KG</t>
  </si>
  <si>
    <t>Fat%</t>
  </si>
  <si>
    <t>Snf%</t>
  </si>
  <si>
    <t>FAT Kg</t>
  </si>
  <si>
    <t>Qty Ltr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</si>
  <si>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</si>
  <si>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</si>
  <si>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</si>
  <si>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</si>
  <si>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</si>
  <si>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</si>
  <si>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</si>
  <si>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</si>
  <si>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M</t>
  </si>
  <si>
    <t>E</t>
  </si>
  <si>
    <t>Paali Rmc</t>
  </si>
  <si>
    <t>Hisri Rmc</t>
  </si>
  <si>
    <t>Choreya Rmc</t>
  </si>
  <si>
    <t>Baski-2 Rmc</t>
  </si>
  <si>
    <t>Vol</t>
  </si>
  <si>
    <t>Tanker Ch</t>
  </si>
  <si>
    <t>Qty (Kg)</t>
  </si>
  <si>
    <t>BMC Details</t>
  </si>
  <si>
    <t>Milk Receipt</t>
  </si>
  <si>
    <t>Milk Dispatch</t>
  </si>
  <si>
    <t>FINAL TANKER DISPATCH</t>
  </si>
  <si>
    <t>Position</t>
  </si>
  <si>
    <t>Dispatch time</t>
  </si>
  <si>
    <t>Challan No</t>
  </si>
  <si>
    <t>Qty kg</t>
  </si>
  <si>
    <t>Fat Kg</t>
  </si>
  <si>
    <t>Snf Kg</t>
  </si>
  <si>
    <t>Single</t>
  </si>
  <si>
    <t>Cow Milk</t>
  </si>
  <si>
    <t xml:space="preserve">Rear </t>
  </si>
  <si>
    <t xml:space="preserve">Front </t>
  </si>
  <si>
    <t>Front</t>
  </si>
  <si>
    <t>2008</t>
  </si>
  <si>
    <t xml:space="preserve"> </t>
  </si>
  <si>
    <t>Bhandra Rmc</t>
  </si>
  <si>
    <t>.</t>
  </si>
  <si>
    <t>Gain</t>
  </si>
  <si>
    <t>Loss</t>
  </si>
  <si>
    <t>Total</t>
  </si>
  <si>
    <t>Cycle</t>
  </si>
  <si>
    <t>Grand Total</t>
  </si>
  <si>
    <t>Chanho Rmc</t>
  </si>
  <si>
    <t>Chanho</t>
  </si>
  <si>
    <t>2009</t>
  </si>
  <si>
    <t>0974</t>
  </si>
  <si>
    <t>Piragutu</t>
  </si>
  <si>
    <t>Hisri</t>
  </si>
  <si>
    <t>RMC wise Dispatch</t>
  </si>
  <si>
    <t xml:space="preserve">RMC wise Receipt </t>
  </si>
  <si>
    <t>Tanker Receipt at Plant</t>
  </si>
  <si>
    <t>Round Off</t>
  </si>
  <si>
    <t>Tanker No.</t>
  </si>
  <si>
    <t>Chamber</t>
  </si>
  <si>
    <t>RMC Code</t>
  </si>
  <si>
    <t>RMC Name</t>
  </si>
  <si>
    <t>Vol-Kg</t>
  </si>
  <si>
    <t>FAT%</t>
  </si>
  <si>
    <t>SNF%</t>
  </si>
  <si>
    <t>C</t>
  </si>
  <si>
    <t>Choria</t>
  </si>
  <si>
    <t>Baski2</t>
  </si>
  <si>
    <t>Ormanjhi</t>
  </si>
  <si>
    <t>Bhandra</t>
  </si>
  <si>
    <t>Rear</t>
  </si>
  <si>
    <t>1023</t>
  </si>
  <si>
    <t>70314</t>
  </si>
  <si>
    <t>70312</t>
  </si>
  <si>
    <t>70348</t>
  </si>
  <si>
    <t>Kuru</t>
  </si>
  <si>
    <t>Disp</t>
  </si>
  <si>
    <t>Rcv</t>
  </si>
  <si>
    <t>H</t>
  </si>
  <si>
    <t>Chorya</t>
  </si>
  <si>
    <t>jh01fy5236</t>
  </si>
  <si>
    <t>no8466967r</t>
  </si>
  <si>
    <t xml:space="preserve">                                           </t>
  </si>
  <si>
    <t>Chemist Name</t>
  </si>
  <si>
    <t>5 M</t>
  </si>
  <si>
    <t xml:space="preserve">Itki </t>
  </si>
  <si>
    <t>18E</t>
  </si>
  <si>
    <t>5E</t>
  </si>
  <si>
    <t>6 M</t>
  </si>
  <si>
    <t>72491</t>
  </si>
  <si>
    <t>19M</t>
  </si>
  <si>
    <t>Extra</t>
  </si>
  <si>
    <t>1-2July</t>
  </si>
  <si>
    <t>3-9 July</t>
  </si>
  <si>
    <t>10-16July</t>
  </si>
  <si>
    <t>17-23July</t>
  </si>
  <si>
    <t>24-30 July</t>
  </si>
  <si>
    <t>31-31 July</t>
  </si>
  <si>
    <t>9944</t>
  </si>
  <si>
    <t>8504</t>
  </si>
  <si>
    <t>80150</t>
  </si>
  <si>
    <t>Amit Kr. Singh</t>
  </si>
  <si>
    <t>Mahesh</t>
  </si>
  <si>
    <t>80149</t>
  </si>
  <si>
    <t xml:space="preserve">Deepak </t>
  </si>
  <si>
    <t>Report till updated  02 July</t>
  </si>
  <si>
    <t>Report till updated  30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</si>
</sst>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0;\(0\)"/>
    <numFmt numFmtId="165" formatCode="0.00;\(0.00\)"/>
    <numFmt numFmtId="166" formatCode="[$-409]d/mmm/yy;@"/>
    <numFmt numFmtId="167" formatCode="0.0"/>
    <numFmt numFmtId="168" formatCode="_(* #,##0.0_);_(* \(#,##0.0\);_(* &quot;-&quot;??_);_(@_)"/>
    <numFmt numFmtId="169" formatCode="0.0%"/>
    <numFmt numFmtId="170" formatCode="_(* #,##0_);_(* \(#,##0\);_(* &quot;-&quot;??_);_(@_)"/>
    <numFmt numFmtId="171" formatCode="[$-F400]h:mm:ss\ AM/PM"/>
    <numFmt numFmtId="172" formatCode="[$-409]d\-mmm\-yy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 tint="-4.992828150273141E-2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2">
    <xf numFmtId="0" fontId="0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3" fillId="0" borderId="0"/>
    <xf numFmtId="0" fontId="13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3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03">
    <xf numFmtId="0" fontId="0" fillId="0" borderId="0" xfId="0"/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top"/>
    </xf>
    <xf numFmtId="0" fontId="0" fillId="6" borderId="3" xfId="0" applyFill="1" applyBorder="1" applyAlignment="1">
      <alignment horizontal="center" vertical="top"/>
    </xf>
    <xf numFmtId="0" fontId="0" fillId="6" borderId="4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6" fillId="6" borderId="3" xfId="0" applyFont="1" applyFill="1" applyBorder="1" applyAlignment="1">
      <alignment horizontal="center" vertical="top"/>
    </xf>
    <xf numFmtId="166" fontId="0" fillId="6" borderId="4" xfId="0" applyNumberForma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2" fontId="0" fillId="7" borderId="1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67" fontId="0" fillId="8" borderId="4" xfId="0" applyNumberFormat="1" applyFill="1" applyBorder="1" applyAlignment="1" applyProtection="1">
      <alignment horizontal="center" vertical="center" wrapText="1"/>
      <protection locked="0"/>
    </xf>
    <xf numFmtId="167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1" fontId="0" fillId="8" borderId="1" xfId="0" applyNumberFormat="1" applyFill="1" applyBorder="1" applyAlignment="1" applyProtection="1">
      <alignment horizontal="center" vertical="center"/>
      <protection locked="0"/>
    </xf>
    <xf numFmtId="2" fontId="0" fillId="8" borderId="3" xfId="0" applyNumberFormat="1" applyFill="1" applyBorder="1" applyAlignment="1" applyProtection="1">
      <alignment horizontal="center" vertical="center"/>
      <protection locked="0"/>
    </xf>
    <xf numFmtId="168" fontId="0" fillId="0" borderId="5" xfId="2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1" fontId="0" fillId="9" borderId="1" xfId="0" applyNumberFormat="1" applyFill="1" applyBorder="1" applyAlignment="1" applyProtection="1">
      <alignment horizontal="center" vertical="center"/>
      <protection locked="0"/>
    </xf>
    <xf numFmtId="2" fontId="0" fillId="9" borderId="1" xfId="0" applyNumberFormat="1" applyFill="1" applyBorder="1" applyAlignment="1" applyProtection="1">
      <alignment horizontal="center" vertical="center"/>
      <protection locked="0"/>
    </xf>
    <xf numFmtId="2" fontId="0" fillId="10" borderId="4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1" fontId="0" fillId="0" borderId="4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 vertical="center"/>
    </xf>
    <xf numFmtId="167" fontId="1" fillId="0" borderId="4" xfId="0" applyNumberFormat="1" applyFont="1" applyBorder="1"/>
    <xf numFmtId="167" fontId="1" fillId="0" borderId="1" xfId="0" applyNumberFormat="1" applyFont="1" applyBorder="1"/>
    <xf numFmtId="169" fontId="0" fillId="0" borderId="1" xfId="1" applyNumberFormat="1" applyFont="1" applyBorder="1" applyAlignment="1">
      <alignment horizontal="right"/>
    </xf>
    <xf numFmtId="170" fontId="1" fillId="0" borderId="3" xfId="3" applyNumberFormat="1" applyFont="1" applyBorder="1"/>
    <xf numFmtId="1" fontId="0" fillId="0" borderId="0" xfId="0" applyNumberFormat="1"/>
    <xf numFmtId="1" fontId="0" fillId="0" borderId="1" xfId="0" applyNumberForma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168" fontId="0" fillId="0" borderId="5" xfId="3" applyNumberFormat="1" applyFont="1" applyBorder="1" applyAlignment="1">
      <alignment horizontal="center" vertical="center"/>
    </xf>
    <xf numFmtId="167" fontId="0" fillId="0" borderId="4" xfId="0" applyNumberFormat="1" applyBorder="1"/>
    <xf numFmtId="170" fontId="0" fillId="0" borderId="0" xfId="0" applyNumberFormat="1"/>
    <xf numFmtId="2" fontId="0" fillId="11" borderId="1" xfId="0" applyNumberFormat="1" applyFill="1" applyBorder="1" applyAlignment="1" applyProtection="1">
      <alignment horizontal="center" vertical="center"/>
      <protection locked="0"/>
    </xf>
    <xf numFmtId="1" fontId="0" fillId="11" borderId="0" xfId="0" applyNumberFormat="1" applyFill="1"/>
    <xf numFmtId="167" fontId="0" fillId="0" borderId="0" xfId="0" applyNumberFormat="1" applyAlignment="1">
      <alignment horizontal="center"/>
    </xf>
    <xf numFmtId="1" fontId="0" fillId="0" borderId="7" xfId="0" applyNumberFormat="1" applyBorder="1"/>
    <xf numFmtId="49" fontId="0" fillId="11" borderId="1" xfId="0" applyNumberFormat="1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70" fontId="1" fillId="0" borderId="1" xfId="3" applyNumberFormat="1" applyFont="1" applyBorder="1"/>
    <xf numFmtId="168" fontId="0" fillId="0" borderId="1" xfId="3" applyNumberFormat="1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1" fillId="12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2" fontId="1" fillId="6" borderId="6" xfId="0" applyNumberFormat="1" applyFont="1" applyFill="1" applyBorder="1" applyAlignment="1">
      <alignment horizontal="center" vertical="center"/>
    </xf>
    <xf numFmtId="2" fontId="1" fillId="13" borderId="8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1" fillId="12" borderId="1" xfId="0" applyNumberFormat="1" applyFont="1" applyFill="1" applyBorder="1" applyAlignment="1">
      <alignment horizontal="center" vertical="center" wrapText="1"/>
    </xf>
    <xf numFmtId="171" fontId="1" fillId="12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2" fontId="1" fillId="13" borderId="1" xfId="0" applyNumberFormat="1" applyFont="1" applyFill="1" applyBorder="1" applyAlignment="1">
      <alignment vertical="center"/>
    </xf>
    <xf numFmtId="0" fontId="1" fillId="13" borderId="1" xfId="0" applyFont="1" applyFill="1" applyBorder="1" applyAlignment="1">
      <alignment vertical="center" wrapText="1"/>
    </xf>
    <xf numFmtId="167" fontId="1" fillId="13" borderId="1" xfId="0" applyNumberFormat="1" applyFont="1" applyFill="1" applyBorder="1" applyAlignment="1">
      <alignment horizontal="center" vertical="center"/>
    </xf>
    <xf numFmtId="2" fontId="1" fillId="13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 wrapText="1"/>
    </xf>
    <xf numFmtId="2" fontId="10" fillId="11" borderId="1" xfId="0" applyNumberFormat="1" applyFont="1" applyFill="1" applyBorder="1" applyAlignment="1">
      <alignment vertical="center"/>
    </xf>
    <xf numFmtId="14" fontId="11" fillId="12" borderId="1" xfId="0" applyNumberFormat="1" applyFont="1" applyFill="1" applyBorder="1" applyAlignment="1">
      <alignment horizontal="left" vertical="top"/>
    </xf>
    <xf numFmtId="2" fontId="12" fillId="12" borderId="1" xfId="0" applyNumberFormat="1" applyFont="1" applyFill="1" applyBorder="1" applyAlignment="1">
      <alignment horizontal="center" vertical="center"/>
    </xf>
    <xf numFmtId="18" fontId="0" fillId="12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7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vertical="center"/>
    </xf>
    <xf numFmtId="2" fontId="0" fillId="6" borderId="1" xfId="0" applyNumberForma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167" fontId="6" fillId="11" borderId="1" xfId="0" applyNumberFormat="1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49" fontId="0" fillId="0" borderId="0" xfId="0" applyNumberFormat="1"/>
    <xf numFmtId="2" fontId="1" fillId="13" borderId="1" xfId="0" applyNumberFormat="1" applyFont="1" applyFill="1" applyBorder="1" applyAlignment="1">
      <alignment horizontal="left" vertical="center"/>
    </xf>
    <xf numFmtId="0" fontId="0" fillId="12" borderId="0" xfId="0" applyFill="1"/>
    <xf numFmtId="2" fontId="0" fillId="13" borderId="1" xfId="0" applyNumberFormat="1" applyFill="1" applyBorder="1" applyAlignment="1">
      <alignment horizontal="left" vertical="center"/>
    </xf>
    <xf numFmtId="165" fontId="2" fillId="5" borderId="9" xfId="0" applyNumberFormat="1" applyFon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8" borderId="1" xfId="0" quotePrefix="1" applyFill="1" applyBorder="1" applyAlignment="1" applyProtection="1">
      <alignment horizontal="center" vertical="center"/>
      <protection locked="0"/>
    </xf>
    <xf numFmtId="49" fontId="0" fillId="13" borderId="1" xfId="0" quotePrefix="1" applyNumberFormat="1" applyFill="1" applyBorder="1" applyAlignment="1">
      <alignment horizontal="center" vertical="center"/>
    </xf>
    <xf numFmtId="0" fontId="1" fillId="13" borderId="1" xfId="0" applyFont="1" applyFill="1" applyBorder="1"/>
    <xf numFmtId="0" fontId="0" fillId="0" borderId="1" xfId="0" applyBorder="1" applyAlignment="1">
      <alignment horizontal="center"/>
    </xf>
    <xf numFmtId="1" fontId="0" fillId="10" borderId="1" xfId="0" applyNumberFormat="1" applyFill="1" applyBorder="1" applyAlignment="1" applyProtection="1">
      <alignment horizontal="center" vertical="center"/>
      <protection locked="0"/>
    </xf>
    <xf numFmtId="2" fontId="0" fillId="10" borderId="1" xfId="0" applyNumberForma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166" fontId="3" fillId="14" borderId="10" xfId="0" applyNumberFormat="1" applyFont="1" applyFill="1" applyBorder="1" applyAlignment="1">
      <alignment horizontal="left" vertical="top"/>
    </xf>
    <xf numFmtId="0" fontId="3" fillId="14" borderId="10" xfId="0" applyFont="1" applyFill="1" applyBorder="1" applyAlignment="1">
      <alignment horizontal="center" vertical="top"/>
    </xf>
    <xf numFmtId="1" fontId="14" fillId="0" borderId="10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0" fontId="3" fillId="14" borderId="10" xfId="0" applyFont="1" applyFill="1" applyBorder="1" applyAlignment="1">
      <alignment vertical="center"/>
    </xf>
    <xf numFmtId="0" fontId="3" fillId="14" borderId="10" xfId="0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/>
    </xf>
    <xf numFmtId="166" fontId="2" fillId="14" borderId="10" xfId="0" applyNumberFormat="1" applyFont="1" applyFill="1" applyBorder="1" applyAlignment="1">
      <alignment horizontal="left" vertical="top"/>
    </xf>
    <xf numFmtId="0" fontId="2" fillId="14" borderId="10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1" fontId="14" fillId="0" borderId="10" xfId="0" applyNumberFormat="1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15" borderId="4" xfId="0" applyNumberForma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0" fontId="0" fillId="8" borderId="5" xfId="0" quotePrefix="1" applyFill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0" fontId="0" fillId="16" borderId="1" xfId="0" applyFill="1" applyBorder="1" applyAlignment="1">
      <alignment horizontal="center"/>
    </xf>
    <xf numFmtId="167" fontId="0" fillId="17" borderId="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 applyProtection="1">
      <alignment horizontal="center" vertical="center"/>
      <protection locked="0"/>
    </xf>
    <xf numFmtId="2" fontId="0" fillId="17" borderId="3" xfId="0" applyNumberFormat="1" applyFill="1" applyBorder="1" applyAlignment="1" applyProtection="1">
      <alignment horizontal="center" vertical="center"/>
      <protection locked="0"/>
    </xf>
    <xf numFmtId="1" fontId="0" fillId="17" borderId="1" xfId="0" applyNumberFormat="1" applyFill="1" applyBorder="1" applyAlignment="1" applyProtection="1">
      <alignment horizontal="center" vertical="center"/>
      <protection locked="0"/>
    </xf>
    <xf numFmtId="1" fontId="0" fillId="6" borderId="1" xfId="0" applyNumberFormat="1" applyFill="1" applyBorder="1" applyAlignment="1" applyProtection="1">
      <alignment horizontal="center" vertical="center"/>
      <protection locked="0"/>
    </xf>
    <xf numFmtId="2" fontId="0" fillId="6" borderId="1" xfId="0" applyNumberFormat="1" applyFill="1" applyBorder="1" applyAlignment="1" applyProtection="1">
      <alignment horizontal="center" vertical="center"/>
      <protection locked="0"/>
    </xf>
    <xf numFmtId="1" fontId="0" fillId="18" borderId="1" xfId="0" applyNumberFormat="1" applyFill="1" applyBorder="1" applyAlignment="1" applyProtection="1">
      <alignment horizontal="center" vertical="center"/>
      <protection locked="0"/>
    </xf>
    <xf numFmtId="2" fontId="0" fillId="18" borderId="1" xfId="0" applyNumberFormat="1" applyFill="1" applyBorder="1" applyAlignment="1" applyProtection="1">
      <alignment horizontal="center" vertical="center"/>
      <protection locked="0"/>
    </xf>
    <xf numFmtId="0" fontId="0" fillId="19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1" fontId="0" fillId="15" borderId="1" xfId="0" applyNumberFormat="1" applyFill="1" applyBorder="1" applyAlignment="1" applyProtection="1">
      <alignment horizontal="center" vertical="center"/>
      <protection locked="0"/>
    </xf>
    <xf numFmtId="2" fontId="0" fillId="15" borderId="1" xfId="0" applyNumberForma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 vertical="center"/>
    </xf>
    <xf numFmtId="0" fontId="0" fillId="6" borderId="0" xfId="0" applyFill="1"/>
    <xf numFmtId="4" fontId="0" fillId="15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7" borderId="5" xfId="0" applyFill="1" applyBorder="1" applyAlignment="1" applyProtection="1">
      <alignment horizontal="center" vertical="center"/>
      <protection locked="0"/>
    </xf>
    <xf numFmtId="4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locked="0"/>
    </xf>
    <xf numFmtId="0" fontId="3" fillId="14" borderId="0" xfId="0" applyFont="1" applyFill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6" borderId="5" xfId="0" applyFill="1" applyBorder="1" applyAlignment="1" applyProtection="1">
      <alignment horizontal="center" vertical="center"/>
      <protection locked="0"/>
    </xf>
    <xf numFmtId="1" fontId="0" fillId="13" borderId="1" xfId="0" applyNumberFormat="1" applyFill="1" applyBorder="1" applyAlignment="1" applyProtection="1">
      <alignment horizontal="center" vertical="center"/>
      <protection locked="0"/>
    </xf>
    <xf numFmtId="2" fontId="0" fillId="13" borderId="1" xfId="0" applyNumberFormat="1" applyFill="1" applyBorder="1" applyAlignment="1" applyProtection="1">
      <alignment horizontal="center" vertical="center"/>
      <protection locked="0"/>
    </xf>
    <xf numFmtId="2" fontId="0" fillId="13" borderId="3" xfId="0" applyNumberFormat="1" applyFill="1" applyBorder="1" applyAlignment="1" applyProtection="1">
      <alignment horizontal="center" vertical="center"/>
      <protection locked="0"/>
    </xf>
    <xf numFmtId="0" fontId="3" fillId="6" borderId="11" xfId="0" applyFont="1" applyFill="1" applyBorder="1"/>
    <xf numFmtId="0" fontId="3" fillId="0" borderId="7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/>
    <xf numFmtId="0" fontId="5" fillId="6" borderId="1" xfId="0" applyFont="1" applyFill="1" applyBorder="1" applyAlignment="1">
      <alignment horizontal="center" vertical="center" wrapText="1"/>
    </xf>
    <xf numFmtId="167" fontId="5" fillId="6" borderId="4" xfId="2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167" fontId="5" fillId="20" borderId="4" xfId="2" applyNumberFormat="1" applyFont="1" applyFill="1" applyBorder="1" applyAlignment="1">
      <alignment horizontal="center" vertical="center" wrapText="1"/>
    </xf>
    <xf numFmtId="0" fontId="3" fillId="11" borderId="0" xfId="0" applyFont="1" applyFill="1"/>
    <xf numFmtId="0" fontId="2" fillId="21" borderId="0" xfId="0" applyFont="1" applyFill="1"/>
    <xf numFmtId="0" fontId="3" fillId="0" borderId="0" xfId="0" quotePrefix="1" applyFont="1"/>
    <xf numFmtId="0" fontId="3" fillId="0" borderId="1" xfId="0" applyFont="1" applyBorder="1"/>
    <xf numFmtId="167" fontId="3" fillId="0" borderId="1" xfId="0" applyNumberFormat="1" applyFont="1" applyBorder="1"/>
    <xf numFmtId="167" fontId="3" fillId="0" borderId="3" xfId="0" applyNumberFormat="1" applyFont="1" applyBorder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167" fontId="5" fillId="20" borderId="12" xfId="2" applyNumberFormat="1" applyFont="1" applyFill="1" applyBorder="1" applyAlignment="1">
      <alignment horizontal="center" vertical="center" wrapText="1"/>
    </xf>
    <xf numFmtId="167" fontId="5" fillId="20" borderId="0" xfId="2" applyNumberFormat="1" applyFont="1" applyFill="1" applyBorder="1" applyAlignment="1">
      <alignment horizontal="center" vertical="center" wrapText="1"/>
    </xf>
    <xf numFmtId="0" fontId="5" fillId="20" borderId="13" xfId="0" applyFont="1" applyFill="1" applyBorder="1" applyAlignment="1">
      <alignment horizontal="center" vertical="center" wrapText="1"/>
    </xf>
    <xf numFmtId="0" fontId="5" fillId="20" borderId="14" xfId="0" applyFont="1" applyFill="1" applyBorder="1" applyAlignment="1">
      <alignment horizontal="center" vertical="center" wrapText="1"/>
    </xf>
    <xf numFmtId="1" fontId="9" fillId="17" borderId="1" xfId="0" applyNumberFormat="1" applyFont="1" applyFill="1" applyBorder="1" applyAlignment="1" applyProtection="1">
      <alignment horizontal="center" vertical="center"/>
      <protection locked="0"/>
    </xf>
    <xf numFmtId="2" fontId="9" fillId="17" borderId="1" xfId="0" applyNumberFormat="1" applyFont="1" applyFill="1" applyBorder="1" applyAlignment="1" applyProtection="1">
      <alignment horizontal="center" vertical="center"/>
      <protection locked="0"/>
    </xf>
    <xf numFmtId="2" fontId="9" fillId="17" borderId="3" xfId="0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5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6" fontId="3" fillId="0" borderId="17" xfId="0" applyNumberFormat="1" applyFont="1" applyBorder="1" applyAlignment="1">
      <alignment horizontal="center" vertical="center"/>
    </xf>
    <xf numFmtId="0" fontId="3" fillId="0" borderId="17" xfId="0" applyFon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6" xfId="0" applyFont="1" applyBorder="1"/>
    <xf numFmtId="167" fontId="3" fillId="0" borderId="4" xfId="0" applyNumberFormat="1" applyFont="1" applyBorder="1"/>
    <xf numFmtId="2" fontId="3" fillId="0" borderId="1" xfId="0" applyNumberFormat="1" applyFont="1" applyBorder="1"/>
    <xf numFmtId="2" fontId="19" fillId="0" borderId="1" xfId="0" applyNumberFormat="1" applyFont="1" applyBorder="1" applyAlignment="1">
      <alignment horizontal="center"/>
    </xf>
    <xf numFmtId="167" fontId="3" fillId="0" borderId="6" xfId="0" applyNumberFormat="1" applyFont="1" applyBorder="1"/>
    <xf numFmtId="0" fontId="2" fillId="0" borderId="1" xfId="0" applyFont="1" applyBorder="1" applyAlignment="1">
      <alignment horizontal="center" vertical="center"/>
    </xf>
    <xf numFmtId="0" fontId="3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67" fontId="3" fillId="0" borderId="19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3" fillId="0" borderId="7" xfId="0" applyNumberFormat="1" applyFont="1" applyBorder="1"/>
    <xf numFmtId="1" fontId="9" fillId="0" borderId="1" xfId="0" applyNumberFormat="1" applyFont="1" applyBorder="1" applyAlignment="1" applyProtection="1">
      <alignment horizontal="center" vertical="center"/>
      <protection locked="0"/>
    </xf>
    <xf numFmtId="2" fontId="9" fillId="0" borderId="1" xfId="0" applyNumberFormat="1" applyFont="1" applyBorder="1" applyAlignment="1" applyProtection="1">
      <alignment horizontal="center" vertical="center"/>
      <protection locked="0"/>
    </xf>
    <xf numFmtId="20" fontId="11" fillId="12" borderId="1" xfId="0" applyNumberFormat="1" applyFont="1" applyFill="1" applyBorder="1" applyAlignment="1">
      <alignment horizontal="left" vertical="top"/>
    </xf>
    <xf numFmtId="0" fontId="3" fillId="0" borderId="7" xfId="0" quotePrefix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4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17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/>
    </xf>
    <xf numFmtId="167" fontId="2" fillId="17" borderId="1" xfId="0" applyNumberFormat="1" applyFont="1" applyFill="1" applyBorder="1" applyAlignment="1">
      <alignment vertical="center"/>
    </xf>
    <xf numFmtId="0" fontId="3" fillId="22" borderId="1" xfId="0" quotePrefix="1" applyFont="1" applyFill="1" applyBorder="1" applyAlignment="1">
      <alignment horizontal="center"/>
    </xf>
    <xf numFmtId="0" fontId="3" fillId="22" borderId="1" xfId="0" quotePrefix="1" applyFont="1" applyFill="1" applyBorder="1" applyAlignment="1">
      <alignment horizontal="left"/>
    </xf>
    <xf numFmtId="0" fontId="3" fillId="17" borderId="1" xfId="0" applyFont="1" applyFill="1" applyBorder="1" applyAlignment="1">
      <alignment vertical="center"/>
    </xf>
    <xf numFmtId="0" fontId="3" fillId="22" borderId="6" xfId="0" applyFont="1" applyFill="1" applyBorder="1"/>
    <xf numFmtId="0" fontId="0" fillId="22" borderId="1" xfId="0" quotePrefix="1" applyFill="1" applyBorder="1" applyAlignment="1">
      <alignment horizontal="center"/>
    </xf>
    <xf numFmtId="0" fontId="0" fillId="22" borderId="1" xfId="0" applyFill="1" applyBorder="1"/>
    <xf numFmtId="0" fontId="0" fillId="0" borderId="7" xfId="0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8" borderId="20" xfId="0" applyFill="1" applyBorder="1" applyAlignment="1" applyProtection="1">
      <alignment horizontal="center" vertical="center"/>
      <protection locked="0"/>
    </xf>
    <xf numFmtId="0" fontId="0" fillId="17" borderId="20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0" fillId="0" borderId="21" xfId="0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 vertical="center"/>
    </xf>
    <xf numFmtId="167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167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66" fontId="3" fillId="0" borderId="1" xfId="0" quotePrefix="1" applyNumberFormat="1" applyFont="1" applyBorder="1" applyAlignment="1">
      <alignment horizontal="center" vertical="center"/>
    </xf>
    <xf numFmtId="2" fontId="0" fillId="17" borderId="1" xfId="0" applyNumberFormat="1" applyFill="1" applyBorder="1"/>
    <xf numFmtId="0" fontId="0" fillId="6" borderId="3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20" fillId="0" borderId="0" xfId="11"/>
    <xf numFmtId="2" fontId="0" fillId="16" borderId="1" xfId="0" applyNumberFormat="1" applyFill="1" applyBorder="1" applyAlignment="1">
      <alignment horizontal="center"/>
    </xf>
    <xf numFmtId="0" fontId="2" fillId="5" borderId="22" xfId="0" applyFont="1" applyFill="1" applyBorder="1" applyAlignment="1">
      <alignment horizontal="center" vertical="center" wrapText="1"/>
    </xf>
    <xf numFmtId="1" fontId="0" fillId="15" borderId="5" xfId="0" applyNumberFormat="1" applyFill="1" applyBorder="1" applyAlignment="1" applyProtection="1">
      <alignment horizontal="center" vertical="center"/>
      <protection locked="0"/>
    </xf>
    <xf numFmtId="2" fontId="14" fillId="0" borderId="1" xfId="0" applyNumberFormat="1" applyFont="1" applyBorder="1" applyAlignment="1" applyProtection="1">
      <alignment horizontal="center" vertical="center"/>
      <protection locked="0"/>
    </xf>
    <xf numFmtId="2" fontId="0" fillId="15" borderId="5" xfId="0" applyNumberFormat="1" applyFill="1" applyBorder="1" applyAlignment="1">
      <alignment horizontal="center" vertical="center"/>
    </xf>
    <xf numFmtId="172" fontId="3" fillId="0" borderId="7" xfId="0" applyNumberFormat="1" applyFont="1" applyBorder="1" applyAlignment="1">
      <alignment horizontal="center" vertical="center"/>
    </xf>
    <xf numFmtId="172" fontId="3" fillId="0" borderId="17" xfId="0" applyNumberFormat="1" applyFont="1" applyBorder="1" applyAlignment="1">
      <alignment horizontal="center" vertical="center"/>
    </xf>
    <xf numFmtId="172" fontId="5" fillId="0" borderId="1" xfId="0" applyNumberFormat="1" applyFont="1" applyBorder="1" applyAlignment="1">
      <alignment horizontal="center" vertical="center" wrapText="1"/>
    </xf>
    <xf numFmtId="172" fontId="0" fillId="0" borderId="1" xfId="0" applyNumberFormat="1" applyBorder="1"/>
    <xf numFmtId="172" fontId="3" fillId="0" borderId="1" xfId="0" applyNumberFormat="1" applyFont="1" applyBorder="1" applyAlignment="1">
      <alignment horizontal="center" vertical="center"/>
    </xf>
    <xf numFmtId="172" fontId="0" fillId="0" borderId="0" xfId="0" applyNumberFormat="1"/>
    <xf numFmtId="172" fontId="0" fillId="6" borderId="0" xfId="0" applyNumberFormat="1" applyFill="1"/>
    <xf numFmtId="2" fontId="3" fillId="0" borderId="0" xfId="0" applyNumberFormat="1" applyFont="1" applyAlignment="1">
      <alignment horizontal="center" vertical="center"/>
    </xf>
    <xf numFmtId="2" fontId="5" fillId="20" borderId="0" xfId="2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17" borderId="1" xfId="0" applyFill="1" applyBorder="1"/>
    <xf numFmtId="2" fontId="0" fillId="17" borderId="1" xfId="0" applyNumberFormat="1" applyFill="1" applyBorder="1" applyAlignment="1">
      <alignment horizontal="center"/>
    </xf>
    <xf numFmtId="1" fontId="0" fillId="15" borderId="4" xfId="0" applyNumberFormat="1" applyFill="1" applyBorder="1" applyAlignment="1" applyProtection="1">
      <alignment horizontal="center" vertical="center"/>
      <protection locked="0"/>
    </xf>
    <xf numFmtId="167" fontId="1" fillId="0" borderId="5" xfId="0" applyNumberFormat="1" applyFont="1" applyBorder="1"/>
    <xf numFmtId="14" fontId="3" fillId="0" borderId="0" xfId="0" applyNumberFormat="1" applyFont="1" applyAlignment="1">
      <alignment horizontal="center" vertical="center"/>
    </xf>
    <xf numFmtId="2" fontId="0" fillId="24" borderId="4" xfId="0" applyNumberFormat="1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center" vertical="center"/>
    </xf>
    <xf numFmtId="1" fontId="0" fillId="24" borderId="1" xfId="0" applyNumberFormat="1" applyFill="1" applyBorder="1" applyAlignment="1" applyProtection="1">
      <alignment horizontal="center" vertical="center"/>
      <protection locked="0"/>
    </xf>
    <xf numFmtId="2" fontId="0" fillId="24" borderId="1" xfId="0" applyNumberFormat="1" applyFill="1" applyBorder="1" applyAlignment="1" applyProtection="1">
      <alignment horizontal="center" vertical="center"/>
      <protection locked="0"/>
    </xf>
    <xf numFmtId="2" fontId="0" fillId="8" borderId="6" xfId="0" applyNumberFormat="1" applyFill="1" applyBorder="1" applyAlignment="1" applyProtection="1">
      <alignment horizontal="center" vertical="center"/>
      <protection locked="0"/>
    </xf>
    <xf numFmtId="168" fontId="0" fillId="0" borderId="4" xfId="3" applyNumberFormat="1" applyFont="1" applyBorder="1" applyAlignment="1">
      <alignment horizontal="center" vertical="center"/>
    </xf>
    <xf numFmtId="1" fontId="0" fillId="0" borderId="5" xfId="0" applyNumberForma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" fontId="3" fillId="0" borderId="0" xfId="0" applyNumberFormat="1" applyFont="1" applyAlignment="1">
      <alignment horizontal="center" vertical="center"/>
    </xf>
    <xf numFmtId="167" fontId="3" fillId="0" borderId="4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" fontId="0" fillId="24" borderId="4" xfId="0" applyNumberFormat="1" applyFill="1" applyBorder="1" applyAlignment="1" applyProtection="1">
      <alignment horizontal="center" vertical="center"/>
      <protection locked="0"/>
    </xf>
    <xf numFmtId="1" fontId="0" fillId="24" borderId="5" xfId="0" applyNumberFormat="1" applyFill="1" applyBorder="1" applyAlignment="1" applyProtection="1">
      <alignment horizontal="center" vertical="center"/>
      <protection locked="0"/>
    </xf>
    <xf numFmtId="2" fontId="0" fillId="24" borderId="5" xfId="0" applyNumberFormat="1" applyFill="1" applyBorder="1" applyAlignment="1">
      <alignment horizontal="center" vertical="center"/>
    </xf>
    <xf numFmtId="1" fontId="0" fillId="25" borderId="1" xfId="0" applyNumberFormat="1" applyFill="1" applyBorder="1" applyAlignment="1" applyProtection="1">
      <alignment horizontal="center" vertical="center"/>
      <protection locked="0"/>
    </xf>
    <xf numFmtId="2" fontId="0" fillId="25" borderId="1" xfId="0" applyNumberFormat="1" applyFill="1" applyBorder="1" applyAlignment="1" applyProtection="1">
      <alignment horizontal="center" vertical="center"/>
      <protection locked="0"/>
    </xf>
    <xf numFmtId="0" fontId="0" fillId="26" borderId="5" xfId="0" applyFill="1" applyBorder="1" applyAlignment="1" applyProtection="1">
      <alignment horizontal="center" vertical="center"/>
      <protection locked="0"/>
    </xf>
    <xf numFmtId="1" fontId="0" fillId="26" borderId="1" xfId="0" applyNumberFormat="1" applyFill="1" applyBorder="1" applyAlignment="1" applyProtection="1">
      <alignment horizontal="center" vertical="center"/>
      <protection locked="0"/>
    </xf>
    <xf numFmtId="2" fontId="0" fillId="26" borderId="1" xfId="0" applyNumberFormat="1" applyFill="1" applyBorder="1" applyAlignment="1" applyProtection="1">
      <alignment horizontal="center" vertical="center"/>
      <protection locked="0"/>
    </xf>
    <xf numFmtId="2" fontId="0" fillId="26" borderId="3" xfId="0" applyNumberFormat="1" applyFill="1" applyBorder="1" applyAlignment="1" applyProtection="1">
      <alignment horizontal="center" vertical="center"/>
      <protection locked="0"/>
    </xf>
    <xf numFmtId="2" fontId="0" fillId="10" borderId="5" xfId="0" applyNumberFormat="1" applyFill="1" applyBorder="1" applyAlignment="1">
      <alignment horizontal="center" vertical="center"/>
    </xf>
    <xf numFmtId="2" fontId="0" fillId="17" borderId="3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49" fontId="0" fillId="0" borderId="1" xfId="0" quotePrefix="1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1" fontId="0" fillId="9" borderId="5" xfId="0" applyNumberFormat="1" applyFill="1" applyBorder="1" applyAlignment="1">
      <alignment horizontal="center" vertical="center"/>
    </xf>
    <xf numFmtId="167" fontId="3" fillId="0" borderId="31" xfId="0" applyNumberFormat="1" applyFont="1" applyBorder="1" applyAlignment="1">
      <alignment vertical="center"/>
    </xf>
    <xf numFmtId="2" fontId="3" fillId="0" borderId="31" xfId="0" applyNumberFormat="1" applyFont="1" applyBorder="1" applyAlignment="1">
      <alignment vertical="center"/>
    </xf>
    <xf numFmtId="167" fontId="3" fillId="0" borderId="21" xfId="0" applyNumberFormat="1" applyFont="1" applyBorder="1" applyAlignment="1">
      <alignment vertical="center"/>
    </xf>
    <xf numFmtId="2" fontId="3" fillId="0" borderId="21" xfId="0" applyNumberFormat="1" applyFont="1" applyBorder="1" applyAlignment="1">
      <alignment vertical="center"/>
    </xf>
    <xf numFmtId="167" fontId="3" fillId="0" borderId="2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2" fillId="14" borderId="10" xfId="0" applyNumberFormat="1" applyFont="1" applyFill="1" applyBorder="1" applyAlignment="1">
      <alignment horizontal="center" vertical="top"/>
    </xf>
    <xf numFmtId="0" fontId="2" fillId="5" borderId="28" xfId="0" quotePrefix="1" applyFont="1" applyFill="1" applyBorder="1" applyAlignment="1">
      <alignment horizontal="center" vertical="center"/>
    </xf>
    <xf numFmtId="0" fontId="2" fillId="5" borderId="29" xfId="0" quotePrefix="1" applyFont="1" applyFill="1" applyBorder="1" applyAlignment="1">
      <alignment horizontal="center" vertical="center"/>
    </xf>
    <xf numFmtId="0" fontId="2" fillId="5" borderId="30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21" xfId="0" applyNumberFormat="1" applyFont="1" applyBorder="1" applyAlignment="1">
      <alignment horizontal="center" vertical="center"/>
    </xf>
    <xf numFmtId="167" fontId="3" fillId="0" borderId="31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0" fontId="18" fillId="3" borderId="23" xfId="10" applyFont="1" applyBorder="1" applyAlignment="1">
      <alignment horizontal="center"/>
    </xf>
    <xf numFmtId="0" fontId="18" fillId="3" borderId="24" xfId="10" applyFont="1" applyBorder="1" applyAlignment="1">
      <alignment horizontal="center"/>
    </xf>
    <xf numFmtId="0" fontId="18" fillId="3" borderId="25" xfId="10" applyFont="1" applyBorder="1" applyAlignment="1">
      <alignment horizontal="center"/>
    </xf>
    <xf numFmtId="0" fontId="2" fillId="23" borderId="32" xfId="9" applyFont="1" applyFill="1" applyBorder="1" applyAlignment="1">
      <alignment horizontal="center"/>
    </xf>
    <xf numFmtId="0" fontId="2" fillId="23" borderId="33" xfId="9" applyFont="1" applyFill="1" applyBorder="1" applyAlignment="1">
      <alignment horizontal="center"/>
    </xf>
    <xf numFmtId="0" fontId="2" fillId="23" borderId="34" xfId="9" applyFont="1" applyFill="1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22" borderId="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22" borderId="0" xfId="0" applyFont="1" applyFill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3" xfId="0" applyFill="1" applyBorder="1" applyAlignment="1">
      <alignment horizontal="center" vertical="top"/>
    </xf>
    <xf numFmtId="0" fontId="0" fillId="6" borderId="24" xfId="0" applyFill="1" applyBorder="1" applyAlignment="1">
      <alignment horizontal="center" vertical="top"/>
    </xf>
    <xf numFmtId="0" fontId="0" fillId="6" borderId="25" xfId="0" applyFill="1" applyBorder="1" applyAlignment="1">
      <alignment horizontal="center" vertical="top"/>
    </xf>
    <xf numFmtId="0" fontId="0" fillId="6" borderId="26" xfId="0" applyFill="1" applyBorder="1" applyAlignment="1">
      <alignment horizontal="center" vertical="top"/>
    </xf>
    <xf numFmtId="0" fontId="7" fillId="6" borderId="2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top" wrapText="1"/>
    </xf>
    <xf numFmtId="0" fontId="0" fillId="6" borderId="25" xfId="0" applyFill="1" applyBorder="1" applyAlignment="1">
      <alignment horizontal="center" vertical="top" wrapText="1"/>
    </xf>
    <xf numFmtId="0" fontId="0" fillId="6" borderId="27" xfId="0" applyFill="1" applyBorder="1" applyAlignment="1">
      <alignment horizontal="center" vertical="top"/>
    </xf>
    <xf numFmtId="2" fontId="1" fillId="12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2" fontId="1" fillId="13" borderId="6" xfId="0" applyNumberFormat="1" applyFont="1" applyFill="1" applyBorder="1" applyAlignment="1">
      <alignment horizontal="center" vertical="center"/>
    </xf>
    <xf numFmtId="2" fontId="1" fillId="13" borderId="37" xfId="0" applyNumberFormat="1" applyFont="1" applyFill="1" applyBorder="1" applyAlignment="1">
      <alignment horizontal="center" vertical="center"/>
    </xf>
    <xf numFmtId="2" fontId="1" fillId="13" borderId="5" xfId="0" applyNumberFormat="1" applyFont="1" applyFill="1" applyBorder="1" applyAlignment="1">
      <alignment horizontal="center" vertical="center"/>
    </xf>
    <xf numFmtId="2" fontId="9" fillId="11" borderId="38" xfId="0" applyNumberFormat="1" applyFont="1" applyFill="1" applyBorder="1" applyAlignment="1">
      <alignment horizontal="center" vertical="center"/>
    </xf>
    <xf numFmtId="2" fontId="9" fillId="11" borderId="8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67" fontId="2" fillId="0" borderId="39" xfId="0" applyNumberFormat="1" applyFont="1" applyBorder="1" applyAlignment="1">
      <alignment horizontal="center" vertical="center"/>
    </xf>
    <xf numFmtId="167" fontId="2" fillId="0" borderId="40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167" fontId="2" fillId="0" borderId="17" xfId="0" applyNumberFormat="1" applyFont="1" applyBorder="1" applyAlignment="1">
      <alignment horizontal="center" vertical="center"/>
    </xf>
    <xf numFmtId="167" fontId="2" fillId="0" borderId="21" xfId="0" applyNumberFormat="1" applyFont="1" applyBorder="1" applyAlignment="1">
      <alignment horizontal="center" vertical="center"/>
    </xf>
    <xf numFmtId="167" fontId="2" fillId="0" borderId="31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67" fontId="2" fillId="0" borderId="41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7" fontId="2" fillId="0" borderId="42" xfId="0" applyNumberFormat="1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4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6" borderId="23" xfId="0" applyNumberFormat="1" applyFill="1" applyBorder="1" applyAlignment="1">
      <alignment horizontal="center"/>
    </xf>
    <xf numFmtId="1" fontId="0" fillId="6" borderId="24" xfId="0" applyNumberFormat="1" applyFill="1" applyBorder="1" applyAlignment="1">
      <alignment horizontal="center"/>
    </xf>
    <xf numFmtId="1" fontId="0" fillId="6" borderId="25" xfId="0" applyNumberFormat="1" applyFill="1" applyBorder="1" applyAlignment="1">
      <alignment horizontal="center"/>
    </xf>
  </cellXfs>
  <cellStyles count="12">
    <cellStyle name="Bad" xfId="10" builtinId="27"/>
    <cellStyle name="Comma" xfId="2" builtinId="3"/>
    <cellStyle name="Comma 2" xfId="3" xr:uid="{00000000-0005-0000-0000-000002000000}"/>
    <cellStyle name="Comma 2 2" xfId="7" xr:uid="{00000000-0005-0000-0000-000003000000}"/>
    <cellStyle name="Comma 3" xfId="6" xr:uid="{00000000-0005-0000-0000-000004000000}"/>
    <cellStyle name="Good" xfId="9" builtinId="26"/>
    <cellStyle name="Hyperlink" xfId="11" builtinId="8"/>
    <cellStyle name="Normal" xfId="0" builtinId="0"/>
    <cellStyle name="Normal 2" xfId="4" xr:uid="{00000000-0005-0000-0000-000008000000}"/>
    <cellStyle name="Normal 3" xfId="5" xr:uid="{00000000-0005-0000-0000-000009000000}"/>
    <cellStyle name="Normal 3 2" xfId="8" xr:uid="{00000000-0005-0000-0000-00000A000000}"/>
    <cellStyle name="Percent" xfId="1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66"/>
      <color rgb="FFFF9933"/>
      <color rgb="FFFF7C80"/>
      <color rgb="FFFF505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Chanho!$B$1:$B$66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3" formatCode="[$-409]d/mmm/yy;@">
                  <c:v>46174</c:v>
                </c:pt>
                <c:pt idx="4" formatCode="[$-409]d/mmm/yy;@">
                  <c:v>46174</c:v>
                </c:pt>
                <c:pt idx="5" formatCode="[$-409]d/mmm/yy;@">
                  <c:v>46175</c:v>
                </c:pt>
                <c:pt idx="6" formatCode="[$-409]d/mmm/yy;@">
                  <c:v>46175</c:v>
                </c:pt>
                <c:pt idx="7" formatCode="[$-409]d/mmm/yy;@">
                  <c:v>46176</c:v>
                </c:pt>
                <c:pt idx="8" formatCode="[$-409]d/mmm/yy;@">
                  <c:v>46176</c:v>
                </c:pt>
                <c:pt idx="9" formatCode="[$-409]d/mmm/yy;@">
                  <c:v>46177</c:v>
                </c:pt>
                <c:pt idx="10" formatCode="[$-409]d/mmm/yy;@">
                  <c:v>46177</c:v>
                </c:pt>
                <c:pt idx="11" formatCode="[$-409]d/mmm/yy;@">
                  <c:v>46178</c:v>
                </c:pt>
                <c:pt idx="12" formatCode="[$-409]d/mmm/yy;@">
                  <c:v>46178</c:v>
                </c:pt>
                <c:pt idx="13" formatCode="[$-409]d/mmm/yy;@">
                  <c:v>46179</c:v>
                </c:pt>
                <c:pt idx="14" formatCode="[$-409]d/mmm/yy;@">
                  <c:v>46179</c:v>
                </c:pt>
                <c:pt idx="15" formatCode="[$-409]d/mmm/yy;@">
                  <c:v>46180</c:v>
                </c:pt>
                <c:pt idx="16" formatCode="[$-409]d/mmm/yy;@">
                  <c:v>46180</c:v>
                </c:pt>
                <c:pt idx="17" formatCode="[$-409]d/mmm/yy;@">
                  <c:v>46181</c:v>
                </c:pt>
                <c:pt idx="18" formatCode="[$-409]d/mmm/yy;@">
                  <c:v>46181</c:v>
                </c:pt>
                <c:pt idx="19" formatCode="[$-409]d/mmm/yy;@">
                  <c:v>46182</c:v>
                </c:pt>
                <c:pt idx="20" formatCode="[$-409]d/mmm/yy;@">
                  <c:v>46182</c:v>
                </c:pt>
                <c:pt idx="21" formatCode="[$-409]d/mmm/yy;@">
                  <c:v>46183</c:v>
                </c:pt>
                <c:pt idx="22" formatCode="[$-409]d/mmm/yy;@">
                  <c:v>46183</c:v>
                </c:pt>
                <c:pt idx="23" formatCode="[$-409]d/mmm/yy;@">
                  <c:v>46184</c:v>
                </c:pt>
                <c:pt idx="24" formatCode="[$-409]d/mmm/yy;@">
                  <c:v>46184</c:v>
                </c:pt>
                <c:pt idx="25" formatCode="[$-409]d/mmm/yy;@">
                  <c:v>46185</c:v>
                </c:pt>
                <c:pt idx="26" formatCode="[$-409]d/mmm/yy;@">
                  <c:v>46185</c:v>
                </c:pt>
                <c:pt idx="27" formatCode="[$-409]d/mmm/yy;@">
                  <c:v>46186</c:v>
                </c:pt>
                <c:pt idx="28" formatCode="[$-409]d/mmm/yy;@">
                  <c:v>46186</c:v>
                </c:pt>
                <c:pt idx="29" formatCode="[$-409]d/mmm/yy;@">
                  <c:v>46187</c:v>
                </c:pt>
                <c:pt idx="30" formatCode="[$-409]d/mmm/yy;@">
                  <c:v>46187</c:v>
                </c:pt>
                <c:pt idx="31" formatCode="[$-409]d/mmm/yy;@">
                  <c:v>46188</c:v>
                </c:pt>
                <c:pt idx="32" formatCode="[$-409]d/mmm/yy;@">
                  <c:v>46188</c:v>
                </c:pt>
                <c:pt idx="33" formatCode="[$-409]d/mmm/yy;@">
                  <c:v>46189</c:v>
                </c:pt>
                <c:pt idx="34" formatCode="[$-409]d/mmm/yy;@">
                  <c:v>46189</c:v>
                </c:pt>
                <c:pt idx="35" formatCode="[$-409]d/mmm/yy;@">
                  <c:v>46190</c:v>
                </c:pt>
                <c:pt idx="36" formatCode="[$-409]d/mmm/yy;@">
                  <c:v>46190</c:v>
                </c:pt>
                <c:pt idx="37" formatCode="[$-409]d/mmm/yy;@">
                  <c:v>46191</c:v>
                </c:pt>
                <c:pt idx="38" formatCode="[$-409]d/mmm/yy;@">
                  <c:v>46191</c:v>
                </c:pt>
                <c:pt idx="39" formatCode="[$-409]d/mmm/yy;@">
                  <c:v>46192</c:v>
                </c:pt>
                <c:pt idx="40" formatCode="[$-409]d/mmm/yy;@">
                  <c:v>46192</c:v>
                </c:pt>
                <c:pt idx="41" formatCode="[$-409]d/mmm/yy;@">
                  <c:v>46193</c:v>
                </c:pt>
                <c:pt idx="42" formatCode="[$-409]d/mmm/yy;@">
                  <c:v>46193</c:v>
                </c:pt>
                <c:pt idx="43" formatCode="[$-409]d/mmm/yy;@">
                  <c:v>46194</c:v>
                </c:pt>
                <c:pt idx="44" formatCode="[$-409]d/mmm/yy;@">
                  <c:v>46194</c:v>
                </c:pt>
                <c:pt idx="45" formatCode="[$-409]d/mmm/yy;@">
                  <c:v>46195</c:v>
                </c:pt>
                <c:pt idx="46" formatCode="[$-409]d/mmm/yy;@">
                  <c:v>46195</c:v>
                </c:pt>
                <c:pt idx="47" formatCode="[$-409]d/mmm/yy;@">
                  <c:v>46196</c:v>
                </c:pt>
                <c:pt idx="48" formatCode="[$-409]d/mmm/yy;@">
                  <c:v>46196</c:v>
                </c:pt>
                <c:pt idx="49" formatCode="[$-409]d/mmm/yy;@">
                  <c:v>46197</c:v>
                </c:pt>
                <c:pt idx="50" formatCode="[$-409]d/mmm/yy;@">
                  <c:v>46197</c:v>
                </c:pt>
                <c:pt idx="51" formatCode="[$-409]d/mmm/yy;@">
                  <c:v>46198</c:v>
                </c:pt>
                <c:pt idx="52" formatCode="[$-409]d/mmm/yy;@">
                  <c:v>46198</c:v>
                </c:pt>
                <c:pt idx="53" formatCode="[$-409]d/mmm/yy;@">
                  <c:v>46199</c:v>
                </c:pt>
                <c:pt idx="54" formatCode="[$-409]d/mmm/yy;@">
                  <c:v>46199</c:v>
                </c:pt>
                <c:pt idx="55" formatCode="[$-409]d/mmm/yy;@">
                  <c:v>46200</c:v>
                </c:pt>
                <c:pt idx="56" formatCode="[$-409]d/mmm/yy;@">
                  <c:v>46200</c:v>
                </c:pt>
                <c:pt idx="57" formatCode="[$-409]d/mmm/yy;@">
                  <c:v>46201</c:v>
                </c:pt>
                <c:pt idx="58" formatCode="[$-409]d/mmm/yy;@">
                  <c:v>46201</c:v>
                </c:pt>
                <c:pt idx="59" formatCode="[$-409]d/mmm/yy;@">
                  <c:v>46202</c:v>
                </c:pt>
                <c:pt idx="60" formatCode="[$-409]d/mmm/yy;@">
                  <c:v>46202</c:v>
                </c:pt>
                <c:pt idx="61" formatCode="[$-409]d/mmm/yy;@">
                  <c:v>46203</c:v>
                </c:pt>
                <c:pt idx="62" formatCode="[$-409]d/mmm/yy;@">
                  <c:v>46203</c:v>
                </c:pt>
                <c:pt idx="63" formatCode="[$-409]d/mmm/yy;@">
                  <c:v>46204</c:v>
                </c:pt>
                <c:pt idx="64" formatCode="[$-409]d/mmm/yy;@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6-417B-8933-047DF1B90A20}"/>
            </c:ext>
          </c:extLst>
        </c:ser>
        <c:ser>
          <c:idx val="1"/>
          <c:order val="1"/>
          <c:invertIfNegative val="0"/>
          <c:val>
            <c:numRef>
              <c:f>Chanho!$C$1:$C$66</c:f>
              <c:numCache>
                <c:formatCode>General</c:formatCode>
                <c:ptCount val="66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6-417B-8933-047DF1B90A20}"/>
            </c:ext>
          </c:extLst>
        </c:ser>
        <c:ser>
          <c:idx val="2"/>
          <c:order val="2"/>
          <c:invertIfNegative val="0"/>
          <c:val>
            <c:numRef>
              <c:f>Chanho!$D$1:$D$66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">
                  <c:v>763</c:v>
                </c:pt>
                <c:pt idx="4" formatCode="0">
                  <c:v>0</c:v>
                </c:pt>
                <c:pt idx="5" formatCode="0">
                  <c:v>900.03</c:v>
                </c:pt>
                <c:pt idx="6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46-417B-8933-047DF1B90A20}"/>
            </c:ext>
          </c:extLst>
        </c:ser>
        <c:ser>
          <c:idx val="3"/>
          <c:order val="3"/>
          <c:invertIfNegative val="0"/>
          <c:val>
            <c:numRef>
              <c:f>Chanho!$E$1:$E$66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3.9</c:v>
                </c:pt>
                <c:pt idx="4" formatCode="0.00">
                  <c:v>0</c:v>
                </c:pt>
                <c:pt idx="5" formatCode="0.00">
                  <c:v>3.9</c:v>
                </c:pt>
                <c:pt idx="6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46-417B-8933-047DF1B90A20}"/>
            </c:ext>
          </c:extLst>
        </c:ser>
        <c:ser>
          <c:idx val="4"/>
          <c:order val="4"/>
          <c:invertIfNegative val="0"/>
          <c:val>
            <c:numRef>
              <c:f>Chanho!$F$1:$F$66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8.36</c:v>
                </c:pt>
                <c:pt idx="4" formatCode="0.00">
                  <c:v>0</c:v>
                </c:pt>
                <c:pt idx="5" formatCode="0.00">
                  <c:v>8.31</c:v>
                </c:pt>
                <c:pt idx="6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46-417B-8933-047DF1B90A20}"/>
            </c:ext>
          </c:extLst>
        </c:ser>
        <c:ser>
          <c:idx val="5"/>
          <c:order val="5"/>
          <c:invertIfNegative val="0"/>
          <c:val>
            <c:numRef>
              <c:f>Chanho!$G$1:$G$66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29.757000000000001</c:v>
                </c:pt>
                <c:pt idx="4" formatCode="0.00">
                  <c:v>0</c:v>
                </c:pt>
                <c:pt idx="5" formatCode="0.00">
                  <c:v>35.101169999999996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46-417B-8933-047DF1B90A20}"/>
            </c:ext>
          </c:extLst>
        </c:ser>
        <c:ser>
          <c:idx val="6"/>
          <c:order val="6"/>
          <c:invertIfNegative val="0"/>
          <c:val>
            <c:numRef>
              <c:f>Chanho!$H$1:$H$66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63.786799999999992</c:v>
                </c:pt>
                <c:pt idx="4" formatCode="0.00">
                  <c:v>0</c:v>
                </c:pt>
                <c:pt idx="5" formatCode="0.00">
                  <c:v>74.792493000000007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46-417B-8933-047DF1B90A20}"/>
            </c:ext>
          </c:extLst>
        </c:ser>
        <c:ser>
          <c:idx val="7"/>
          <c:order val="7"/>
          <c:invertIfNegative val="0"/>
          <c:val>
            <c:numRef>
              <c:f>Chanho!$I$1:$I$66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.0">
                  <c:v>1373.3599999999997</c:v>
                </c:pt>
                <c:pt idx="4" formatCode="0.0">
                  <c:v>873.82</c:v>
                </c:pt>
                <c:pt idx="5" formatCode="0.0">
                  <c:v>1308.1399999999999</c:v>
                </c:pt>
                <c:pt idx="6" formatCode="0.0">
                  <c:v>1023.62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0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46-417B-8933-047DF1B90A20}"/>
            </c:ext>
          </c:extLst>
        </c:ser>
        <c:ser>
          <c:idx val="8"/>
          <c:order val="8"/>
          <c:invertIfNegative val="0"/>
          <c:val>
            <c:numRef>
              <c:f>Chanho!$J$1:$J$66</c:f>
              <c:numCache>
                <c:formatCode>General</c:formatCode>
                <c:ptCount val="66"/>
                <c:pt idx="2">
                  <c:v>0</c:v>
                </c:pt>
                <c:pt idx="3" formatCode="0.0">
                  <c:v>1414.5607999999997</c:v>
                </c:pt>
                <c:pt idx="4" formatCode="0.0">
                  <c:v>900.03460000000007</c:v>
                </c:pt>
                <c:pt idx="5" formatCode="0.0">
                  <c:v>1347.3842</c:v>
                </c:pt>
                <c:pt idx="6" formatCode="0.0">
                  <c:v>1054.3286000000001</c:v>
                </c:pt>
                <c:pt idx="65" formatCode="0">
                  <c:v>4716.3081999999995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46-417B-8933-047DF1B90A20}"/>
            </c:ext>
          </c:extLst>
        </c:ser>
        <c:ser>
          <c:idx val="9"/>
          <c:order val="9"/>
          <c:invertIfNegative val="0"/>
          <c:val>
            <c:numRef>
              <c:f>Chanho!$K$1:$K$66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4.3178773227704328</c:v>
                </c:pt>
                <c:pt idx="4" formatCode="0.00">
                  <c:v>3.8966835274999423</c:v>
                </c:pt>
                <c:pt idx="5" formatCode="0.00">
                  <c:v>4.2847095876588144</c:v>
                </c:pt>
                <c:pt idx="6" formatCode="0.00">
                  <c:v>3.8754615970770399</c:v>
                </c:pt>
                <c:pt idx="65">
                  <c:v>4.1291215870922091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46-417B-8933-047DF1B90A20}"/>
            </c:ext>
          </c:extLst>
        </c:ser>
        <c:ser>
          <c:idx val="10"/>
          <c:order val="10"/>
          <c:invertIfNegative val="0"/>
          <c:val>
            <c:numRef>
              <c:f>Chanho!$L$1:$L$66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8.6197355391157462</c:v>
                </c:pt>
                <c:pt idx="4" formatCode="0.00">
                  <c:v>8.3094916573207271</c:v>
                </c:pt>
                <c:pt idx="5" formatCode="0.00">
                  <c:v>8.437934777623191</c:v>
                </c:pt>
                <c:pt idx="6" formatCode="0.00">
                  <c:v>8.3155858619409528</c:v>
                </c:pt>
                <c:pt idx="65">
                  <c:v>8.4405997894709266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46-417B-8933-047DF1B90A20}"/>
            </c:ext>
          </c:extLst>
        </c:ser>
        <c:ser>
          <c:idx val="11"/>
          <c:order val="11"/>
          <c:invertIfNegative val="0"/>
          <c:val>
            <c:numRef>
              <c:f>Chanho!$M$1:$M$66</c:f>
            </c:numRef>
          </c:val>
          <c:extLst>
            <c:ext xmlns:c16="http://schemas.microsoft.com/office/drawing/2014/chart" uri="{C3380CC4-5D6E-409C-BE32-E72D297353CC}">
              <c16:uniqueId val="{0000000B-7746-417B-8933-047DF1B90A20}"/>
            </c:ext>
          </c:extLst>
        </c:ser>
        <c:ser>
          <c:idx val="12"/>
          <c:order val="12"/>
          <c:invertIfNegative val="0"/>
          <c:val>
            <c:numRef>
              <c:f>Chanho!$N$1:$N$66</c:f>
            </c:numRef>
          </c:val>
          <c:extLst>
            <c:ext xmlns:c16="http://schemas.microsoft.com/office/drawing/2014/chart" uri="{C3380CC4-5D6E-409C-BE32-E72D297353CC}">
              <c16:uniqueId val="{0000000C-7746-417B-8933-047DF1B90A20}"/>
            </c:ext>
          </c:extLst>
        </c:ser>
        <c:ser>
          <c:idx val="13"/>
          <c:order val="13"/>
          <c:invertIfNegative val="0"/>
          <c:val>
            <c:numRef>
              <c:f>Chanho!$O$1:$O$66</c:f>
            </c:numRef>
          </c:val>
          <c:extLst>
            <c:ext xmlns:c16="http://schemas.microsoft.com/office/drawing/2014/chart" uri="{C3380CC4-5D6E-409C-BE32-E72D297353CC}">
              <c16:uniqueId val="{0000000D-7746-417B-8933-047DF1B90A20}"/>
            </c:ext>
          </c:extLst>
        </c:ser>
        <c:ser>
          <c:idx val="14"/>
          <c:order val="14"/>
          <c:invertIfNegative val="0"/>
          <c:val>
            <c:numRef>
              <c:f>Chanho!$P$1:$P$66</c:f>
            </c:numRef>
          </c:val>
          <c:extLst>
            <c:ext xmlns:c16="http://schemas.microsoft.com/office/drawing/2014/chart" uri="{C3380CC4-5D6E-409C-BE32-E72D297353CC}">
              <c16:uniqueId val="{0000000E-7746-417B-8933-047DF1B90A20}"/>
            </c:ext>
          </c:extLst>
        </c:ser>
        <c:ser>
          <c:idx val="15"/>
          <c:order val="15"/>
          <c:invertIfNegative val="0"/>
          <c:val>
            <c:numRef>
              <c:f>Chanho!$Q$1:$Q$66</c:f>
            </c:numRef>
          </c:val>
          <c:extLst>
            <c:ext xmlns:c16="http://schemas.microsoft.com/office/drawing/2014/chart" uri="{C3380CC4-5D6E-409C-BE32-E72D297353CC}">
              <c16:uniqueId val="{0000000F-7746-417B-8933-047DF1B90A20}"/>
            </c:ext>
          </c:extLst>
        </c:ser>
        <c:ser>
          <c:idx val="16"/>
          <c:order val="16"/>
          <c:invertIfNegative val="0"/>
          <c:val>
            <c:numRef>
              <c:f>Chanho!$R$1:$R$66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_(* #,##0.0_);_(* \(#,##0.0\);_(* &quot;-&quot;??_);_(@_)">
                  <c:v>1414.5607999999997</c:v>
                </c:pt>
                <c:pt idx="4" formatCode="_(* #,##0.0_);_(* \(#,##0.0\);_(* &quot;-&quot;??_);_(@_)">
                  <c:v>900.03460000000007</c:v>
                </c:pt>
                <c:pt idx="5" formatCode="_(* #,##0.0_);_(* \(#,##0.0\);_(* &quot;-&quot;??_);_(@_)">
                  <c:v>1347.3842</c:v>
                </c:pt>
                <c:pt idx="6" formatCode="_(* #,##0.0_);_(* \(#,##0.0\);_(* &quot;-&quot;??_);_(@_)">
                  <c:v>1054.3286000000001</c:v>
                </c:pt>
                <c:pt idx="7" formatCode="_(* #,##0.0_);_(* \(#,##0.0\);_(* &quot;-&quot;??_);_(@_)">
                  <c:v>0</c:v>
                </c:pt>
                <c:pt idx="8" formatCode="_(* #,##0.0_);_(* \(#,##0.0\);_(* &quot;-&quot;??_);_(@_)">
                  <c:v>0</c:v>
                </c:pt>
                <c:pt idx="9" formatCode="_(* #,##0.0_);_(* \(#,##0.0\);_(* &quot;-&quot;??_);_(@_)">
                  <c:v>0</c:v>
                </c:pt>
                <c:pt idx="10" formatCode="_(* #,##0.0_);_(* \(#,##0.0\);_(* &quot;-&quot;??_);_(@_)">
                  <c:v>0</c:v>
                </c:pt>
                <c:pt idx="11" formatCode="_(* #,##0.0_);_(* \(#,##0.0\);_(* &quot;-&quot;??_);_(@_)">
                  <c:v>0</c:v>
                </c:pt>
                <c:pt idx="12" formatCode="_(* #,##0.0_);_(* \(#,##0.0\);_(* &quot;-&quot;??_);_(@_)">
                  <c:v>0</c:v>
                </c:pt>
                <c:pt idx="13" formatCode="_(* #,##0.0_);_(* \(#,##0.0\);_(* &quot;-&quot;??_);_(@_)">
                  <c:v>0</c:v>
                </c:pt>
                <c:pt idx="14" formatCode="_(* #,##0.0_);_(* \(#,##0.0\);_(* &quot;-&quot;??_);_(@_)">
                  <c:v>0</c:v>
                </c:pt>
                <c:pt idx="15" formatCode="_(* #,##0.0_);_(* \(#,##0.0\);_(* &quot;-&quot;??_);_(@_)">
                  <c:v>0</c:v>
                </c:pt>
                <c:pt idx="16" formatCode="_(* #,##0.0_);_(* \(#,##0.0\);_(* &quot;-&quot;??_);_(@_)">
                  <c:v>0</c:v>
                </c:pt>
                <c:pt idx="17" formatCode="_(* #,##0.0_);_(* \(#,##0.0\);_(* &quot;-&quot;??_);_(@_)">
                  <c:v>0</c:v>
                </c:pt>
                <c:pt idx="18" formatCode="_(* #,##0.0_);_(* \(#,##0.0\);_(* &quot;-&quot;??_);_(@_)">
                  <c:v>0</c:v>
                </c:pt>
                <c:pt idx="19" formatCode="_(* #,##0.0_);_(* \(#,##0.0\);_(* &quot;-&quot;??_);_(@_)">
                  <c:v>0</c:v>
                </c:pt>
                <c:pt idx="20" formatCode="_(* #,##0.0_);_(* \(#,##0.0\);_(* &quot;-&quot;??_);_(@_)">
                  <c:v>0</c:v>
                </c:pt>
                <c:pt idx="21" formatCode="_(* #,##0.0_);_(* \(#,##0.0\);_(* &quot;-&quot;??_);_(@_)">
                  <c:v>0</c:v>
                </c:pt>
                <c:pt idx="22" formatCode="_(* #,##0.0_);_(* \(#,##0.0\);_(* &quot;-&quot;??_);_(@_)">
                  <c:v>0</c:v>
                </c:pt>
                <c:pt idx="23" formatCode="_(* #,##0.0_);_(* \(#,##0.0\);_(* &quot;-&quot;??_);_(@_)">
                  <c:v>0</c:v>
                </c:pt>
                <c:pt idx="24" formatCode="_(* #,##0.0_);_(* \(#,##0.0\);_(* &quot;-&quot;??_);_(@_)">
                  <c:v>0</c:v>
                </c:pt>
                <c:pt idx="25" formatCode="_(* #,##0.0_);_(* \(#,##0.0\);_(* &quot;-&quot;??_);_(@_)">
                  <c:v>0</c:v>
                </c:pt>
                <c:pt idx="26" formatCode="_(* #,##0.0_);_(* \(#,##0.0\);_(* &quot;-&quot;??_);_(@_)">
                  <c:v>0</c:v>
                </c:pt>
                <c:pt idx="27" formatCode="_(* #,##0.0_);_(* \(#,##0.0\);_(* &quot;-&quot;??_);_(@_)">
                  <c:v>0</c:v>
                </c:pt>
                <c:pt idx="28" formatCode="_(* #,##0.0_);_(* \(#,##0.0\);_(* &quot;-&quot;??_);_(@_)">
                  <c:v>0</c:v>
                </c:pt>
                <c:pt idx="29" formatCode="_(* #,##0.0_);_(* \(#,##0.0\);_(* &quot;-&quot;??_);_(@_)">
                  <c:v>0</c:v>
                </c:pt>
                <c:pt idx="30" formatCode="_(* #,##0.0_);_(* \(#,##0.0\);_(* &quot;-&quot;??_);_(@_)">
                  <c:v>0</c:v>
                </c:pt>
                <c:pt idx="31" formatCode="_(* #,##0.0_);_(* \(#,##0.0\);_(* &quot;-&quot;??_);_(@_)">
                  <c:v>0</c:v>
                </c:pt>
                <c:pt idx="32" formatCode="_(* #,##0.0_);_(* \(#,##0.0\);_(* &quot;-&quot;??_);_(@_)">
                  <c:v>0</c:v>
                </c:pt>
                <c:pt idx="33" formatCode="_(* #,##0.0_);_(* \(#,##0.0\);_(* &quot;-&quot;??_);_(@_)">
                  <c:v>0</c:v>
                </c:pt>
                <c:pt idx="34" formatCode="_(* #,##0.0_);_(* \(#,##0.0\);_(* &quot;-&quot;??_);_(@_)">
                  <c:v>0</c:v>
                </c:pt>
                <c:pt idx="35" formatCode="_(* #,##0.0_);_(* \(#,##0.0\);_(* &quot;-&quot;??_);_(@_)">
                  <c:v>0</c:v>
                </c:pt>
                <c:pt idx="36" formatCode="_(* #,##0.0_);_(* \(#,##0.0\);_(* &quot;-&quot;??_);_(@_)">
                  <c:v>0</c:v>
                </c:pt>
                <c:pt idx="37" formatCode="_(* #,##0.0_);_(* \(#,##0.0\);_(* &quot;-&quot;??_);_(@_)">
                  <c:v>0</c:v>
                </c:pt>
                <c:pt idx="38" formatCode="_(* #,##0.0_);_(* \(#,##0.0\);_(* &quot;-&quot;??_);_(@_)">
                  <c:v>0</c:v>
                </c:pt>
                <c:pt idx="39" formatCode="_(* #,##0.0_);_(* \(#,##0.0\);_(* &quot;-&quot;??_);_(@_)">
                  <c:v>0</c:v>
                </c:pt>
                <c:pt idx="40" formatCode="_(* #,##0.0_);_(* \(#,##0.0\);_(* &quot;-&quot;??_);_(@_)">
                  <c:v>0</c:v>
                </c:pt>
                <c:pt idx="41" formatCode="_(* #,##0.0_);_(* \(#,##0.0\);_(* &quot;-&quot;??_);_(@_)">
                  <c:v>0</c:v>
                </c:pt>
                <c:pt idx="42" formatCode="_(* #,##0.0_);_(* \(#,##0.0\);_(* &quot;-&quot;??_);_(@_)">
                  <c:v>0</c:v>
                </c:pt>
                <c:pt idx="43" formatCode="_(* #,##0.0_);_(* \(#,##0.0\);_(* &quot;-&quot;??_);_(@_)">
                  <c:v>0</c:v>
                </c:pt>
                <c:pt idx="44" formatCode="_(* #,##0.0_);_(* \(#,##0.0\);_(* &quot;-&quot;??_);_(@_)">
                  <c:v>0</c:v>
                </c:pt>
                <c:pt idx="45" formatCode="_(* #,##0.0_);_(* \(#,##0.0\);_(* &quot;-&quot;??_);_(@_)">
                  <c:v>0</c:v>
                </c:pt>
                <c:pt idx="46" formatCode="_(* #,##0.0_);_(* \(#,##0.0\);_(* &quot;-&quot;??_);_(@_)">
                  <c:v>0</c:v>
                </c:pt>
                <c:pt idx="47" formatCode="_(* #,##0.0_);_(* \(#,##0.0\);_(* &quot;-&quot;??_);_(@_)">
                  <c:v>0</c:v>
                </c:pt>
                <c:pt idx="48" formatCode="_(* #,##0.0_);_(* \(#,##0.0\);_(* &quot;-&quot;??_);_(@_)">
                  <c:v>0</c:v>
                </c:pt>
                <c:pt idx="49" formatCode="_(* #,##0.0_);_(* \(#,##0.0\);_(* &quot;-&quot;??_);_(@_)">
                  <c:v>0</c:v>
                </c:pt>
                <c:pt idx="50" formatCode="_(* #,##0.0_);_(* \(#,##0.0\);_(* &quot;-&quot;??_);_(@_)">
                  <c:v>0</c:v>
                </c:pt>
                <c:pt idx="51" formatCode="_(* #,##0.0_);_(* \(#,##0.0\);_(* &quot;-&quot;??_);_(@_)">
                  <c:v>0</c:v>
                </c:pt>
                <c:pt idx="52" formatCode="_(* #,##0.0_);_(* \(#,##0.0\);_(* &quot;-&quot;??_);_(@_)">
                  <c:v>0</c:v>
                </c:pt>
                <c:pt idx="53" formatCode="_(* #,##0.0_);_(* \(#,##0.0\);_(* &quot;-&quot;??_);_(@_)">
                  <c:v>0</c:v>
                </c:pt>
                <c:pt idx="54" formatCode="_(* #,##0.0_);_(* \(#,##0.0\);_(* &quot;-&quot;??_);_(@_)">
                  <c:v>0</c:v>
                </c:pt>
                <c:pt idx="55" formatCode="_(* #,##0.0_);_(* \(#,##0.0\);_(* &quot;-&quot;??_);_(@_)">
                  <c:v>0</c:v>
                </c:pt>
                <c:pt idx="56" formatCode="_(* #,##0.0_);_(* \(#,##0.0\);_(* &quot;-&quot;??_);_(@_)">
                  <c:v>0</c:v>
                </c:pt>
                <c:pt idx="57" formatCode="_(* #,##0.0_);_(* \(#,##0.0\);_(* &quot;-&quot;??_);_(@_)">
                  <c:v>0</c:v>
                </c:pt>
                <c:pt idx="58" formatCode="_(* #,##0.0_);_(* \(#,##0.0\);_(* &quot;-&quot;??_);_(@_)">
                  <c:v>0</c:v>
                </c:pt>
                <c:pt idx="59" formatCode="_(* #,##0.0_);_(* \(#,##0.0\);_(* &quot;-&quot;??_);_(@_)">
                  <c:v>0</c:v>
                </c:pt>
                <c:pt idx="60" formatCode="_(* #,##0.0_);_(* \(#,##0.0\);_(* &quot;-&quot;??_);_(@_)">
                  <c:v>0</c:v>
                </c:pt>
                <c:pt idx="61" formatCode="_(* #,##0.0_);_(* \(#,##0.0\);_(* &quot;-&quot;??_);_(@_)">
                  <c:v>0</c:v>
                </c:pt>
                <c:pt idx="62" formatCode="_(* #,##0.0_);_(* \(#,##0.0\);_(* &quot;-&quot;??_);_(@_)">
                  <c:v>0</c:v>
                </c:pt>
                <c:pt idx="63" formatCode="_(* #,##0.0_);_(* \(#,##0.0\);_(* &quot;-&quot;??_);_(@_)">
                  <c:v>0</c:v>
                </c:pt>
                <c:pt idx="64" formatCode="_(* #,##0.0_);_(* \(#,##0.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46-417B-8933-047DF1B90A20}"/>
            </c:ext>
          </c:extLst>
        </c:ser>
        <c:ser>
          <c:idx val="17"/>
          <c:order val="17"/>
          <c:invertIfNegative val="0"/>
          <c:val>
            <c:numRef>
              <c:f>Chanho!$S$1:$S$66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61.079000000000008</c:v>
                </c:pt>
                <c:pt idx="4" formatCode="0.00">
                  <c:v>35.0715</c:v>
                </c:pt>
                <c:pt idx="5" formatCode="0.00">
                  <c:v>57.731500000000011</c:v>
                </c:pt>
                <c:pt idx="6" formatCode="0.00">
                  <c:v>40.860100000000003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46-417B-8933-047DF1B90A20}"/>
            </c:ext>
          </c:extLst>
        </c:ser>
        <c:ser>
          <c:idx val="18"/>
          <c:order val="18"/>
          <c:invertIfNegative val="0"/>
          <c:val>
            <c:numRef>
              <c:f>Chanho!$T$1:$T$66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121.93139999999998</c:v>
                </c:pt>
                <c:pt idx="4" formatCode="0.00">
                  <c:v>74.788299999999992</c:v>
                </c:pt>
                <c:pt idx="5" formatCode="0.00">
                  <c:v>113.6914</c:v>
                </c:pt>
                <c:pt idx="6" formatCode="0.00">
                  <c:v>87.673599999999979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746-417B-8933-047DF1B90A20}"/>
            </c:ext>
          </c:extLst>
        </c:ser>
        <c:ser>
          <c:idx val="19"/>
          <c:order val="19"/>
          <c:invertIfNegative val="0"/>
          <c:val>
            <c:numRef>
              <c:f>Chanho!$U$1:$U$66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746-417B-8933-047DF1B90A20}"/>
            </c:ext>
          </c:extLst>
        </c:ser>
        <c:ser>
          <c:idx val="20"/>
          <c:order val="20"/>
          <c:invertIfNegative val="0"/>
          <c:val>
            <c:numRef>
              <c:f>Chanho!$V$1:$V$66</c:f>
              <c:numCache>
                <c:formatCode>General</c:formatCode>
                <c:ptCount val="66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746-417B-8933-047DF1B90A20}"/>
            </c:ext>
          </c:extLst>
        </c:ser>
        <c:ser>
          <c:idx val="21"/>
          <c:order val="21"/>
          <c:invertIfNegative val="0"/>
          <c:val>
            <c:numRef>
              <c:f>Chanho!$W$1:$W$66</c:f>
              <c:numCache>
                <c:formatCode>General</c:formatCode>
                <c:ptCount val="66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746-417B-8933-047DF1B90A20}"/>
            </c:ext>
          </c:extLst>
        </c:ser>
        <c:ser>
          <c:idx val="22"/>
          <c:order val="22"/>
          <c:invertIfNegative val="0"/>
          <c:val>
            <c:numRef>
              <c:f>Chanho!$X$1:$X$66</c:f>
              <c:numCache>
                <c:formatCode>General</c:formatCode>
                <c:ptCount val="66"/>
                <c:pt idx="2">
                  <c:v>0</c:v>
                </c:pt>
                <c:pt idx="3" formatCode="0">
                  <c:v>2270</c:v>
                </c:pt>
                <c:pt idx="5" formatCode="0">
                  <c:v>2260</c:v>
                </c:pt>
                <c:pt idx="65" formatCode="0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746-417B-8933-047DF1B90A20}"/>
            </c:ext>
          </c:extLst>
        </c:ser>
        <c:ser>
          <c:idx val="23"/>
          <c:order val="23"/>
          <c:invertIfNegative val="0"/>
          <c:val>
            <c:numRef>
              <c:f>Chanho!$Y$1:$Y$66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4.2</c:v>
                </c:pt>
                <c:pt idx="5" formatCode="0.00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746-417B-8933-047DF1B90A20}"/>
            </c:ext>
          </c:extLst>
        </c:ser>
        <c:ser>
          <c:idx val="24"/>
          <c:order val="24"/>
          <c:invertIfNegative val="0"/>
          <c:val>
            <c:numRef>
              <c:f>Chanho!$Z$1:$Z$66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8.5</c:v>
                </c:pt>
                <c:pt idx="5" formatCode="0.00">
                  <c:v>8.3699999999999992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746-417B-8933-047DF1B90A20}"/>
            </c:ext>
          </c:extLst>
        </c:ser>
        <c:ser>
          <c:idx val="25"/>
          <c:order val="25"/>
          <c:invertIfNegative val="0"/>
          <c:val>
            <c:numRef>
              <c:f>Chanho!$AA$1:$AA$66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95.34</c:v>
                </c:pt>
                <c:pt idx="4" formatCode="0.00">
                  <c:v>0</c:v>
                </c:pt>
                <c:pt idx="5" formatCode="0.00">
                  <c:v>94.92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746-417B-8933-047DF1B90A20}"/>
            </c:ext>
          </c:extLst>
        </c:ser>
        <c:ser>
          <c:idx val="26"/>
          <c:order val="26"/>
          <c:invertIfNegative val="0"/>
          <c:val>
            <c:numRef>
              <c:f>Chanho!$AB$1:$AB$66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192.95000000000002</c:v>
                </c:pt>
                <c:pt idx="4" formatCode="0.00">
                  <c:v>0</c:v>
                </c:pt>
                <c:pt idx="5" formatCode="0.00">
                  <c:v>189.16200000000001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746-417B-8933-047DF1B90A20}"/>
            </c:ext>
          </c:extLst>
        </c:ser>
        <c:ser>
          <c:idx val="27"/>
          <c:order val="27"/>
          <c:invertIfNegative val="0"/>
          <c:val>
            <c:numRef>
              <c:f>Chanho!$AC$1:$AC$66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">
                  <c:v>2267</c:v>
                </c:pt>
                <c:pt idx="5" formatCode="0.00">
                  <c:v>2285</c:v>
                </c:pt>
                <c:pt idx="65" formatCode="0.00">
                  <c:v>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746-417B-8933-047DF1B90A20}"/>
            </c:ext>
          </c:extLst>
        </c:ser>
        <c:ser>
          <c:idx val="28"/>
          <c:order val="28"/>
          <c:invertIfNegative val="0"/>
          <c:val>
            <c:numRef>
              <c:f>Chanho!$AD$1:$AD$66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4.1399999999999997</c:v>
                </c:pt>
                <c:pt idx="5" formatCode="0.00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746-417B-8933-047DF1B90A20}"/>
            </c:ext>
          </c:extLst>
        </c:ser>
        <c:ser>
          <c:idx val="29"/>
          <c:order val="29"/>
          <c:invertIfNegative val="0"/>
          <c:val>
            <c:numRef>
              <c:f>Chanho!$AE$1:$AE$66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8.42</c:v>
                </c:pt>
                <c:pt idx="5" formatCode="0.00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746-417B-8933-047DF1B90A20}"/>
            </c:ext>
          </c:extLst>
        </c:ser>
        <c:ser>
          <c:idx val="30"/>
          <c:order val="30"/>
          <c:invertIfNegative val="0"/>
          <c:val>
            <c:numRef>
              <c:f>Chanho!$AF$1:$AF$66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93.853799999999993</c:v>
                </c:pt>
                <c:pt idx="4" formatCode="0.00">
                  <c:v>0</c:v>
                </c:pt>
                <c:pt idx="5" formatCode="0.00">
                  <c:v>92.999499999999998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746-417B-8933-047DF1B90A20}"/>
            </c:ext>
          </c:extLst>
        </c:ser>
        <c:ser>
          <c:idx val="31"/>
          <c:order val="31"/>
          <c:invertIfNegative val="0"/>
          <c:val>
            <c:numRef>
              <c:f>Chanho!$AG$1:$AG$66</c:f>
              <c:numCache>
                <c:formatCode>General</c:formatCode>
                <c:ptCount val="66"/>
                <c:pt idx="0">
                  <c:v>392</c:v>
                </c:pt>
                <c:pt idx="2">
                  <c:v>0</c:v>
                </c:pt>
                <c:pt idx="3" formatCode="0.00">
                  <c:v>190.88139999999999</c:v>
                </c:pt>
                <c:pt idx="4" formatCode="0.00">
                  <c:v>0</c:v>
                </c:pt>
                <c:pt idx="5" formatCode="0.00">
                  <c:v>186.68449999999999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746-417B-8933-047DF1B90A20}"/>
            </c:ext>
          </c:extLst>
        </c:ser>
        <c:ser>
          <c:idx val="32"/>
          <c:order val="32"/>
          <c:invertIfNegative val="0"/>
          <c:val>
            <c:numRef>
              <c:f>Chanho!$AH$1:$AH$66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">
                  <c:v>0</c:v>
                </c:pt>
                <c:pt idx="4" formatCode="0">
                  <c:v>900.03</c:v>
                </c:pt>
                <c:pt idx="5" formatCode="0">
                  <c:v>0</c:v>
                </c:pt>
                <c:pt idx="6" formatCode="0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746-417B-8933-047DF1B90A20}"/>
            </c:ext>
          </c:extLst>
        </c:ser>
        <c:ser>
          <c:idx val="33"/>
          <c:order val="33"/>
          <c:invertIfNegative val="0"/>
          <c:val>
            <c:numRef>
              <c:f>Chanho!$AI$1:$AI$66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0</c:v>
                </c:pt>
                <c:pt idx="4" formatCode="0.00">
                  <c:v>3.9</c:v>
                </c:pt>
                <c:pt idx="5" formatCode="0.00">
                  <c:v>0</c:v>
                </c:pt>
                <c:pt idx="6" formatCode="0.00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746-417B-8933-047DF1B90A20}"/>
            </c:ext>
          </c:extLst>
        </c:ser>
        <c:ser>
          <c:idx val="34"/>
          <c:order val="34"/>
          <c:invertIfNegative val="0"/>
          <c:val>
            <c:numRef>
              <c:f>Chanho!$AJ$1:$AJ$66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0</c:v>
                </c:pt>
                <c:pt idx="4" formatCode="0.00">
                  <c:v>8.31</c:v>
                </c:pt>
                <c:pt idx="5" formatCode="0.00">
                  <c:v>0</c:v>
                </c:pt>
                <c:pt idx="6" formatCode="0.00">
                  <c:v>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746-417B-8933-047DF1B90A20}"/>
            </c:ext>
          </c:extLst>
        </c:ser>
        <c:ser>
          <c:idx val="35"/>
          <c:order val="35"/>
          <c:invertIfNegative val="0"/>
          <c:val>
            <c:numRef>
              <c:f>Chanho!$AK$1:$AK$66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0</c:v>
                </c:pt>
                <c:pt idx="4" formatCode="0.00">
                  <c:v>35.101169999999996</c:v>
                </c:pt>
                <c:pt idx="5" formatCode="0.00">
                  <c:v>0</c:v>
                </c:pt>
                <c:pt idx="6" formatCode="0.00">
                  <c:v>40.120000000000005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746-417B-8933-047DF1B90A20}"/>
            </c:ext>
          </c:extLst>
        </c:ser>
        <c:ser>
          <c:idx val="36"/>
          <c:order val="36"/>
          <c:invertIfNegative val="0"/>
          <c:val>
            <c:numRef>
              <c:f>Chanho!$AL$1:$AL$66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0</c:v>
                </c:pt>
                <c:pt idx="4" formatCode="0.00">
                  <c:v>74.792493000000007</c:v>
                </c:pt>
                <c:pt idx="5" formatCode="0.00">
                  <c:v>0</c:v>
                </c:pt>
                <c:pt idx="6" formatCode="0.00">
                  <c:v>80.900800000000004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746-417B-8933-047DF1B90A20}"/>
            </c:ext>
          </c:extLst>
        </c:ser>
        <c:ser>
          <c:idx val="37"/>
          <c:order val="37"/>
          <c:invertIfNegative val="0"/>
          <c:val>
            <c:numRef>
              <c:f>Chanho!$AM$1:$AM$66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.0">
                  <c:v>-89.439200000000255</c:v>
                </c:pt>
                <c:pt idx="4" formatCode="0.0">
                  <c:v>4.6000000000958607E-3</c:v>
                </c:pt>
                <c:pt idx="5" formatCode="0.0">
                  <c:v>-37.585799999999836</c:v>
                </c:pt>
                <c:pt idx="6" formatCode="0.0">
                  <c:v>110.32860000000005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0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_(* #,##0_);_(* \(#,##0\);_(* &quot;-&quot;??_);_(@_)">
                  <c:v>16.691799999999944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746-417B-8933-047DF1B90A20}"/>
            </c:ext>
          </c:extLst>
        </c:ser>
        <c:ser>
          <c:idx val="38"/>
          <c:order val="38"/>
          <c:invertIfNegative val="0"/>
          <c:val>
            <c:numRef>
              <c:f>Chanho!$AN$1:$AN$66</c:f>
              <c:numCache>
                <c:formatCode>General</c:formatCode>
                <c:ptCount val="66"/>
                <c:pt idx="2">
                  <c:v>0</c:v>
                </c:pt>
                <c:pt idx="3" formatCode="0.0">
                  <c:v>-3.0177999999999798</c:v>
                </c:pt>
                <c:pt idx="4" formatCode="0.0">
                  <c:v>-2.9669999999995866E-2</c:v>
                </c:pt>
                <c:pt idx="5" formatCode="0.0">
                  <c:v>-0.16682999999999026</c:v>
                </c:pt>
                <c:pt idx="6" formatCode="0.0">
                  <c:v>0.7400999999999982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0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_(* #,##0_);_(* \(#,##0\);_(* &quot;-&quot;??_);_(@_)">
                  <c:v>2.4741999999999678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746-417B-8933-047DF1B90A20}"/>
            </c:ext>
          </c:extLst>
        </c:ser>
        <c:ser>
          <c:idx val="39"/>
          <c:order val="39"/>
          <c:invertIfNegative val="0"/>
          <c:val>
            <c:numRef>
              <c:f>Chanho!$AO$1:$AO$66</c:f>
              <c:numCache>
                <c:formatCode>General</c:formatCode>
                <c:ptCount val="66"/>
                <c:pt idx="2">
                  <c:v>0</c:v>
                </c:pt>
                <c:pt idx="3" formatCode="0.0">
                  <c:v>-5.1632000000000176</c:v>
                </c:pt>
                <c:pt idx="4" formatCode="0.0">
                  <c:v>-4.1930000000149903E-3</c:v>
                </c:pt>
                <c:pt idx="5" formatCode="0.0">
                  <c:v>1.7993930000000375</c:v>
                </c:pt>
                <c:pt idx="6" formatCode="0.0">
                  <c:v>6.7727999999999753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0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_(* #,##0_);_(* \(#,##0\);_(* &quot;-&quot;??_);_(@_)">
                  <c:v>-3.4047999999999803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746-417B-8933-047DF1B90A20}"/>
            </c:ext>
          </c:extLst>
        </c:ser>
        <c:ser>
          <c:idx val="40"/>
          <c:order val="40"/>
          <c:invertIfNegative val="0"/>
          <c:val>
            <c:numRef>
              <c:f>Chanho!$AP$1:$AP$66</c:f>
              <c:numCache>
                <c:formatCode>General</c:formatCode>
                <c:ptCount val="66"/>
                <c:pt idx="0" formatCode="0">
                  <c:v>450</c:v>
                </c:pt>
                <c:pt idx="2">
                  <c:v>0</c:v>
                </c:pt>
                <c:pt idx="3" formatCode="0.0%">
                  <c:v>-4.4702377569799299E-2</c:v>
                </c:pt>
                <c:pt idx="4" formatCode="0.0%">
                  <c:v>-3.082383182930504E-4</c:v>
                </c:pt>
                <c:pt idx="5" formatCode="0.0%">
                  <c:v>9.5235992390751006E-3</c:v>
                </c:pt>
                <c:pt idx="6" formatCode="0.0%">
                  <c:v>5.8450818734697395E-2</c:v>
                </c:pt>
                <c:pt idx="7" formatCode="0.0%">
                  <c:v>0</c:v>
                </c:pt>
                <c:pt idx="8" formatCode="0.0%">
                  <c:v>0</c:v>
                </c:pt>
                <c:pt idx="9" formatCode="0.0%">
                  <c:v>0</c:v>
                </c:pt>
                <c:pt idx="10" formatCode="0.0%">
                  <c:v>0</c:v>
                </c:pt>
                <c:pt idx="11" formatCode="0.0%">
                  <c:v>0</c:v>
                </c:pt>
                <c:pt idx="12" formatCode="0.0%">
                  <c:v>0</c:v>
                </c:pt>
                <c:pt idx="13" formatCode="0.0%">
                  <c:v>0</c:v>
                </c:pt>
                <c:pt idx="14" formatCode="0.0%">
                  <c:v>0</c:v>
                </c:pt>
                <c:pt idx="15" formatCode="0.0%">
                  <c:v>0</c:v>
                </c:pt>
                <c:pt idx="16" formatCode="0.0%">
                  <c:v>0</c:v>
                </c:pt>
                <c:pt idx="17" formatCode="0.0%">
                  <c:v>0</c:v>
                </c:pt>
                <c:pt idx="18" formatCode="0.0%">
                  <c:v>0</c:v>
                </c:pt>
                <c:pt idx="19" formatCode="0.0%">
                  <c:v>0</c:v>
                </c:pt>
                <c:pt idx="20" formatCode="0.0%">
                  <c:v>0</c:v>
                </c:pt>
                <c:pt idx="21" formatCode="0.0%">
                  <c:v>0</c:v>
                </c:pt>
                <c:pt idx="22" formatCode="0.0%">
                  <c:v>0</c:v>
                </c:pt>
                <c:pt idx="23" formatCode="0.0%">
                  <c:v>0</c:v>
                </c:pt>
                <c:pt idx="24" formatCode="0.0%">
                  <c:v>0</c:v>
                </c:pt>
                <c:pt idx="25" formatCode="0.0%">
                  <c:v>0</c:v>
                </c:pt>
                <c:pt idx="26" formatCode="0.0%">
                  <c:v>0</c:v>
                </c:pt>
                <c:pt idx="27" formatCode="0.0%">
                  <c:v>0</c:v>
                </c:pt>
                <c:pt idx="28" formatCode="0.0%">
                  <c:v>0</c:v>
                </c:pt>
                <c:pt idx="29" formatCode="0.0%">
                  <c:v>0</c:v>
                </c:pt>
                <c:pt idx="30" formatCode="0.0%">
                  <c:v>0</c:v>
                </c:pt>
                <c:pt idx="31" formatCode="0.0%">
                  <c:v>0</c:v>
                </c:pt>
                <c:pt idx="32" formatCode="0.0%">
                  <c:v>0</c:v>
                </c:pt>
                <c:pt idx="33" formatCode="0.0%">
                  <c:v>0</c:v>
                </c:pt>
                <c:pt idx="34" formatCode="0.0%">
                  <c:v>0</c:v>
                </c:pt>
                <c:pt idx="35" formatCode="0.0%">
                  <c:v>0</c:v>
                </c:pt>
                <c:pt idx="36" formatCode="0.0%">
                  <c:v>0</c:v>
                </c:pt>
                <c:pt idx="37" formatCode="0.0%">
                  <c:v>0</c:v>
                </c:pt>
                <c:pt idx="38" formatCode="0.0%">
                  <c:v>0</c:v>
                </c:pt>
                <c:pt idx="39" formatCode="0.0%">
                  <c:v>0</c:v>
                </c:pt>
                <c:pt idx="40" formatCode="0.0%">
                  <c:v>0</c:v>
                </c:pt>
                <c:pt idx="41" formatCode="0.0%">
                  <c:v>0</c:v>
                </c:pt>
                <c:pt idx="42" formatCode="0.0%">
                  <c:v>0</c:v>
                </c:pt>
                <c:pt idx="43" formatCode="0.0%">
                  <c:v>0</c:v>
                </c:pt>
                <c:pt idx="44" formatCode="0.0%">
                  <c:v>0</c:v>
                </c:pt>
                <c:pt idx="45" formatCode="0.0%">
                  <c:v>0</c:v>
                </c:pt>
                <c:pt idx="46" formatCode="0.0%">
                  <c:v>0</c:v>
                </c:pt>
                <c:pt idx="47" formatCode="0.0%">
                  <c:v>0</c:v>
                </c:pt>
                <c:pt idx="48" formatCode="0.0%">
                  <c:v>0</c:v>
                </c:pt>
                <c:pt idx="49" formatCode="0.0%">
                  <c:v>0</c:v>
                </c:pt>
                <c:pt idx="50" formatCode="0.0%">
                  <c:v>0</c:v>
                </c:pt>
                <c:pt idx="51" formatCode="0.0%">
                  <c:v>0</c:v>
                </c:pt>
                <c:pt idx="52" formatCode="0.0%">
                  <c:v>0</c:v>
                </c:pt>
                <c:pt idx="53" formatCode="0.0%">
                  <c:v>0</c:v>
                </c:pt>
                <c:pt idx="54" formatCode="0.0%">
                  <c:v>0</c:v>
                </c:pt>
                <c:pt idx="55" formatCode="0.0%">
                  <c:v>0</c:v>
                </c:pt>
                <c:pt idx="56" formatCode="0.0%">
                  <c:v>0</c:v>
                </c:pt>
                <c:pt idx="57" formatCode="0.0%">
                  <c:v>0</c:v>
                </c:pt>
                <c:pt idx="58" formatCode="0.0%">
                  <c:v>0</c:v>
                </c:pt>
                <c:pt idx="59" formatCode="0.0%">
                  <c:v>0</c:v>
                </c:pt>
                <c:pt idx="60" formatCode="0.0%">
                  <c:v>0</c:v>
                </c:pt>
                <c:pt idx="61" formatCode="0.0%">
                  <c:v>0</c:v>
                </c:pt>
                <c:pt idx="62" formatCode="0.0%">
                  <c:v>0</c:v>
                </c:pt>
                <c:pt idx="63" formatCode="0.0%">
                  <c:v>0</c:v>
                </c:pt>
                <c:pt idx="64" formatCode="0.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746-417B-8933-047DF1B90A20}"/>
            </c:ext>
          </c:extLst>
        </c:ser>
        <c:ser>
          <c:idx val="41"/>
          <c:order val="41"/>
          <c:invertIfNegative val="0"/>
          <c:val>
            <c:numRef>
              <c:f>Chanho!$AQ$1:$AQ$66</c:f>
              <c:numCache>
                <c:formatCode>General</c:formatCode>
                <c:ptCount val="66"/>
                <c:pt idx="0" formatCode="0">
                  <c:v>300</c:v>
                </c:pt>
                <c:pt idx="2">
                  <c:v>0</c:v>
                </c:pt>
                <c:pt idx="3" formatCode="_(* #,##0_);_(* \(#,##0\);_(* &quot;-&quot;??_);_(@_)">
                  <c:v>-2906.9699999999962</c:v>
                </c:pt>
                <c:pt idx="4" formatCode="_(* #,##0_);_(* \(#,##0\);_(* &quot;-&quot;??_);_(@_)">
                  <c:v>-14.609400000002637</c:v>
                </c:pt>
                <c:pt idx="5" formatCode="_(* #,##0_);_(* \(#,##0\);_(* &quot;-&quot;??_);_(@_)">
                  <c:v>464.74440000001562</c:v>
                </c:pt>
                <c:pt idx="6" formatCode="_(* #,##0_);_(* \(#,##0\);_(* &quot;-&quot;??_);_(@_)">
                  <c:v>2364.884999999992</c:v>
                </c:pt>
                <c:pt idx="7" formatCode="_(* #,##0_);_(* \(#,##0\);_(* &quot;-&quot;??_);_(@_)">
                  <c:v>0</c:v>
                </c:pt>
                <c:pt idx="8" formatCode="_(* #,##0_);_(* \(#,##0\);_(* &quot;-&quot;??_);_(@_)">
                  <c:v>0</c:v>
                </c:pt>
                <c:pt idx="9" formatCode="_(* #,##0_);_(* \(#,##0\);_(* &quot;-&quot;??_);_(@_)">
                  <c:v>0</c:v>
                </c:pt>
                <c:pt idx="10" formatCode="_(* #,##0_);_(* \(#,##0\);_(* &quot;-&quot;??_);_(@_)">
                  <c:v>0</c:v>
                </c:pt>
                <c:pt idx="11" formatCode="_(* #,##0_);_(* \(#,##0\);_(* &quot;-&quot;??_);_(@_)">
                  <c:v>0</c:v>
                </c:pt>
                <c:pt idx="12" formatCode="_(* #,##0_);_(* \(#,##0\);_(* &quot;-&quot;??_);_(@_)">
                  <c:v>0</c:v>
                </c:pt>
                <c:pt idx="13" formatCode="_(* #,##0_);_(* \(#,##0\);_(* &quot;-&quot;??_);_(@_)">
                  <c:v>0</c:v>
                </c:pt>
                <c:pt idx="14" formatCode="_(* #,##0_);_(* \(#,##0\);_(* &quot;-&quot;??_);_(@_)">
                  <c:v>0</c:v>
                </c:pt>
                <c:pt idx="15" formatCode="_(* #,##0_);_(* \(#,##0\);_(* &quot;-&quot;??_);_(@_)">
                  <c:v>0</c:v>
                </c:pt>
                <c:pt idx="16" formatCode="_(* #,##0_);_(* \(#,##0\);_(* &quot;-&quot;??_);_(@_)">
                  <c:v>0</c:v>
                </c:pt>
                <c:pt idx="17" formatCode="_(* #,##0_);_(* \(#,##0\);_(* &quot;-&quot;??_);_(@_)">
                  <c:v>0</c:v>
                </c:pt>
                <c:pt idx="18" formatCode="_(* #,##0_);_(* \(#,##0\);_(* &quot;-&quot;??_);_(@_)">
                  <c:v>0</c:v>
                </c:pt>
                <c:pt idx="19" formatCode="_(* #,##0_);_(* \(#,##0\);_(* &quot;-&quot;??_);_(@_)">
                  <c:v>0</c:v>
                </c:pt>
                <c:pt idx="20" formatCode="_(* #,##0_);_(* \(#,##0\);_(* &quot;-&quot;??_);_(@_)">
                  <c:v>0</c:v>
                </c:pt>
                <c:pt idx="21" formatCode="_(* #,##0_);_(* \(#,##0\);_(* &quot;-&quot;??_);_(@_)">
                  <c:v>0</c:v>
                </c:pt>
                <c:pt idx="22" formatCode="_(* #,##0_);_(* \(#,##0\);_(* &quot;-&quot;??_);_(@_)">
                  <c:v>0</c:v>
                </c:pt>
                <c:pt idx="23" formatCode="_(* #,##0_);_(* \(#,##0\);_(* &quot;-&quot;??_);_(@_)">
                  <c:v>0</c:v>
                </c:pt>
                <c:pt idx="24" formatCode="_(* #,##0_);_(* \(#,##0\);_(* &quot;-&quot;??_);_(@_)">
                  <c:v>0</c:v>
                </c:pt>
                <c:pt idx="25" formatCode="_(* #,##0_);_(* \(#,##0\);_(* &quot;-&quot;??_);_(@_)">
                  <c:v>0</c:v>
                </c:pt>
                <c:pt idx="26" formatCode="_(* #,##0_);_(* \(#,##0\);_(* &quot;-&quot;??_);_(@_)">
                  <c:v>0</c:v>
                </c:pt>
                <c:pt idx="27" formatCode="_(* #,##0_);_(* \(#,##0\);_(* &quot;-&quot;??_);_(@_)">
                  <c:v>0</c:v>
                </c:pt>
                <c:pt idx="28" formatCode="_(* #,##0_);_(* \(#,##0\);_(* &quot;-&quot;??_);_(@_)">
                  <c:v>0</c:v>
                </c:pt>
                <c:pt idx="29" formatCode="_(* #,##0_);_(* \(#,##0\);_(* &quot;-&quot;??_);_(@_)">
                  <c:v>0</c:v>
                </c:pt>
                <c:pt idx="30" formatCode="_(* #,##0_);_(* \(#,##0\);_(* &quot;-&quot;??_);_(@_)">
                  <c:v>0</c:v>
                </c:pt>
                <c:pt idx="31" formatCode="_(* #,##0_);_(* \(#,##0\);_(* &quot;-&quot;??_);_(@_)">
                  <c:v>0</c:v>
                </c:pt>
                <c:pt idx="32" formatCode="_(* #,##0_);_(* \(#,##0\);_(* &quot;-&quot;??_);_(@_)">
                  <c:v>0</c:v>
                </c:pt>
                <c:pt idx="33" formatCode="_(* #,##0_);_(* \(#,##0\);_(* &quot;-&quot;??_);_(@_)">
                  <c:v>0</c:v>
                </c:pt>
                <c:pt idx="34" formatCode="_(* #,##0_);_(* \(#,##0\);_(* &quot;-&quot;??_);_(@_)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0</c:v>
                </c:pt>
                <c:pt idx="54" formatCode="_(* #,##0_);_(* \(#,##0\);_(* &quot;-&quot;??_);_(@_)">
                  <c:v>0</c:v>
                </c:pt>
                <c:pt idx="55" formatCode="_(* #,##0_);_(* \(#,##0\);_(* &quot;-&quot;??_);_(@_)">
                  <c:v>0</c:v>
                </c:pt>
                <c:pt idx="56" formatCode="_(* #,##0_);_(* \(#,##0\);_(* &quot;-&quot;??_);_(@_)">
                  <c:v>0</c:v>
                </c:pt>
                <c:pt idx="57" formatCode="_(* #,##0_);_(* \(#,##0\);_(* &quot;-&quot;??_);_(@_)">
                  <c:v>0</c:v>
                </c:pt>
                <c:pt idx="58" formatCode="_(* #,##0_);_(* \(#,##0\);_(* &quot;-&quot;??_);_(@_)">
                  <c:v>0</c:v>
                </c:pt>
                <c:pt idx="59" formatCode="_(* #,##0_);_(* \(#,##0\);_(* &quot;-&quot;??_);_(@_)">
                  <c:v>0</c:v>
                </c:pt>
                <c:pt idx="60" formatCode="_(* #,##0_);_(* \(#,##0\);_(* &quot;-&quot;??_);_(@_)">
                  <c:v>0</c:v>
                </c:pt>
                <c:pt idx="61" formatCode="_(* #,##0_);_(* \(#,##0\);_(* &quot;-&quot;??_);_(@_)">
                  <c:v>0</c:v>
                </c:pt>
                <c:pt idx="62" formatCode="_(* #,##0_);_(* \(#,##0\);_(* &quot;-&quot;??_);_(@_)">
                  <c:v>0</c:v>
                </c:pt>
                <c:pt idx="63" formatCode="_(* #,##0_);_(* \(#,##0\);_(* &quot;-&quot;??_);_(@_)">
                  <c:v>0</c:v>
                </c:pt>
                <c:pt idx="64" formatCode="_(* #,##0_);_(* \(#,##0\);_(* &quot;-&quot;??_);_(@_)">
                  <c:v>0</c:v>
                </c:pt>
                <c:pt idx="65" formatCode="_(* #,##0_);_(* \(#,##0\);_(* &quot;-&quot;??_);_(@_)">
                  <c:v>91.949999999991178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746-417B-8933-047DF1B90A20}"/>
            </c:ext>
          </c:extLst>
        </c:ser>
        <c:ser>
          <c:idx val="42"/>
          <c:order val="42"/>
          <c:invertIfNegative val="0"/>
          <c:val>
            <c:numRef>
              <c:f>Chanho!$AR$1:$AR$66</c:f>
              <c:numCache>
                <c:formatCode>General</c:formatCode>
                <c:ptCount val="66"/>
                <c:pt idx="3" formatCode="0">
                  <c:v>-92.439200000000255</c:v>
                </c:pt>
                <c:pt idx="4" formatCode="0">
                  <c:v>4.6000000000958607E-3</c:v>
                </c:pt>
                <c:pt idx="5" formatCode="0">
                  <c:v>-12.585799999999836</c:v>
                </c:pt>
                <c:pt idx="6" formatCode="0">
                  <c:v>110.32860000000005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746-417B-8933-047DF1B9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665536"/>
        <c:axId val="157679616"/>
      </c:barChart>
      <c:catAx>
        <c:axId val="15766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157679616"/>
        <c:crosses val="autoZero"/>
        <c:auto val="1"/>
        <c:lblAlgn val="ctr"/>
        <c:lblOffset val="100"/>
        <c:noMultiLvlLbl val="0"/>
      </c:catAx>
      <c:valAx>
        <c:axId val="157679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157665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214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/>
  <dimension ref="A1:BN131"/>
  <sheetViews>
    <sheetView showGridLines="0" tabSelected="1" zoomScale="90" zoomScaleNormal="90" workbookViewId="0">
      <pane xSplit="4" ySplit="2" topLeftCell="E42" activePane="bottomRight" state="frozen"/>
      <selection pane="topRight" activeCell="C1" sqref="C1"/>
      <selection pane="bottomLeft" activeCell="A3" sqref="A3"/>
      <selection pane="bottomRight" activeCell="AF72" sqref="AF72"/>
    </sheetView>
  </sheetViews>
  <sheetFormatPr defaultColWidth="8.7109375" defaultRowHeight="12.75" x14ac:dyDescent="0.25"/>
  <cols>
    <col min="1" max="1" width="11.85546875" style="112" bestFit="1" customWidth="1"/>
    <col min="2" max="2" width="11.85546875" style="112" hidden="1" customWidth="1"/>
    <col min="3" max="3" width="11.85546875" style="112" customWidth="1"/>
    <col min="4" max="4" width="6.140625" style="112" customWidth="1"/>
    <col min="5" max="12" width="11.7109375" style="125" customWidth="1"/>
    <col min="13" max="13" width="11" style="112" customWidth="1"/>
    <col min="14" max="15" width="5.5703125" style="112" bestFit="1" customWidth="1"/>
    <col min="16" max="19" width="4.5703125" style="112" bestFit="1" customWidth="1"/>
    <col min="20" max="20" width="4.7109375" style="112" customWidth="1"/>
    <col min="21" max="21" width="2.5703125" style="112" bestFit="1" customWidth="1"/>
    <col min="22" max="25" width="2.85546875" style="112" bestFit="1" customWidth="1"/>
    <col min="26" max="26" width="5" style="112" bestFit="1" customWidth="1"/>
    <col min="27" max="27" width="4" style="112" bestFit="1" customWidth="1"/>
    <col min="28" max="28" width="6" style="112" bestFit="1" customWidth="1"/>
    <col min="29" max="29" width="5" style="112" bestFit="1" customWidth="1"/>
    <col min="30" max="31" width="6" style="112" bestFit="1" customWidth="1"/>
    <col min="32" max="32" width="3.85546875" style="112" bestFit="1" customWidth="1"/>
    <col min="33" max="33" width="5" style="112" bestFit="1" customWidth="1"/>
    <col min="34" max="54" width="3.85546875" style="112" bestFit="1" customWidth="1"/>
    <col min="55" max="65" width="4.85546875" style="112" bestFit="1" customWidth="1"/>
    <col min="66" max="66" width="11" style="112" bestFit="1" customWidth="1"/>
    <col min="67" max="16384" width="8.7109375" style="112"/>
  </cols>
  <sheetData>
    <row r="1" spans="1:17" ht="14.65" customHeight="1" x14ac:dyDescent="0.25"/>
    <row r="2" spans="1:17" ht="25.5" x14ac:dyDescent="0.25">
      <c r="A2" s="112" t="s">
        <v>85</v>
      </c>
      <c r="C2" s="120" t="s">
        <v>31</v>
      </c>
      <c r="D2" s="120" t="s">
        <v>32</v>
      </c>
      <c r="E2" s="121" t="s">
        <v>3</v>
      </c>
      <c r="F2" s="121" t="s">
        <v>5</v>
      </c>
      <c r="G2" s="121" t="s">
        <v>7</v>
      </c>
      <c r="H2" s="121" t="s">
        <v>9</v>
      </c>
      <c r="I2" s="121" t="s">
        <v>11</v>
      </c>
      <c r="J2" s="121" t="s">
        <v>13</v>
      </c>
      <c r="K2" s="121" t="s">
        <v>15</v>
      </c>
      <c r="L2" s="121" t="s">
        <v>80</v>
      </c>
      <c r="M2" s="113" t="s">
        <v>88</v>
      </c>
      <c r="N2" s="113"/>
      <c r="O2" s="113"/>
      <c r="P2" s="113"/>
      <c r="Q2" s="113"/>
    </row>
    <row r="3" spans="1:17" x14ac:dyDescent="0.25">
      <c r="A3" s="298" t="s">
        <v>131</v>
      </c>
      <c r="B3" s="288">
        <v>46174</v>
      </c>
      <c r="C3" s="114">
        <v>45717</v>
      </c>
      <c r="D3" s="115" t="s">
        <v>54</v>
      </c>
      <c r="E3" s="126">
        <f>Itki!AQ4</f>
        <v>2555.5500000000029</v>
      </c>
      <c r="F3" s="126">
        <f>Pali!AQ4</f>
        <v>-150.23249999996722</v>
      </c>
      <c r="G3" s="126">
        <f>Hisri!AQ4</f>
        <v>992.27429999997844</v>
      </c>
      <c r="H3" s="126">
        <f>Choriya!AQ4</f>
        <v>64.185450000004352</v>
      </c>
      <c r="I3" s="126">
        <f>Baski!AQ4</f>
        <v>0</v>
      </c>
      <c r="J3" s="126">
        <f>Orja!AQ4</f>
        <v>127.0965000000416</v>
      </c>
      <c r="K3" s="126">
        <f>Piragutu!AQ4</f>
        <v>1201.184999999994</v>
      </c>
      <c r="L3" s="126">
        <f>Bhandra!AQ4</f>
        <v>-110.22000000002549</v>
      </c>
      <c r="M3" s="126">
        <f>Chanho!AQ4</f>
        <v>-2906.9699999999962</v>
      </c>
      <c r="N3" s="116"/>
      <c r="O3" s="116"/>
      <c r="P3" s="116"/>
      <c r="Q3" s="116"/>
    </row>
    <row r="4" spans="1:17" x14ac:dyDescent="0.25">
      <c r="A4" s="298" t="s">
        <v>131</v>
      </c>
      <c r="B4" s="288">
        <v>46174</v>
      </c>
      <c r="C4" s="114">
        <v>45717</v>
      </c>
      <c r="D4" s="115" t="s">
        <v>55</v>
      </c>
      <c r="E4" s="126">
        <f>Itki!AQ5</f>
        <v>75.630899999997325</v>
      </c>
      <c r="F4" s="126">
        <f>Pali!AQ5</f>
        <v>-900.93749999997783</v>
      </c>
      <c r="G4" s="126">
        <f>Hisri!AQ5</f>
        <v>3.8760000000008787</v>
      </c>
      <c r="H4" s="126">
        <f>Choriya!AQ5</f>
        <v>30.42689999999908</v>
      </c>
      <c r="I4" s="126">
        <f>Baski!AQ5</f>
        <v>0</v>
      </c>
      <c r="J4" s="126">
        <f>Orja!AQ5</f>
        <v>102.59039999995991</v>
      </c>
      <c r="K4" s="126">
        <f>Piragutu!AQ5</f>
        <v>62.911200000000633</v>
      </c>
      <c r="L4" s="126">
        <f>Bhandra!AQ5</f>
        <v>129.0180000000035</v>
      </c>
      <c r="M4" s="126">
        <f>Chanho!AQ5</f>
        <v>-14.609400000002637</v>
      </c>
      <c r="N4" s="116"/>
      <c r="O4" s="116"/>
      <c r="P4" s="116"/>
      <c r="Q4" s="116"/>
    </row>
    <row r="5" spans="1:17" x14ac:dyDescent="0.25">
      <c r="A5" s="298" t="s">
        <v>131</v>
      </c>
      <c r="B5" s="288">
        <v>46175</v>
      </c>
      <c r="C5" s="114">
        <v>45718</v>
      </c>
      <c r="D5" s="115" t="s">
        <v>54</v>
      </c>
      <c r="E5" s="126">
        <f>Itki!AQ6</f>
        <v>4042.8141000000242</v>
      </c>
      <c r="F5" s="126">
        <f>Pali!AQ6</f>
        <v>-49.725000000026398</v>
      </c>
      <c r="G5" s="126">
        <f>Hisri!AQ6</f>
        <v>572.13899999999637</v>
      </c>
      <c r="H5" s="126">
        <f>Choriya!AQ6</f>
        <v>16.353000000000151</v>
      </c>
      <c r="I5" s="126">
        <f>Baski!AQ6</f>
        <v>0</v>
      </c>
      <c r="J5" s="126">
        <f>Orja!AQ6</f>
        <v>-732.65190000000325</v>
      </c>
      <c r="K5" s="126">
        <f>Piragutu!AQ6</f>
        <v>1977.9879000000051</v>
      </c>
      <c r="L5" s="126">
        <f>Bhandra!AQ6</f>
        <v>98.752800000022489</v>
      </c>
      <c r="M5" s="126">
        <f>Chanho!AQ6</f>
        <v>464.74440000001562</v>
      </c>
      <c r="N5" s="116"/>
      <c r="O5" s="116"/>
      <c r="P5" s="116"/>
      <c r="Q5" s="116"/>
    </row>
    <row r="6" spans="1:17" x14ac:dyDescent="0.25">
      <c r="A6" s="298" t="s">
        <v>131</v>
      </c>
      <c r="B6" s="288">
        <v>46175</v>
      </c>
      <c r="C6" s="114">
        <v>45718</v>
      </c>
      <c r="D6" s="115" t="s">
        <v>55</v>
      </c>
      <c r="E6" s="126">
        <f>Itki!AQ7</f>
        <v>65.146649999996953</v>
      </c>
      <c r="F6" s="126">
        <f>Pali!AQ7</f>
        <v>-4632.5399999999918</v>
      </c>
      <c r="G6" s="126">
        <f>Hisri!AQ7</f>
        <v>11.917050000001872</v>
      </c>
      <c r="H6" s="126">
        <f>Choriya!AQ7</f>
        <v>370.65900000001511</v>
      </c>
      <c r="I6" s="126">
        <f>Baski!AQ7</f>
        <v>0</v>
      </c>
      <c r="J6" s="126">
        <f>Orja!AQ7</f>
        <v>224.0699999999606</v>
      </c>
      <c r="K6" s="126">
        <f>Piragutu!AQ7</f>
        <v>153.2823000000061</v>
      </c>
      <c r="L6" s="126">
        <f>Bhandra!AQ7</f>
        <v>203.07419999996483</v>
      </c>
      <c r="M6" s="126">
        <f>Chanho!AQ7</f>
        <v>2364.884999999992</v>
      </c>
      <c r="N6" s="116"/>
      <c r="O6" s="116"/>
      <c r="P6" s="116"/>
      <c r="Q6" s="116"/>
    </row>
    <row r="7" spans="1:17" x14ac:dyDescent="0.25">
      <c r="A7" s="298" t="s">
        <v>132</v>
      </c>
      <c r="B7" s="288">
        <v>46145</v>
      </c>
      <c r="C7" s="114">
        <v>45719</v>
      </c>
      <c r="D7" s="115" t="s">
        <v>54</v>
      </c>
      <c r="E7" s="126">
        <f>Itki!AQ8</f>
        <v>0</v>
      </c>
      <c r="F7" s="126">
        <f>Pali!AQ8</f>
        <v>0</v>
      </c>
      <c r="G7" s="126">
        <f>Hisri!AQ8</f>
        <v>0</v>
      </c>
      <c r="H7" s="126">
        <f>Choriya!AQ8</f>
        <v>0</v>
      </c>
      <c r="I7" s="126">
        <f>Baski!AQ8</f>
        <v>0</v>
      </c>
      <c r="J7" s="126">
        <f>Orja!AQ8</f>
        <v>0</v>
      </c>
      <c r="K7" s="126">
        <f>Piragutu!AQ8</f>
        <v>0</v>
      </c>
      <c r="L7" s="126">
        <f>Bhandra!AQ8</f>
        <v>0</v>
      </c>
      <c r="M7" s="126">
        <f>Chanho!AQ8</f>
        <v>0</v>
      </c>
      <c r="N7" s="116"/>
      <c r="O7" s="116"/>
      <c r="P7" s="116"/>
      <c r="Q7" s="116"/>
    </row>
    <row r="8" spans="1:17" x14ac:dyDescent="0.25">
      <c r="A8" s="298" t="s">
        <v>132</v>
      </c>
      <c r="B8" s="288">
        <v>46145</v>
      </c>
      <c r="C8" s="114">
        <v>45719</v>
      </c>
      <c r="D8" s="115" t="s">
        <v>55</v>
      </c>
      <c r="E8" s="126">
        <f>Itki!AQ9</f>
        <v>0</v>
      </c>
      <c r="F8" s="126">
        <f>Pali!AQ9</f>
        <v>0</v>
      </c>
      <c r="G8" s="126">
        <f>Hisri!AQ9</f>
        <v>0</v>
      </c>
      <c r="H8" s="126">
        <f>Choriya!AQ9</f>
        <v>0</v>
      </c>
      <c r="I8" s="126">
        <f>Baski!AQ9</f>
        <v>0</v>
      </c>
      <c r="J8" s="126">
        <f>Orja!AQ9</f>
        <v>0</v>
      </c>
      <c r="K8" s="126">
        <f>Piragutu!AQ9</f>
        <v>0</v>
      </c>
      <c r="L8" s="126">
        <f>Bhandra!AQ9</f>
        <v>0</v>
      </c>
      <c r="M8" s="126">
        <f>Chanho!AQ9</f>
        <v>0</v>
      </c>
      <c r="N8" s="116"/>
      <c r="O8" s="116"/>
      <c r="P8" s="116"/>
      <c r="Q8" s="116"/>
    </row>
    <row r="9" spans="1:17" x14ac:dyDescent="0.25">
      <c r="A9" s="298" t="s">
        <v>132</v>
      </c>
      <c r="B9" s="288">
        <v>46146</v>
      </c>
      <c r="C9" s="114">
        <v>45720</v>
      </c>
      <c r="D9" s="115" t="s">
        <v>54</v>
      </c>
      <c r="E9" s="126">
        <f>Itki!AQ10</f>
        <v>0</v>
      </c>
      <c r="F9" s="126">
        <f>Pali!AQ10</f>
        <v>0</v>
      </c>
      <c r="G9" s="126">
        <f>Hisri!AQ10</f>
        <v>0</v>
      </c>
      <c r="H9" s="126">
        <f>Choriya!AQ10</f>
        <v>0</v>
      </c>
      <c r="I9" s="126">
        <f>Baski!AQ10</f>
        <v>0</v>
      </c>
      <c r="J9" s="126">
        <f>Orja!AQ10</f>
        <v>0</v>
      </c>
      <c r="K9" s="126">
        <f>Piragutu!AQ10</f>
        <v>0</v>
      </c>
      <c r="L9" s="126">
        <f>Bhandra!AQ10</f>
        <v>0</v>
      </c>
      <c r="M9" s="126">
        <f>Chanho!AQ10</f>
        <v>0</v>
      </c>
      <c r="N9" s="116"/>
      <c r="O9" s="116"/>
      <c r="P9" s="116"/>
      <c r="Q9" s="116"/>
    </row>
    <row r="10" spans="1:17" x14ac:dyDescent="0.25">
      <c r="A10" s="298" t="s">
        <v>132</v>
      </c>
      <c r="B10" s="288">
        <v>46146</v>
      </c>
      <c r="C10" s="114">
        <v>45720</v>
      </c>
      <c r="D10" s="115" t="s">
        <v>55</v>
      </c>
      <c r="E10" s="126">
        <f>Itki!AQ11</f>
        <v>0</v>
      </c>
      <c r="F10" s="126">
        <f>Pali!AQ11</f>
        <v>0</v>
      </c>
      <c r="G10" s="126">
        <f>Hisri!AQ11</f>
        <v>0</v>
      </c>
      <c r="H10" s="126">
        <f>Choriya!AQ11</f>
        <v>0</v>
      </c>
      <c r="I10" s="126">
        <f>Baski!AQ11</f>
        <v>0</v>
      </c>
      <c r="J10" s="126">
        <f>Orja!AQ11</f>
        <v>0</v>
      </c>
      <c r="K10" s="126">
        <f>Piragutu!AQ11</f>
        <v>0</v>
      </c>
      <c r="L10" s="126">
        <f>Bhandra!AQ11</f>
        <v>0</v>
      </c>
      <c r="M10" s="126">
        <f>Chanho!AQ11</f>
        <v>0</v>
      </c>
      <c r="N10" s="116"/>
      <c r="O10" s="116"/>
      <c r="P10" s="116"/>
      <c r="Q10" s="116"/>
    </row>
    <row r="11" spans="1:17" x14ac:dyDescent="0.25">
      <c r="A11" s="298" t="s">
        <v>132</v>
      </c>
      <c r="B11" s="288">
        <v>46147</v>
      </c>
      <c r="C11" s="114">
        <v>45721</v>
      </c>
      <c r="D11" s="115" t="s">
        <v>54</v>
      </c>
      <c r="E11" s="126">
        <f>Itki!AQ12</f>
        <v>0</v>
      </c>
      <c r="F11" s="126">
        <f>Pali!AQ12</f>
        <v>0</v>
      </c>
      <c r="G11" s="126">
        <f>Hisri!AQ12</f>
        <v>0</v>
      </c>
      <c r="H11" s="126">
        <f>Choriya!AQ12</f>
        <v>0</v>
      </c>
      <c r="I11" s="126">
        <f>Baski!AQ12</f>
        <v>0</v>
      </c>
      <c r="J11" s="126">
        <f>Orja!AQ12</f>
        <v>0</v>
      </c>
      <c r="K11" s="126">
        <f>Piragutu!AQ12</f>
        <v>0</v>
      </c>
      <c r="L11" s="126">
        <f>Bhandra!AQ12</f>
        <v>0</v>
      </c>
      <c r="M11" s="126">
        <f>Chanho!AQ12</f>
        <v>0</v>
      </c>
      <c r="N11" s="116"/>
      <c r="O11" s="116"/>
      <c r="P11" s="116"/>
      <c r="Q11" s="116"/>
    </row>
    <row r="12" spans="1:17" x14ac:dyDescent="0.25">
      <c r="A12" s="298" t="s">
        <v>132</v>
      </c>
      <c r="B12" s="288">
        <v>46147</v>
      </c>
      <c r="C12" s="114">
        <v>45721</v>
      </c>
      <c r="D12" s="115" t="s">
        <v>55</v>
      </c>
      <c r="E12" s="126">
        <f>Itki!AQ13</f>
        <v>0</v>
      </c>
      <c r="F12" s="126">
        <f>Pali!AQ13</f>
        <v>0</v>
      </c>
      <c r="G12" s="126">
        <f>Hisri!AQ13</f>
        <v>0</v>
      </c>
      <c r="H12" s="126">
        <f>Choriya!AQ13</f>
        <v>0</v>
      </c>
      <c r="I12" s="126">
        <f>Baski!AQ13</f>
        <v>0</v>
      </c>
      <c r="J12" s="126">
        <f>Orja!AQ13</f>
        <v>0</v>
      </c>
      <c r="K12" s="126">
        <f>Piragutu!AQ13</f>
        <v>0</v>
      </c>
      <c r="L12" s="126">
        <f>Bhandra!AQ13</f>
        <v>0</v>
      </c>
      <c r="M12" s="126">
        <f>Chanho!AQ13</f>
        <v>0</v>
      </c>
      <c r="N12" s="116"/>
      <c r="O12" s="116"/>
      <c r="P12" s="116"/>
      <c r="Q12" s="116"/>
    </row>
    <row r="13" spans="1:17" x14ac:dyDescent="0.25">
      <c r="A13" s="298" t="s">
        <v>132</v>
      </c>
      <c r="B13" s="288">
        <v>46148</v>
      </c>
      <c r="C13" s="114">
        <v>45722</v>
      </c>
      <c r="D13" s="115" t="s">
        <v>54</v>
      </c>
      <c r="E13" s="126">
        <f>Itki!AQ14</f>
        <v>0</v>
      </c>
      <c r="F13" s="126">
        <f>Pali!AQ14</f>
        <v>0</v>
      </c>
      <c r="G13" s="126">
        <f>Hisri!AQ14</f>
        <v>0</v>
      </c>
      <c r="H13" s="126">
        <f>Choriya!AQ14</f>
        <v>0</v>
      </c>
      <c r="I13" s="126">
        <f>Baski!AQ14</f>
        <v>0</v>
      </c>
      <c r="J13" s="126">
        <f>Orja!AQ14</f>
        <v>0</v>
      </c>
      <c r="K13" s="126">
        <f>Piragutu!AQ14</f>
        <v>0</v>
      </c>
      <c r="L13" s="126">
        <f>Bhandra!AQ14</f>
        <v>0</v>
      </c>
      <c r="M13" s="126">
        <f>Chanho!AQ14</f>
        <v>0</v>
      </c>
      <c r="N13" s="116"/>
      <c r="O13" s="116"/>
      <c r="P13" s="116"/>
      <c r="Q13" s="116"/>
    </row>
    <row r="14" spans="1:17" x14ac:dyDescent="0.25">
      <c r="A14" s="298" t="s">
        <v>132</v>
      </c>
      <c r="B14" s="288">
        <v>46148</v>
      </c>
      <c r="C14" s="114">
        <v>45722</v>
      </c>
      <c r="D14" s="115" t="s">
        <v>55</v>
      </c>
      <c r="E14" s="126">
        <f>Itki!AQ15</f>
        <v>0</v>
      </c>
      <c r="F14" s="126">
        <f>Pali!AQ15</f>
        <v>0</v>
      </c>
      <c r="G14" s="126">
        <f>Hisri!AQ15</f>
        <v>0</v>
      </c>
      <c r="H14" s="126">
        <f>Choriya!AQ15</f>
        <v>0</v>
      </c>
      <c r="I14" s="126">
        <f>Baski!AQ15</f>
        <v>0</v>
      </c>
      <c r="J14" s="126">
        <f>Orja!AQ15</f>
        <v>0</v>
      </c>
      <c r="K14" s="126">
        <f>Piragutu!AQ15</f>
        <v>0</v>
      </c>
      <c r="L14" s="126">
        <f>Bhandra!AQ15</f>
        <v>0</v>
      </c>
      <c r="M14" s="126">
        <f>Chanho!AQ15</f>
        <v>0</v>
      </c>
      <c r="N14" s="116"/>
      <c r="O14" s="116"/>
      <c r="P14" s="116"/>
      <c r="Q14" s="116"/>
    </row>
    <row r="15" spans="1:17" x14ac:dyDescent="0.25">
      <c r="A15" s="298" t="s">
        <v>132</v>
      </c>
      <c r="C15" s="114">
        <v>45723</v>
      </c>
      <c r="D15" s="115" t="s">
        <v>54</v>
      </c>
      <c r="E15" s="126">
        <f>Itki!AQ16</f>
        <v>0</v>
      </c>
      <c r="F15" s="126">
        <f>Pali!AQ16</f>
        <v>0</v>
      </c>
      <c r="G15" s="126">
        <f>Hisri!AQ16</f>
        <v>0</v>
      </c>
      <c r="H15" s="126">
        <f>Choriya!AQ16</f>
        <v>0</v>
      </c>
      <c r="I15" s="126">
        <f>Baski!AQ16</f>
        <v>0</v>
      </c>
      <c r="J15" s="126">
        <f>Orja!AQ16</f>
        <v>0</v>
      </c>
      <c r="K15" s="126">
        <f>Piragutu!AQ16</f>
        <v>0</v>
      </c>
      <c r="L15" s="126">
        <f>Bhandra!AQ16</f>
        <v>0</v>
      </c>
      <c r="M15" s="126">
        <f>Chanho!AQ16</f>
        <v>0</v>
      </c>
      <c r="N15" s="116"/>
      <c r="O15" s="116"/>
      <c r="P15" s="116"/>
      <c r="Q15" s="116"/>
    </row>
    <row r="16" spans="1:17" x14ac:dyDescent="0.25">
      <c r="A16" s="298" t="s">
        <v>132</v>
      </c>
      <c r="C16" s="114">
        <v>45723</v>
      </c>
      <c r="D16" s="115" t="s">
        <v>55</v>
      </c>
      <c r="E16" s="126">
        <f>Itki!AQ17</f>
        <v>0</v>
      </c>
      <c r="F16" s="126">
        <f>Pali!AQ17</f>
        <v>0</v>
      </c>
      <c r="G16" s="126">
        <f>Hisri!AQ17</f>
        <v>0</v>
      </c>
      <c r="H16" s="126">
        <f>Choriya!AQ17</f>
        <v>0</v>
      </c>
      <c r="I16" s="126">
        <f>Baski!AQ17</f>
        <v>0</v>
      </c>
      <c r="J16" s="126">
        <f>Orja!AQ17</f>
        <v>0</v>
      </c>
      <c r="K16" s="126">
        <f>Piragutu!AQ17</f>
        <v>0</v>
      </c>
      <c r="L16" s="126">
        <f>Bhandra!AQ17</f>
        <v>0</v>
      </c>
      <c r="M16" s="126">
        <f>Chanho!AQ17</f>
        <v>0</v>
      </c>
      <c r="N16" s="116"/>
      <c r="O16" s="116"/>
      <c r="P16" s="116"/>
      <c r="Q16" s="116"/>
    </row>
    <row r="17" spans="1:17" x14ac:dyDescent="0.25">
      <c r="A17" s="298" t="s">
        <v>132</v>
      </c>
      <c r="C17" s="114">
        <v>45724</v>
      </c>
      <c r="D17" s="115" t="s">
        <v>54</v>
      </c>
      <c r="E17" s="126">
        <f>Itki!AQ18</f>
        <v>0</v>
      </c>
      <c r="F17" s="126">
        <f>Pali!AQ18</f>
        <v>0</v>
      </c>
      <c r="G17" s="126">
        <f>Hisri!AQ18</f>
        <v>0</v>
      </c>
      <c r="H17" s="126">
        <f>Choriya!AQ18</f>
        <v>0</v>
      </c>
      <c r="I17" s="126">
        <f>Baski!AQ18</f>
        <v>0</v>
      </c>
      <c r="J17" s="126">
        <f>Orja!AQ18</f>
        <v>0</v>
      </c>
      <c r="K17" s="126">
        <f>Piragutu!AQ18</f>
        <v>0</v>
      </c>
      <c r="L17" s="126">
        <f>Bhandra!AQ18</f>
        <v>0</v>
      </c>
      <c r="M17" s="126">
        <f>Chanho!AQ18</f>
        <v>0</v>
      </c>
      <c r="N17" s="116"/>
      <c r="O17" s="116"/>
      <c r="P17" s="116"/>
      <c r="Q17" s="116"/>
    </row>
    <row r="18" spans="1:17" x14ac:dyDescent="0.25">
      <c r="A18" s="298" t="s">
        <v>132</v>
      </c>
      <c r="C18" s="114">
        <v>45724</v>
      </c>
      <c r="D18" s="115" t="s">
        <v>55</v>
      </c>
      <c r="E18" s="126">
        <f>Itki!AQ19</f>
        <v>0</v>
      </c>
      <c r="F18" s="126">
        <f>Pali!AQ19</f>
        <v>0</v>
      </c>
      <c r="G18" s="126">
        <f>Hisri!AQ19</f>
        <v>0</v>
      </c>
      <c r="H18" s="126">
        <f>Choriya!AQ19</f>
        <v>0</v>
      </c>
      <c r="I18" s="126">
        <f>Baski!AQ19</f>
        <v>0</v>
      </c>
      <c r="J18" s="126">
        <f>Orja!AQ19</f>
        <v>0</v>
      </c>
      <c r="K18" s="126">
        <f>Piragutu!AQ19</f>
        <v>0</v>
      </c>
      <c r="L18" s="126">
        <f>Bhandra!AQ19</f>
        <v>0</v>
      </c>
      <c r="M18" s="126">
        <f>Chanho!AQ19</f>
        <v>0</v>
      </c>
      <c r="N18" s="116"/>
      <c r="O18" s="116"/>
      <c r="P18" s="116"/>
      <c r="Q18" s="116"/>
    </row>
    <row r="19" spans="1:17" x14ac:dyDescent="0.25">
      <c r="A19" s="298" t="s">
        <v>132</v>
      </c>
      <c r="C19" s="114">
        <v>45725</v>
      </c>
      <c r="D19" s="115" t="s">
        <v>54</v>
      </c>
      <c r="E19" s="126">
        <f>Itki!AQ20</f>
        <v>0</v>
      </c>
      <c r="F19" s="126">
        <f>Pali!AQ20</f>
        <v>0</v>
      </c>
      <c r="G19" s="126">
        <f>Hisri!AQ20</f>
        <v>0</v>
      </c>
      <c r="H19" s="126">
        <f>Choriya!AQ20</f>
        <v>0</v>
      </c>
      <c r="I19" s="126">
        <f>Baski!AQ20</f>
        <v>0</v>
      </c>
      <c r="J19" s="126">
        <f>Orja!AQ20</f>
        <v>0</v>
      </c>
      <c r="K19" s="126">
        <f>Piragutu!AQ20</f>
        <v>0</v>
      </c>
      <c r="L19" s="126">
        <f>Bhandra!AQ20</f>
        <v>0</v>
      </c>
      <c r="M19" s="126">
        <f>Chanho!AQ20</f>
        <v>0</v>
      </c>
      <c r="N19" s="116"/>
      <c r="O19" s="116"/>
      <c r="P19" s="116"/>
      <c r="Q19" s="116"/>
    </row>
    <row r="20" spans="1:17" x14ac:dyDescent="0.25">
      <c r="A20" s="298" t="s">
        <v>132</v>
      </c>
      <c r="C20" s="114">
        <v>45725</v>
      </c>
      <c r="D20" s="115" t="s">
        <v>55</v>
      </c>
      <c r="E20" s="126">
        <f>Itki!AQ21</f>
        <v>0</v>
      </c>
      <c r="F20" s="126">
        <f>Pali!AQ21</f>
        <v>0</v>
      </c>
      <c r="G20" s="126">
        <f>Hisri!AQ21</f>
        <v>0</v>
      </c>
      <c r="H20" s="126">
        <f>Choriya!AQ21</f>
        <v>0</v>
      </c>
      <c r="I20" s="126">
        <f>Baski!AQ21</f>
        <v>0</v>
      </c>
      <c r="J20" s="126">
        <f>Orja!AQ21</f>
        <v>0</v>
      </c>
      <c r="K20" s="126">
        <f>Piragutu!AQ21</f>
        <v>0</v>
      </c>
      <c r="L20" s="126">
        <f>Bhandra!AQ21</f>
        <v>0</v>
      </c>
      <c r="M20" s="126">
        <f>Chanho!AQ21</f>
        <v>0</v>
      </c>
      <c r="N20" s="116"/>
      <c r="O20" s="116"/>
      <c r="P20" s="116"/>
      <c r="Q20" s="116"/>
    </row>
    <row r="21" spans="1:17" x14ac:dyDescent="0.25">
      <c r="A21" s="112" t="s">
        <v>133</v>
      </c>
      <c r="C21" s="114">
        <v>45726</v>
      </c>
      <c r="D21" s="115" t="s">
        <v>54</v>
      </c>
      <c r="E21" s="126">
        <f>Itki!AQ22</f>
        <v>0</v>
      </c>
      <c r="F21" s="126">
        <f>Pali!AQ22</f>
        <v>0</v>
      </c>
      <c r="G21" s="126">
        <f>Hisri!AQ22</f>
        <v>0</v>
      </c>
      <c r="H21" s="126">
        <f>Choriya!AQ22</f>
        <v>0</v>
      </c>
      <c r="I21" s="126">
        <f>Baski!AQ22</f>
        <v>0</v>
      </c>
      <c r="J21" s="126">
        <f>Orja!AQ22</f>
        <v>0</v>
      </c>
      <c r="K21" s="126">
        <f>Piragutu!AQ22</f>
        <v>0</v>
      </c>
      <c r="L21" s="126">
        <f>Bhandra!AQ22</f>
        <v>0</v>
      </c>
      <c r="M21" s="126">
        <f>Chanho!AQ22</f>
        <v>0</v>
      </c>
      <c r="N21" s="116"/>
      <c r="O21" s="116"/>
      <c r="P21" s="116"/>
      <c r="Q21" s="116"/>
    </row>
    <row r="22" spans="1:17" x14ac:dyDescent="0.25">
      <c r="A22" s="112" t="s">
        <v>133</v>
      </c>
      <c r="C22" s="114">
        <v>45726</v>
      </c>
      <c r="D22" s="115" t="s">
        <v>55</v>
      </c>
      <c r="E22" s="126">
        <f>Itki!AQ23</f>
        <v>0</v>
      </c>
      <c r="F22" s="126">
        <f>Pali!AQ23</f>
        <v>0</v>
      </c>
      <c r="G22" s="126">
        <f>Hisri!AQ23</f>
        <v>0</v>
      </c>
      <c r="H22" s="126">
        <f>Choriya!AQ23</f>
        <v>0</v>
      </c>
      <c r="I22" s="126">
        <f>Baski!AQ23</f>
        <v>0</v>
      </c>
      <c r="J22" s="126">
        <f>Orja!AQ23</f>
        <v>0</v>
      </c>
      <c r="K22" s="126">
        <f>Piragutu!AQ23</f>
        <v>0</v>
      </c>
      <c r="L22" s="126">
        <f>Bhandra!AQ23</f>
        <v>0</v>
      </c>
      <c r="M22" s="126">
        <f>Chanho!AQ23</f>
        <v>0</v>
      </c>
      <c r="N22" s="116"/>
      <c r="O22" s="116"/>
      <c r="P22" s="116"/>
      <c r="Q22" s="116"/>
    </row>
    <row r="23" spans="1:17" x14ac:dyDescent="0.25">
      <c r="A23" s="112" t="s">
        <v>133</v>
      </c>
      <c r="C23" s="114">
        <v>45727</v>
      </c>
      <c r="D23" s="115" t="s">
        <v>54</v>
      </c>
      <c r="E23" s="126">
        <f>Itki!AQ24</f>
        <v>0</v>
      </c>
      <c r="F23" s="126">
        <f>Pali!AQ24</f>
        <v>0</v>
      </c>
      <c r="G23" s="126">
        <f>Hisri!AQ24</f>
        <v>0</v>
      </c>
      <c r="H23" s="126">
        <f>Choriya!AQ24</f>
        <v>0</v>
      </c>
      <c r="I23" s="126">
        <f>Baski!AQ24</f>
        <v>0</v>
      </c>
      <c r="J23" s="126">
        <f>Orja!AQ24</f>
        <v>0</v>
      </c>
      <c r="K23" s="126">
        <f>Piragutu!AQ24</f>
        <v>0</v>
      </c>
      <c r="L23" s="126">
        <f>Bhandra!AQ24</f>
        <v>0</v>
      </c>
      <c r="M23" s="126">
        <f>Chanho!AQ24</f>
        <v>0</v>
      </c>
      <c r="N23" s="116"/>
      <c r="O23" s="116"/>
      <c r="P23" s="116"/>
      <c r="Q23" s="116"/>
    </row>
    <row r="24" spans="1:17" x14ac:dyDescent="0.25">
      <c r="A24" s="112" t="s">
        <v>133</v>
      </c>
      <c r="C24" s="114">
        <v>45727</v>
      </c>
      <c r="D24" s="115" t="s">
        <v>55</v>
      </c>
      <c r="E24" s="126">
        <f>Itki!AQ25</f>
        <v>0</v>
      </c>
      <c r="F24" s="126">
        <f>Pali!AQ25</f>
        <v>0</v>
      </c>
      <c r="G24" s="126">
        <f>Hisri!AQ25</f>
        <v>0</v>
      </c>
      <c r="H24" s="126">
        <f>Choriya!AQ25</f>
        <v>0</v>
      </c>
      <c r="I24" s="126">
        <f>Baski!AQ25</f>
        <v>0</v>
      </c>
      <c r="J24" s="126">
        <f>Orja!AQ25</f>
        <v>0</v>
      </c>
      <c r="K24" s="126">
        <f>Piragutu!AQ25</f>
        <v>0</v>
      </c>
      <c r="L24" s="126">
        <f>Bhandra!AQ25</f>
        <v>0</v>
      </c>
      <c r="M24" s="126">
        <f>Chanho!AQ25</f>
        <v>0</v>
      </c>
      <c r="N24" s="116"/>
      <c r="O24" s="116"/>
      <c r="P24" s="116"/>
      <c r="Q24" s="116"/>
    </row>
    <row r="25" spans="1:17" x14ac:dyDescent="0.25">
      <c r="A25" s="112" t="s">
        <v>133</v>
      </c>
      <c r="C25" s="114">
        <v>45728</v>
      </c>
      <c r="D25" s="115" t="s">
        <v>54</v>
      </c>
      <c r="E25" s="126">
        <f>Itki!AQ26</f>
        <v>0</v>
      </c>
      <c r="F25" s="126">
        <f>Pali!AQ26</f>
        <v>0</v>
      </c>
      <c r="G25" s="126">
        <f>Hisri!AQ26</f>
        <v>0</v>
      </c>
      <c r="H25" s="126">
        <f>Choriya!AQ26</f>
        <v>0</v>
      </c>
      <c r="I25" s="126">
        <f>Baski!AQ26</f>
        <v>0</v>
      </c>
      <c r="J25" s="126">
        <f>Orja!AQ26</f>
        <v>0</v>
      </c>
      <c r="K25" s="126">
        <f>Piragutu!AQ26</f>
        <v>0</v>
      </c>
      <c r="L25" s="126">
        <f>Bhandra!AQ26</f>
        <v>0</v>
      </c>
      <c r="M25" s="126">
        <f>Chanho!AQ26</f>
        <v>0</v>
      </c>
      <c r="N25" s="116"/>
      <c r="O25" s="116"/>
      <c r="P25" s="116"/>
      <c r="Q25" s="116"/>
    </row>
    <row r="26" spans="1:17" x14ac:dyDescent="0.25">
      <c r="A26" s="112" t="s">
        <v>133</v>
      </c>
      <c r="C26" s="114">
        <v>45728</v>
      </c>
      <c r="D26" s="115" t="s">
        <v>55</v>
      </c>
      <c r="E26" s="126">
        <f>Itki!AQ27</f>
        <v>0</v>
      </c>
      <c r="F26" s="126">
        <f>Pali!AQ27</f>
        <v>0</v>
      </c>
      <c r="G26" s="126">
        <f>Hisri!AQ27</f>
        <v>0</v>
      </c>
      <c r="H26" s="126">
        <f>Choriya!AQ27</f>
        <v>0</v>
      </c>
      <c r="I26" s="126">
        <f>Baski!AQ27</f>
        <v>0</v>
      </c>
      <c r="J26" s="126">
        <f>Orja!AQ27</f>
        <v>0</v>
      </c>
      <c r="K26" s="126">
        <f>Piragutu!AQ27</f>
        <v>0</v>
      </c>
      <c r="L26" s="126">
        <f>Bhandra!AQ27</f>
        <v>0</v>
      </c>
      <c r="M26" s="126">
        <f>Chanho!AQ27</f>
        <v>0</v>
      </c>
      <c r="N26" s="116"/>
      <c r="O26" s="116"/>
      <c r="P26" s="116"/>
      <c r="Q26" s="116"/>
    </row>
    <row r="27" spans="1:17" x14ac:dyDescent="0.25">
      <c r="A27" s="112" t="s">
        <v>133</v>
      </c>
      <c r="C27" s="114">
        <v>45729</v>
      </c>
      <c r="D27" s="115" t="s">
        <v>54</v>
      </c>
      <c r="E27" s="126">
        <f>Itki!AQ28</f>
        <v>0</v>
      </c>
      <c r="F27" s="126">
        <f>Pali!AQ28</f>
        <v>0</v>
      </c>
      <c r="G27" s="126">
        <f>Hisri!AQ28</f>
        <v>0</v>
      </c>
      <c r="H27" s="126">
        <f>Choriya!AQ28</f>
        <v>0</v>
      </c>
      <c r="I27" s="126">
        <f>Baski!AQ28</f>
        <v>0</v>
      </c>
      <c r="J27" s="126">
        <f>Orja!AQ28</f>
        <v>0</v>
      </c>
      <c r="K27" s="126">
        <f>Piragutu!AQ28</f>
        <v>0</v>
      </c>
      <c r="L27" s="126">
        <f>Bhandra!AQ28</f>
        <v>0</v>
      </c>
      <c r="M27" s="126">
        <f>Chanho!AQ28</f>
        <v>0</v>
      </c>
      <c r="N27" s="116"/>
      <c r="O27" s="116"/>
      <c r="P27" s="116"/>
      <c r="Q27" s="116"/>
    </row>
    <row r="28" spans="1:17" x14ac:dyDescent="0.25">
      <c r="A28" s="112" t="s">
        <v>133</v>
      </c>
      <c r="C28" s="114">
        <v>45729</v>
      </c>
      <c r="D28" s="115" t="s">
        <v>55</v>
      </c>
      <c r="E28" s="126">
        <f>Itki!AQ29</f>
        <v>0</v>
      </c>
      <c r="F28" s="126">
        <f>Pali!AQ29</f>
        <v>0</v>
      </c>
      <c r="G28" s="126">
        <f>Hisri!AQ29</f>
        <v>0</v>
      </c>
      <c r="H28" s="126">
        <f>Choriya!AQ29</f>
        <v>0</v>
      </c>
      <c r="I28" s="126">
        <f>Baski!AQ29</f>
        <v>0</v>
      </c>
      <c r="J28" s="126">
        <f>Orja!AQ29</f>
        <v>0</v>
      </c>
      <c r="K28" s="126">
        <f>Piragutu!AQ29</f>
        <v>0</v>
      </c>
      <c r="L28" s="126">
        <f>Bhandra!AQ29</f>
        <v>0</v>
      </c>
      <c r="M28" s="126">
        <f>Chanho!AQ29</f>
        <v>0</v>
      </c>
      <c r="N28" s="116"/>
      <c r="O28" s="116"/>
      <c r="P28" s="116"/>
      <c r="Q28" s="116"/>
    </row>
    <row r="29" spans="1:17" x14ac:dyDescent="0.25">
      <c r="A29" s="112" t="s">
        <v>133</v>
      </c>
      <c r="C29" s="114">
        <v>45730</v>
      </c>
      <c r="D29" s="115" t="s">
        <v>54</v>
      </c>
      <c r="E29" s="126">
        <f>Itki!AQ30</f>
        <v>0</v>
      </c>
      <c r="F29" s="126">
        <f>Pali!AQ30</f>
        <v>0</v>
      </c>
      <c r="G29" s="126">
        <f>Hisri!AQ30</f>
        <v>0</v>
      </c>
      <c r="H29" s="126">
        <f>Choriya!AQ30</f>
        <v>0</v>
      </c>
      <c r="I29" s="126">
        <f>Baski!AQ30</f>
        <v>0</v>
      </c>
      <c r="J29" s="126">
        <f>Orja!AQ30</f>
        <v>0</v>
      </c>
      <c r="K29" s="126">
        <f>Piragutu!AQ30</f>
        <v>0</v>
      </c>
      <c r="L29" s="126">
        <f>Bhandra!AQ30</f>
        <v>0</v>
      </c>
      <c r="M29" s="126">
        <f>Chanho!AQ30</f>
        <v>0</v>
      </c>
      <c r="N29" s="116"/>
      <c r="O29" s="116"/>
      <c r="P29" s="116"/>
      <c r="Q29" s="116"/>
    </row>
    <row r="30" spans="1:17" x14ac:dyDescent="0.25">
      <c r="A30" s="112" t="s">
        <v>133</v>
      </c>
      <c r="C30" s="114">
        <v>45730</v>
      </c>
      <c r="D30" s="115" t="s">
        <v>55</v>
      </c>
      <c r="E30" s="126">
        <f>Itki!AQ31</f>
        <v>0</v>
      </c>
      <c r="F30" s="126">
        <f>Pali!AQ31</f>
        <v>0</v>
      </c>
      <c r="G30" s="126">
        <f>Hisri!AQ31</f>
        <v>0</v>
      </c>
      <c r="H30" s="126">
        <f>Choriya!AQ31</f>
        <v>0</v>
      </c>
      <c r="I30" s="126">
        <f>Baski!AQ31</f>
        <v>0</v>
      </c>
      <c r="J30" s="126">
        <f>Orja!AQ31</f>
        <v>0</v>
      </c>
      <c r="K30" s="126">
        <f>Piragutu!AQ31</f>
        <v>0</v>
      </c>
      <c r="L30" s="126">
        <f>Bhandra!AQ31</f>
        <v>0</v>
      </c>
      <c r="M30" s="126">
        <f>Chanho!AQ31</f>
        <v>0</v>
      </c>
      <c r="N30" s="116"/>
      <c r="O30" s="116"/>
      <c r="P30" s="116"/>
      <c r="Q30" s="116"/>
    </row>
    <row r="31" spans="1:17" x14ac:dyDescent="0.25">
      <c r="A31" s="112" t="s">
        <v>133</v>
      </c>
      <c r="C31" s="114">
        <v>45731</v>
      </c>
      <c r="D31" s="115" t="s">
        <v>54</v>
      </c>
      <c r="E31" s="126">
        <f>Itki!AQ32</f>
        <v>0</v>
      </c>
      <c r="F31" s="126">
        <f>Pali!AQ32</f>
        <v>0</v>
      </c>
      <c r="G31" s="126">
        <f>Hisri!AQ32</f>
        <v>0</v>
      </c>
      <c r="H31" s="126">
        <f>Choriya!AQ32</f>
        <v>0</v>
      </c>
      <c r="I31" s="126">
        <f>Baski!AQ32</f>
        <v>0</v>
      </c>
      <c r="J31" s="126">
        <f>Orja!AQ32</f>
        <v>0</v>
      </c>
      <c r="K31" s="126">
        <f>Piragutu!AQ32</f>
        <v>0</v>
      </c>
      <c r="L31" s="126">
        <f>Bhandra!AQ32</f>
        <v>0</v>
      </c>
      <c r="M31" s="126">
        <f>Chanho!AQ32</f>
        <v>0</v>
      </c>
      <c r="N31" s="116"/>
      <c r="O31" s="116"/>
      <c r="P31" s="116"/>
      <c r="Q31" s="116"/>
    </row>
    <row r="32" spans="1:17" x14ac:dyDescent="0.25">
      <c r="A32" s="112" t="s">
        <v>133</v>
      </c>
      <c r="C32" s="114">
        <v>45731</v>
      </c>
      <c r="D32" s="115" t="s">
        <v>55</v>
      </c>
      <c r="E32" s="126">
        <f>Itki!AQ33</f>
        <v>0</v>
      </c>
      <c r="F32" s="126">
        <f>Pali!AQ33</f>
        <v>0</v>
      </c>
      <c r="G32" s="126">
        <f>Hisri!AQ33</f>
        <v>0</v>
      </c>
      <c r="H32" s="126">
        <f>Choriya!AQ33</f>
        <v>0</v>
      </c>
      <c r="I32" s="126">
        <f>Baski!AQ33</f>
        <v>0</v>
      </c>
      <c r="J32" s="126">
        <f>Orja!AQ33</f>
        <v>0</v>
      </c>
      <c r="K32" s="126">
        <f>Piragutu!AQ33</f>
        <v>0</v>
      </c>
      <c r="L32" s="126">
        <f>Bhandra!AQ33</f>
        <v>0</v>
      </c>
      <c r="M32" s="126">
        <f>Chanho!AQ33</f>
        <v>0</v>
      </c>
      <c r="N32" s="116"/>
      <c r="O32" s="116"/>
      <c r="P32" s="116"/>
      <c r="Q32" s="116"/>
    </row>
    <row r="33" spans="1:17" x14ac:dyDescent="0.25">
      <c r="A33" s="112" t="s">
        <v>133</v>
      </c>
      <c r="C33" s="114">
        <v>45732</v>
      </c>
      <c r="D33" s="115" t="s">
        <v>54</v>
      </c>
      <c r="E33" s="126">
        <f>Itki!AQ34</f>
        <v>0</v>
      </c>
      <c r="F33" s="126">
        <f>Pali!AQ34</f>
        <v>0</v>
      </c>
      <c r="G33" s="126">
        <f>Hisri!AQ34</f>
        <v>0</v>
      </c>
      <c r="H33" s="126">
        <f>Choriya!AQ34</f>
        <v>0</v>
      </c>
      <c r="I33" s="126">
        <f>Baski!AQ34</f>
        <v>0</v>
      </c>
      <c r="J33" s="126">
        <f>Orja!AQ34</f>
        <v>0</v>
      </c>
      <c r="K33" s="126">
        <f>Piragutu!AQ34</f>
        <v>0</v>
      </c>
      <c r="L33" s="126">
        <f>Bhandra!AQ34</f>
        <v>0</v>
      </c>
      <c r="M33" s="126">
        <f>Chanho!AQ34</f>
        <v>0</v>
      </c>
      <c r="N33" s="116"/>
      <c r="O33" s="116"/>
      <c r="P33" s="116"/>
      <c r="Q33" s="116"/>
    </row>
    <row r="34" spans="1:17" x14ac:dyDescent="0.25">
      <c r="A34" s="112" t="s">
        <v>133</v>
      </c>
      <c r="C34" s="114">
        <v>45732</v>
      </c>
      <c r="D34" s="115" t="s">
        <v>55</v>
      </c>
      <c r="E34" s="126">
        <f>Itki!AQ35</f>
        <v>0</v>
      </c>
      <c r="F34" s="126">
        <f>Pali!AQ35</f>
        <v>0</v>
      </c>
      <c r="G34" s="126">
        <f>Hisri!AQ35</f>
        <v>0</v>
      </c>
      <c r="H34" s="126">
        <f>Choriya!AQ35</f>
        <v>0</v>
      </c>
      <c r="I34" s="126">
        <f>Baski!AQ35</f>
        <v>0</v>
      </c>
      <c r="J34" s="126">
        <f>Orja!AQ35</f>
        <v>0</v>
      </c>
      <c r="K34" s="126">
        <f>Piragutu!AQ35</f>
        <v>0</v>
      </c>
      <c r="L34" s="126">
        <f>Bhandra!AQ35</f>
        <v>0</v>
      </c>
      <c r="M34" s="126">
        <f>Chanho!AQ35</f>
        <v>0</v>
      </c>
      <c r="N34" s="116"/>
      <c r="O34" s="116"/>
      <c r="P34" s="116"/>
      <c r="Q34" s="116"/>
    </row>
    <row r="35" spans="1:17" x14ac:dyDescent="0.25">
      <c r="A35" s="112" t="s">
        <v>134</v>
      </c>
      <c r="C35" s="114">
        <v>45733</v>
      </c>
      <c r="D35" s="115" t="s">
        <v>54</v>
      </c>
      <c r="E35" s="126">
        <f>Itki!AQ36</f>
        <v>0</v>
      </c>
      <c r="F35" s="126">
        <f>Pali!AQ36</f>
        <v>0</v>
      </c>
      <c r="G35" s="126">
        <f>Hisri!AQ36</f>
        <v>0</v>
      </c>
      <c r="H35" s="126">
        <f>Choriya!AQ36</f>
        <v>0</v>
      </c>
      <c r="I35" s="126">
        <f>Baski!AQ36</f>
        <v>0</v>
      </c>
      <c r="J35" s="126">
        <f>Orja!AQ36</f>
        <v>0</v>
      </c>
      <c r="K35" s="126">
        <f>Piragutu!AQ36</f>
        <v>0</v>
      </c>
      <c r="L35" s="126">
        <f>Bhandra!AQ36</f>
        <v>0</v>
      </c>
      <c r="M35" s="126">
        <f>Chanho!AQ36</f>
        <v>0</v>
      </c>
      <c r="N35" s="116"/>
      <c r="O35" s="116"/>
      <c r="P35" s="116"/>
      <c r="Q35" s="116"/>
    </row>
    <row r="36" spans="1:17" x14ac:dyDescent="0.25">
      <c r="A36" s="112" t="s">
        <v>134</v>
      </c>
      <c r="C36" s="114">
        <v>45733</v>
      </c>
      <c r="D36" s="115" t="s">
        <v>55</v>
      </c>
      <c r="E36" s="126">
        <f>Itki!AQ37</f>
        <v>0</v>
      </c>
      <c r="F36" s="126">
        <f>Pali!AQ37</f>
        <v>0</v>
      </c>
      <c r="G36" s="126">
        <f>Hisri!AQ37</f>
        <v>0</v>
      </c>
      <c r="H36" s="126">
        <f>Choriya!AQ37</f>
        <v>0</v>
      </c>
      <c r="I36" s="126">
        <f>Baski!AQ37</f>
        <v>0</v>
      </c>
      <c r="J36" s="126">
        <f>Orja!AQ37</f>
        <v>0</v>
      </c>
      <c r="K36" s="126">
        <f>Piragutu!AQ37</f>
        <v>0</v>
      </c>
      <c r="L36" s="126">
        <f>Bhandra!AQ37</f>
        <v>0</v>
      </c>
      <c r="M36" s="126">
        <f>Chanho!AQ37</f>
        <v>0</v>
      </c>
      <c r="N36" s="116"/>
      <c r="O36" s="116"/>
      <c r="P36" s="116"/>
      <c r="Q36" s="116"/>
    </row>
    <row r="37" spans="1:17" x14ac:dyDescent="0.25">
      <c r="A37" s="112" t="s">
        <v>134</v>
      </c>
      <c r="C37" s="114">
        <v>45734</v>
      </c>
      <c r="D37" s="115" t="s">
        <v>54</v>
      </c>
      <c r="E37" s="126">
        <f>Itki!AQ38</f>
        <v>0</v>
      </c>
      <c r="F37" s="126">
        <f>Pali!AQ38</f>
        <v>0</v>
      </c>
      <c r="G37" s="126">
        <f>Hisri!AQ38</f>
        <v>0</v>
      </c>
      <c r="H37" s="126">
        <f>Choriya!AQ38</f>
        <v>0</v>
      </c>
      <c r="I37" s="126">
        <f>Baski!AQ38</f>
        <v>0</v>
      </c>
      <c r="J37" s="126">
        <f>Orja!AQ38</f>
        <v>0</v>
      </c>
      <c r="K37" s="126">
        <f>Piragutu!AQ38</f>
        <v>0</v>
      </c>
      <c r="L37" s="126">
        <f>Bhandra!AQ38</f>
        <v>0</v>
      </c>
      <c r="M37" s="126">
        <f>Chanho!AQ38</f>
        <v>0</v>
      </c>
      <c r="N37" s="116"/>
      <c r="O37" s="116"/>
      <c r="P37" s="116"/>
      <c r="Q37" s="116"/>
    </row>
    <row r="38" spans="1:17" x14ac:dyDescent="0.25">
      <c r="A38" s="112" t="s">
        <v>134</v>
      </c>
      <c r="C38" s="114">
        <v>45734</v>
      </c>
      <c r="D38" s="115" t="s">
        <v>55</v>
      </c>
      <c r="E38" s="126">
        <f>Itki!AQ39</f>
        <v>0</v>
      </c>
      <c r="F38" s="126">
        <f>Pali!AQ39</f>
        <v>0</v>
      </c>
      <c r="G38" s="126">
        <f>Hisri!AQ39</f>
        <v>0</v>
      </c>
      <c r="H38" s="126">
        <f>Choriya!AQ39</f>
        <v>0</v>
      </c>
      <c r="I38" s="126">
        <f>Baski!AQ39</f>
        <v>0</v>
      </c>
      <c r="J38" s="126">
        <f>Orja!AQ39</f>
        <v>0</v>
      </c>
      <c r="K38" s="126">
        <f>Piragutu!AQ39</f>
        <v>0</v>
      </c>
      <c r="L38" s="126">
        <f>Bhandra!AQ39</f>
        <v>0</v>
      </c>
      <c r="M38" s="126">
        <f>Chanho!AQ39</f>
        <v>0</v>
      </c>
      <c r="N38" s="116"/>
      <c r="O38" s="116"/>
      <c r="P38" s="116"/>
      <c r="Q38" s="116"/>
    </row>
    <row r="39" spans="1:17" x14ac:dyDescent="0.25">
      <c r="A39" s="112" t="s">
        <v>134</v>
      </c>
      <c r="C39" s="114">
        <v>45735</v>
      </c>
      <c r="D39" s="115" t="s">
        <v>54</v>
      </c>
      <c r="E39" s="126">
        <f>Itki!AQ40</f>
        <v>0</v>
      </c>
      <c r="F39" s="126">
        <f>Pali!AQ40</f>
        <v>0</v>
      </c>
      <c r="G39" s="126">
        <f>Hisri!AQ40</f>
        <v>0</v>
      </c>
      <c r="H39" s="126">
        <f>Choriya!AQ40</f>
        <v>0</v>
      </c>
      <c r="I39" s="126">
        <f>Baski!AQ40</f>
        <v>0</v>
      </c>
      <c r="J39" s="126">
        <f>Orja!AQ40</f>
        <v>0</v>
      </c>
      <c r="K39" s="126">
        <f>Piragutu!AQ40</f>
        <v>0</v>
      </c>
      <c r="L39" s="126">
        <f>Bhandra!AQ40</f>
        <v>0</v>
      </c>
      <c r="M39" s="126">
        <f>Chanho!AQ40</f>
        <v>0</v>
      </c>
      <c r="N39" s="116"/>
      <c r="O39" s="116"/>
      <c r="P39" s="116"/>
      <c r="Q39" s="116"/>
    </row>
    <row r="40" spans="1:17" x14ac:dyDescent="0.25">
      <c r="A40" s="112" t="s">
        <v>134</v>
      </c>
      <c r="C40" s="114">
        <v>45735</v>
      </c>
      <c r="D40" s="115" t="s">
        <v>55</v>
      </c>
      <c r="E40" s="126">
        <f>Itki!AQ41</f>
        <v>0</v>
      </c>
      <c r="F40" s="126">
        <f>Pali!AQ41</f>
        <v>0</v>
      </c>
      <c r="G40" s="126">
        <f>Hisri!AQ41</f>
        <v>0</v>
      </c>
      <c r="H40" s="126">
        <f>Choriya!AQ41</f>
        <v>0</v>
      </c>
      <c r="I40" s="126">
        <f>Baski!AQ41</f>
        <v>0</v>
      </c>
      <c r="J40" s="126">
        <f>Orja!AQ41</f>
        <v>0</v>
      </c>
      <c r="K40" s="126">
        <f>Piragutu!AQ41</f>
        <v>0</v>
      </c>
      <c r="L40" s="126">
        <f>Bhandra!AQ41</f>
        <v>0</v>
      </c>
      <c r="M40" s="126">
        <f>Chanho!AQ41</f>
        <v>0</v>
      </c>
      <c r="N40" s="116"/>
      <c r="O40" s="116"/>
      <c r="P40" s="116"/>
      <c r="Q40" s="116"/>
    </row>
    <row r="41" spans="1:17" x14ac:dyDescent="0.25">
      <c r="A41" s="112" t="s">
        <v>134</v>
      </c>
      <c r="C41" s="114">
        <v>45736</v>
      </c>
      <c r="D41" s="115" t="s">
        <v>54</v>
      </c>
      <c r="E41" s="126">
        <f>Itki!AQ42</f>
        <v>0</v>
      </c>
      <c r="F41" s="126">
        <f>Pali!AQ42</f>
        <v>0</v>
      </c>
      <c r="G41" s="126">
        <f>Hisri!AQ42</f>
        <v>0</v>
      </c>
      <c r="H41" s="126">
        <f>Choriya!AQ42</f>
        <v>0</v>
      </c>
      <c r="I41" s="126">
        <f>Baski!AQ42</f>
        <v>0</v>
      </c>
      <c r="J41" s="126">
        <f>Orja!AQ42</f>
        <v>0</v>
      </c>
      <c r="K41" s="126">
        <f>Piragutu!AQ42</f>
        <v>0</v>
      </c>
      <c r="L41" s="126">
        <f>Bhandra!AQ42</f>
        <v>0</v>
      </c>
      <c r="M41" s="126">
        <f>Chanho!AQ42</f>
        <v>0</v>
      </c>
      <c r="N41" s="116"/>
      <c r="O41" s="116"/>
      <c r="P41" s="116"/>
      <c r="Q41" s="116"/>
    </row>
    <row r="42" spans="1:17" x14ac:dyDescent="0.25">
      <c r="A42" s="112" t="s">
        <v>134</v>
      </c>
      <c r="C42" s="114">
        <v>45736</v>
      </c>
      <c r="D42" s="115" t="s">
        <v>55</v>
      </c>
      <c r="E42" s="126">
        <f>Itki!AQ43</f>
        <v>0</v>
      </c>
      <c r="F42" s="126">
        <f>Pali!AQ43</f>
        <v>0</v>
      </c>
      <c r="G42" s="126">
        <f>Hisri!AQ43</f>
        <v>0</v>
      </c>
      <c r="H42" s="126">
        <f>Choriya!AQ43</f>
        <v>0</v>
      </c>
      <c r="I42" s="126">
        <f>Baski!AQ43</f>
        <v>0</v>
      </c>
      <c r="J42" s="126">
        <f>Orja!AQ43</f>
        <v>0</v>
      </c>
      <c r="K42" s="126">
        <f>Piragutu!AQ43</f>
        <v>0</v>
      </c>
      <c r="L42" s="126">
        <f>Bhandra!AQ43</f>
        <v>0</v>
      </c>
      <c r="M42" s="126">
        <f>Chanho!AQ43</f>
        <v>0</v>
      </c>
      <c r="N42" s="116"/>
      <c r="O42" s="116"/>
      <c r="P42" s="116"/>
      <c r="Q42" s="116"/>
    </row>
    <row r="43" spans="1:17" x14ac:dyDescent="0.25">
      <c r="A43" s="112" t="s">
        <v>134</v>
      </c>
      <c r="C43" s="114">
        <v>45737</v>
      </c>
      <c r="D43" s="115" t="s">
        <v>54</v>
      </c>
      <c r="E43" s="126">
        <f>Itki!AQ44</f>
        <v>0</v>
      </c>
      <c r="F43" s="126">
        <f>Pali!AQ44</f>
        <v>0</v>
      </c>
      <c r="G43" s="126">
        <f>Hisri!AQ44</f>
        <v>0</v>
      </c>
      <c r="H43" s="126">
        <f>Choriya!AQ44</f>
        <v>0</v>
      </c>
      <c r="I43" s="126">
        <f>Baski!AQ44</f>
        <v>0</v>
      </c>
      <c r="J43" s="126">
        <f>Orja!AQ44</f>
        <v>0</v>
      </c>
      <c r="K43" s="126">
        <f>Piragutu!AQ44</f>
        <v>0</v>
      </c>
      <c r="L43" s="126">
        <f>Bhandra!AQ44</f>
        <v>0</v>
      </c>
      <c r="M43" s="126">
        <f>Chanho!AQ44</f>
        <v>0</v>
      </c>
      <c r="N43" s="116"/>
      <c r="O43" s="116"/>
      <c r="P43" s="116"/>
      <c r="Q43" s="116"/>
    </row>
    <row r="44" spans="1:17" x14ac:dyDescent="0.25">
      <c r="A44" s="112" t="s">
        <v>134</v>
      </c>
      <c r="C44" s="114">
        <v>45737</v>
      </c>
      <c r="D44" s="115" t="s">
        <v>55</v>
      </c>
      <c r="E44" s="126">
        <f>Itki!AQ45</f>
        <v>0</v>
      </c>
      <c r="F44" s="126">
        <f>Pali!AQ45</f>
        <v>0</v>
      </c>
      <c r="G44" s="126">
        <f>Hisri!AQ45</f>
        <v>0</v>
      </c>
      <c r="H44" s="126">
        <f>Choriya!AQ45</f>
        <v>0</v>
      </c>
      <c r="I44" s="126">
        <f>Baski!AQ45</f>
        <v>0</v>
      </c>
      <c r="J44" s="126">
        <f>Orja!AQ45</f>
        <v>0</v>
      </c>
      <c r="K44" s="126">
        <f>Piragutu!AQ45</f>
        <v>0</v>
      </c>
      <c r="L44" s="126">
        <f>Bhandra!AQ45</f>
        <v>0</v>
      </c>
      <c r="M44" s="126">
        <f>Chanho!AQ45</f>
        <v>0</v>
      </c>
      <c r="N44" s="116"/>
      <c r="O44" s="116"/>
      <c r="P44" s="116"/>
      <c r="Q44" s="116"/>
    </row>
    <row r="45" spans="1:17" x14ac:dyDescent="0.25">
      <c r="A45" s="112" t="s">
        <v>134</v>
      </c>
      <c r="C45" s="114">
        <v>45738</v>
      </c>
      <c r="D45" s="115" t="s">
        <v>54</v>
      </c>
      <c r="E45" s="126">
        <f>Itki!AQ46</f>
        <v>0</v>
      </c>
      <c r="F45" s="126">
        <f>Pali!AQ46</f>
        <v>0</v>
      </c>
      <c r="G45" s="126">
        <f>Hisri!AQ46</f>
        <v>0</v>
      </c>
      <c r="H45" s="126">
        <f>Choriya!AQ46</f>
        <v>0</v>
      </c>
      <c r="I45" s="126">
        <f>Baski!AQ46</f>
        <v>0</v>
      </c>
      <c r="J45" s="126">
        <f>Orja!AQ46</f>
        <v>0</v>
      </c>
      <c r="K45" s="126">
        <f>Piragutu!AQ46</f>
        <v>0</v>
      </c>
      <c r="L45" s="126">
        <f>Bhandra!AQ46</f>
        <v>0</v>
      </c>
      <c r="M45" s="126">
        <f>Chanho!AQ46</f>
        <v>0</v>
      </c>
      <c r="N45" s="116"/>
      <c r="O45" s="116"/>
      <c r="P45" s="116"/>
      <c r="Q45" s="116"/>
    </row>
    <row r="46" spans="1:17" x14ac:dyDescent="0.25">
      <c r="A46" s="112" t="s">
        <v>134</v>
      </c>
      <c r="C46" s="114">
        <v>45738</v>
      </c>
      <c r="D46" s="115" t="s">
        <v>55</v>
      </c>
      <c r="E46" s="126">
        <f>Itki!AQ47</f>
        <v>0</v>
      </c>
      <c r="F46" s="126">
        <f>Pali!AQ47</f>
        <v>0</v>
      </c>
      <c r="G46" s="126">
        <f>Hisri!AQ47</f>
        <v>0</v>
      </c>
      <c r="H46" s="126">
        <f>Choriya!AQ47</f>
        <v>0</v>
      </c>
      <c r="I46" s="126">
        <f>Baski!AQ47</f>
        <v>0</v>
      </c>
      <c r="J46" s="126">
        <f>Orja!AQ47</f>
        <v>0</v>
      </c>
      <c r="K46" s="126">
        <f>Piragutu!AQ47</f>
        <v>0</v>
      </c>
      <c r="L46" s="126">
        <f>Bhandra!AQ47</f>
        <v>0</v>
      </c>
      <c r="M46" s="126">
        <f>Chanho!AQ47</f>
        <v>0</v>
      </c>
      <c r="N46" s="116"/>
      <c r="O46" s="116"/>
      <c r="P46" s="116"/>
      <c r="Q46" s="116"/>
    </row>
    <row r="47" spans="1:17" x14ac:dyDescent="0.25">
      <c r="A47" s="112" t="s">
        <v>134</v>
      </c>
      <c r="C47" s="114">
        <v>45739</v>
      </c>
      <c r="D47" s="115" t="s">
        <v>54</v>
      </c>
      <c r="E47" s="126">
        <f>Itki!AQ48</f>
        <v>0</v>
      </c>
      <c r="F47" s="126">
        <f>Pali!AQ48</f>
        <v>0</v>
      </c>
      <c r="G47" s="126">
        <f>Hisri!AQ48</f>
        <v>0</v>
      </c>
      <c r="H47" s="126">
        <f>Choriya!AQ48</f>
        <v>0</v>
      </c>
      <c r="I47" s="126">
        <f>Baski!AQ48</f>
        <v>0</v>
      </c>
      <c r="J47" s="126">
        <f>Orja!AQ48</f>
        <v>0</v>
      </c>
      <c r="K47" s="126">
        <f>Piragutu!AQ48</f>
        <v>0</v>
      </c>
      <c r="L47" s="126">
        <f>Bhandra!AQ48</f>
        <v>0</v>
      </c>
      <c r="M47" s="126">
        <f>Chanho!AQ48</f>
        <v>0</v>
      </c>
      <c r="N47" s="116"/>
      <c r="O47" s="116"/>
      <c r="P47" s="116"/>
      <c r="Q47" s="116"/>
    </row>
    <row r="48" spans="1:17" x14ac:dyDescent="0.25">
      <c r="A48" s="112" t="s">
        <v>134</v>
      </c>
      <c r="C48" s="114">
        <v>45739</v>
      </c>
      <c r="D48" s="115" t="s">
        <v>55</v>
      </c>
      <c r="E48" s="126">
        <f>Itki!AQ49</f>
        <v>0</v>
      </c>
      <c r="F48" s="126">
        <f>Pali!AQ49</f>
        <v>0</v>
      </c>
      <c r="G48" s="126">
        <f>Hisri!AQ49</f>
        <v>0</v>
      </c>
      <c r="H48" s="126">
        <f>Choriya!AQ49</f>
        <v>0</v>
      </c>
      <c r="I48" s="126">
        <f>Baski!AQ49</f>
        <v>0</v>
      </c>
      <c r="J48" s="126">
        <f>Orja!AQ49</f>
        <v>0</v>
      </c>
      <c r="K48" s="126">
        <f>Piragutu!AQ49</f>
        <v>0</v>
      </c>
      <c r="L48" s="126">
        <f>Bhandra!AQ49</f>
        <v>0</v>
      </c>
      <c r="M48" s="126">
        <f>Chanho!AQ49</f>
        <v>0</v>
      </c>
      <c r="N48" s="116"/>
      <c r="O48" s="116"/>
      <c r="P48" s="116"/>
      <c r="Q48" s="116"/>
    </row>
    <row r="49" spans="1:20" x14ac:dyDescent="0.25">
      <c r="A49" s="112" t="s">
        <v>135</v>
      </c>
      <c r="C49" s="114">
        <v>45740</v>
      </c>
      <c r="D49" s="115" t="s">
        <v>54</v>
      </c>
      <c r="E49" s="126">
        <f>Itki!AQ50</f>
        <v>0</v>
      </c>
      <c r="F49" s="126">
        <f>Pali!AQ50</f>
        <v>0</v>
      </c>
      <c r="G49" s="126">
        <f>Hisri!AQ50</f>
        <v>0</v>
      </c>
      <c r="H49" s="126">
        <f>Choriya!AQ50</f>
        <v>0</v>
      </c>
      <c r="I49" s="126">
        <f>Baski!AQ50</f>
        <v>0</v>
      </c>
      <c r="J49" s="126">
        <f>Orja!AQ50</f>
        <v>0</v>
      </c>
      <c r="K49" s="126">
        <f>Piragutu!AQ50</f>
        <v>0</v>
      </c>
      <c r="L49" s="126">
        <f>Bhandra!AQ50</f>
        <v>0</v>
      </c>
      <c r="M49" s="126">
        <f>Chanho!AQ50</f>
        <v>0</v>
      </c>
      <c r="N49" s="116"/>
      <c r="O49" s="116"/>
      <c r="P49" s="116"/>
      <c r="Q49" s="116"/>
    </row>
    <row r="50" spans="1:20" x14ac:dyDescent="0.25">
      <c r="A50" s="112" t="s">
        <v>135</v>
      </c>
      <c r="C50" s="114">
        <v>45740</v>
      </c>
      <c r="D50" s="115" t="s">
        <v>55</v>
      </c>
      <c r="E50" s="126">
        <f>Itki!AQ51</f>
        <v>0</v>
      </c>
      <c r="F50" s="126">
        <f>Pali!AQ51</f>
        <v>0</v>
      </c>
      <c r="G50" s="126">
        <f>Hisri!AQ51</f>
        <v>0</v>
      </c>
      <c r="H50" s="126">
        <f>Choriya!AQ51</f>
        <v>0</v>
      </c>
      <c r="I50" s="126">
        <f>Baski!AQ51</f>
        <v>0</v>
      </c>
      <c r="J50" s="126">
        <f>Orja!AQ51</f>
        <v>0</v>
      </c>
      <c r="K50" s="126">
        <f>Piragutu!AQ51</f>
        <v>0</v>
      </c>
      <c r="L50" s="126">
        <f>Bhandra!AQ51</f>
        <v>0</v>
      </c>
      <c r="M50" s="126">
        <f>Chanho!AQ51</f>
        <v>0</v>
      </c>
      <c r="N50" s="116"/>
      <c r="O50" s="116"/>
      <c r="P50" s="116"/>
      <c r="Q50" s="116"/>
    </row>
    <row r="51" spans="1:20" x14ac:dyDescent="0.25">
      <c r="A51" s="112" t="s">
        <v>135</v>
      </c>
      <c r="C51" s="114">
        <v>45741</v>
      </c>
      <c r="D51" s="115" t="s">
        <v>54</v>
      </c>
      <c r="E51" s="126">
        <f>Itki!AQ52</f>
        <v>0</v>
      </c>
      <c r="F51" s="126">
        <f>Pali!AQ52</f>
        <v>0</v>
      </c>
      <c r="G51" s="126">
        <f>Hisri!AQ52</f>
        <v>0</v>
      </c>
      <c r="H51" s="126">
        <f>Choriya!AQ52</f>
        <v>0</v>
      </c>
      <c r="I51" s="126">
        <f>Baski!AQ52</f>
        <v>0</v>
      </c>
      <c r="J51" s="126">
        <f>Orja!AQ52</f>
        <v>0</v>
      </c>
      <c r="K51" s="126">
        <f>Piragutu!AQ52</f>
        <v>0</v>
      </c>
      <c r="L51" s="126">
        <f>Bhandra!AQ52</f>
        <v>0</v>
      </c>
      <c r="M51" s="126">
        <f>Chanho!AQ52</f>
        <v>0</v>
      </c>
      <c r="N51" s="116"/>
      <c r="O51" s="116"/>
      <c r="P51" s="116"/>
      <c r="Q51" s="116"/>
    </row>
    <row r="52" spans="1:20" x14ac:dyDescent="0.25">
      <c r="A52" s="112" t="s">
        <v>135</v>
      </c>
      <c r="C52" s="114">
        <v>45741</v>
      </c>
      <c r="D52" s="115" t="s">
        <v>55</v>
      </c>
      <c r="E52" s="126">
        <f>Itki!AQ53</f>
        <v>0</v>
      </c>
      <c r="F52" s="126">
        <f>Pali!AQ53</f>
        <v>0</v>
      </c>
      <c r="G52" s="126">
        <f>Hisri!AQ53</f>
        <v>0</v>
      </c>
      <c r="H52" s="126">
        <f>Choriya!AQ53</f>
        <v>0</v>
      </c>
      <c r="I52" s="126">
        <f>Baski!AQ53</f>
        <v>0</v>
      </c>
      <c r="J52" s="126">
        <f>Orja!AQ53</f>
        <v>0</v>
      </c>
      <c r="K52" s="126">
        <f>Piragutu!AQ53</f>
        <v>0</v>
      </c>
      <c r="L52" s="126">
        <f>Bhandra!AQ53</f>
        <v>0</v>
      </c>
      <c r="M52" s="126">
        <f>Chanho!AQ53</f>
        <v>0</v>
      </c>
      <c r="N52" s="116"/>
      <c r="O52" s="116"/>
      <c r="P52" s="116"/>
      <c r="Q52" s="116"/>
    </row>
    <row r="53" spans="1:20" x14ac:dyDescent="0.25">
      <c r="A53" s="112" t="s">
        <v>135</v>
      </c>
      <c r="C53" s="114">
        <v>45742</v>
      </c>
      <c r="D53" s="115" t="s">
        <v>54</v>
      </c>
      <c r="E53" s="126">
        <f>Itki!AQ54</f>
        <v>0</v>
      </c>
      <c r="F53" s="126">
        <f>Pali!AQ54</f>
        <v>0</v>
      </c>
      <c r="G53" s="126">
        <f>Hisri!AQ54</f>
        <v>0</v>
      </c>
      <c r="H53" s="126">
        <f>Choriya!AQ54</f>
        <v>0</v>
      </c>
      <c r="I53" s="126">
        <f>Baski!AQ54</f>
        <v>0</v>
      </c>
      <c r="J53" s="126">
        <f>Orja!AQ54</f>
        <v>0</v>
      </c>
      <c r="K53" s="126">
        <f>Piragutu!AQ54</f>
        <v>0</v>
      </c>
      <c r="L53" s="126">
        <f>Bhandra!AQ54</f>
        <v>0</v>
      </c>
      <c r="M53" s="126">
        <f>Chanho!AQ54</f>
        <v>0</v>
      </c>
      <c r="N53" s="116"/>
      <c r="O53" s="116"/>
      <c r="P53" s="116"/>
      <c r="Q53" s="116"/>
    </row>
    <row r="54" spans="1:20" x14ac:dyDescent="0.25">
      <c r="A54" s="112" t="s">
        <v>135</v>
      </c>
      <c r="C54" s="114">
        <v>45742</v>
      </c>
      <c r="D54" s="115" t="s">
        <v>55</v>
      </c>
      <c r="E54" s="126">
        <f>Itki!AQ55</f>
        <v>0</v>
      </c>
      <c r="F54" s="126">
        <f>Pali!AQ55</f>
        <v>0</v>
      </c>
      <c r="G54" s="126">
        <f>Hisri!AQ55</f>
        <v>0</v>
      </c>
      <c r="H54" s="126">
        <f>Choriya!AQ55</f>
        <v>0</v>
      </c>
      <c r="I54" s="126">
        <f>Baski!AQ55</f>
        <v>0</v>
      </c>
      <c r="J54" s="126">
        <f>Orja!AQ55</f>
        <v>0</v>
      </c>
      <c r="K54" s="126">
        <f>Piragutu!AQ55</f>
        <v>0</v>
      </c>
      <c r="L54" s="126">
        <f>Bhandra!AQ55</f>
        <v>0</v>
      </c>
      <c r="M54" s="126">
        <f>Chanho!AQ55</f>
        <v>0</v>
      </c>
      <c r="N54" s="116"/>
      <c r="O54" s="116"/>
      <c r="P54" s="116"/>
      <c r="Q54" s="116"/>
    </row>
    <row r="55" spans="1:20" x14ac:dyDescent="0.25">
      <c r="A55" s="112" t="s">
        <v>135</v>
      </c>
      <c r="C55" s="114">
        <v>45743</v>
      </c>
      <c r="D55" s="115" t="s">
        <v>54</v>
      </c>
      <c r="E55" s="126">
        <f>Itki!AQ56</f>
        <v>0</v>
      </c>
      <c r="F55" s="126">
        <f>Pali!AQ56</f>
        <v>0</v>
      </c>
      <c r="G55" s="126">
        <f>Hisri!AQ56</f>
        <v>0</v>
      </c>
      <c r="H55" s="126">
        <f>Choriya!AQ56</f>
        <v>0</v>
      </c>
      <c r="I55" s="126">
        <f>Baski!AQ56</f>
        <v>0</v>
      </c>
      <c r="J55" s="126">
        <f>Orja!AQ56</f>
        <v>0</v>
      </c>
      <c r="K55" s="126">
        <f>Piragutu!AQ56</f>
        <v>0</v>
      </c>
      <c r="L55" s="126">
        <f>Bhandra!AQ56</f>
        <v>0</v>
      </c>
      <c r="M55" s="126">
        <f>Chanho!AQ56</f>
        <v>0</v>
      </c>
      <c r="N55" s="116"/>
      <c r="O55" s="116"/>
      <c r="P55" s="116"/>
      <c r="Q55" s="116"/>
    </row>
    <row r="56" spans="1:20" x14ac:dyDescent="0.25">
      <c r="A56" s="112" t="s">
        <v>135</v>
      </c>
      <c r="C56" s="114">
        <v>45743</v>
      </c>
      <c r="D56" s="115" t="s">
        <v>55</v>
      </c>
      <c r="E56" s="126">
        <f>Itki!AQ57</f>
        <v>0</v>
      </c>
      <c r="F56" s="126">
        <f>Pali!AQ57</f>
        <v>0</v>
      </c>
      <c r="G56" s="126">
        <f>Hisri!AQ57</f>
        <v>0</v>
      </c>
      <c r="H56" s="126">
        <f>Choriya!AQ57</f>
        <v>0</v>
      </c>
      <c r="I56" s="126">
        <f>Baski!AQ57</f>
        <v>0</v>
      </c>
      <c r="J56" s="126">
        <f>Orja!AQ57</f>
        <v>0</v>
      </c>
      <c r="K56" s="126">
        <f>Piragutu!AQ57</f>
        <v>0</v>
      </c>
      <c r="L56" s="126">
        <f>Bhandra!AQ57</f>
        <v>0</v>
      </c>
      <c r="M56" s="126">
        <f>Chanho!AQ57</f>
        <v>0</v>
      </c>
      <c r="N56" s="116"/>
      <c r="O56" s="116"/>
      <c r="P56" s="116"/>
      <c r="Q56" s="116"/>
    </row>
    <row r="57" spans="1:20" x14ac:dyDescent="0.25">
      <c r="A57" s="112" t="s">
        <v>135</v>
      </c>
      <c r="C57" s="114">
        <v>45744</v>
      </c>
      <c r="D57" s="115" t="s">
        <v>54</v>
      </c>
      <c r="E57" s="126">
        <f>Itki!AQ58</f>
        <v>0</v>
      </c>
      <c r="F57" s="126">
        <f>Pali!AQ58</f>
        <v>0</v>
      </c>
      <c r="G57" s="126">
        <f>Hisri!AQ58</f>
        <v>0</v>
      </c>
      <c r="H57" s="126">
        <f>Choriya!AQ58</f>
        <v>0</v>
      </c>
      <c r="I57" s="126">
        <f>Baski!AQ58</f>
        <v>0</v>
      </c>
      <c r="J57" s="126">
        <f>Orja!AQ58</f>
        <v>0</v>
      </c>
      <c r="K57" s="126">
        <f>Piragutu!AQ58</f>
        <v>0</v>
      </c>
      <c r="L57" s="126">
        <f>Bhandra!AQ58</f>
        <v>0</v>
      </c>
      <c r="M57" s="126">
        <f>Chanho!AQ58</f>
        <v>0</v>
      </c>
      <c r="N57" s="116"/>
      <c r="O57" s="116"/>
      <c r="P57" s="116"/>
      <c r="Q57" s="116"/>
    </row>
    <row r="58" spans="1:20" x14ac:dyDescent="0.25">
      <c r="A58" s="112" t="s">
        <v>135</v>
      </c>
      <c r="C58" s="114">
        <v>45744</v>
      </c>
      <c r="D58" s="115" t="s">
        <v>55</v>
      </c>
      <c r="E58" s="126">
        <f>Itki!AQ59</f>
        <v>0</v>
      </c>
      <c r="F58" s="126">
        <f>Pali!AQ59</f>
        <v>0</v>
      </c>
      <c r="G58" s="126">
        <f>Hisri!AQ59</f>
        <v>0</v>
      </c>
      <c r="H58" s="126">
        <f>Choriya!AQ59</f>
        <v>0</v>
      </c>
      <c r="I58" s="126">
        <f>Baski!AQ59</f>
        <v>0</v>
      </c>
      <c r="J58" s="126">
        <f>Orja!AQ59</f>
        <v>0</v>
      </c>
      <c r="K58" s="126">
        <f>Piragutu!AQ59</f>
        <v>0</v>
      </c>
      <c r="L58" s="126">
        <f>Bhandra!AQ59</f>
        <v>0</v>
      </c>
      <c r="M58" s="126">
        <f>Chanho!AQ59</f>
        <v>0</v>
      </c>
      <c r="N58" s="116"/>
      <c r="O58" s="116"/>
      <c r="P58" s="116"/>
      <c r="Q58" s="116"/>
    </row>
    <row r="59" spans="1:20" x14ac:dyDescent="0.25">
      <c r="A59" s="112" t="s">
        <v>135</v>
      </c>
      <c r="C59" s="114">
        <v>45745</v>
      </c>
      <c r="D59" s="115" t="s">
        <v>54</v>
      </c>
      <c r="E59" s="126">
        <f>Itki!AQ60</f>
        <v>0</v>
      </c>
      <c r="F59" s="126">
        <f>Pali!AQ60</f>
        <v>0</v>
      </c>
      <c r="G59" s="126">
        <f>Hisri!AQ60</f>
        <v>0</v>
      </c>
      <c r="H59" s="126">
        <f>Choriya!AQ60</f>
        <v>0</v>
      </c>
      <c r="I59" s="126">
        <f>Baski!AQ60</f>
        <v>0</v>
      </c>
      <c r="J59" s="126">
        <f>Orja!AQ60</f>
        <v>0</v>
      </c>
      <c r="K59" s="126">
        <f>Piragutu!AQ60</f>
        <v>0</v>
      </c>
      <c r="L59" s="126">
        <f>Bhandra!AQ60</f>
        <v>0</v>
      </c>
      <c r="M59" s="126">
        <f>Chanho!AQ60</f>
        <v>0</v>
      </c>
      <c r="N59" s="116"/>
      <c r="O59" s="116"/>
      <c r="P59" s="116"/>
      <c r="Q59" s="116"/>
    </row>
    <row r="60" spans="1:20" x14ac:dyDescent="0.25">
      <c r="A60" s="112" t="s">
        <v>135</v>
      </c>
      <c r="C60" s="114">
        <v>45745</v>
      </c>
      <c r="D60" s="115" t="s">
        <v>55</v>
      </c>
      <c r="E60" s="126">
        <f>Itki!AQ61</f>
        <v>0</v>
      </c>
      <c r="F60" s="126">
        <f>Pali!AQ61</f>
        <v>0</v>
      </c>
      <c r="G60" s="126">
        <f>Hisri!AQ61</f>
        <v>0</v>
      </c>
      <c r="H60" s="126">
        <f>Choriya!AQ61</f>
        <v>0</v>
      </c>
      <c r="I60" s="126">
        <f>Baski!AQ61</f>
        <v>0</v>
      </c>
      <c r="J60" s="126">
        <f>Orja!AQ61</f>
        <v>0</v>
      </c>
      <c r="K60" s="126">
        <f>Piragutu!AQ61</f>
        <v>0</v>
      </c>
      <c r="L60" s="126">
        <f>Bhandra!AQ61</f>
        <v>0</v>
      </c>
      <c r="M60" s="126">
        <f>Chanho!AQ61</f>
        <v>0</v>
      </c>
      <c r="N60" s="116"/>
      <c r="O60" s="116"/>
      <c r="P60" s="116"/>
      <c r="Q60" s="116"/>
    </row>
    <row r="61" spans="1:20" x14ac:dyDescent="0.25">
      <c r="A61" s="112" t="s">
        <v>135</v>
      </c>
      <c r="C61" s="114">
        <v>45746</v>
      </c>
      <c r="D61" s="115" t="s">
        <v>54</v>
      </c>
      <c r="E61" s="126">
        <f>Itki!AQ62</f>
        <v>0</v>
      </c>
      <c r="F61" s="126">
        <f>Pali!AQ62</f>
        <v>0</v>
      </c>
      <c r="G61" s="126">
        <f>Hisri!AQ62</f>
        <v>0</v>
      </c>
      <c r="H61" s="126">
        <f>Choriya!AQ62</f>
        <v>0</v>
      </c>
      <c r="I61" s="126">
        <f>Baski!AQ62</f>
        <v>0</v>
      </c>
      <c r="J61" s="126">
        <f>Orja!AQ62</f>
        <v>0</v>
      </c>
      <c r="K61" s="126">
        <f>Piragutu!AQ62</f>
        <v>0</v>
      </c>
      <c r="L61" s="126">
        <f>Bhandra!AQ62</f>
        <v>0</v>
      </c>
      <c r="M61" s="126">
        <f>Chanho!AQ62</f>
        <v>0</v>
      </c>
      <c r="N61" s="116"/>
      <c r="O61" s="116"/>
      <c r="P61" s="116"/>
      <c r="Q61" s="116"/>
    </row>
    <row r="62" spans="1:20" x14ac:dyDescent="0.25">
      <c r="A62" s="112" t="s">
        <v>135</v>
      </c>
      <c r="C62" s="114">
        <v>45746</v>
      </c>
      <c r="D62" s="115" t="s">
        <v>55</v>
      </c>
      <c r="E62" s="126">
        <f>Itki!AQ63</f>
        <v>0</v>
      </c>
      <c r="F62" s="126">
        <f>Pali!AQ63</f>
        <v>0</v>
      </c>
      <c r="G62" s="126">
        <f>Hisri!AQ63</f>
        <v>0</v>
      </c>
      <c r="H62" s="126">
        <f>Choriya!AQ63</f>
        <v>0</v>
      </c>
      <c r="I62" s="126">
        <f>Baski!AQ63</f>
        <v>0</v>
      </c>
      <c r="J62" s="126">
        <f>Orja!AQ63</f>
        <v>0</v>
      </c>
      <c r="K62" s="126">
        <f>Piragutu!AQ63</f>
        <v>0</v>
      </c>
      <c r="L62" s="126">
        <f>Bhandra!AQ63</f>
        <v>0</v>
      </c>
      <c r="M62" s="126">
        <f>Chanho!AQ63</f>
        <v>0</v>
      </c>
      <c r="N62" s="116"/>
      <c r="O62" s="116"/>
      <c r="P62" s="116"/>
      <c r="Q62" s="116"/>
    </row>
    <row r="63" spans="1:20" x14ac:dyDescent="0.25">
      <c r="A63" s="112" t="s">
        <v>136</v>
      </c>
      <c r="C63" s="114">
        <v>45747</v>
      </c>
      <c r="D63" s="115" t="s">
        <v>54</v>
      </c>
      <c r="E63" s="126">
        <f>Itki!AQ64</f>
        <v>0</v>
      </c>
      <c r="F63" s="126">
        <f>Pali!AQ64</f>
        <v>0</v>
      </c>
      <c r="G63" s="126">
        <f>Hisri!AQ64</f>
        <v>0</v>
      </c>
      <c r="H63" s="126">
        <f>Choriya!AQ64</f>
        <v>0</v>
      </c>
      <c r="I63" s="126">
        <f>Baski!AQ64</f>
        <v>0</v>
      </c>
      <c r="J63" s="126">
        <f>Orja!AQ64</f>
        <v>0</v>
      </c>
      <c r="K63" s="126">
        <f>Piragutu!AQ64</f>
        <v>0</v>
      </c>
      <c r="L63" s="126">
        <f>Bhandra!AQ64</f>
        <v>0</v>
      </c>
      <c r="M63" s="126">
        <f>Chanho!AQ64</f>
        <v>0</v>
      </c>
      <c r="N63" s="116"/>
      <c r="O63" s="116"/>
      <c r="P63" s="116"/>
      <c r="Q63" s="116"/>
      <c r="S63" s="117">
        <v>-1</v>
      </c>
      <c r="T63" s="118" t="s">
        <v>82</v>
      </c>
    </row>
    <row r="64" spans="1:20" x14ac:dyDescent="0.25">
      <c r="A64" s="112" t="s">
        <v>136</v>
      </c>
      <c r="C64" s="114">
        <v>45747</v>
      </c>
      <c r="D64" s="115" t="s">
        <v>55</v>
      </c>
      <c r="E64" s="126">
        <f>Itki!AQ65</f>
        <v>0</v>
      </c>
      <c r="F64" s="126">
        <f>Pali!AQ65</f>
        <v>0</v>
      </c>
      <c r="G64" s="126">
        <f>Hisri!AQ65</f>
        <v>0</v>
      </c>
      <c r="H64" s="126">
        <f>Choriya!AQ65</f>
        <v>0</v>
      </c>
      <c r="I64" s="126">
        <f>Baski!AQ65</f>
        <v>0</v>
      </c>
      <c r="J64" s="126">
        <f>Orja!AQ65</f>
        <v>0</v>
      </c>
      <c r="K64" s="126">
        <f>Piragutu!AQ65</f>
        <v>0</v>
      </c>
      <c r="L64" s="126">
        <f>Bhandra!AQ65</f>
        <v>0</v>
      </c>
      <c r="M64" s="126">
        <f>Chanho!AQ65</f>
        <v>0</v>
      </c>
      <c r="N64" s="116"/>
      <c r="O64" s="116"/>
      <c r="P64" s="116"/>
      <c r="Q64" s="116"/>
      <c r="S64" s="117">
        <v>1</v>
      </c>
      <c r="T64" s="118" t="s">
        <v>83</v>
      </c>
    </row>
    <row r="65" spans="3:66" x14ac:dyDescent="0.25">
      <c r="C65" s="323" t="s">
        <v>84</v>
      </c>
      <c r="D65" s="323"/>
      <c r="E65" s="127">
        <f>SUM(E3:E64)</f>
        <v>6739.1416500000214</v>
      </c>
      <c r="F65" s="127">
        <f t="shared" ref="F65:M65" si="0">SUM(F3:F64)</f>
        <v>-5733.4349999999631</v>
      </c>
      <c r="G65" s="127">
        <f t="shared" si="0"/>
        <v>1580.2063499999776</v>
      </c>
      <c r="H65" s="127">
        <f t="shared" si="0"/>
        <v>481.62435000001869</v>
      </c>
      <c r="I65" s="127">
        <f t="shared" si="0"/>
        <v>0</v>
      </c>
      <c r="J65" s="127">
        <f t="shared" si="0"/>
        <v>-278.89500000004114</v>
      </c>
      <c r="K65" s="127">
        <f t="shared" si="0"/>
        <v>3395.3664000000063</v>
      </c>
      <c r="L65" s="127">
        <f t="shared" si="0"/>
        <v>320.62499999996533</v>
      </c>
      <c r="M65" s="127">
        <f t="shared" si="0"/>
        <v>-91.949999999991178</v>
      </c>
      <c r="N65" s="119"/>
      <c r="O65" s="119"/>
      <c r="P65" s="119"/>
      <c r="Q65" s="119"/>
    </row>
    <row r="68" spans="3:66" ht="28.5" customHeight="1" x14ac:dyDescent="0.25">
      <c r="C68" s="120" t="s">
        <v>31</v>
      </c>
      <c r="D68" s="120" t="s">
        <v>32</v>
      </c>
      <c r="E68" s="121" t="s">
        <v>3</v>
      </c>
      <c r="F68" s="121" t="s">
        <v>5</v>
      </c>
      <c r="G68" s="121" t="s">
        <v>7</v>
      </c>
      <c r="H68" s="121" t="s">
        <v>9</v>
      </c>
      <c r="I68" s="121" t="s">
        <v>11</v>
      </c>
      <c r="J68" s="121" t="s">
        <v>13</v>
      </c>
      <c r="K68" s="121" t="s">
        <v>15</v>
      </c>
      <c r="L68" s="121" t="s">
        <v>80</v>
      </c>
      <c r="M68" s="121" t="s">
        <v>88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</row>
    <row r="69" spans="3:66" ht="15" x14ac:dyDescent="0.25">
      <c r="C69" s="155" t="s">
        <v>131</v>
      </c>
      <c r="D69" s="115"/>
      <c r="E69" s="126">
        <f t="shared" ref="E69:M73" si="1">SUMIF($A$3:$A$64,$C69,E$3:E$64)</f>
        <v>6739.1416500000214</v>
      </c>
      <c r="F69" s="126">
        <f t="shared" si="1"/>
        <v>-5733.4349999999631</v>
      </c>
      <c r="G69" s="126">
        <f t="shared" si="1"/>
        <v>1580.2063499999776</v>
      </c>
      <c r="H69" s="126">
        <f t="shared" si="1"/>
        <v>481.62435000001869</v>
      </c>
      <c r="I69" s="126">
        <f t="shared" si="1"/>
        <v>0</v>
      </c>
      <c r="J69" s="126">
        <f t="shared" si="1"/>
        <v>-278.89500000004114</v>
      </c>
      <c r="K69" s="126">
        <f t="shared" si="1"/>
        <v>3395.3664000000063</v>
      </c>
      <c r="L69" s="126">
        <f t="shared" si="1"/>
        <v>320.62499999996533</v>
      </c>
      <c r="M69" s="126">
        <f t="shared" si="1"/>
        <v>-91.949999999991178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</row>
    <row r="70" spans="3:66" ht="15" x14ac:dyDescent="0.25">
      <c r="C70" s="114" t="s">
        <v>132</v>
      </c>
      <c r="D70" s="115"/>
      <c r="E70" s="126">
        <f t="shared" si="1"/>
        <v>0</v>
      </c>
      <c r="F70" s="126">
        <f t="shared" si="1"/>
        <v>0</v>
      </c>
      <c r="G70" s="126">
        <f t="shared" si="1"/>
        <v>0</v>
      </c>
      <c r="H70" s="126">
        <f t="shared" si="1"/>
        <v>0</v>
      </c>
      <c r="I70" s="126">
        <f t="shared" si="1"/>
        <v>0</v>
      </c>
      <c r="J70" s="126">
        <f t="shared" si="1"/>
        <v>0</v>
      </c>
      <c r="K70" s="126">
        <f t="shared" si="1"/>
        <v>0</v>
      </c>
      <c r="L70" s="126">
        <f t="shared" si="1"/>
        <v>0</v>
      </c>
      <c r="M70" s="126">
        <f t="shared" si="1"/>
        <v>0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3:66" ht="15" x14ac:dyDescent="0.25">
      <c r="C71" s="114" t="s">
        <v>133</v>
      </c>
      <c r="D71" s="115"/>
      <c r="E71" s="126">
        <f t="shared" si="1"/>
        <v>0</v>
      </c>
      <c r="F71" s="126">
        <f t="shared" si="1"/>
        <v>0</v>
      </c>
      <c r="G71" s="126">
        <f t="shared" si="1"/>
        <v>0</v>
      </c>
      <c r="H71" s="126">
        <f t="shared" si="1"/>
        <v>0</v>
      </c>
      <c r="I71" s="126">
        <f t="shared" si="1"/>
        <v>0</v>
      </c>
      <c r="J71" s="126">
        <f t="shared" si="1"/>
        <v>0</v>
      </c>
      <c r="K71" s="126">
        <f t="shared" si="1"/>
        <v>0</v>
      </c>
      <c r="L71" s="126">
        <f t="shared" si="1"/>
        <v>0</v>
      </c>
      <c r="M71" s="126">
        <f t="shared" si="1"/>
        <v>0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</row>
    <row r="72" spans="3:66" ht="15" x14ac:dyDescent="0.25">
      <c r="C72" s="114" t="s">
        <v>134</v>
      </c>
      <c r="D72" s="115"/>
      <c r="E72" s="126">
        <f t="shared" si="1"/>
        <v>0</v>
      </c>
      <c r="F72" s="126">
        <f t="shared" si="1"/>
        <v>0</v>
      </c>
      <c r="G72" s="126">
        <f t="shared" si="1"/>
        <v>0</v>
      </c>
      <c r="H72" s="126">
        <f t="shared" si="1"/>
        <v>0</v>
      </c>
      <c r="I72" s="126">
        <f t="shared" si="1"/>
        <v>0</v>
      </c>
      <c r="J72" s="126">
        <f t="shared" si="1"/>
        <v>0</v>
      </c>
      <c r="K72" s="126">
        <f t="shared" si="1"/>
        <v>0</v>
      </c>
      <c r="L72" s="126">
        <f t="shared" si="1"/>
        <v>0</v>
      </c>
      <c r="M72" s="126">
        <f t="shared" si="1"/>
        <v>0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3:66" ht="15" x14ac:dyDescent="0.25">
      <c r="C73" s="114" t="s">
        <v>135</v>
      </c>
      <c r="D73" s="115"/>
      <c r="E73" s="126">
        <f t="shared" si="1"/>
        <v>0</v>
      </c>
      <c r="F73" s="126">
        <f t="shared" si="1"/>
        <v>0</v>
      </c>
      <c r="G73" s="126">
        <f t="shared" si="1"/>
        <v>0</v>
      </c>
      <c r="H73" s="126">
        <f t="shared" si="1"/>
        <v>0</v>
      </c>
      <c r="I73" s="126">
        <f t="shared" si="1"/>
        <v>0</v>
      </c>
      <c r="J73" s="126">
        <f t="shared" si="1"/>
        <v>0</v>
      </c>
      <c r="K73" s="126">
        <f t="shared" si="1"/>
        <v>0</v>
      </c>
      <c r="L73" s="126">
        <f t="shared" si="1"/>
        <v>0</v>
      </c>
      <c r="M73" s="126">
        <f t="shared" si="1"/>
        <v>0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</row>
    <row r="74" spans="3:66" ht="15" x14ac:dyDescent="0.25">
      <c r="C74" s="114" t="s">
        <v>136</v>
      </c>
      <c r="D74" s="115"/>
      <c r="E74" s="126"/>
      <c r="F74" s="126"/>
      <c r="G74" s="126"/>
      <c r="H74" s="126"/>
      <c r="I74" s="126"/>
      <c r="J74" s="126"/>
      <c r="K74" s="126"/>
      <c r="L74" s="126"/>
      <c r="M74" s="126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</row>
    <row r="75" spans="3:66" x14ac:dyDescent="0.25">
      <c r="C75" s="123" t="s">
        <v>86</v>
      </c>
      <c r="D75" s="124"/>
      <c r="E75" s="127">
        <f>SUM(E69:E73)</f>
        <v>6739.1416500000214</v>
      </c>
      <c r="F75" s="127">
        <f>SUM(F69:F73)</f>
        <v>-5733.4349999999631</v>
      </c>
      <c r="G75" s="127">
        <f t="shared" ref="G75:L75" si="2">SUM(G69:G73)</f>
        <v>1580.2063499999776</v>
      </c>
      <c r="H75" s="127">
        <f t="shared" si="2"/>
        <v>481.62435000001869</v>
      </c>
      <c r="I75" s="127">
        <f t="shared" si="2"/>
        <v>0</v>
      </c>
      <c r="J75" s="127">
        <f t="shared" si="2"/>
        <v>-278.89500000004114</v>
      </c>
      <c r="K75" s="127">
        <f t="shared" si="2"/>
        <v>3395.3664000000063</v>
      </c>
      <c r="L75" s="127">
        <f t="shared" si="2"/>
        <v>320.62499999996533</v>
      </c>
      <c r="M75" s="127">
        <f t="shared" ref="M75" si="3">SUM(M69:M73)</f>
        <v>-91.949999999991178</v>
      </c>
    </row>
    <row r="76" spans="3:66" ht="15" x14ac:dyDescent="0.25">
      <c r="C76"/>
      <c r="D76"/>
      <c r="E76" s="128"/>
      <c r="F76" s="128"/>
      <c r="G76" s="128"/>
      <c r="H76" s="128"/>
      <c r="I76" s="128"/>
    </row>
    <row r="77" spans="3:66" ht="15" x14ac:dyDescent="0.25">
      <c r="C77"/>
      <c r="D77"/>
      <c r="E77" s="128"/>
      <c r="F77" s="128"/>
      <c r="G77" s="128"/>
      <c r="H77" s="128"/>
      <c r="I77" s="128"/>
    </row>
    <row r="78" spans="3:66" ht="15" x14ac:dyDescent="0.25">
      <c r="C78"/>
      <c r="D78"/>
      <c r="E78" s="128"/>
      <c r="F78" s="128"/>
      <c r="G78" s="128"/>
      <c r="H78" s="128"/>
      <c r="I78" s="128"/>
    </row>
    <row r="79" spans="3:66" ht="15" x14ac:dyDescent="0.25">
      <c r="C79"/>
      <c r="D79"/>
      <c r="E79" s="128"/>
      <c r="F79" s="128"/>
      <c r="G79" s="128"/>
      <c r="H79" s="128"/>
      <c r="I79" s="128"/>
    </row>
    <row r="80" spans="3:66" ht="15" x14ac:dyDescent="0.25">
      <c r="C80"/>
      <c r="D80"/>
      <c r="E80" s="128"/>
      <c r="F80" s="128"/>
      <c r="G80" s="128"/>
      <c r="H80" s="128"/>
      <c r="I80" s="128"/>
    </row>
    <row r="81" spans="3:20" ht="15" x14ac:dyDescent="0.25">
      <c r="C81"/>
      <c r="D81"/>
      <c r="E81" s="128"/>
      <c r="F81" s="128"/>
      <c r="G81" s="128"/>
      <c r="H81" s="128"/>
      <c r="I81" s="128"/>
    </row>
    <row r="82" spans="3:20" ht="15" x14ac:dyDescent="0.25">
      <c r="C82"/>
      <c r="D82"/>
      <c r="E82" s="128"/>
      <c r="F82" s="128"/>
      <c r="G82" s="128"/>
      <c r="H82" s="128"/>
      <c r="I82" s="128"/>
      <c r="T82" s="112" t="s">
        <v>121</v>
      </c>
    </row>
    <row r="83" spans="3:20" ht="15" x14ac:dyDescent="0.25">
      <c r="C83"/>
      <c r="D83"/>
      <c r="E83" s="128"/>
      <c r="F83" s="128"/>
      <c r="G83" s="128"/>
      <c r="H83" s="128"/>
      <c r="I83" s="128"/>
    </row>
    <row r="84" spans="3:20" ht="15" x14ac:dyDescent="0.25">
      <c r="C84"/>
      <c r="D84"/>
      <c r="E84" s="128"/>
      <c r="F84" s="128"/>
      <c r="G84" s="128"/>
      <c r="H84" s="128"/>
      <c r="I84" s="128"/>
    </row>
    <row r="85" spans="3:20" ht="15" x14ac:dyDescent="0.25">
      <c r="C85"/>
      <c r="D85"/>
      <c r="E85" s="128"/>
      <c r="F85" s="128"/>
      <c r="G85" s="128"/>
      <c r="H85" s="128"/>
      <c r="I85" s="128"/>
    </row>
    <row r="86" spans="3:20" ht="15" x14ac:dyDescent="0.25">
      <c r="C86"/>
      <c r="D86"/>
      <c r="E86" s="128"/>
      <c r="F86" s="128"/>
      <c r="G86" s="128"/>
      <c r="H86" s="128"/>
      <c r="I86" s="128"/>
    </row>
    <row r="87" spans="3:20" ht="15" x14ac:dyDescent="0.25">
      <c r="C87"/>
      <c r="D87"/>
      <c r="E87" s="128"/>
      <c r="F87" s="128"/>
      <c r="G87" s="128"/>
      <c r="H87" s="128"/>
      <c r="I87" s="128"/>
    </row>
    <row r="88" spans="3:20" ht="15" x14ac:dyDescent="0.25">
      <c r="C88"/>
      <c r="D88"/>
      <c r="E88" s="128"/>
      <c r="F88" s="128"/>
      <c r="G88" s="128"/>
      <c r="H88" s="128"/>
      <c r="I88" s="128"/>
    </row>
    <row r="89" spans="3:20" ht="15" x14ac:dyDescent="0.25">
      <c r="C89"/>
      <c r="D89"/>
      <c r="E89" s="128"/>
      <c r="F89" s="128"/>
      <c r="G89" s="128"/>
      <c r="H89" s="128"/>
      <c r="I89" s="128"/>
    </row>
    <row r="90" spans="3:20" ht="15" x14ac:dyDescent="0.25">
      <c r="C90"/>
      <c r="D90"/>
      <c r="E90" s="128"/>
      <c r="F90" s="128"/>
      <c r="G90" s="128"/>
      <c r="H90" s="128"/>
      <c r="I90" s="128"/>
    </row>
    <row r="91" spans="3:20" ht="15" x14ac:dyDescent="0.25">
      <c r="C91"/>
      <c r="D91"/>
      <c r="E91" s="128"/>
      <c r="F91" s="128"/>
      <c r="G91" s="128"/>
      <c r="H91" s="128"/>
      <c r="I91" s="128"/>
    </row>
    <row r="92" spans="3:20" ht="15" x14ac:dyDescent="0.25">
      <c r="C92"/>
      <c r="D92"/>
      <c r="E92" s="128"/>
      <c r="F92" s="128"/>
      <c r="G92" s="128"/>
      <c r="H92" s="128"/>
      <c r="I92" s="128"/>
    </row>
    <row r="93" spans="3:20" ht="15" x14ac:dyDescent="0.25">
      <c r="C93"/>
      <c r="D93"/>
      <c r="E93" s="128"/>
      <c r="F93" s="128"/>
      <c r="G93" s="128"/>
      <c r="H93" s="128"/>
      <c r="I93" s="128"/>
    </row>
    <row r="94" spans="3:20" ht="15" x14ac:dyDescent="0.25">
      <c r="C94"/>
      <c r="D94"/>
      <c r="E94" s="128"/>
      <c r="F94" s="128"/>
      <c r="G94" s="128"/>
      <c r="H94" s="128"/>
      <c r="I94" s="128"/>
    </row>
    <row r="95" spans="3:20" ht="15" x14ac:dyDescent="0.25">
      <c r="C95"/>
      <c r="D95"/>
      <c r="E95" s="128"/>
      <c r="F95" s="128"/>
      <c r="G95" s="128"/>
      <c r="H95" s="128"/>
      <c r="I95" s="128"/>
    </row>
    <row r="96" spans="3:20" ht="15" x14ac:dyDescent="0.25">
      <c r="C96"/>
      <c r="D96"/>
      <c r="E96" s="128"/>
      <c r="F96" s="128"/>
      <c r="G96" s="128"/>
      <c r="H96" s="128"/>
      <c r="I96" s="128"/>
    </row>
    <row r="97" spans="3:9" ht="15" x14ac:dyDescent="0.25">
      <c r="C97"/>
      <c r="D97"/>
      <c r="E97" s="128"/>
      <c r="F97" s="128"/>
      <c r="G97" s="128"/>
      <c r="H97" s="128"/>
      <c r="I97" s="128"/>
    </row>
    <row r="98" spans="3:9" ht="15" x14ac:dyDescent="0.25">
      <c r="C98"/>
      <c r="D98"/>
      <c r="E98" s="128"/>
      <c r="F98" s="128"/>
      <c r="G98" s="128"/>
      <c r="H98" s="128"/>
      <c r="I98" s="128"/>
    </row>
    <row r="99" spans="3:9" ht="15" x14ac:dyDescent="0.25">
      <c r="C99"/>
      <c r="D99"/>
      <c r="E99" s="128"/>
      <c r="F99" s="128"/>
      <c r="G99" s="128"/>
      <c r="H99" s="128"/>
      <c r="I99" s="128"/>
    </row>
    <row r="100" spans="3:9" ht="15" x14ac:dyDescent="0.25">
      <c r="C100"/>
      <c r="D100"/>
      <c r="E100" s="128"/>
      <c r="F100" s="128"/>
      <c r="G100" s="128"/>
      <c r="H100" s="128"/>
      <c r="I100" s="128"/>
    </row>
    <row r="101" spans="3:9" ht="15" x14ac:dyDescent="0.25">
      <c r="C101"/>
      <c r="D101"/>
      <c r="E101" s="128"/>
      <c r="F101" s="128"/>
      <c r="G101" s="128"/>
      <c r="H101" s="128"/>
      <c r="I101" s="128"/>
    </row>
    <row r="102" spans="3:9" ht="15" x14ac:dyDescent="0.25">
      <c r="C102"/>
      <c r="D102"/>
      <c r="E102" s="128"/>
      <c r="F102" s="128"/>
      <c r="G102" s="128"/>
      <c r="H102" s="128"/>
      <c r="I102" s="128"/>
    </row>
    <row r="103" spans="3:9" ht="15" x14ac:dyDescent="0.25">
      <c r="C103"/>
      <c r="D103"/>
      <c r="E103" s="128"/>
      <c r="F103" s="128"/>
      <c r="G103" s="128"/>
      <c r="H103" s="128"/>
      <c r="I103" s="128"/>
    </row>
    <row r="104" spans="3:9" ht="15" x14ac:dyDescent="0.25">
      <c r="C104"/>
      <c r="D104"/>
      <c r="E104" s="128"/>
      <c r="F104" s="128"/>
      <c r="G104" s="128"/>
      <c r="H104" s="128"/>
      <c r="I104" s="128"/>
    </row>
    <row r="105" spans="3:9" ht="15" x14ac:dyDescent="0.25">
      <c r="C105"/>
      <c r="D105"/>
      <c r="E105" s="128"/>
      <c r="F105" s="128"/>
      <c r="G105" s="128"/>
      <c r="H105" s="128"/>
      <c r="I105" s="128"/>
    </row>
    <row r="106" spans="3:9" ht="15" x14ac:dyDescent="0.25">
      <c r="C106"/>
      <c r="D106"/>
      <c r="E106" s="128"/>
      <c r="F106" s="128"/>
      <c r="G106" s="128"/>
      <c r="H106" s="128"/>
      <c r="I106" s="128"/>
    </row>
    <row r="107" spans="3:9" ht="15" x14ac:dyDescent="0.25">
      <c r="C107"/>
      <c r="D107"/>
      <c r="E107" s="128"/>
      <c r="F107" s="128"/>
      <c r="G107" s="128"/>
      <c r="H107" s="128"/>
      <c r="I107" s="128"/>
    </row>
    <row r="108" spans="3:9" ht="15" x14ac:dyDescent="0.25">
      <c r="C108"/>
      <c r="D108"/>
      <c r="E108" s="128"/>
      <c r="F108" s="128"/>
      <c r="G108" s="128"/>
      <c r="H108" s="128"/>
      <c r="I108" s="128"/>
    </row>
    <row r="109" spans="3:9" ht="15" x14ac:dyDescent="0.25">
      <c r="C109"/>
      <c r="D109"/>
      <c r="E109" s="128"/>
      <c r="F109" s="128"/>
      <c r="G109" s="128"/>
      <c r="H109" s="128"/>
      <c r="I109" s="128"/>
    </row>
    <row r="110" spans="3:9" ht="15" x14ac:dyDescent="0.25">
      <c r="C110"/>
      <c r="D110"/>
      <c r="E110" s="128"/>
      <c r="F110" s="128"/>
      <c r="G110" s="128"/>
      <c r="H110" s="128"/>
      <c r="I110" s="128"/>
    </row>
    <row r="111" spans="3:9" ht="15" x14ac:dyDescent="0.25">
      <c r="C111"/>
      <c r="D111"/>
      <c r="E111" s="128"/>
      <c r="F111" s="128"/>
      <c r="G111" s="128"/>
      <c r="H111" s="128"/>
      <c r="I111" s="128"/>
    </row>
    <row r="112" spans="3:9" ht="15" x14ac:dyDescent="0.25">
      <c r="C112"/>
      <c r="D112"/>
      <c r="E112" s="128"/>
      <c r="F112" s="128"/>
      <c r="G112" s="128"/>
      <c r="H112" s="128"/>
      <c r="I112" s="128"/>
    </row>
    <row r="113" spans="3:9" ht="15" x14ac:dyDescent="0.25">
      <c r="C113"/>
      <c r="D113"/>
      <c r="E113" s="128"/>
      <c r="F113" s="128"/>
      <c r="G113" s="128"/>
      <c r="H113" s="128"/>
      <c r="I113" s="128"/>
    </row>
    <row r="114" spans="3:9" ht="15" x14ac:dyDescent="0.25">
      <c r="C114"/>
      <c r="D114"/>
      <c r="E114" s="128"/>
      <c r="F114" s="128"/>
      <c r="G114" s="128"/>
      <c r="H114" s="128"/>
      <c r="I114" s="128"/>
    </row>
    <row r="115" spans="3:9" ht="15" x14ac:dyDescent="0.25">
      <c r="C115"/>
      <c r="D115"/>
      <c r="E115" s="128"/>
      <c r="F115" s="128"/>
      <c r="G115" s="128"/>
      <c r="H115" s="128"/>
      <c r="I115" s="128"/>
    </row>
    <row r="116" spans="3:9" ht="15" x14ac:dyDescent="0.25">
      <c r="C116"/>
      <c r="D116"/>
      <c r="E116" s="128"/>
      <c r="F116" s="128"/>
      <c r="G116" s="128"/>
      <c r="H116" s="128"/>
      <c r="I116" s="128"/>
    </row>
    <row r="117" spans="3:9" ht="15" x14ac:dyDescent="0.25">
      <c r="C117"/>
      <c r="D117"/>
      <c r="E117" s="128"/>
      <c r="F117" s="128"/>
      <c r="G117" s="128"/>
      <c r="H117" s="128"/>
      <c r="I117" s="128"/>
    </row>
    <row r="118" spans="3:9" ht="15" x14ac:dyDescent="0.25">
      <c r="C118"/>
      <c r="D118"/>
      <c r="E118" s="128"/>
      <c r="F118" s="128"/>
      <c r="G118" s="128"/>
      <c r="H118" s="128"/>
      <c r="I118" s="128"/>
    </row>
    <row r="119" spans="3:9" ht="15" x14ac:dyDescent="0.25">
      <c r="C119"/>
      <c r="D119"/>
      <c r="E119" s="128"/>
      <c r="F119" s="128"/>
      <c r="G119" s="128"/>
      <c r="H119" s="128"/>
      <c r="I119" s="128"/>
    </row>
    <row r="120" spans="3:9" ht="15" x14ac:dyDescent="0.25">
      <c r="C120"/>
      <c r="D120"/>
      <c r="E120" s="128"/>
      <c r="F120" s="128"/>
      <c r="G120" s="128"/>
      <c r="H120" s="128"/>
      <c r="I120" s="128"/>
    </row>
    <row r="121" spans="3:9" ht="15" x14ac:dyDescent="0.25">
      <c r="C121"/>
      <c r="D121"/>
      <c r="E121" s="128"/>
      <c r="F121" s="128"/>
      <c r="G121" s="128"/>
      <c r="H121" s="128"/>
      <c r="I121" s="128"/>
    </row>
    <row r="122" spans="3:9" ht="15" x14ac:dyDescent="0.25">
      <c r="C122"/>
      <c r="D122"/>
      <c r="E122" s="128"/>
      <c r="F122" s="128"/>
      <c r="G122" s="128"/>
      <c r="H122" s="128"/>
      <c r="I122" s="128"/>
    </row>
    <row r="123" spans="3:9" ht="15" x14ac:dyDescent="0.25">
      <c r="C123"/>
      <c r="D123"/>
      <c r="E123" s="128"/>
      <c r="F123" s="128"/>
      <c r="G123" s="128"/>
      <c r="H123" s="128"/>
      <c r="I123" s="128"/>
    </row>
    <row r="124" spans="3:9" ht="15" x14ac:dyDescent="0.25">
      <c r="C124"/>
      <c r="D124"/>
      <c r="E124" s="128"/>
      <c r="F124" s="128"/>
      <c r="G124" s="128"/>
      <c r="H124" s="128"/>
      <c r="I124" s="128"/>
    </row>
    <row r="125" spans="3:9" ht="15" x14ac:dyDescent="0.25">
      <c r="C125"/>
      <c r="D125"/>
      <c r="E125" s="128"/>
      <c r="F125" s="128"/>
      <c r="G125" s="128"/>
      <c r="H125" s="128"/>
      <c r="I125" s="128"/>
    </row>
    <row r="126" spans="3:9" ht="15" x14ac:dyDescent="0.25">
      <c r="C126"/>
      <c r="D126"/>
      <c r="E126" s="128"/>
      <c r="F126" s="128"/>
      <c r="G126" s="128"/>
      <c r="H126" s="128"/>
      <c r="I126" s="128"/>
    </row>
    <row r="127" spans="3:9" ht="15" x14ac:dyDescent="0.25">
      <c r="C127"/>
      <c r="D127"/>
      <c r="E127" s="128"/>
      <c r="F127" s="128"/>
      <c r="G127" s="128"/>
      <c r="H127" s="128"/>
      <c r="I127" s="128"/>
    </row>
    <row r="128" spans="3:9" ht="15" x14ac:dyDescent="0.25">
      <c r="C128"/>
      <c r="D128"/>
      <c r="E128" s="128"/>
      <c r="F128" s="128"/>
      <c r="G128" s="128"/>
      <c r="H128" s="128"/>
      <c r="I128" s="128"/>
    </row>
    <row r="129" spans="3:9" ht="15" x14ac:dyDescent="0.25">
      <c r="C129"/>
      <c r="D129"/>
      <c r="E129" s="128"/>
      <c r="F129" s="128"/>
      <c r="G129" s="128"/>
      <c r="H129" s="128"/>
      <c r="I129" s="128"/>
    </row>
    <row r="130" spans="3:9" ht="15" x14ac:dyDescent="0.25">
      <c r="C130"/>
      <c r="D130"/>
      <c r="E130" s="128"/>
      <c r="F130" s="128"/>
      <c r="G130" s="128"/>
      <c r="H130" s="128"/>
      <c r="I130" s="128"/>
    </row>
    <row r="131" spans="3:9" ht="15" x14ac:dyDescent="0.25">
      <c r="C131"/>
      <c r="D131"/>
      <c r="E131" s="128"/>
      <c r="F131" s="128"/>
      <c r="G131" s="128"/>
      <c r="H131" s="128"/>
      <c r="I131" s="128"/>
    </row>
  </sheetData>
  <mergeCells count="1">
    <mergeCell ref="C65:D65"/>
  </mergeCells>
  <conditionalFormatting sqref="E69:M75">
    <cfRule type="cellIs" dxfId="62" priority="1" operator="greaterThan">
      <formula>0</formula>
    </cfRule>
    <cfRule type="cellIs" dxfId="61" priority="2" operator="lessThan">
      <formula>0</formula>
    </cfRule>
  </conditionalFormatting>
  <conditionalFormatting sqref="E3:Q65">
    <cfRule type="cellIs" dxfId="60" priority="9" operator="greaterThan">
      <formula>0</formula>
    </cfRule>
    <cfRule type="cellIs" dxfId="59" priority="10" operator="lessThan">
      <formula>0</formula>
    </cfRule>
  </conditionalFormatting>
  <conditionalFormatting sqref="S63:S64">
    <cfRule type="cellIs" dxfId="58" priority="5" operator="greaterThan">
      <formula>0</formula>
    </cfRule>
    <cfRule type="cellIs" dxfId="57" priority="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C2:O12"/>
  <sheetViews>
    <sheetView workbookViewId="0">
      <selection activeCell="O11" sqref="O11"/>
    </sheetView>
  </sheetViews>
  <sheetFormatPr defaultRowHeight="15" x14ac:dyDescent="0.25"/>
  <cols>
    <col min="4" max="4" width="12.140625" customWidth="1"/>
    <col min="5" max="5" width="9.5703125" customWidth="1"/>
    <col min="6" max="6" width="14.7109375" bestFit="1" customWidth="1"/>
    <col min="10" max="12" width="9.140625" customWidth="1"/>
    <col min="14" max="14" width="12.42578125" customWidth="1"/>
    <col min="15" max="15" width="32" customWidth="1"/>
  </cols>
  <sheetData>
    <row r="2" spans="3:15" ht="25.5" x14ac:dyDescent="0.25">
      <c r="C2" s="9" t="s">
        <v>16</v>
      </c>
      <c r="D2" s="9" t="s">
        <v>17</v>
      </c>
      <c r="E2" s="9" t="s">
        <v>18</v>
      </c>
      <c r="F2" s="10" t="s">
        <v>19</v>
      </c>
      <c r="G2" s="9" t="s">
        <v>20</v>
      </c>
      <c r="H2" s="11" t="s">
        <v>21</v>
      </c>
      <c r="I2" s="11" t="s">
        <v>22</v>
      </c>
      <c r="J2" s="11" t="s">
        <v>23</v>
      </c>
      <c r="K2" s="9" t="s">
        <v>24</v>
      </c>
      <c r="L2" s="9" t="s">
        <v>25</v>
      </c>
      <c r="M2" s="11" t="s">
        <v>26</v>
      </c>
      <c r="N2" s="9" t="s">
        <v>27</v>
      </c>
      <c r="O2" s="9" t="s">
        <v>28</v>
      </c>
    </row>
    <row r="3" spans="3:15" x14ac:dyDescent="0.25">
      <c r="C3" s="1" t="s">
        <v>0</v>
      </c>
      <c r="D3" s="1" t="s">
        <v>1</v>
      </c>
      <c r="E3" s="1" t="s">
        <v>2</v>
      </c>
      <c r="F3" s="2" t="s">
        <v>3</v>
      </c>
      <c r="G3" s="3">
        <f>Itki!J66</f>
        <v>11895.706899999997</v>
      </c>
      <c r="H3" s="3">
        <f>Itki!AM66</f>
        <v>-27.996899999998277</v>
      </c>
      <c r="I3" s="3">
        <f>Itki!AN66</f>
        <v>-10.474123000000063</v>
      </c>
      <c r="J3" s="3">
        <f>Itki!AO66</f>
        <v>-6.7526209999999764</v>
      </c>
      <c r="K3" s="4">
        <v>450</v>
      </c>
      <c r="L3" s="12">
        <f t="shared" ref="L3:L11" si="0">K3*2/3</f>
        <v>300</v>
      </c>
      <c r="M3" s="5">
        <f t="shared" ref="M3:M11" si="1">I3*K3+J3*L3</f>
        <v>-6739.1416500000214</v>
      </c>
      <c r="N3" s="6">
        <f t="shared" ref="N3:N12" si="2">M3/G3</f>
        <v>-0.56651880435958146</v>
      </c>
      <c r="O3" s="7" t="s">
        <v>144</v>
      </c>
    </row>
    <row r="4" spans="3:15" x14ac:dyDescent="0.25">
      <c r="C4" s="1" t="s">
        <v>0</v>
      </c>
      <c r="D4" s="1" t="s">
        <v>1</v>
      </c>
      <c r="E4" s="1" t="s">
        <v>4</v>
      </c>
      <c r="F4" s="2" t="s">
        <v>5</v>
      </c>
      <c r="G4" s="3">
        <f>Pali!J66</f>
        <v>10783.451100000002</v>
      </c>
      <c r="H4" s="3">
        <f>Pali!AM66</f>
        <v>-39.451100000002043</v>
      </c>
      <c r="I4" s="3">
        <f>Pali!AN66</f>
        <v>9.2924999999999613</v>
      </c>
      <c r="J4" s="3">
        <f>Pali!AO66</f>
        <v>5.172699999999935</v>
      </c>
      <c r="K4" s="4">
        <v>450</v>
      </c>
      <c r="L4" s="12">
        <f t="shared" si="0"/>
        <v>300</v>
      </c>
      <c r="M4" s="5">
        <f t="shared" si="1"/>
        <v>5733.4349999999631</v>
      </c>
      <c r="N4" s="6">
        <f t="shared" si="2"/>
        <v>0.53168832007778677</v>
      </c>
      <c r="O4" s="7" t="s">
        <v>144</v>
      </c>
    </row>
    <row r="5" spans="3:15" x14ac:dyDescent="0.25">
      <c r="C5" s="1" t="s">
        <v>0</v>
      </c>
      <c r="D5" s="1" t="s">
        <v>1</v>
      </c>
      <c r="E5" s="1" t="s">
        <v>6</v>
      </c>
      <c r="F5" s="2" t="s">
        <v>7</v>
      </c>
      <c r="G5" s="3">
        <f>Hisri!J66</f>
        <v>2489.5099999999998</v>
      </c>
      <c r="H5" s="3">
        <f>Hisri!AM66</f>
        <v>19.230000000000075</v>
      </c>
      <c r="I5" s="3">
        <f>Hisri!AN66</f>
        <v>-0.97776499999999089</v>
      </c>
      <c r="J5" s="3">
        <f>Hisri!AO66</f>
        <v>-3.8007069999999388</v>
      </c>
      <c r="K5" s="4">
        <v>450</v>
      </c>
      <c r="L5" s="12">
        <f t="shared" si="0"/>
        <v>300</v>
      </c>
      <c r="M5" s="5">
        <f t="shared" si="1"/>
        <v>-1580.2063499999774</v>
      </c>
      <c r="N5" s="6">
        <f t="shared" si="2"/>
        <v>-0.63474593393879819</v>
      </c>
      <c r="O5" s="7" t="s">
        <v>144</v>
      </c>
    </row>
    <row r="6" spans="3:15" x14ac:dyDescent="0.25">
      <c r="C6" s="1" t="s">
        <v>0</v>
      </c>
      <c r="D6" s="1" t="s">
        <v>1</v>
      </c>
      <c r="E6" s="1" t="s">
        <v>8</v>
      </c>
      <c r="F6" s="8" t="s">
        <v>9</v>
      </c>
      <c r="G6" s="3">
        <f>Choriya!J66</f>
        <v>2522.0271000000002</v>
      </c>
      <c r="H6" s="3">
        <f>Choriya!AM66</f>
        <v>35.682899999999904</v>
      </c>
      <c r="I6" s="3">
        <f>Choriya!AN66</f>
        <v>4.1678069999999892</v>
      </c>
      <c r="J6" s="3">
        <f>Choriya!AO66</f>
        <v>-7.8571250000000461</v>
      </c>
      <c r="K6" s="4">
        <v>450</v>
      </c>
      <c r="L6" s="12">
        <f t="shared" si="0"/>
        <v>300</v>
      </c>
      <c r="M6" s="5">
        <f t="shared" si="1"/>
        <v>-481.62435000001869</v>
      </c>
      <c r="N6" s="6">
        <f t="shared" si="2"/>
        <v>-0.19096715891753052</v>
      </c>
      <c r="O6" s="7" t="s">
        <v>145</v>
      </c>
    </row>
    <row r="7" spans="3:15" hidden="1" x14ac:dyDescent="0.25">
      <c r="C7" s="1" t="s">
        <v>0</v>
      </c>
      <c r="D7" s="1" t="s">
        <v>1</v>
      </c>
      <c r="E7" s="1" t="s">
        <v>10</v>
      </c>
      <c r="F7" s="8" t="s">
        <v>11</v>
      </c>
      <c r="G7" s="3">
        <f>Baski!J66</f>
        <v>0</v>
      </c>
      <c r="H7" s="3">
        <f>Baski!AM66</f>
        <v>0</v>
      </c>
      <c r="I7" s="3">
        <f>Baski!AN66</f>
        <v>0</v>
      </c>
      <c r="J7" s="3">
        <f>Baski!AO66</f>
        <v>0</v>
      </c>
      <c r="K7" s="4">
        <v>450</v>
      </c>
      <c r="L7" s="12">
        <f t="shared" si="0"/>
        <v>300</v>
      </c>
      <c r="M7" s="5">
        <f t="shared" si="1"/>
        <v>0</v>
      </c>
      <c r="N7" s="6" t="e">
        <f t="shared" si="2"/>
        <v>#DIV/0!</v>
      </c>
      <c r="O7" s="7"/>
    </row>
    <row r="8" spans="3:15" x14ac:dyDescent="0.25">
      <c r="C8" s="1" t="s">
        <v>0</v>
      </c>
      <c r="D8" s="1" t="s">
        <v>1</v>
      </c>
      <c r="E8" s="1" t="s">
        <v>12</v>
      </c>
      <c r="F8" s="8" t="s">
        <v>13</v>
      </c>
      <c r="G8" s="3">
        <f>Orja!J66</f>
        <v>4170.1610000000001</v>
      </c>
      <c r="H8" s="3">
        <f>Orja!AM66</f>
        <v>-35.161000000000058</v>
      </c>
      <c r="I8" s="3">
        <f>Orja!AN66</f>
        <v>1.9258999999999844</v>
      </c>
      <c r="J8" s="3">
        <f>Orja!AO66</f>
        <v>-1.9591999999998393</v>
      </c>
      <c r="K8" s="4">
        <v>450</v>
      </c>
      <c r="L8" s="12">
        <f t="shared" si="0"/>
        <v>300</v>
      </c>
      <c r="M8" s="5">
        <f t="shared" si="1"/>
        <v>278.89500000004114</v>
      </c>
      <c r="N8" s="6">
        <f t="shared" si="2"/>
        <v>6.687871283627686E-2</v>
      </c>
      <c r="O8" s="7" t="s">
        <v>145</v>
      </c>
    </row>
    <row r="9" spans="3:15" x14ac:dyDescent="0.25">
      <c r="C9" s="1" t="s">
        <v>0</v>
      </c>
      <c r="D9" s="1" t="s">
        <v>1</v>
      </c>
      <c r="E9" s="1" t="s">
        <v>14</v>
      </c>
      <c r="F9" s="8" t="s">
        <v>15</v>
      </c>
      <c r="G9" s="3">
        <f>Piragutu!J66</f>
        <v>2880.0345000000002</v>
      </c>
      <c r="H9" s="3">
        <f>Piragutu!AM66</f>
        <v>14.525499999999965</v>
      </c>
      <c r="I9" s="3">
        <f>Piragutu!AN66</f>
        <v>-3.0914639999999984</v>
      </c>
      <c r="J9" s="3">
        <f>Piragutu!AO66</f>
        <v>-6.6806920000000218</v>
      </c>
      <c r="K9" s="4">
        <v>450</v>
      </c>
      <c r="L9" s="12">
        <f t="shared" si="0"/>
        <v>300</v>
      </c>
      <c r="M9" s="5">
        <f t="shared" si="1"/>
        <v>-3395.3664000000058</v>
      </c>
      <c r="N9" s="6">
        <f t="shared" si="2"/>
        <v>-1.1789325440372349</v>
      </c>
      <c r="O9" s="7" t="s">
        <v>144</v>
      </c>
    </row>
    <row r="10" spans="3:15" x14ac:dyDescent="0.25">
      <c r="C10" s="1" t="s">
        <v>0</v>
      </c>
      <c r="D10" s="1" t="s">
        <v>1</v>
      </c>
      <c r="E10" s="1" t="s">
        <v>78</v>
      </c>
      <c r="F10" s="8" t="s">
        <v>80</v>
      </c>
      <c r="G10" s="3">
        <f>Bhandra!J66</f>
        <v>4936.2956000000004</v>
      </c>
      <c r="H10" s="3">
        <f>Bhandra!AM66</f>
        <v>-119.29559999999947</v>
      </c>
      <c r="I10" s="3">
        <f>Bhandra!AN66</f>
        <v>1.8003000000000284</v>
      </c>
      <c r="J10" s="3">
        <f>Bhandra!AO66</f>
        <v>-3.7691999999999268</v>
      </c>
      <c r="K10" s="4">
        <v>450</v>
      </c>
      <c r="L10" s="12">
        <f t="shared" si="0"/>
        <v>300</v>
      </c>
      <c r="M10" s="5">
        <f t="shared" si="1"/>
        <v>-320.6249999999651</v>
      </c>
      <c r="N10" s="6">
        <f t="shared" si="2"/>
        <v>-6.4952552679374609E-2</v>
      </c>
      <c r="O10" s="7" t="s">
        <v>145</v>
      </c>
    </row>
    <row r="11" spans="3:15" x14ac:dyDescent="0.25">
      <c r="C11" s="1" t="s">
        <v>0</v>
      </c>
      <c r="D11" s="1" t="s">
        <v>1</v>
      </c>
      <c r="E11" s="1" t="s">
        <v>89</v>
      </c>
      <c r="F11" s="156" t="s">
        <v>88</v>
      </c>
      <c r="G11" s="3">
        <f>Chanho!J66</f>
        <v>4716.3081999999995</v>
      </c>
      <c r="H11" s="3">
        <f>Chanho!AM66</f>
        <v>16.691799999999944</v>
      </c>
      <c r="I11" s="3">
        <f>Chanho!AN66</f>
        <v>2.4741999999999678</v>
      </c>
      <c r="J11" s="3">
        <f>Chanho!AO66</f>
        <v>-3.4047999999999803</v>
      </c>
      <c r="K11" s="4">
        <v>450</v>
      </c>
      <c r="L11" s="12">
        <f t="shared" si="0"/>
        <v>300</v>
      </c>
      <c r="M11" s="5">
        <f t="shared" si="1"/>
        <v>91.949999999991405</v>
      </c>
      <c r="N11" s="6">
        <f t="shared" si="2"/>
        <v>1.9496181356424377E-2</v>
      </c>
      <c r="O11" s="7" t="s">
        <v>144</v>
      </c>
    </row>
    <row r="12" spans="3:15" ht="15.75" thickBot="1" x14ac:dyDescent="0.3">
      <c r="C12" s="324" t="s">
        <v>29</v>
      </c>
      <c r="D12" s="325"/>
      <c r="E12" s="325"/>
      <c r="F12" s="326"/>
      <c r="G12" s="13">
        <f>SUM(G3:G10)</f>
        <v>39677.186199999996</v>
      </c>
      <c r="H12" s="13">
        <f>SUM(H3:H10)</f>
        <v>-152.4661999999999</v>
      </c>
      <c r="I12" s="13">
        <f>SUM(I3:I10)</f>
        <v>2.6431549999999113</v>
      </c>
      <c r="J12" s="13">
        <f>SUM(J3:J10)</f>
        <v>-25.646844999999814</v>
      </c>
      <c r="K12" s="13">
        <f t="shared" ref="K12:L12" si="3">SUM(K3:K9)</f>
        <v>3150</v>
      </c>
      <c r="L12" s="13">
        <f t="shared" si="3"/>
        <v>2100</v>
      </c>
      <c r="M12" s="13">
        <f>SUM(M3:M10)</f>
        <v>-6504.6337499999845</v>
      </c>
      <c r="N12" s="103">
        <f t="shared" si="2"/>
        <v>-0.16393888712803897</v>
      </c>
      <c r="O12" s="270"/>
    </row>
  </sheetData>
  <mergeCells count="1">
    <mergeCell ref="C12:F12"/>
  </mergeCells>
  <conditionalFormatting sqref="H3:K3 H4:J8 K4:K11 N12">
    <cfRule type="cellIs" dxfId="56" priority="3" operator="greaterThan">
      <formula>0</formula>
    </cfRule>
    <cfRule type="cellIs" dxfId="55" priority="4" operator="lessThan">
      <formula>0</formula>
    </cfRule>
  </conditionalFormatting>
  <conditionalFormatting sqref="L3:N11">
    <cfRule type="cellIs" dxfId="54" priority="1" operator="greaterThan">
      <formula>0</formula>
    </cfRule>
    <cfRule type="cellIs" dxfId="53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AG291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Y16" sqref="Y16:AA16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280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18" width="9.28515625" style="256" customWidth="1"/>
    <col min="19" max="20" width="9.28515625" style="283" customWidth="1"/>
    <col min="21" max="21" width="9.28515625" style="256" customWidth="1"/>
    <col min="22" max="22" width="10.42578125" style="256" customWidth="1"/>
    <col min="23" max="23" width="12.140625" style="297" bestFit="1" customWidth="1"/>
    <col min="24" max="24" width="10.7109375" customWidth="1"/>
    <col min="25" max="26" width="6.7109375" customWidth="1"/>
    <col min="27" max="27" width="7.7109375" bestFit="1" customWidth="1"/>
    <col min="28" max="28" width="9.5703125" bestFit="1" customWidth="1"/>
    <col min="31" max="31" width="8.5703125" bestFit="1" customWidth="1"/>
  </cols>
  <sheetData>
    <row r="1" spans="1:33" s="166" customFormat="1" ht="13.5" thickBot="1" x14ac:dyDescent="0.25">
      <c r="A1" s="188"/>
      <c r="B1" s="188"/>
      <c r="C1" s="189"/>
      <c r="D1" s="274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12"/>
      <c r="S1" s="281"/>
      <c r="T1" s="281"/>
      <c r="U1" s="112"/>
      <c r="V1" s="189"/>
      <c r="W1" s="296"/>
    </row>
    <row r="2" spans="1:33" s="166" customFormat="1" ht="14.45" customHeight="1" thickBot="1" x14ac:dyDescent="0.25">
      <c r="A2" s="193"/>
      <c r="B2" s="194"/>
      <c r="C2" s="195"/>
      <c r="D2" s="275"/>
      <c r="E2" s="197"/>
      <c r="F2" s="198"/>
      <c r="G2" s="199"/>
      <c r="H2" s="334" t="s">
        <v>93</v>
      </c>
      <c r="I2" s="335"/>
      <c r="J2" s="335"/>
      <c r="K2" s="335"/>
      <c r="L2" s="336"/>
      <c r="M2" s="337" t="s">
        <v>94</v>
      </c>
      <c r="N2" s="338"/>
      <c r="O2" s="338"/>
      <c r="P2" s="338"/>
      <c r="Q2" s="339"/>
      <c r="R2" s="340" t="s">
        <v>95</v>
      </c>
      <c r="S2" s="340"/>
      <c r="T2" s="340"/>
      <c r="U2" s="340"/>
      <c r="V2" s="341"/>
      <c r="W2" s="343" t="s">
        <v>122</v>
      </c>
      <c r="Y2" s="342" t="s">
        <v>96</v>
      </c>
      <c r="Z2" s="342"/>
      <c r="AA2" s="342"/>
    </row>
    <row r="3" spans="1:33" s="172" customFormat="1" ht="12.75" x14ac:dyDescent="0.2">
      <c r="A3" s="200" t="s">
        <v>69</v>
      </c>
      <c r="B3" s="201" t="s">
        <v>97</v>
      </c>
      <c r="C3" s="201" t="s">
        <v>98</v>
      </c>
      <c r="D3" s="276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282" t="s">
        <v>102</v>
      </c>
      <c r="T3" s="282" t="s">
        <v>103</v>
      </c>
      <c r="U3" s="182" t="s">
        <v>44</v>
      </c>
      <c r="V3" s="183" t="s">
        <v>23</v>
      </c>
      <c r="W3" s="344"/>
      <c r="Y3" s="173" t="s">
        <v>60</v>
      </c>
      <c r="Z3" s="173" t="s">
        <v>42</v>
      </c>
      <c r="AA3" s="173" t="s">
        <v>43</v>
      </c>
    </row>
    <row r="4" spans="1:33" s="166" customFormat="1" ht="15" customHeight="1" x14ac:dyDescent="0.25">
      <c r="A4" s="220">
        <v>80119</v>
      </c>
      <c r="B4" s="221">
        <v>1023</v>
      </c>
      <c r="C4" s="109" t="s">
        <v>73</v>
      </c>
      <c r="D4" s="277">
        <v>46204</v>
      </c>
      <c r="E4" s="65"/>
      <c r="F4" s="227" t="s">
        <v>6</v>
      </c>
      <c r="G4" s="65" t="str">
        <f t="shared" ref="G4:G17" si="0">VLOOKUP(F4,$AD$9:$AE$17,2,0)</f>
        <v>Hisri</v>
      </c>
      <c r="H4" s="65">
        <v>2048</v>
      </c>
      <c r="I4" s="65">
        <v>3.8</v>
      </c>
      <c r="J4" s="65">
        <v>8.2899999999999991</v>
      </c>
      <c r="K4" s="176">
        <f t="shared" ref="K4:K17" si="1">H4*I4%</f>
        <v>77.823999999999998</v>
      </c>
      <c r="L4" s="177">
        <f t="shared" ref="L4:L17" si="2">H4*J4%</f>
        <v>169.77919999999997</v>
      </c>
      <c r="M4" s="209">
        <f>$R$4*H4/SUM($H$4:$H$7)</f>
        <v>2045.6520492977932</v>
      </c>
      <c r="N4" s="211">
        <f t="shared" ref="N4" si="3">P4/M4*100</f>
        <v>3.7449897606101263</v>
      </c>
      <c r="O4" s="211">
        <f t="shared" ref="O4" si="4">Q4/M4*100</f>
        <v>8.2136860132136036</v>
      </c>
      <c r="P4" s="176">
        <f>$U$4*K4/SUM($K$4:$K$7)</f>
        <v>76.609459783913564</v>
      </c>
      <c r="Q4" s="212">
        <f>$V$4*L4/SUM($L$4:$L$7)</f>
        <v>168.02343625219029</v>
      </c>
      <c r="R4" s="328">
        <v>6970</v>
      </c>
      <c r="S4" s="331">
        <v>4</v>
      </c>
      <c r="T4" s="331">
        <v>8.33</v>
      </c>
      <c r="U4" s="328">
        <f>R4*S4%</f>
        <v>278.8</v>
      </c>
      <c r="V4" s="328">
        <f>R4*T4%</f>
        <v>580.601</v>
      </c>
      <c r="W4" s="327"/>
      <c r="Y4" s="176">
        <f>ROUND(M4,0)</f>
        <v>2046</v>
      </c>
      <c r="Z4" s="210">
        <f>ROUND(N4,2)</f>
        <v>3.74</v>
      </c>
      <c r="AA4" s="210">
        <f>ROUND(O4,2)</f>
        <v>8.2100000000000009</v>
      </c>
    </row>
    <row r="5" spans="1:33" s="166" customFormat="1" x14ac:dyDescent="0.25">
      <c r="A5" s="220">
        <v>80119</v>
      </c>
      <c r="B5" s="221">
        <v>1023</v>
      </c>
      <c r="C5" s="109" t="s">
        <v>73</v>
      </c>
      <c r="D5" s="277">
        <v>46204</v>
      </c>
      <c r="E5" s="65"/>
      <c r="F5" s="227" t="s">
        <v>14</v>
      </c>
      <c r="G5" s="65" t="str">
        <f t="shared" si="0"/>
        <v>Piragutu</v>
      </c>
      <c r="H5" s="65">
        <v>1496</v>
      </c>
      <c r="I5" s="65">
        <v>4.4000000000000004</v>
      </c>
      <c r="J5" s="65">
        <v>8.41</v>
      </c>
      <c r="K5" s="176">
        <f t="shared" si="1"/>
        <v>65.824000000000012</v>
      </c>
      <c r="L5" s="177">
        <f t="shared" si="2"/>
        <v>125.81360000000001</v>
      </c>
      <c r="M5" s="209">
        <f>$R$4*H5/SUM($H$4:$H$7)</f>
        <v>1494.2848953854973</v>
      </c>
      <c r="N5" s="211">
        <f t="shared" ref="N5" si="5">P5/M5*100</f>
        <v>4.3363039333380415</v>
      </c>
      <c r="O5" s="211">
        <f t="shared" ref="O5" si="6">Q5/M5*100</f>
        <v>8.3325813475423924</v>
      </c>
      <c r="P5" s="176">
        <f>$U$4*K5/SUM($K$4:$K$7)</f>
        <v>64.796734693877568</v>
      </c>
      <c r="Q5" s="212">
        <f>$V$4*L5/SUM($L$4:$L$7)</f>
        <v>124.51250447203529</v>
      </c>
      <c r="R5" s="329"/>
      <c r="S5" s="332"/>
      <c r="T5" s="332"/>
      <c r="U5" s="329"/>
      <c r="V5" s="329"/>
      <c r="W5" s="327"/>
      <c r="Y5" s="176">
        <f t="shared" ref="Y5:Y12" si="7">ROUND(M5,0)</f>
        <v>1494</v>
      </c>
      <c r="Z5" s="210">
        <f t="shared" ref="Z5:AA12" si="8">ROUND(N5,2)</f>
        <v>4.34</v>
      </c>
      <c r="AA5" s="210">
        <f t="shared" si="8"/>
        <v>8.33</v>
      </c>
    </row>
    <row r="6" spans="1:33" s="166" customFormat="1" x14ac:dyDescent="0.25">
      <c r="A6" s="220">
        <v>80119</v>
      </c>
      <c r="B6" s="221">
        <v>1023</v>
      </c>
      <c r="C6" s="109" t="s">
        <v>73</v>
      </c>
      <c r="D6" s="277">
        <v>46204</v>
      </c>
      <c r="E6" s="65"/>
      <c r="F6" s="227" t="s">
        <v>89</v>
      </c>
      <c r="G6" s="65" t="str">
        <f t="shared" si="0"/>
        <v>Chanho</v>
      </c>
      <c r="H6" s="209">
        <v>2270</v>
      </c>
      <c r="I6" s="210">
        <v>4.2</v>
      </c>
      <c r="J6" s="210">
        <v>8.5</v>
      </c>
      <c r="K6" s="176">
        <f t="shared" si="1"/>
        <v>95.34</v>
      </c>
      <c r="L6" s="177">
        <f t="shared" si="2"/>
        <v>192.95000000000002</v>
      </c>
      <c r="M6" s="209">
        <f>$R$4*H6/SUM($H$4:$H$7)</f>
        <v>2267.3975351103468</v>
      </c>
      <c r="N6" s="211">
        <f t="shared" ref="N6:N7" si="9">P6/M6*100</f>
        <v>4.1391992090954028</v>
      </c>
      <c r="O6" s="211">
        <f t="shared" ref="O6:O7" si="10">Q6/M6*100</f>
        <v>8.4217528482889819</v>
      </c>
      <c r="P6" s="176">
        <f t="shared" ref="P6:P7" si="11">$U$4*K6/SUM($K$4:$K$7)</f>
        <v>93.852100840336135</v>
      </c>
      <c r="Q6" s="212">
        <f t="shared" ref="Q6:Q7" si="12">$V$4*L6/SUM($L$4:$L$7)</f>
        <v>190.95461649518978</v>
      </c>
      <c r="R6" s="329"/>
      <c r="S6" s="332"/>
      <c r="T6" s="332"/>
      <c r="U6" s="329"/>
      <c r="V6" s="329"/>
      <c r="W6" s="327"/>
      <c r="X6" s="112"/>
      <c r="Y6" s="176">
        <f t="shared" si="7"/>
        <v>2267</v>
      </c>
      <c r="Z6" s="210">
        <f t="shared" si="8"/>
        <v>4.1399999999999997</v>
      </c>
      <c r="AA6" s="210">
        <f t="shared" si="8"/>
        <v>8.42</v>
      </c>
    </row>
    <row r="7" spans="1:33" s="166" customFormat="1" x14ac:dyDescent="0.25">
      <c r="A7" s="220">
        <v>80119</v>
      </c>
      <c r="B7" s="221">
        <v>1023</v>
      </c>
      <c r="C7" s="109" t="s">
        <v>73</v>
      </c>
      <c r="D7" s="277">
        <v>46204</v>
      </c>
      <c r="E7" s="65"/>
      <c r="F7" s="227" t="s">
        <v>12</v>
      </c>
      <c r="G7" s="65" t="str">
        <f t="shared" si="0"/>
        <v>Ormanjhi</v>
      </c>
      <c r="H7" s="209">
        <v>1164</v>
      </c>
      <c r="I7" s="210">
        <v>3.8</v>
      </c>
      <c r="J7" s="210">
        <v>8.43</v>
      </c>
      <c r="K7" s="176">
        <f t="shared" si="1"/>
        <v>44.231999999999999</v>
      </c>
      <c r="L7" s="177">
        <f t="shared" si="2"/>
        <v>98.125200000000007</v>
      </c>
      <c r="M7" s="209">
        <f t="shared" ref="M7" si="13">$R$4*H7/SUM($H$4:$H$7)</f>
        <v>1162.6655202063628</v>
      </c>
      <c r="N7" s="211">
        <f t="shared" si="9"/>
        <v>3.7449897606101263</v>
      </c>
      <c r="O7" s="211">
        <f t="shared" si="10"/>
        <v>8.3523972365971897</v>
      </c>
      <c r="P7" s="176">
        <f t="shared" si="11"/>
        <v>43.541704681872744</v>
      </c>
      <c r="Q7" s="212">
        <f t="shared" si="12"/>
        <v>97.110442780584577</v>
      </c>
      <c r="R7" s="330"/>
      <c r="S7" s="333"/>
      <c r="T7" s="333"/>
      <c r="U7" s="330"/>
      <c r="V7" s="330"/>
      <c r="W7" s="327"/>
      <c r="X7" s="112"/>
      <c r="Y7" s="176">
        <f t="shared" si="7"/>
        <v>1163</v>
      </c>
      <c r="Z7" s="210">
        <f t="shared" si="8"/>
        <v>3.74</v>
      </c>
      <c r="AA7" s="210">
        <f t="shared" si="8"/>
        <v>8.35</v>
      </c>
      <c r="AE7" s="262"/>
      <c r="AF7" s="263"/>
      <c r="AG7" s="263"/>
    </row>
    <row r="8" spans="1:33" s="166" customFormat="1" x14ac:dyDescent="0.25">
      <c r="A8" s="220">
        <v>80096</v>
      </c>
      <c r="B8" s="221">
        <v>9944</v>
      </c>
      <c r="C8" s="109" t="s">
        <v>73</v>
      </c>
      <c r="D8" s="277">
        <v>46205</v>
      </c>
      <c r="E8" s="206"/>
      <c r="F8" s="207" t="s">
        <v>89</v>
      </c>
      <c r="G8" s="65" t="str">
        <f t="shared" si="0"/>
        <v>Chanho</v>
      </c>
      <c r="H8" s="209">
        <v>2260</v>
      </c>
      <c r="I8" s="210">
        <v>4.2</v>
      </c>
      <c r="J8" s="210">
        <v>8.3699999999999992</v>
      </c>
      <c r="K8" s="176">
        <f t="shared" si="1"/>
        <v>94.92</v>
      </c>
      <c r="L8" s="177">
        <f t="shared" si="2"/>
        <v>189.16200000000001</v>
      </c>
      <c r="M8" s="209">
        <f>$R$8*H8/SUM($H$8:$H$10)</f>
        <v>2285.4434129962474</v>
      </c>
      <c r="N8" s="211">
        <f t="shared" ref="N8" si="14">P8/M8*100</f>
        <v>4.0708706639099468</v>
      </c>
      <c r="O8" s="211">
        <f t="shared" ref="O8" si="15">Q8/M8*100</f>
        <v>8.1687485723392719</v>
      </c>
      <c r="P8" s="176">
        <f>$U$8*K8/SUM($K$8:$K$10)</f>
        <v>93.037445439926486</v>
      </c>
      <c r="Q8" s="212">
        <f>$V$8*L8/SUM($L$8:$L$10)</f>
        <v>186.69212617075289</v>
      </c>
      <c r="R8" s="328">
        <v>5120</v>
      </c>
      <c r="S8" s="331">
        <v>4</v>
      </c>
      <c r="T8" s="331">
        <v>8.14</v>
      </c>
      <c r="U8" s="328">
        <f>R8*S8%</f>
        <v>204.8</v>
      </c>
      <c r="V8" s="328">
        <f>R8*T8%</f>
        <v>416.76800000000003</v>
      </c>
      <c r="W8" s="327" t="s">
        <v>140</v>
      </c>
      <c r="Y8" s="176">
        <f t="shared" si="7"/>
        <v>2285</v>
      </c>
      <c r="Z8" s="210">
        <f t="shared" si="8"/>
        <v>4.07</v>
      </c>
      <c r="AA8" s="210">
        <f t="shared" si="8"/>
        <v>8.17</v>
      </c>
    </row>
    <row r="9" spans="1:33" s="166" customFormat="1" x14ac:dyDescent="0.25">
      <c r="A9" s="220">
        <v>80096</v>
      </c>
      <c r="B9" s="221">
        <v>9944</v>
      </c>
      <c r="C9" s="109" t="s">
        <v>73</v>
      </c>
      <c r="D9" s="277">
        <v>46205</v>
      </c>
      <c r="E9" s="206"/>
      <c r="F9" s="207" t="s">
        <v>6</v>
      </c>
      <c r="G9" s="65" t="str">
        <f t="shared" si="0"/>
        <v>Hisri</v>
      </c>
      <c r="H9" s="209">
        <v>1301</v>
      </c>
      <c r="I9" s="210">
        <v>3.8</v>
      </c>
      <c r="J9" s="210">
        <v>8.2899999999999991</v>
      </c>
      <c r="K9" s="176">
        <f t="shared" si="1"/>
        <v>49.437999999999995</v>
      </c>
      <c r="L9" s="177">
        <f t="shared" si="2"/>
        <v>107.85289999999998</v>
      </c>
      <c r="M9" s="209">
        <f t="shared" ref="M9:M10" si="16">$R$8*H9/SUM($H$8:$H$10)</f>
        <v>1315.6468496938573</v>
      </c>
      <c r="N9" s="211">
        <f t="shared" ref="N9:N10" si="17">P9/M9*100</f>
        <v>3.6831686959185235</v>
      </c>
      <c r="O9" s="211">
        <f t="shared" ref="O9:O10" si="18">Q9/M9*100</f>
        <v>8.0906721224244382</v>
      </c>
      <c r="P9" s="176">
        <f t="shared" ref="P9:P10" si="19">$U$8*K9/SUM($K$8:$K$10)</f>
        <v>48.457492916762376</v>
      </c>
      <c r="Q9" s="212">
        <f t="shared" ref="Q9:Q10" si="20">$V$8*L9/SUM($L$8:$L$10)</f>
        <v>106.44467289773627</v>
      </c>
      <c r="R9" s="329"/>
      <c r="S9" s="332"/>
      <c r="T9" s="332"/>
      <c r="U9" s="329"/>
      <c r="V9" s="329"/>
      <c r="W9" s="327"/>
      <c r="Y9" s="176">
        <f t="shared" si="7"/>
        <v>1316</v>
      </c>
      <c r="Z9" s="210">
        <f t="shared" si="8"/>
        <v>3.68</v>
      </c>
      <c r="AA9" s="210">
        <f t="shared" si="8"/>
        <v>8.09</v>
      </c>
      <c r="AD9" s="174" t="s">
        <v>2</v>
      </c>
      <c r="AE9" s="166" t="s">
        <v>3</v>
      </c>
    </row>
    <row r="10" spans="1:33" s="166" customFormat="1" x14ac:dyDescent="0.25">
      <c r="A10" s="220">
        <v>80096</v>
      </c>
      <c r="B10" s="221">
        <v>9944</v>
      </c>
      <c r="C10" s="109" t="s">
        <v>73</v>
      </c>
      <c r="D10" s="277">
        <v>46205</v>
      </c>
      <c r="E10" s="206"/>
      <c r="F10" s="207" t="s">
        <v>14</v>
      </c>
      <c r="G10" s="65" t="str">
        <f t="shared" si="0"/>
        <v>Piragutu</v>
      </c>
      <c r="H10" s="209">
        <v>1502</v>
      </c>
      <c r="I10" s="210">
        <v>4.3</v>
      </c>
      <c r="J10" s="210">
        <v>8.34</v>
      </c>
      <c r="K10" s="176">
        <f t="shared" si="1"/>
        <v>64.585999999999999</v>
      </c>
      <c r="L10" s="177">
        <f t="shared" si="2"/>
        <v>125.2668</v>
      </c>
      <c r="M10" s="209">
        <f t="shared" si="16"/>
        <v>1518.9097373098953</v>
      </c>
      <c r="N10" s="211">
        <f t="shared" si="17"/>
        <v>4.1677961559078032</v>
      </c>
      <c r="O10" s="211">
        <f t="shared" si="18"/>
        <v>8.1394699036212099</v>
      </c>
      <c r="P10" s="176">
        <f t="shared" si="19"/>
        <v>63.305061643311127</v>
      </c>
      <c r="Q10" s="212">
        <f t="shared" si="20"/>
        <v>123.6312009315109</v>
      </c>
      <c r="R10" s="330"/>
      <c r="S10" s="333"/>
      <c r="T10" s="333"/>
      <c r="U10" s="330"/>
      <c r="V10" s="330"/>
      <c r="W10" s="327"/>
      <c r="Y10" s="176">
        <f t="shared" si="7"/>
        <v>1519</v>
      </c>
      <c r="Z10" s="210">
        <f t="shared" si="8"/>
        <v>4.17</v>
      </c>
      <c r="AA10" s="210">
        <f t="shared" si="8"/>
        <v>8.14</v>
      </c>
      <c r="AD10" s="174" t="s">
        <v>4</v>
      </c>
      <c r="AE10" s="166" t="s">
        <v>5</v>
      </c>
    </row>
    <row r="11" spans="1:33" s="166" customFormat="1" x14ac:dyDescent="0.25">
      <c r="A11" s="213">
        <v>80149</v>
      </c>
      <c r="B11" s="216">
        <v>9944</v>
      </c>
      <c r="C11" s="118" t="s">
        <v>73</v>
      </c>
      <c r="D11" s="278">
        <v>46204</v>
      </c>
      <c r="E11" s="206"/>
      <c r="F11" s="207" t="s">
        <v>2</v>
      </c>
      <c r="G11" s="65" t="str">
        <f t="shared" si="0"/>
        <v>Itki</v>
      </c>
      <c r="H11" s="209">
        <v>4202</v>
      </c>
      <c r="I11" s="210">
        <v>3.95</v>
      </c>
      <c r="J11" s="210">
        <v>8.51</v>
      </c>
      <c r="K11" s="176">
        <f t="shared" si="1"/>
        <v>165.97900000000001</v>
      </c>
      <c r="L11" s="177">
        <f t="shared" si="2"/>
        <v>357.59019999999998</v>
      </c>
      <c r="M11" s="209">
        <f>$R$11*H11/SUM($H$11:$H$12)</f>
        <v>4201.1042421658494</v>
      </c>
      <c r="N11" s="211">
        <f t="shared" ref="N11" si="21">P11/M11*100</f>
        <v>3.9225855420589046</v>
      </c>
      <c r="O11" s="211">
        <f t="shared" ref="O11" si="22">Q11/M11*100</f>
        <v>8.4775006276559122</v>
      </c>
      <c r="P11" s="176">
        <f>$U$11*K11/SUM($K$11:$K$12)</f>
        <v>164.79190761002093</v>
      </c>
      <c r="Q11" s="212">
        <f>$V$11*L11/SUM($L$11:$L$12)</f>
        <v>356.14863849808904</v>
      </c>
      <c r="R11" s="345">
        <v>9380</v>
      </c>
      <c r="S11" s="346">
        <v>3.95</v>
      </c>
      <c r="T11" s="346">
        <v>8.4499999999999993</v>
      </c>
      <c r="U11" s="345">
        <f>R11*S11%</f>
        <v>370.51</v>
      </c>
      <c r="V11" s="345">
        <f>R11*T11%</f>
        <v>792.6099999999999</v>
      </c>
      <c r="W11" s="327" t="s">
        <v>141</v>
      </c>
      <c r="Y11" s="176">
        <f t="shared" si="7"/>
        <v>4201</v>
      </c>
      <c r="Z11" s="210">
        <f t="shared" si="8"/>
        <v>3.92</v>
      </c>
      <c r="AA11" s="210">
        <f t="shared" si="8"/>
        <v>8.48</v>
      </c>
      <c r="AD11" s="174" t="s">
        <v>6</v>
      </c>
      <c r="AE11" s="166" t="s">
        <v>92</v>
      </c>
    </row>
    <row r="12" spans="1:33" s="166" customFormat="1" x14ac:dyDescent="0.25">
      <c r="A12" s="213">
        <v>80149</v>
      </c>
      <c r="B12" s="216">
        <v>9944</v>
      </c>
      <c r="C12" s="118" t="s">
        <v>73</v>
      </c>
      <c r="D12" s="278">
        <v>46204</v>
      </c>
      <c r="E12" s="175"/>
      <c r="F12" s="207" t="s">
        <v>4</v>
      </c>
      <c r="G12" s="65" t="str">
        <f t="shared" si="0"/>
        <v>Pali</v>
      </c>
      <c r="H12" s="209">
        <v>5180</v>
      </c>
      <c r="I12" s="210">
        <v>4</v>
      </c>
      <c r="J12" s="210">
        <v>8.4600000000000009</v>
      </c>
      <c r="K12" s="176">
        <f t="shared" si="1"/>
        <v>207.20000000000002</v>
      </c>
      <c r="L12" s="177">
        <f t="shared" si="2"/>
        <v>438.22800000000007</v>
      </c>
      <c r="M12" s="209">
        <f>$R$11*H12/SUM($H$11:$H$12)</f>
        <v>5178.8957578341506</v>
      </c>
      <c r="N12" s="211">
        <f t="shared" ref="N12" si="23">P12/M12*100</f>
        <v>3.9722385236039539</v>
      </c>
      <c r="O12" s="211">
        <f t="shared" ref="O12" si="24">Q12/M12*100</f>
        <v>8.4276915757895452</v>
      </c>
      <c r="P12" s="176">
        <f>$U$11*K12/SUM($K$11:$K$12)</f>
        <v>205.71809238997906</v>
      </c>
      <c r="Q12" s="212">
        <f>$V$11*L12/SUM($L$11:$L$12)</f>
        <v>436.4613615019108</v>
      </c>
      <c r="R12" s="345"/>
      <c r="S12" s="346"/>
      <c r="T12" s="346"/>
      <c r="U12" s="345"/>
      <c r="V12" s="345"/>
      <c r="W12" s="327"/>
      <c r="Y12" s="176">
        <f t="shared" si="7"/>
        <v>5179</v>
      </c>
      <c r="Z12" s="210">
        <f t="shared" si="8"/>
        <v>3.97</v>
      </c>
      <c r="AA12" s="210">
        <f t="shared" si="8"/>
        <v>8.43</v>
      </c>
      <c r="AD12" s="174" t="s">
        <v>8</v>
      </c>
      <c r="AE12" s="166" t="s">
        <v>118</v>
      </c>
    </row>
    <row r="13" spans="1:33" s="166" customFormat="1" x14ac:dyDescent="0.25">
      <c r="A13" s="213">
        <v>80150</v>
      </c>
      <c r="B13" s="216">
        <v>8504</v>
      </c>
      <c r="C13" s="118" t="s">
        <v>73</v>
      </c>
      <c r="D13" s="278">
        <v>46205</v>
      </c>
      <c r="E13" s="175"/>
      <c r="F13" s="207" t="s">
        <v>2</v>
      </c>
      <c r="G13" s="65" t="str">
        <f t="shared" si="0"/>
        <v>Itki</v>
      </c>
      <c r="H13" s="209">
        <v>4540</v>
      </c>
      <c r="I13" s="210">
        <v>3.9</v>
      </c>
      <c r="J13" s="210">
        <v>8.56</v>
      </c>
      <c r="K13" s="176">
        <f t="shared" si="1"/>
        <v>177.06</v>
      </c>
      <c r="L13" s="177">
        <f t="shared" si="2"/>
        <v>388.62400000000002</v>
      </c>
      <c r="M13" s="209">
        <f>$R$13*H13/SUM($H$13)</f>
        <v>4510</v>
      </c>
      <c r="N13" s="211">
        <f t="shared" ref="N13" si="25">P13/M13*100</f>
        <v>3.7000000000000006</v>
      </c>
      <c r="O13" s="211">
        <f t="shared" ref="O13" si="26">Q13/M13*100</f>
        <v>8.3400000000000016</v>
      </c>
      <c r="P13" s="176">
        <f>$U$13*K13/SUM($K$13)</f>
        <v>166.87000000000003</v>
      </c>
      <c r="Q13" s="212">
        <f>$V$13*L13/SUM($L$13)</f>
        <v>376.13400000000007</v>
      </c>
      <c r="R13" s="316">
        <v>4510</v>
      </c>
      <c r="S13" s="317">
        <v>3.7</v>
      </c>
      <c r="T13" s="317">
        <v>8.34</v>
      </c>
      <c r="U13" s="316">
        <f>R13*S13%</f>
        <v>166.87000000000003</v>
      </c>
      <c r="V13" s="316">
        <f>R13*T13%</f>
        <v>376.13400000000001</v>
      </c>
      <c r="W13" s="321" t="s">
        <v>141</v>
      </c>
      <c r="Y13" s="176">
        <f t="shared" ref="Y13:Y17" si="27">ROUND(M13,0)</f>
        <v>4510</v>
      </c>
      <c r="Z13" s="210">
        <f t="shared" ref="Z13:Z17" si="28">ROUND(N13,2)</f>
        <v>3.7</v>
      </c>
      <c r="AA13" s="210">
        <f t="shared" ref="AA13:AA17" si="29">ROUND(O13,2)</f>
        <v>8.34</v>
      </c>
      <c r="AD13" s="174" t="s">
        <v>10</v>
      </c>
      <c r="AE13" s="166" t="s">
        <v>106</v>
      </c>
    </row>
    <row r="14" spans="1:33" s="166" customFormat="1" x14ac:dyDescent="0.25">
      <c r="A14" s="213">
        <v>80120</v>
      </c>
      <c r="B14" s="216">
        <v>1023</v>
      </c>
      <c r="C14" s="118" t="s">
        <v>73</v>
      </c>
      <c r="D14" s="278">
        <v>46205</v>
      </c>
      <c r="E14" s="175"/>
      <c r="F14" s="207" t="s">
        <v>8</v>
      </c>
      <c r="G14" s="65" t="str">
        <f t="shared" si="0"/>
        <v>Chorya</v>
      </c>
      <c r="H14" s="209">
        <v>2195</v>
      </c>
      <c r="I14" s="210">
        <v>3.35</v>
      </c>
      <c r="J14" s="210">
        <v>7.85</v>
      </c>
      <c r="K14" s="176">
        <f t="shared" si="1"/>
        <v>73.532499999999999</v>
      </c>
      <c r="L14" s="177">
        <f t="shared" si="2"/>
        <v>172.3075</v>
      </c>
      <c r="M14" s="209">
        <f>$R$14*H14/SUM($H$14:$H$16)</f>
        <v>2195</v>
      </c>
      <c r="N14" s="211">
        <f t="shared" ref="N14" si="30">P14/M14*100</f>
        <v>3.3570068553819574</v>
      </c>
      <c r="O14" s="211">
        <f t="shared" ref="O14" si="31">Q14/M14*100</f>
        <v>7.9007021083453921</v>
      </c>
      <c r="P14" s="176">
        <f>$U$14*K14/SUM($K$14:$K$16)</f>
        <v>73.686300475633971</v>
      </c>
      <c r="Q14" s="212">
        <f>$V$14*L14/SUM($L$14:$L$16)</f>
        <v>173.42041127818135</v>
      </c>
      <c r="R14" s="345">
        <v>8630</v>
      </c>
      <c r="S14" s="346">
        <v>3.9</v>
      </c>
      <c r="T14" s="346">
        <v>8.3699999999999992</v>
      </c>
      <c r="U14" s="345">
        <f>R14*S14%</f>
        <v>336.57</v>
      </c>
      <c r="V14" s="345">
        <f>R14*T14%</f>
        <v>722.33100000000002</v>
      </c>
      <c r="W14" s="327" t="s">
        <v>143</v>
      </c>
      <c r="Y14" s="176">
        <f t="shared" si="27"/>
        <v>2195</v>
      </c>
      <c r="Z14" s="210">
        <f t="shared" si="28"/>
        <v>3.36</v>
      </c>
      <c r="AA14" s="210">
        <f t="shared" si="29"/>
        <v>7.9</v>
      </c>
      <c r="AD14" s="174" t="s">
        <v>12</v>
      </c>
      <c r="AE14" s="166" t="s">
        <v>107</v>
      </c>
    </row>
    <row r="15" spans="1:33" s="166" customFormat="1" x14ac:dyDescent="0.25">
      <c r="A15" s="213">
        <v>80120</v>
      </c>
      <c r="B15" s="216">
        <v>1023</v>
      </c>
      <c r="C15" s="118" t="s">
        <v>73</v>
      </c>
      <c r="D15" s="278">
        <v>46205</v>
      </c>
      <c r="E15" s="175"/>
      <c r="F15" s="207" t="s">
        <v>4</v>
      </c>
      <c r="G15" s="65" t="str">
        <f t="shared" si="0"/>
        <v>Pali</v>
      </c>
      <c r="H15" s="209">
        <v>5290</v>
      </c>
      <c r="I15" s="210">
        <v>4.05</v>
      </c>
      <c r="J15" s="210">
        <v>8.4700000000000006</v>
      </c>
      <c r="K15" s="176">
        <f t="shared" si="1"/>
        <v>214.245</v>
      </c>
      <c r="L15" s="177">
        <f t="shared" si="2"/>
        <v>448.06300000000005</v>
      </c>
      <c r="M15" s="209">
        <f t="shared" ref="M15:M16" si="32">$R$14*H15/SUM($H$14:$H$16)</f>
        <v>5290</v>
      </c>
      <c r="N15" s="211">
        <f t="shared" ref="N15:N16" si="33">P15/M15*100</f>
        <v>4.0584709744169949</v>
      </c>
      <c r="O15" s="211">
        <f t="shared" ref="O15:O16" si="34">Q15/M15*100</f>
        <v>8.5247066060745826</v>
      </c>
      <c r="P15" s="176">
        <f t="shared" ref="P15:P16" si="35">$U$14*K15/SUM($K$14:$K$16)</f>
        <v>214.69311454665899</v>
      </c>
      <c r="Q15" s="212">
        <f t="shared" ref="Q15:Q16" si="36">$V$14*L15/SUM($L$14:$L$16)</f>
        <v>450.95697946134538</v>
      </c>
      <c r="R15" s="345"/>
      <c r="S15" s="346"/>
      <c r="T15" s="346"/>
      <c r="U15" s="345"/>
      <c r="V15" s="345"/>
      <c r="W15" s="327"/>
      <c r="Y15" s="176">
        <f t="shared" si="27"/>
        <v>5290</v>
      </c>
      <c r="Z15" s="210">
        <f t="shared" si="28"/>
        <v>4.0599999999999996</v>
      </c>
      <c r="AA15" s="210">
        <f t="shared" si="29"/>
        <v>8.52</v>
      </c>
      <c r="AD15" s="174" t="s">
        <v>14</v>
      </c>
      <c r="AE15" s="166" t="s">
        <v>91</v>
      </c>
    </row>
    <row r="16" spans="1:33" s="166" customFormat="1" x14ac:dyDescent="0.25">
      <c r="A16" s="213">
        <v>80120</v>
      </c>
      <c r="B16" s="216">
        <v>1023</v>
      </c>
      <c r="C16" s="118" t="s">
        <v>73</v>
      </c>
      <c r="D16" s="278">
        <v>46205</v>
      </c>
      <c r="E16" s="175"/>
      <c r="F16" s="207" t="s">
        <v>12</v>
      </c>
      <c r="G16" s="65" t="str">
        <f t="shared" si="0"/>
        <v>Ormanjhi</v>
      </c>
      <c r="H16" s="209">
        <v>1145</v>
      </c>
      <c r="I16" s="210">
        <v>4.2</v>
      </c>
      <c r="J16" s="210">
        <v>8.5</v>
      </c>
      <c r="K16" s="176">
        <f t="shared" si="1"/>
        <v>48.09</v>
      </c>
      <c r="L16" s="177">
        <f t="shared" si="2"/>
        <v>97.325000000000003</v>
      </c>
      <c r="M16" s="209">
        <f t="shared" si="32"/>
        <v>1145</v>
      </c>
      <c r="N16" s="211">
        <f t="shared" si="33"/>
        <v>4.2087847142102159</v>
      </c>
      <c r="O16" s="211">
        <f t="shared" si="34"/>
        <v>8.5549003720937353</v>
      </c>
      <c r="P16" s="176">
        <f t="shared" si="35"/>
        <v>48.190584977706976</v>
      </c>
      <c r="Q16" s="212">
        <f t="shared" si="36"/>
        <v>97.953609260473272</v>
      </c>
      <c r="R16" s="345"/>
      <c r="S16" s="346"/>
      <c r="T16" s="346"/>
      <c r="U16" s="345"/>
      <c r="V16" s="345"/>
      <c r="W16" s="327"/>
      <c r="Y16" s="176">
        <f t="shared" si="27"/>
        <v>1145</v>
      </c>
      <c r="Z16" s="210">
        <f t="shared" si="28"/>
        <v>4.21</v>
      </c>
      <c r="AA16" s="210">
        <f t="shared" si="29"/>
        <v>8.5500000000000007</v>
      </c>
      <c r="AD16" s="174" t="s">
        <v>78</v>
      </c>
      <c r="AE16" s="166" t="s">
        <v>108</v>
      </c>
    </row>
    <row r="17" spans="1:31" s="166" customFormat="1" x14ac:dyDescent="0.25">
      <c r="A17" s="213"/>
      <c r="B17" s="216"/>
      <c r="C17" s="118"/>
      <c r="D17" s="278"/>
      <c r="E17" s="175"/>
      <c r="F17" s="207"/>
      <c r="G17" s="65" t="e">
        <f t="shared" si="0"/>
        <v>#N/A</v>
      </c>
      <c r="H17" s="299"/>
      <c r="I17" s="300"/>
      <c r="J17" s="300"/>
      <c r="K17" s="176">
        <f t="shared" si="1"/>
        <v>0</v>
      </c>
      <c r="L17" s="177">
        <f t="shared" si="2"/>
        <v>0</v>
      </c>
      <c r="M17" s="209">
        <f>$R$16*H17/SUM($H$16:$H$17)</f>
        <v>0</v>
      </c>
      <c r="N17" s="211" t="e">
        <f t="shared" ref="N17" si="37">P17/M17*100</f>
        <v>#DIV/0!</v>
      </c>
      <c r="O17" s="211" t="e">
        <f t="shared" ref="O17" si="38">Q17/M17*100</f>
        <v>#DIV/0!</v>
      </c>
      <c r="P17" s="176">
        <f>$U$16*K17/SUM($K$16:$K$17)</f>
        <v>0</v>
      </c>
      <c r="Q17" s="212">
        <f>$V$16*L17/SUM($L$16:$L$17)</f>
        <v>0</v>
      </c>
      <c r="R17" s="320"/>
      <c r="S17" s="319"/>
      <c r="T17" s="319"/>
      <c r="U17" s="318"/>
      <c r="V17" s="318"/>
      <c r="W17" s="321"/>
      <c r="Y17" s="176">
        <f t="shared" si="27"/>
        <v>0</v>
      </c>
      <c r="Z17" s="210" t="e">
        <f t="shared" si="28"/>
        <v>#DIV/0!</v>
      </c>
      <c r="AA17" s="210" t="e">
        <f t="shared" si="29"/>
        <v>#DIV/0!</v>
      </c>
      <c r="AD17" s="174" t="s">
        <v>89</v>
      </c>
      <c r="AE17" s="166" t="s">
        <v>88</v>
      </c>
    </row>
    <row r="18" spans="1:31" x14ac:dyDescent="0.25">
      <c r="A18" s="220"/>
      <c r="B18" s="221"/>
      <c r="C18" s="109"/>
      <c r="D18" s="277"/>
      <c r="E18" s="65"/>
      <c r="F18" s="227"/>
      <c r="G18" s="65" t="e">
        <f t="shared" ref="G18:G32" si="39">VLOOKUP(F18,$AD$9:$AE$17,2,0)</f>
        <v>#N/A</v>
      </c>
      <c r="H18" s="65"/>
      <c r="I18" s="65"/>
      <c r="J18" s="65"/>
      <c r="K18" s="176">
        <f t="shared" ref="K18:K32" si="40">H18*I18%</f>
        <v>0</v>
      </c>
      <c r="L18" s="177">
        <f t="shared" ref="L18:L32" si="41">H18*J18%</f>
        <v>0</v>
      </c>
      <c r="M18" s="209">
        <f t="shared" ref="M18:M32" si="42">$R$4*H18/SUM($H$4:$H$7)</f>
        <v>0</v>
      </c>
      <c r="N18" s="211" t="e">
        <f t="shared" ref="N18:N32" si="43">P18/M18*100</f>
        <v>#DIV/0!</v>
      </c>
      <c r="O18" s="211" t="e">
        <f t="shared" ref="O18:O32" si="44">Q18/M18*100</f>
        <v>#DIV/0!</v>
      </c>
      <c r="P18" s="176">
        <f t="shared" ref="P18:P32" si="45">$U$4*K18/SUM($K$4:$K$7)</f>
        <v>0</v>
      </c>
      <c r="Q18" s="212">
        <f t="shared" ref="Q18:Q32" si="46">$V$4*L18/SUM($L$4:$L$7)</f>
        <v>0</v>
      </c>
      <c r="R18" s="249"/>
      <c r="S18" s="34"/>
      <c r="T18" s="34"/>
      <c r="U18" s="249"/>
      <c r="V18" s="249"/>
      <c r="W18" s="322"/>
      <c r="Y18" s="176">
        <f t="shared" ref="Y18:Y32" si="47">ROUND(M18,0)</f>
        <v>0</v>
      </c>
      <c r="Z18" s="210" t="e">
        <f t="shared" ref="Z18:Z32" si="48">ROUND(N18,2)</f>
        <v>#DIV/0!</v>
      </c>
      <c r="AA18" s="210" t="e">
        <f t="shared" ref="AA18:AA32" si="49">ROUND(O18,2)</f>
        <v>#DIV/0!</v>
      </c>
    </row>
    <row r="19" spans="1:31" x14ac:dyDescent="0.25">
      <c r="A19" s="220"/>
      <c r="B19" s="221"/>
      <c r="C19" s="109"/>
      <c r="D19" s="277"/>
      <c r="E19" s="65"/>
      <c r="F19" s="227"/>
      <c r="G19" s="65" t="e">
        <f t="shared" si="39"/>
        <v>#N/A</v>
      </c>
      <c r="H19" s="65"/>
      <c r="I19" s="65"/>
      <c r="J19" s="65"/>
      <c r="K19" s="176">
        <f t="shared" si="40"/>
        <v>0</v>
      </c>
      <c r="L19" s="177">
        <f t="shared" si="41"/>
        <v>0</v>
      </c>
      <c r="M19" s="209">
        <f t="shared" si="42"/>
        <v>0</v>
      </c>
      <c r="N19" s="211" t="e">
        <f t="shared" si="43"/>
        <v>#DIV/0!</v>
      </c>
      <c r="O19" s="211" t="e">
        <f t="shared" si="44"/>
        <v>#DIV/0!</v>
      </c>
      <c r="P19" s="176">
        <f t="shared" si="45"/>
        <v>0</v>
      </c>
      <c r="Q19" s="212">
        <f t="shared" si="46"/>
        <v>0</v>
      </c>
      <c r="R19" s="249"/>
      <c r="S19" s="34"/>
      <c r="T19" s="34"/>
      <c r="U19" s="249"/>
      <c r="V19" s="249"/>
      <c r="W19" s="322"/>
      <c r="Y19" s="176">
        <f t="shared" si="47"/>
        <v>0</v>
      </c>
      <c r="Z19" s="210" t="e">
        <f t="shared" si="48"/>
        <v>#DIV/0!</v>
      </c>
      <c r="AA19" s="210" t="e">
        <f t="shared" si="49"/>
        <v>#DIV/0!</v>
      </c>
    </row>
    <row r="20" spans="1:31" x14ac:dyDescent="0.25">
      <c r="A20" s="220"/>
      <c r="B20" s="221"/>
      <c r="C20" s="109"/>
      <c r="D20" s="277"/>
      <c r="E20" s="65"/>
      <c r="F20" s="227"/>
      <c r="G20" s="65" t="e">
        <f t="shared" si="39"/>
        <v>#N/A</v>
      </c>
      <c r="H20" s="65"/>
      <c r="I20" s="65"/>
      <c r="J20" s="65"/>
      <c r="K20" s="176">
        <f t="shared" si="40"/>
        <v>0</v>
      </c>
      <c r="L20" s="177">
        <f t="shared" si="41"/>
        <v>0</v>
      </c>
      <c r="M20" s="209">
        <f t="shared" si="42"/>
        <v>0</v>
      </c>
      <c r="N20" s="211" t="e">
        <f t="shared" si="43"/>
        <v>#DIV/0!</v>
      </c>
      <c r="O20" s="211" t="e">
        <f t="shared" si="44"/>
        <v>#DIV/0!</v>
      </c>
      <c r="P20" s="176">
        <f t="shared" si="45"/>
        <v>0</v>
      </c>
      <c r="Q20" s="212">
        <f t="shared" si="46"/>
        <v>0</v>
      </c>
      <c r="R20" s="249"/>
      <c r="S20" s="34"/>
      <c r="T20" s="34"/>
      <c r="U20" s="249"/>
      <c r="V20" s="249"/>
      <c r="W20" s="322"/>
      <c r="Y20" s="176">
        <f t="shared" si="47"/>
        <v>0</v>
      </c>
      <c r="Z20" s="210" t="e">
        <f t="shared" si="48"/>
        <v>#DIV/0!</v>
      </c>
      <c r="AA20" s="210" t="e">
        <f t="shared" si="49"/>
        <v>#DIV/0!</v>
      </c>
    </row>
    <row r="21" spans="1:31" x14ac:dyDescent="0.25">
      <c r="A21" s="220"/>
      <c r="B21" s="221"/>
      <c r="C21" s="109"/>
      <c r="D21" s="277"/>
      <c r="E21" s="65"/>
      <c r="F21" s="227"/>
      <c r="G21" s="65" t="e">
        <f t="shared" si="39"/>
        <v>#N/A</v>
      </c>
      <c r="H21" s="65"/>
      <c r="I21" s="65"/>
      <c r="J21" s="65"/>
      <c r="K21" s="176">
        <f t="shared" si="40"/>
        <v>0</v>
      </c>
      <c r="L21" s="177">
        <f t="shared" si="41"/>
        <v>0</v>
      </c>
      <c r="M21" s="209">
        <f t="shared" si="42"/>
        <v>0</v>
      </c>
      <c r="N21" s="211" t="e">
        <f t="shared" si="43"/>
        <v>#DIV/0!</v>
      </c>
      <c r="O21" s="211" t="e">
        <f t="shared" si="44"/>
        <v>#DIV/0!</v>
      </c>
      <c r="P21" s="176">
        <f t="shared" si="45"/>
        <v>0</v>
      </c>
      <c r="Q21" s="212">
        <f t="shared" si="46"/>
        <v>0</v>
      </c>
      <c r="R21" s="249"/>
      <c r="S21" s="34"/>
      <c r="T21" s="34"/>
      <c r="U21" s="249"/>
      <c r="V21" s="249"/>
      <c r="W21" s="322"/>
      <c r="Y21" s="176">
        <f t="shared" si="47"/>
        <v>0</v>
      </c>
      <c r="Z21" s="210" t="e">
        <f t="shared" si="48"/>
        <v>#DIV/0!</v>
      </c>
      <c r="AA21" s="210" t="e">
        <f t="shared" si="49"/>
        <v>#DIV/0!</v>
      </c>
    </row>
    <row r="22" spans="1:31" x14ac:dyDescent="0.25">
      <c r="A22" s="220"/>
      <c r="B22" s="221"/>
      <c r="C22" s="109"/>
      <c r="D22" s="277"/>
      <c r="E22" s="65"/>
      <c r="F22" s="227"/>
      <c r="G22" s="65" t="e">
        <f t="shared" si="39"/>
        <v>#N/A</v>
      </c>
      <c r="H22" s="65"/>
      <c r="I22" s="65"/>
      <c r="J22" s="65"/>
      <c r="K22" s="176">
        <f t="shared" si="40"/>
        <v>0</v>
      </c>
      <c r="L22" s="177">
        <f t="shared" si="41"/>
        <v>0</v>
      </c>
      <c r="M22" s="209">
        <f t="shared" si="42"/>
        <v>0</v>
      </c>
      <c r="N22" s="211" t="e">
        <f t="shared" si="43"/>
        <v>#DIV/0!</v>
      </c>
      <c r="O22" s="211" t="e">
        <f t="shared" si="44"/>
        <v>#DIV/0!</v>
      </c>
      <c r="P22" s="176">
        <f t="shared" si="45"/>
        <v>0</v>
      </c>
      <c r="Q22" s="212">
        <f t="shared" si="46"/>
        <v>0</v>
      </c>
      <c r="R22" s="249"/>
      <c r="S22" s="34"/>
      <c r="T22" s="34"/>
      <c r="U22" s="249"/>
      <c r="V22" s="249"/>
      <c r="W22" s="322"/>
      <c r="Y22" s="176">
        <f t="shared" si="47"/>
        <v>0</v>
      </c>
      <c r="Z22" s="210" t="e">
        <f t="shared" si="48"/>
        <v>#DIV/0!</v>
      </c>
      <c r="AA22" s="210" t="e">
        <f t="shared" si="49"/>
        <v>#DIV/0!</v>
      </c>
    </row>
    <row r="23" spans="1:31" x14ac:dyDescent="0.25">
      <c r="A23" s="220"/>
      <c r="B23" s="221"/>
      <c r="C23" s="109"/>
      <c r="D23" s="277"/>
      <c r="E23" s="65"/>
      <c r="F23" s="227"/>
      <c r="G23" s="65" t="e">
        <f t="shared" si="39"/>
        <v>#N/A</v>
      </c>
      <c r="H23" s="65"/>
      <c r="I23" s="65"/>
      <c r="J23" s="65"/>
      <c r="K23" s="176">
        <f t="shared" si="40"/>
        <v>0</v>
      </c>
      <c r="L23" s="177">
        <f t="shared" si="41"/>
        <v>0</v>
      </c>
      <c r="M23" s="209">
        <f t="shared" si="42"/>
        <v>0</v>
      </c>
      <c r="N23" s="211" t="e">
        <f t="shared" si="43"/>
        <v>#DIV/0!</v>
      </c>
      <c r="O23" s="211" t="e">
        <f t="shared" si="44"/>
        <v>#DIV/0!</v>
      </c>
      <c r="P23" s="176">
        <f t="shared" si="45"/>
        <v>0</v>
      </c>
      <c r="Q23" s="212">
        <f t="shared" si="46"/>
        <v>0</v>
      </c>
      <c r="R23" s="249"/>
      <c r="S23" s="34"/>
      <c r="T23" s="34"/>
      <c r="U23" s="249"/>
      <c r="V23" s="249"/>
      <c r="W23" s="322"/>
      <c r="Y23" s="176">
        <f t="shared" si="47"/>
        <v>0</v>
      </c>
      <c r="Z23" s="210" t="e">
        <f t="shared" si="48"/>
        <v>#DIV/0!</v>
      </c>
      <c r="AA23" s="210" t="e">
        <f t="shared" si="49"/>
        <v>#DIV/0!</v>
      </c>
    </row>
    <row r="24" spans="1:31" x14ac:dyDescent="0.25">
      <c r="A24" s="220"/>
      <c r="B24" s="221"/>
      <c r="C24" s="109"/>
      <c r="D24" s="277"/>
      <c r="E24" s="65"/>
      <c r="F24" s="227"/>
      <c r="G24" s="65" t="e">
        <f t="shared" si="39"/>
        <v>#N/A</v>
      </c>
      <c r="H24" s="65"/>
      <c r="I24" s="65"/>
      <c r="J24" s="65"/>
      <c r="K24" s="176">
        <f t="shared" si="40"/>
        <v>0</v>
      </c>
      <c r="L24" s="177">
        <f t="shared" si="41"/>
        <v>0</v>
      </c>
      <c r="M24" s="209">
        <f t="shared" si="42"/>
        <v>0</v>
      </c>
      <c r="N24" s="211" t="e">
        <f t="shared" si="43"/>
        <v>#DIV/0!</v>
      </c>
      <c r="O24" s="211" t="e">
        <f t="shared" si="44"/>
        <v>#DIV/0!</v>
      </c>
      <c r="P24" s="176">
        <f t="shared" si="45"/>
        <v>0</v>
      </c>
      <c r="Q24" s="212">
        <f t="shared" si="46"/>
        <v>0</v>
      </c>
      <c r="R24" s="249"/>
      <c r="S24" s="34"/>
      <c r="T24" s="34"/>
      <c r="U24" s="249"/>
      <c r="V24" s="249"/>
      <c r="W24" s="322"/>
      <c r="Y24" s="176">
        <f t="shared" si="47"/>
        <v>0</v>
      </c>
      <c r="Z24" s="210" t="e">
        <f t="shared" si="48"/>
        <v>#DIV/0!</v>
      </c>
      <c r="AA24" s="210" t="e">
        <f t="shared" si="49"/>
        <v>#DIV/0!</v>
      </c>
    </row>
    <row r="25" spans="1:31" x14ac:dyDescent="0.25">
      <c r="A25" s="220"/>
      <c r="B25" s="221"/>
      <c r="C25" s="109"/>
      <c r="D25" s="277"/>
      <c r="E25" s="65"/>
      <c r="F25" s="227"/>
      <c r="G25" s="65" t="e">
        <f t="shared" si="39"/>
        <v>#N/A</v>
      </c>
      <c r="H25" s="65"/>
      <c r="I25" s="65"/>
      <c r="J25" s="65"/>
      <c r="K25" s="176">
        <f t="shared" si="40"/>
        <v>0</v>
      </c>
      <c r="L25" s="177">
        <f t="shared" si="41"/>
        <v>0</v>
      </c>
      <c r="M25" s="209">
        <f t="shared" si="42"/>
        <v>0</v>
      </c>
      <c r="N25" s="211" t="e">
        <f t="shared" si="43"/>
        <v>#DIV/0!</v>
      </c>
      <c r="O25" s="211" t="e">
        <f t="shared" si="44"/>
        <v>#DIV/0!</v>
      </c>
      <c r="P25" s="176">
        <f t="shared" si="45"/>
        <v>0</v>
      </c>
      <c r="Q25" s="212">
        <f t="shared" si="46"/>
        <v>0</v>
      </c>
      <c r="R25" s="249"/>
      <c r="S25" s="34"/>
      <c r="T25" s="34"/>
      <c r="U25" s="249"/>
      <c r="V25" s="249"/>
      <c r="W25" s="322"/>
      <c r="Y25" s="176">
        <f t="shared" si="47"/>
        <v>0</v>
      </c>
      <c r="Z25" s="210" t="e">
        <f t="shared" si="48"/>
        <v>#DIV/0!</v>
      </c>
      <c r="AA25" s="210" t="e">
        <f t="shared" si="49"/>
        <v>#DIV/0!</v>
      </c>
    </row>
    <row r="26" spans="1:31" x14ac:dyDescent="0.25">
      <c r="A26" s="220"/>
      <c r="B26" s="221"/>
      <c r="C26" s="109"/>
      <c r="D26" s="277"/>
      <c r="E26" s="65"/>
      <c r="F26" s="227"/>
      <c r="G26" s="65" t="e">
        <f t="shared" si="39"/>
        <v>#N/A</v>
      </c>
      <c r="H26" s="65"/>
      <c r="I26" s="65"/>
      <c r="J26" s="65"/>
      <c r="K26" s="176">
        <f t="shared" si="40"/>
        <v>0</v>
      </c>
      <c r="L26" s="177">
        <f t="shared" si="41"/>
        <v>0</v>
      </c>
      <c r="M26" s="209">
        <f t="shared" si="42"/>
        <v>0</v>
      </c>
      <c r="N26" s="211" t="e">
        <f t="shared" si="43"/>
        <v>#DIV/0!</v>
      </c>
      <c r="O26" s="211" t="e">
        <f t="shared" si="44"/>
        <v>#DIV/0!</v>
      </c>
      <c r="P26" s="176">
        <f t="shared" si="45"/>
        <v>0</v>
      </c>
      <c r="Q26" s="212">
        <f t="shared" si="46"/>
        <v>0</v>
      </c>
      <c r="R26" s="249"/>
      <c r="S26" s="34"/>
      <c r="T26" s="34"/>
      <c r="U26" s="249"/>
      <c r="V26" s="249"/>
      <c r="W26" s="322"/>
      <c r="Y26" s="176">
        <f t="shared" si="47"/>
        <v>0</v>
      </c>
      <c r="Z26" s="210" t="e">
        <f t="shared" si="48"/>
        <v>#DIV/0!</v>
      </c>
      <c r="AA26" s="210" t="e">
        <f t="shared" si="49"/>
        <v>#DIV/0!</v>
      </c>
    </row>
    <row r="27" spans="1:31" x14ac:dyDescent="0.25">
      <c r="A27" s="220"/>
      <c r="B27" s="221"/>
      <c r="C27" s="109"/>
      <c r="D27" s="277"/>
      <c r="E27" s="65"/>
      <c r="F27" s="227"/>
      <c r="G27" s="65" t="e">
        <f t="shared" si="39"/>
        <v>#N/A</v>
      </c>
      <c r="H27" s="65"/>
      <c r="I27" s="65"/>
      <c r="J27" s="65"/>
      <c r="K27" s="176">
        <f t="shared" si="40"/>
        <v>0</v>
      </c>
      <c r="L27" s="177">
        <f t="shared" si="41"/>
        <v>0</v>
      </c>
      <c r="M27" s="209">
        <f t="shared" si="42"/>
        <v>0</v>
      </c>
      <c r="N27" s="211" t="e">
        <f t="shared" si="43"/>
        <v>#DIV/0!</v>
      </c>
      <c r="O27" s="211" t="e">
        <f t="shared" si="44"/>
        <v>#DIV/0!</v>
      </c>
      <c r="P27" s="176">
        <f t="shared" si="45"/>
        <v>0</v>
      </c>
      <c r="Q27" s="212">
        <f t="shared" si="46"/>
        <v>0</v>
      </c>
      <c r="R27" s="249"/>
      <c r="S27" s="34"/>
      <c r="T27" s="34"/>
      <c r="U27" s="249"/>
      <c r="V27" s="249"/>
      <c r="W27" s="322"/>
      <c r="Y27" s="176">
        <f t="shared" si="47"/>
        <v>0</v>
      </c>
      <c r="Z27" s="210" t="e">
        <f t="shared" si="48"/>
        <v>#DIV/0!</v>
      </c>
      <c r="AA27" s="210" t="e">
        <f t="shared" si="49"/>
        <v>#DIV/0!</v>
      </c>
    </row>
    <row r="28" spans="1:31" x14ac:dyDescent="0.25">
      <c r="A28" s="220"/>
      <c r="B28" s="221"/>
      <c r="C28" s="109"/>
      <c r="D28" s="277"/>
      <c r="E28" s="65"/>
      <c r="F28" s="227"/>
      <c r="G28" s="65" t="e">
        <f t="shared" si="39"/>
        <v>#N/A</v>
      </c>
      <c r="H28" s="65"/>
      <c r="I28" s="65"/>
      <c r="J28" s="65"/>
      <c r="K28" s="176">
        <f t="shared" si="40"/>
        <v>0</v>
      </c>
      <c r="L28" s="177">
        <f t="shared" si="41"/>
        <v>0</v>
      </c>
      <c r="M28" s="209">
        <f t="shared" si="42"/>
        <v>0</v>
      </c>
      <c r="N28" s="211" t="e">
        <f t="shared" si="43"/>
        <v>#DIV/0!</v>
      </c>
      <c r="O28" s="211" t="e">
        <f t="shared" si="44"/>
        <v>#DIV/0!</v>
      </c>
      <c r="P28" s="176">
        <f t="shared" si="45"/>
        <v>0</v>
      </c>
      <c r="Q28" s="212">
        <f t="shared" si="46"/>
        <v>0</v>
      </c>
      <c r="R28" s="249"/>
      <c r="S28" s="34"/>
      <c r="T28" s="34"/>
      <c r="U28" s="249"/>
      <c r="V28" s="249"/>
      <c r="W28" s="322"/>
      <c r="Y28" s="176">
        <f t="shared" si="47"/>
        <v>0</v>
      </c>
      <c r="Z28" s="210" t="e">
        <f t="shared" si="48"/>
        <v>#DIV/0!</v>
      </c>
      <c r="AA28" s="210" t="e">
        <f t="shared" si="49"/>
        <v>#DIV/0!</v>
      </c>
    </row>
    <row r="29" spans="1:31" x14ac:dyDescent="0.25">
      <c r="A29" s="220"/>
      <c r="B29" s="221"/>
      <c r="C29" s="109"/>
      <c r="D29" s="277"/>
      <c r="E29" s="65"/>
      <c r="F29" s="227"/>
      <c r="G29" s="65" t="e">
        <f t="shared" si="39"/>
        <v>#N/A</v>
      </c>
      <c r="H29" s="65"/>
      <c r="I29" s="65"/>
      <c r="J29" s="65"/>
      <c r="K29" s="176">
        <f t="shared" si="40"/>
        <v>0</v>
      </c>
      <c r="L29" s="177">
        <f t="shared" si="41"/>
        <v>0</v>
      </c>
      <c r="M29" s="209">
        <f t="shared" si="42"/>
        <v>0</v>
      </c>
      <c r="N29" s="211" t="e">
        <f t="shared" si="43"/>
        <v>#DIV/0!</v>
      </c>
      <c r="O29" s="211" t="e">
        <f t="shared" si="44"/>
        <v>#DIV/0!</v>
      </c>
      <c r="P29" s="176">
        <f t="shared" si="45"/>
        <v>0</v>
      </c>
      <c r="Q29" s="212">
        <f t="shared" si="46"/>
        <v>0</v>
      </c>
      <c r="R29" s="249"/>
      <c r="S29" s="34"/>
      <c r="T29" s="34"/>
      <c r="U29" s="249"/>
      <c r="V29" s="249"/>
      <c r="W29" s="322"/>
      <c r="Y29" s="176">
        <f t="shared" si="47"/>
        <v>0</v>
      </c>
      <c r="Z29" s="210" t="e">
        <f t="shared" si="48"/>
        <v>#DIV/0!</v>
      </c>
      <c r="AA29" s="210" t="e">
        <f t="shared" si="49"/>
        <v>#DIV/0!</v>
      </c>
    </row>
    <row r="30" spans="1:31" x14ac:dyDescent="0.25">
      <c r="A30" s="220"/>
      <c r="B30" s="221"/>
      <c r="C30" s="109"/>
      <c r="D30" s="277"/>
      <c r="E30" s="65"/>
      <c r="F30" s="227"/>
      <c r="G30" s="65" t="e">
        <f t="shared" si="39"/>
        <v>#N/A</v>
      </c>
      <c r="H30" s="65"/>
      <c r="I30" s="65"/>
      <c r="J30" s="65"/>
      <c r="K30" s="176">
        <f t="shared" si="40"/>
        <v>0</v>
      </c>
      <c r="L30" s="177">
        <f t="shared" si="41"/>
        <v>0</v>
      </c>
      <c r="M30" s="209">
        <f t="shared" si="42"/>
        <v>0</v>
      </c>
      <c r="N30" s="211" t="e">
        <f t="shared" si="43"/>
        <v>#DIV/0!</v>
      </c>
      <c r="O30" s="211" t="e">
        <f t="shared" si="44"/>
        <v>#DIV/0!</v>
      </c>
      <c r="P30" s="176">
        <f t="shared" si="45"/>
        <v>0</v>
      </c>
      <c r="Q30" s="212">
        <f t="shared" si="46"/>
        <v>0</v>
      </c>
      <c r="R30" s="249"/>
      <c r="S30" s="34"/>
      <c r="T30" s="34"/>
      <c r="U30" s="249"/>
      <c r="V30" s="249"/>
      <c r="W30" s="322"/>
      <c r="Y30" s="176">
        <f t="shared" si="47"/>
        <v>0</v>
      </c>
      <c r="Z30" s="210" t="e">
        <f t="shared" si="48"/>
        <v>#DIV/0!</v>
      </c>
      <c r="AA30" s="210" t="e">
        <f t="shared" si="49"/>
        <v>#DIV/0!</v>
      </c>
    </row>
    <row r="31" spans="1:31" x14ac:dyDescent="0.25">
      <c r="A31" s="220"/>
      <c r="B31" s="221"/>
      <c r="C31" s="109"/>
      <c r="D31" s="277"/>
      <c r="E31" s="65"/>
      <c r="F31" s="227"/>
      <c r="G31" s="65" t="e">
        <f t="shared" si="39"/>
        <v>#N/A</v>
      </c>
      <c r="H31" s="65"/>
      <c r="I31" s="65"/>
      <c r="J31" s="65"/>
      <c r="K31" s="176">
        <f t="shared" si="40"/>
        <v>0</v>
      </c>
      <c r="L31" s="177">
        <f t="shared" si="41"/>
        <v>0</v>
      </c>
      <c r="M31" s="209">
        <f t="shared" si="42"/>
        <v>0</v>
      </c>
      <c r="N31" s="211" t="e">
        <f t="shared" si="43"/>
        <v>#DIV/0!</v>
      </c>
      <c r="O31" s="211" t="e">
        <f t="shared" si="44"/>
        <v>#DIV/0!</v>
      </c>
      <c r="P31" s="176">
        <f t="shared" si="45"/>
        <v>0</v>
      </c>
      <c r="Q31" s="212">
        <f t="shared" si="46"/>
        <v>0</v>
      </c>
      <c r="R31" s="249"/>
      <c r="S31" s="34"/>
      <c r="T31" s="34"/>
      <c r="U31" s="249"/>
      <c r="V31" s="249"/>
      <c r="W31" s="322"/>
      <c r="Y31" s="176">
        <f t="shared" si="47"/>
        <v>0</v>
      </c>
      <c r="Z31" s="210" t="e">
        <f t="shared" si="48"/>
        <v>#DIV/0!</v>
      </c>
      <c r="AA31" s="210" t="e">
        <f t="shared" si="49"/>
        <v>#DIV/0!</v>
      </c>
    </row>
    <row r="32" spans="1:31" x14ac:dyDescent="0.25">
      <c r="A32" s="220"/>
      <c r="B32" s="221"/>
      <c r="C32" s="109"/>
      <c r="D32" s="277"/>
      <c r="E32" s="65"/>
      <c r="F32" s="227"/>
      <c r="G32" s="65" t="e">
        <f t="shared" si="39"/>
        <v>#N/A</v>
      </c>
      <c r="H32" s="65"/>
      <c r="I32" s="65"/>
      <c r="J32" s="65"/>
      <c r="K32" s="176">
        <f t="shared" si="40"/>
        <v>0</v>
      </c>
      <c r="L32" s="177">
        <f t="shared" si="41"/>
        <v>0</v>
      </c>
      <c r="M32" s="209">
        <f t="shared" si="42"/>
        <v>0</v>
      </c>
      <c r="N32" s="211" t="e">
        <f t="shared" si="43"/>
        <v>#DIV/0!</v>
      </c>
      <c r="O32" s="211" t="e">
        <f t="shared" si="44"/>
        <v>#DIV/0!</v>
      </c>
      <c r="P32" s="176">
        <f t="shared" si="45"/>
        <v>0</v>
      </c>
      <c r="Q32" s="212">
        <f t="shared" si="46"/>
        <v>0</v>
      </c>
      <c r="R32" s="249"/>
      <c r="S32" s="34"/>
      <c r="T32" s="34"/>
      <c r="U32" s="249"/>
      <c r="V32" s="249"/>
      <c r="W32" s="322"/>
      <c r="Y32" s="176">
        <f t="shared" si="47"/>
        <v>0</v>
      </c>
      <c r="Z32" s="210" t="e">
        <f t="shared" si="48"/>
        <v>#DIV/0!</v>
      </c>
      <c r="AA32" s="210" t="e">
        <f t="shared" si="49"/>
        <v>#DIV/0!</v>
      </c>
    </row>
    <row r="33" spans="1:27" x14ac:dyDescent="0.25">
      <c r="A33" s="220"/>
      <c r="B33" s="221"/>
      <c r="C33" s="109"/>
      <c r="D33" s="277"/>
      <c r="E33" s="65"/>
      <c r="F33" s="227"/>
      <c r="G33" s="65" t="e">
        <f t="shared" ref="G33:G96" si="50">VLOOKUP(F33,$AD$9:$AE$17,2,0)</f>
        <v>#N/A</v>
      </c>
      <c r="H33" s="65"/>
      <c r="I33" s="65"/>
      <c r="J33" s="65"/>
      <c r="K33" s="176">
        <f t="shared" ref="K33:K96" si="51">H33*I33%</f>
        <v>0</v>
      </c>
      <c r="L33" s="177">
        <f t="shared" ref="L33:L96" si="52">H33*J33%</f>
        <v>0</v>
      </c>
      <c r="M33" s="209">
        <f t="shared" ref="M33:M96" si="53">$R$4*H33/SUM($H$4:$H$7)</f>
        <v>0</v>
      </c>
      <c r="N33" s="211" t="e">
        <f t="shared" ref="N33:N96" si="54">P33/M33*100</f>
        <v>#DIV/0!</v>
      </c>
      <c r="O33" s="211" t="e">
        <f t="shared" ref="O33:O96" si="55">Q33/M33*100</f>
        <v>#DIV/0!</v>
      </c>
      <c r="P33" s="176">
        <f t="shared" ref="P33:P96" si="56">$U$4*K33/SUM($K$4:$K$7)</f>
        <v>0</v>
      </c>
      <c r="Q33" s="212">
        <f t="shared" ref="Q33:Q96" si="57">$V$4*L33/SUM($L$4:$L$7)</f>
        <v>0</v>
      </c>
      <c r="R33" s="249"/>
      <c r="S33" s="34"/>
      <c r="T33" s="34"/>
      <c r="U33" s="249"/>
      <c r="V33" s="249"/>
      <c r="W33" s="322"/>
      <c r="Y33" s="176">
        <f t="shared" ref="Y33:Y96" si="58">ROUND(M33,0)</f>
        <v>0</v>
      </c>
      <c r="Z33" s="210" t="e">
        <f t="shared" ref="Z33:Z96" si="59">ROUND(N33,2)</f>
        <v>#DIV/0!</v>
      </c>
      <c r="AA33" s="210" t="e">
        <f t="shared" ref="AA33:AA96" si="60">ROUND(O33,2)</f>
        <v>#DIV/0!</v>
      </c>
    </row>
    <row r="34" spans="1:27" x14ac:dyDescent="0.25">
      <c r="A34" s="220"/>
      <c r="B34" s="221"/>
      <c r="C34" s="109"/>
      <c r="D34" s="277"/>
      <c r="E34" s="65"/>
      <c r="F34" s="227"/>
      <c r="G34" s="65" t="e">
        <f t="shared" si="50"/>
        <v>#N/A</v>
      </c>
      <c r="H34" s="65"/>
      <c r="I34" s="65"/>
      <c r="J34" s="65"/>
      <c r="K34" s="176">
        <f t="shared" si="51"/>
        <v>0</v>
      </c>
      <c r="L34" s="177">
        <f t="shared" si="52"/>
        <v>0</v>
      </c>
      <c r="M34" s="209">
        <f t="shared" si="53"/>
        <v>0</v>
      </c>
      <c r="N34" s="211" t="e">
        <f t="shared" si="54"/>
        <v>#DIV/0!</v>
      </c>
      <c r="O34" s="211" t="e">
        <f t="shared" si="55"/>
        <v>#DIV/0!</v>
      </c>
      <c r="P34" s="176">
        <f t="shared" si="56"/>
        <v>0</v>
      </c>
      <c r="Q34" s="212">
        <f t="shared" si="57"/>
        <v>0</v>
      </c>
      <c r="R34" s="249"/>
      <c r="S34" s="34"/>
      <c r="T34" s="34"/>
      <c r="U34" s="249"/>
      <c r="V34" s="249"/>
      <c r="W34" s="322"/>
      <c r="Y34" s="176">
        <f t="shared" si="58"/>
        <v>0</v>
      </c>
      <c r="Z34" s="210" t="e">
        <f t="shared" si="59"/>
        <v>#DIV/0!</v>
      </c>
      <c r="AA34" s="210" t="e">
        <f t="shared" si="60"/>
        <v>#DIV/0!</v>
      </c>
    </row>
    <row r="35" spans="1:27" x14ac:dyDescent="0.25">
      <c r="A35" s="220"/>
      <c r="B35" s="221"/>
      <c r="C35" s="109"/>
      <c r="D35" s="277"/>
      <c r="E35" s="65"/>
      <c r="F35" s="227"/>
      <c r="G35" s="65" t="e">
        <f t="shared" si="50"/>
        <v>#N/A</v>
      </c>
      <c r="H35" s="65"/>
      <c r="I35" s="65"/>
      <c r="J35" s="65"/>
      <c r="K35" s="176">
        <f t="shared" si="51"/>
        <v>0</v>
      </c>
      <c r="L35" s="177">
        <f t="shared" si="52"/>
        <v>0</v>
      </c>
      <c r="M35" s="209">
        <f t="shared" si="53"/>
        <v>0</v>
      </c>
      <c r="N35" s="211" t="e">
        <f t="shared" si="54"/>
        <v>#DIV/0!</v>
      </c>
      <c r="O35" s="211" t="e">
        <f t="shared" si="55"/>
        <v>#DIV/0!</v>
      </c>
      <c r="P35" s="176">
        <f t="shared" si="56"/>
        <v>0</v>
      </c>
      <c r="Q35" s="212">
        <f t="shared" si="57"/>
        <v>0</v>
      </c>
      <c r="R35" s="249"/>
      <c r="S35" s="34"/>
      <c r="T35" s="34"/>
      <c r="U35" s="249"/>
      <c r="V35" s="249"/>
      <c r="W35" s="322"/>
      <c r="Y35" s="176">
        <f t="shared" si="58"/>
        <v>0</v>
      </c>
      <c r="Z35" s="210" t="e">
        <f t="shared" si="59"/>
        <v>#DIV/0!</v>
      </c>
      <c r="AA35" s="210" t="e">
        <f t="shared" si="60"/>
        <v>#DIV/0!</v>
      </c>
    </row>
    <row r="36" spans="1:27" x14ac:dyDescent="0.25">
      <c r="A36" s="220"/>
      <c r="B36" s="221"/>
      <c r="C36" s="109"/>
      <c r="D36" s="277"/>
      <c r="E36" s="65"/>
      <c r="F36" s="227"/>
      <c r="G36" s="65" t="e">
        <f t="shared" si="50"/>
        <v>#N/A</v>
      </c>
      <c r="H36" s="65"/>
      <c r="I36" s="65"/>
      <c r="J36" s="65"/>
      <c r="K36" s="176">
        <f t="shared" si="51"/>
        <v>0</v>
      </c>
      <c r="L36" s="177">
        <f t="shared" si="52"/>
        <v>0</v>
      </c>
      <c r="M36" s="209">
        <f t="shared" si="53"/>
        <v>0</v>
      </c>
      <c r="N36" s="211" t="e">
        <f t="shared" si="54"/>
        <v>#DIV/0!</v>
      </c>
      <c r="O36" s="211" t="e">
        <f t="shared" si="55"/>
        <v>#DIV/0!</v>
      </c>
      <c r="P36" s="176">
        <f t="shared" si="56"/>
        <v>0</v>
      </c>
      <c r="Q36" s="212">
        <f t="shared" si="57"/>
        <v>0</v>
      </c>
      <c r="R36" s="249"/>
      <c r="S36" s="34"/>
      <c r="T36" s="34"/>
      <c r="U36" s="249"/>
      <c r="V36" s="249"/>
      <c r="W36" s="322"/>
      <c r="Y36" s="176">
        <f t="shared" si="58"/>
        <v>0</v>
      </c>
      <c r="Z36" s="210" t="e">
        <f t="shared" si="59"/>
        <v>#DIV/0!</v>
      </c>
      <c r="AA36" s="210" t="e">
        <f t="shared" si="60"/>
        <v>#DIV/0!</v>
      </c>
    </row>
    <row r="37" spans="1:27" x14ac:dyDescent="0.25">
      <c r="A37" s="220"/>
      <c r="B37" s="221"/>
      <c r="C37" s="109"/>
      <c r="D37" s="277"/>
      <c r="E37" s="65"/>
      <c r="F37" s="227"/>
      <c r="G37" s="65" t="e">
        <f t="shared" si="50"/>
        <v>#N/A</v>
      </c>
      <c r="H37" s="65"/>
      <c r="I37" s="65"/>
      <c r="J37" s="65"/>
      <c r="K37" s="176">
        <f t="shared" si="51"/>
        <v>0</v>
      </c>
      <c r="L37" s="177">
        <f t="shared" si="52"/>
        <v>0</v>
      </c>
      <c r="M37" s="209">
        <f t="shared" si="53"/>
        <v>0</v>
      </c>
      <c r="N37" s="211" t="e">
        <f t="shared" si="54"/>
        <v>#DIV/0!</v>
      </c>
      <c r="O37" s="211" t="e">
        <f t="shared" si="55"/>
        <v>#DIV/0!</v>
      </c>
      <c r="P37" s="176">
        <f t="shared" si="56"/>
        <v>0</v>
      </c>
      <c r="Q37" s="212">
        <f t="shared" si="57"/>
        <v>0</v>
      </c>
      <c r="R37" s="249"/>
      <c r="S37" s="34"/>
      <c r="T37" s="34"/>
      <c r="U37" s="249"/>
      <c r="V37" s="249"/>
      <c r="W37" s="322"/>
      <c r="Y37" s="176">
        <f t="shared" si="58"/>
        <v>0</v>
      </c>
      <c r="Z37" s="210" t="e">
        <f t="shared" si="59"/>
        <v>#DIV/0!</v>
      </c>
      <c r="AA37" s="210" t="e">
        <f t="shared" si="60"/>
        <v>#DIV/0!</v>
      </c>
    </row>
    <row r="38" spans="1:27" x14ac:dyDescent="0.25">
      <c r="A38" s="220"/>
      <c r="B38" s="221"/>
      <c r="C38" s="109"/>
      <c r="D38" s="277"/>
      <c r="E38" s="65"/>
      <c r="F38" s="227"/>
      <c r="G38" s="65" t="e">
        <f t="shared" si="50"/>
        <v>#N/A</v>
      </c>
      <c r="H38" s="65"/>
      <c r="I38" s="65"/>
      <c r="J38" s="65"/>
      <c r="K38" s="176">
        <f t="shared" si="51"/>
        <v>0</v>
      </c>
      <c r="L38" s="177">
        <f t="shared" si="52"/>
        <v>0</v>
      </c>
      <c r="M38" s="209">
        <f t="shared" si="53"/>
        <v>0</v>
      </c>
      <c r="N38" s="211" t="e">
        <f t="shared" si="54"/>
        <v>#DIV/0!</v>
      </c>
      <c r="O38" s="211" t="e">
        <f t="shared" si="55"/>
        <v>#DIV/0!</v>
      </c>
      <c r="P38" s="176">
        <f t="shared" si="56"/>
        <v>0</v>
      </c>
      <c r="Q38" s="212">
        <f t="shared" si="57"/>
        <v>0</v>
      </c>
      <c r="R38" s="249"/>
      <c r="S38" s="34"/>
      <c r="T38" s="34"/>
      <c r="U38" s="249"/>
      <c r="V38" s="249"/>
      <c r="W38" s="322"/>
      <c r="Y38" s="176">
        <f t="shared" si="58"/>
        <v>0</v>
      </c>
      <c r="Z38" s="210" t="e">
        <f t="shared" si="59"/>
        <v>#DIV/0!</v>
      </c>
      <c r="AA38" s="210" t="e">
        <f t="shared" si="60"/>
        <v>#DIV/0!</v>
      </c>
    </row>
    <row r="39" spans="1:27" x14ac:dyDescent="0.25">
      <c r="A39" s="220"/>
      <c r="B39" s="221"/>
      <c r="C39" s="109"/>
      <c r="D39" s="277"/>
      <c r="E39" s="65"/>
      <c r="F39" s="227"/>
      <c r="G39" s="65" t="e">
        <f t="shared" si="50"/>
        <v>#N/A</v>
      </c>
      <c r="H39" s="65"/>
      <c r="I39" s="65"/>
      <c r="J39" s="65"/>
      <c r="K39" s="176">
        <f t="shared" si="51"/>
        <v>0</v>
      </c>
      <c r="L39" s="177">
        <f t="shared" si="52"/>
        <v>0</v>
      </c>
      <c r="M39" s="209">
        <f t="shared" si="53"/>
        <v>0</v>
      </c>
      <c r="N39" s="211" t="e">
        <f t="shared" si="54"/>
        <v>#DIV/0!</v>
      </c>
      <c r="O39" s="211" t="e">
        <f t="shared" si="55"/>
        <v>#DIV/0!</v>
      </c>
      <c r="P39" s="176">
        <f t="shared" si="56"/>
        <v>0</v>
      </c>
      <c r="Q39" s="212">
        <f t="shared" si="57"/>
        <v>0</v>
      </c>
      <c r="R39" s="249"/>
      <c r="S39" s="34"/>
      <c r="T39" s="34"/>
      <c r="U39" s="249"/>
      <c r="V39" s="249"/>
      <c r="W39" s="322"/>
      <c r="Y39" s="176">
        <f t="shared" si="58"/>
        <v>0</v>
      </c>
      <c r="Z39" s="210" t="e">
        <f t="shared" si="59"/>
        <v>#DIV/0!</v>
      </c>
      <c r="AA39" s="210" t="e">
        <f t="shared" si="60"/>
        <v>#DIV/0!</v>
      </c>
    </row>
    <row r="40" spans="1:27" x14ac:dyDescent="0.25">
      <c r="A40" s="220"/>
      <c r="B40" s="221"/>
      <c r="C40" s="109"/>
      <c r="D40" s="277"/>
      <c r="E40" s="65"/>
      <c r="F40" s="227"/>
      <c r="G40" s="65" t="e">
        <f t="shared" si="50"/>
        <v>#N/A</v>
      </c>
      <c r="H40" s="65"/>
      <c r="I40" s="65"/>
      <c r="J40" s="65"/>
      <c r="K40" s="176">
        <f t="shared" si="51"/>
        <v>0</v>
      </c>
      <c r="L40" s="177">
        <f t="shared" si="52"/>
        <v>0</v>
      </c>
      <c r="M40" s="209">
        <f t="shared" si="53"/>
        <v>0</v>
      </c>
      <c r="N40" s="211" t="e">
        <f t="shared" si="54"/>
        <v>#DIV/0!</v>
      </c>
      <c r="O40" s="211" t="e">
        <f t="shared" si="55"/>
        <v>#DIV/0!</v>
      </c>
      <c r="P40" s="176">
        <f t="shared" si="56"/>
        <v>0</v>
      </c>
      <c r="Q40" s="212">
        <f t="shared" si="57"/>
        <v>0</v>
      </c>
      <c r="R40" s="249"/>
      <c r="S40" s="34"/>
      <c r="T40" s="34"/>
      <c r="U40" s="249"/>
      <c r="V40" s="249"/>
      <c r="W40" s="322"/>
      <c r="Y40" s="176">
        <f t="shared" si="58"/>
        <v>0</v>
      </c>
      <c r="Z40" s="210" t="e">
        <f t="shared" si="59"/>
        <v>#DIV/0!</v>
      </c>
      <c r="AA40" s="210" t="e">
        <f t="shared" si="60"/>
        <v>#DIV/0!</v>
      </c>
    </row>
    <row r="41" spans="1:27" x14ac:dyDescent="0.25">
      <c r="A41" s="220"/>
      <c r="B41" s="221"/>
      <c r="C41" s="109"/>
      <c r="D41" s="277"/>
      <c r="E41" s="65"/>
      <c r="F41" s="227"/>
      <c r="G41" s="65" t="e">
        <f t="shared" si="50"/>
        <v>#N/A</v>
      </c>
      <c r="H41" s="65"/>
      <c r="I41" s="65"/>
      <c r="J41" s="65"/>
      <c r="K41" s="176">
        <f t="shared" si="51"/>
        <v>0</v>
      </c>
      <c r="L41" s="177">
        <f t="shared" si="52"/>
        <v>0</v>
      </c>
      <c r="M41" s="209">
        <f t="shared" si="53"/>
        <v>0</v>
      </c>
      <c r="N41" s="211" t="e">
        <f t="shared" si="54"/>
        <v>#DIV/0!</v>
      </c>
      <c r="O41" s="211" t="e">
        <f t="shared" si="55"/>
        <v>#DIV/0!</v>
      </c>
      <c r="P41" s="176">
        <f t="shared" si="56"/>
        <v>0</v>
      </c>
      <c r="Q41" s="212">
        <f t="shared" si="57"/>
        <v>0</v>
      </c>
      <c r="R41" s="249"/>
      <c r="S41" s="34"/>
      <c r="T41" s="34"/>
      <c r="U41" s="249"/>
      <c r="V41" s="249"/>
      <c r="W41" s="322"/>
      <c r="Y41" s="176">
        <f t="shared" si="58"/>
        <v>0</v>
      </c>
      <c r="Z41" s="210" t="e">
        <f t="shared" si="59"/>
        <v>#DIV/0!</v>
      </c>
      <c r="AA41" s="210" t="e">
        <f t="shared" si="60"/>
        <v>#DIV/0!</v>
      </c>
    </row>
    <row r="42" spans="1:27" x14ac:dyDescent="0.25">
      <c r="A42" s="220"/>
      <c r="B42" s="221"/>
      <c r="C42" s="109"/>
      <c r="D42" s="277"/>
      <c r="E42" s="65"/>
      <c r="F42" s="227"/>
      <c r="G42" s="65" t="e">
        <f t="shared" si="50"/>
        <v>#N/A</v>
      </c>
      <c r="H42" s="65"/>
      <c r="I42" s="65"/>
      <c r="J42" s="65"/>
      <c r="K42" s="176">
        <f t="shared" si="51"/>
        <v>0</v>
      </c>
      <c r="L42" s="177">
        <f t="shared" si="52"/>
        <v>0</v>
      </c>
      <c r="M42" s="209">
        <f t="shared" si="53"/>
        <v>0</v>
      </c>
      <c r="N42" s="211" t="e">
        <f t="shared" si="54"/>
        <v>#DIV/0!</v>
      </c>
      <c r="O42" s="211" t="e">
        <f t="shared" si="55"/>
        <v>#DIV/0!</v>
      </c>
      <c r="P42" s="176">
        <f t="shared" si="56"/>
        <v>0</v>
      </c>
      <c r="Q42" s="212">
        <f t="shared" si="57"/>
        <v>0</v>
      </c>
      <c r="R42" s="249"/>
      <c r="S42" s="34"/>
      <c r="T42" s="34"/>
      <c r="U42" s="249"/>
      <c r="V42" s="249"/>
      <c r="Y42" s="176">
        <f t="shared" si="58"/>
        <v>0</v>
      </c>
      <c r="Z42" s="210" t="e">
        <f t="shared" si="59"/>
        <v>#DIV/0!</v>
      </c>
      <c r="AA42" s="210" t="e">
        <f t="shared" si="60"/>
        <v>#DIV/0!</v>
      </c>
    </row>
    <row r="43" spans="1:27" x14ac:dyDescent="0.25">
      <c r="A43" s="220"/>
      <c r="B43" s="221"/>
      <c r="C43" s="109"/>
      <c r="D43" s="277"/>
      <c r="E43" s="65"/>
      <c r="F43" s="227"/>
      <c r="G43" s="65" t="e">
        <f t="shared" si="50"/>
        <v>#N/A</v>
      </c>
      <c r="H43" s="65"/>
      <c r="I43" s="65"/>
      <c r="J43" s="65"/>
      <c r="K43" s="176">
        <f t="shared" si="51"/>
        <v>0</v>
      </c>
      <c r="L43" s="177">
        <f t="shared" si="52"/>
        <v>0</v>
      </c>
      <c r="M43" s="209">
        <f t="shared" si="53"/>
        <v>0</v>
      </c>
      <c r="N43" s="211" t="e">
        <f t="shared" si="54"/>
        <v>#DIV/0!</v>
      </c>
      <c r="O43" s="211" t="e">
        <f t="shared" si="55"/>
        <v>#DIV/0!</v>
      </c>
      <c r="P43" s="176">
        <f t="shared" si="56"/>
        <v>0</v>
      </c>
      <c r="Q43" s="212">
        <f t="shared" si="57"/>
        <v>0</v>
      </c>
      <c r="R43" s="249"/>
      <c r="S43" s="34"/>
      <c r="T43" s="34"/>
      <c r="U43" s="249"/>
      <c r="V43" s="249"/>
      <c r="Y43" s="176">
        <f t="shared" si="58"/>
        <v>0</v>
      </c>
      <c r="Z43" s="210" t="e">
        <f t="shared" si="59"/>
        <v>#DIV/0!</v>
      </c>
      <c r="AA43" s="210" t="e">
        <f t="shared" si="60"/>
        <v>#DIV/0!</v>
      </c>
    </row>
    <row r="44" spans="1:27" x14ac:dyDescent="0.25">
      <c r="A44" s="220"/>
      <c r="B44" s="221"/>
      <c r="C44" s="109"/>
      <c r="D44" s="277"/>
      <c r="E44" s="65"/>
      <c r="F44" s="227"/>
      <c r="G44" s="65" t="e">
        <f t="shared" si="50"/>
        <v>#N/A</v>
      </c>
      <c r="H44" s="65"/>
      <c r="I44" s="65"/>
      <c r="J44" s="65"/>
      <c r="K44" s="176">
        <f t="shared" si="51"/>
        <v>0</v>
      </c>
      <c r="L44" s="177">
        <f t="shared" si="52"/>
        <v>0</v>
      </c>
      <c r="M44" s="209">
        <f t="shared" si="53"/>
        <v>0</v>
      </c>
      <c r="N44" s="211" t="e">
        <f t="shared" si="54"/>
        <v>#DIV/0!</v>
      </c>
      <c r="O44" s="211" t="e">
        <f t="shared" si="55"/>
        <v>#DIV/0!</v>
      </c>
      <c r="P44" s="176">
        <f t="shared" si="56"/>
        <v>0</v>
      </c>
      <c r="Q44" s="212">
        <f t="shared" si="57"/>
        <v>0</v>
      </c>
      <c r="R44" s="249"/>
      <c r="S44" s="34"/>
      <c r="T44" s="34"/>
      <c r="U44" s="249"/>
      <c r="V44" s="249"/>
      <c r="Y44" s="176">
        <f t="shared" si="58"/>
        <v>0</v>
      </c>
      <c r="Z44" s="210" t="e">
        <f t="shared" si="59"/>
        <v>#DIV/0!</v>
      </c>
      <c r="AA44" s="210" t="e">
        <f t="shared" si="60"/>
        <v>#DIV/0!</v>
      </c>
    </row>
    <row r="45" spans="1:27" x14ac:dyDescent="0.25">
      <c r="A45" s="220"/>
      <c r="B45" s="221"/>
      <c r="C45" s="109"/>
      <c r="D45" s="277"/>
      <c r="E45" s="65"/>
      <c r="F45" s="227"/>
      <c r="G45" s="65" t="e">
        <f t="shared" si="50"/>
        <v>#N/A</v>
      </c>
      <c r="H45" s="65"/>
      <c r="I45" s="65"/>
      <c r="J45" s="65"/>
      <c r="K45" s="176">
        <f t="shared" si="51"/>
        <v>0</v>
      </c>
      <c r="L45" s="177">
        <f t="shared" si="52"/>
        <v>0</v>
      </c>
      <c r="M45" s="209">
        <f t="shared" si="53"/>
        <v>0</v>
      </c>
      <c r="N45" s="211" t="e">
        <f t="shared" si="54"/>
        <v>#DIV/0!</v>
      </c>
      <c r="O45" s="211" t="e">
        <f t="shared" si="55"/>
        <v>#DIV/0!</v>
      </c>
      <c r="P45" s="176">
        <f t="shared" si="56"/>
        <v>0</v>
      </c>
      <c r="Q45" s="212">
        <f t="shared" si="57"/>
        <v>0</v>
      </c>
      <c r="R45" s="249"/>
      <c r="S45" s="34"/>
      <c r="T45" s="34"/>
      <c r="U45" s="249"/>
      <c r="V45" s="249"/>
      <c r="Y45" s="176">
        <f t="shared" si="58"/>
        <v>0</v>
      </c>
      <c r="Z45" s="210" t="e">
        <f t="shared" si="59"/>
        <v>#DIV/0!</v>
      </c>
      <c r="AA45" s="210" t="e">
        <f t="shared" si="60"/>
        <v>#DIV/0!</v>
      </c>
    </row>
    <row r="46" spans="1:27" x14ac:dyDescent="0.25">
      <c r="A46" s="220"/>
      <c r="B46" s="221"/>
      <c r="C46" s="109"/>
      <c r="D46" s="277"/>
      <c r="E46" s="65"/>
      <c r="F46" s="227"/>
      <c r="G46" s="65" t="e">
        <f t="shared" si="50"/>
        <v>#N/A</v>
      </c>
      <c r="H46" s="65"/>
      <c r="I46" s="65"/>
      <c r="J46" s="65"/>
      <c r="K46" s="176">
        <f t="shared" si="51"/>
        <v>0</v>
      </c>
      <c r="L46" s="177">
        <f t="shared" si="52"/>
        <v>0</v>
      </c>
      <c r="M46" s="209">
        <f t="shared" si="53"/>
        <v>0</v>
      </c>
      <c r="N46" s="211" t="e">
        <f t="shared" si="54"/>
        <v>#DIV/0!</v>
      </c>
      <c r="O46" s="211" t="e">
        <f t="shared" si="55"/>
        <v>#DIV/0!</v>
      </c>
      <c r="P46" s="176">
        <f t="shared" si="56"/>
        <v>0</v>
      </c>
      <c r="Q46" s="212">
        <f t="shared" si="57"/>
        <v>0</v>
      </c>
      <c r="R46" s="249"/>
      <c r="S46" s="34"/>
      <c r="T46" s="34"/>
      <c r="U46" s="249"/>
      <c r="V46" s="249"/>
      <c r="Y46" s="176">
        <f t="shared" si="58"/>
        <v>0</v>
      </c>
      <c r="Z46" s="210" t="e">
        <f t="shared" si="59"/>
        <v>#DIV/0!</v>
      </c>
      <c r="AA46" s="210" t="e">
        <f t="shared" si="60"/>
        <v>#DIV/0!</v>
      </c>
    </row>
    <row r="47" spans="1:27" x14ac:dyDescent="0.25">
      <c r="A47" s="220"/>
      <c r="B47" s="221"/>
      <c r="C47" s="109"/>
      <c r="D47" s="277"/>
      <c r="E47" s="65"/>
      <c r="F47" s="227"/>
      <c r="G47" s="65" t="e">
        <f t="shared" si="50"/>
        <v>#N/A</v>
      </c>
      <c r="H47" s="65"/>
      <c r="I47" s="65"/>
      <c r="J47" s="65"/>
      <c r="K47" s="176">
        <f t="shared" si="51"/>
        <v>0</v>
      </c>
      <c r="L47" s="177">
        <f t="shared" si="52"/>
        <v>0</v>
      </c>
      <c r="M47" s="209">
        <f t="shared" si="53"/>
        <v>0</v>
      </c>
      <c r="N47" s="211" t="e">
        <f t="shared" si="54"/>
        <v>#DIV/0!</v>
      </c>
      <c r="O47" s="211" t="e">
        <f t="shared" si="55"/>
        <v>#DIV/0!</v>
      </c>
      <c r="P47" s="176">
        <f t="shared" si="56"/>
        <v>0</v>
      </c>
      <c r="Q47" s="212">
        <f t="shared" si="57"/>
        <v>0</v>
      </c>
      <c r="R47" s="249"/>
      <c r="S47" s="34"/>
      <c r="T47" s="34"/>
      <c r="U47" s="249"/>
      <c r="V47" s="249"/>
      <c r="Y47" s="176">
        <f t="shared" si="58"/>
        <v>0</v>
      </c>
      <c r="Z47" s="210" t="e">
        <f t="shared" si="59"/>
        <v>#DIV/0!</v>
      </c>
      <c r="AA47" s="210" t="e">
        <f t="shared" si="60"/>
        <v>#DIV/0!</v>
      </c>
    </row>
    <row r="48" spans="1:27" x14ac:dyDescent="0.25">
      <c r="A48" s="220"/>
      <c r="B48" s="221"/>
      <c r="C48" s="109"/>
      <c r="D48" s="277"/>
      <c r="E48" s="65"/>
      <c r="F48" s="227"/>
      <c r="G48" s="65" t="e">
        <f t="shared" si="50"/>
        <v>#N/A</v>
      </c>
      <c r="H48" s="65"/>
      <c r="I48" s="65"/>
      <c r="J48" s="65"/>
      <c r="K48" s="176">
        <f t="shared" si="51"/>
        <v>0</v>
      </c>
      <c r="L48" s="177">
        <f t="shared" si="52"/>
        <v>0</v>
      </c>
      <c r="M48" s="209">
        <f t="shared" si="53"/>
        <v>0</v>
      </c>
      <c r="N48" s="211" t="e">
        <f t="shared" si="54"/>
        <v>#DIV/0!</v>
      </c>
      <c r="O48" s="211" t="e">
        <f t="shared" si="55"/>
        <v>#DIV/0!</v>
      </c>
      <c r="P48" s="176">
        <f t="shared" si="56"/>
        <v>0</v>
      </c>
      <c r="Q48" s="212">
        <f t="shared" si="57"/>
        <v>0</v>
      </c>
      <c r="R48" s="249"/>
      <c r="S48" s="34"/>
      <c r="T48" s="34"/>
      <c r="U48" s="249"/>
      <c r="V48" s="249"/>
      <c r="Y48" s="176">
        <f t="shared" si="58"/>
        <v>0</v>
      </c>
      <c r="Z48" s="210" t="e">
        <f t="shared" si="59"/>
        <v>#DIV/0!</v>
      </c>
      <c r="AA48" s="210" t="e">
        <f t="shared" si="60"/>
        <v>#DIV/0!</v>
      </c>
    </row>
    <row r="49" spans="1:27" x14ac:dyDescent="0.25">
      <c r="A49" s="220"/>
      <c r="B49" s="221"/>
      <c r="C49" s="109"/>
      <c r="D49" s="277"/>
      <c r="E49" s="65"/>
      <c r="F49" s="227"/>
      <c r="G49" s="65" t="e">
        <f t="shared" si="50"/>
        <v>#N/A</v>
      </c>
      <c r="H49" s="65"/>
      <c r="I49" s="65"/>
      <c r="J49" s="65"/>
      <c r="K49" s="176">
        <f t="shared" si="51"/>
        <v>0</v>
      </c>
      <c r="L49" s="177">
        <f t="shared" si="52"/>
        <v>0</v>
      </c>
      <c r="M49" s="209">
        <f t="shared" si="53"/>
        <v>0</v>
      </c>
      <c r="N49" s="211" t="e">
        <f t="shared" si="54"/>
        <v>#DIV/0!</v>
      </c>
      <c r="O49" s="211" t="e">
        <f t="shared" si="55"/>
        <v>#DIV/0!</v>
      </c>
      <c r="P49" s="176">
        <f t="shared" si="56"/>
        <v>0</v>
      </c>
      <c r="Q49" s="212">
        <f t="shared" si="57"/>
        <v>0</v>
      </c>
      <c r="R49" s="249"/>
      <c r="S49" s="34"/>
      <c r="T49" s="34"/>
      <c r="U49" s="249"/>
      <c r="V49" s="249"/>
      <c r="Y49" s="176">
        <f t="shared" si="58"/>
        <v>0</v>
      </c>
      <c r="Z49" s="210" t="e">
        <f t="shared" si="59"/>
        <v>#DIV/0!</v>
      </c>
      <c r="AA49" s="210" t="e">
        <f t="shared" si="60"/>
        <v>#DIV/0!</v>
      </c>
    </row>
    <row r="50" spans="1:27" x14ac:dyDescent="0.25">
      <c r="A50" s="220"/>
      <c r="B50" s="221"/>
      <c r="C50" s="109"/>
      <c r="D50" s="277"/>
      <c r="E50" s="65"/>
      <c r="F50" s="227"/>
      <c r="G50" s="65" t="e">
        <f t="shared" si="50"/>
        <v>#N/A</v>
      </c>
      <c r="H50" s="65"/>
      <c r="I50" s="65"/>
      <c r="J50" s="65"/>
      <c r="K50" s="176">
        <f t="shared" si="51"/>
        <v>0</v>
      </c>
      <c r="L50" s="177">
        <f t="shared" si="52"/>
        <v>0</v>
      </c>
      <c r="M50" s="209">
        <f t="shared" si="53"/>
        <v>0</v>
      </c>
      <c r="N50" s="211" t="e">
        <f t="shared" si="54"/>
        <v>#DIV/0!</v>
      </c>
      <c r="O50" s="211" t="e">
        <f t="shared" si="55"/>
        <v>#DIV/0!</v>
      </c>
      <c r="P50" s="176">
        <f t="shared" si="56"/>
        <v>0</v>
      </c>
      <c r="Q50" s="212">
        <f t="shared" si="57"/>
        <v>0</v>
      </c>
      <c r="R50" s="249"/>
      <c r="S50" s="34"/>
      <c r="T50" s="34"/>
      <c r="U50" s="249"/>
      <c r="V50" s="249"/>
      <c r="Y50" s="176">
        <f t="shared" si="58"/>
        <v>0</v>
      </c>
      <c r="Z50" s="210" t="e">
        <f t="shared" si="59"/>
        <v>#DIV/0!</v>
      </c>
      <c r="AA50" s="210" t="e">
        <f t="shared" si="60"/>
        <v>#DIV/0!</v>
      </c>
    </row>
    <row r="51" spans="1:27" x14ac:dyDescent="0.25">
      <c r="A51" s="220"/>
      <c r="B51" s="221"/>
      <c r="C51" s="109"/>
      <c r="D51" s="277"/>
      <c r="E51" s="65"/>
      <c r="F51" s="227"/>
      <c r="G51" s="65" t="e">
        <f t="shared" si="50"/>
        <v>#N/A</v>
      </c>
      <c r="H51" s="65"/>
      <c r="I51" s="65"/>
      <c r="J51" s="65"/>
      <c r="K51" s="176">
        <f t="shared" si="51"/>
        <v>0</v>
      </c>
      <c r="L51" s="177">
        <f t="shared" si="52"/>
        <v>0</v>
      </c>
      <c r="M51" s="209">
        <f t="shared" si="53"/>
        <v>0</v>
      </c>
      <c r="N51" s="211" t="e">
        <f t="shared" si="54"/>
        <v>#DIV/0!</v>
      </c>
      <c r="O51" s="211" t="e">
        <f t="shared" si="55"/>
        <v>#DIV/0!</v>
      </c>
      <c r="P51" s="176">
        <f t="shared" si="56"/>
        <v>0</v>
      </c>
      <c r="Q51" s="212">
        <f t="shared" si="57"/>
        <v>0</v>
      </c>
      <c r="R51" s="249"/>
      <c r="S51" s="34"/>
      <c r="T51" s="34"/>
      <c r="U51" s="249"/>
      <c r="V51" s="249"/>
      <c r="Y51" s="176">
        <f t="shared" si="58"/>
        <v>0</v>
      </c>
      <c r="Z51" s="210" t="e">
        <f t="shared" si="59"/>
        <v>#DIV/0!</v>
      </c>
      <c r="AA51" s="210" t="e">
        <f t="shared" si="60"/>
        <v>#DIV/0!</v>
      </c>
    </row>
    <row r="52" spans="1:27" x14ac:dyDescent="0.25">
      <c r="A52" s="220"/>
      <c r="B52" s="221"/>
      <c r="C52" s="109"/>
      <c r="D52" s="277"/>
      <c r="E52" s="65"/>
      <c r="F52" s="227"/>
      <c r="G52" s="65" t="e">
        <f t="shared" si="50"/>
        <v>#N/A</v>
      </c>
      <c r="H52" s="65"/>
      <c r="I52" s="65"/>
      <c r="J52" s="65"/>
      <c r="K52" s="176">
        <f t="shared" si="51"/>
        <v>0</v>
      </c>
      <c r="L52" s="177">
        <f t="shared" si="52"/>
        <v>0</v>
      </c>
      <c r="M52" s="209">
        <f t="shared" si="53"/>
        <v>0</v>
      </c>
      <c r="N52" s="211" t="e">
        <f t="shared" si="54"/>
        <v>#DIV/0!</v>
      </c>
      <c r="O52" s="211" t="e">
        <f t="shared" si="55"/>
        <v>#DIV/0!</v>
      </c>
      <c r="P52" s="176">
        <f t="shared" si="56"/>
        <v>0</v>
      </c>
      <c r="Q52" s="212">
        <f t="shared" si="57"/>
        <v>0</v>
      </c>
      <c r="R52" s="249"/>
      <c r="S52" s="34"/>
      <c r="T52" s="34"/>
      <c r="U52" s="249"/>
      <c r="V52" s="249"/>
      <c r="Y52" s="176">
        <f t="shared" si="58"/>
        <v>0</v>
      </c>
      <c r="Z52" s="210" t="e">
        <f t="shared" si="59"/>
        <v>#DIV/0!</v>
      </c>
      <c r="AA52" s="210" t="e">
        <f t="shared" si="60"/>
        <v>#DIV/0!</v>
      </c>
    </row>
    <row r="53" spans="1:27" x14ac:dyDescent="0.25">
      <c r="A53" s="220"/>
      <c r="B53" s="221"/>
      <c r="C53" s="109"/>
      <c r="D53" s="277"/>
      <c r="E53" s="65"/>
      <c r="F53" s="227"/>
      <c r="G53" s="65" t="e">
        <f t="shared" si="50"/>
        <v>#N/A</v>
      </c>
      <c r="H53" s="65"/>
      <c r="I53" s="65"/>
      <c r="J53" s="65"/>
      <c r="K53" s="176">
        <f t="shared" si="51"/>
        <v>0</v>
      </c>
      <c r="L53" s="177">
        <f t="shared" si="52"/>
        <v>0</v>
      </c>
      <c r="M53" s="209">
        <f t="shared" si="53"/>
        <v>0</v>
      </c>
      <c r="N53" s="211" t="e">
        <f t="shared" si="54"/>
        <v>#DIV/0!</v>
      </c>
      <c r="O53" s="211" t="e">
        <f t="shared" si="55"/>
        <v>#DIV/0!</v>
      </c>
      <c r="P53" s="176">
        <f t="shared" si="56"/>
        <v>0</v>
      </c>
      <c r="Q53" s="212">
        <f t="shared" si="57"/>
        <v>0</v>
      </c>
      <c r="R53" s="249"/>
      <c r="S53" s="34"/>
      <c r="T53" s="34"/>
      <c r="U53" s="249"/>
      <c r="V53" s="249"/>
      <c r="Y53" s="176">
        <f t="shared" si="58"/>
        <v>0</v>
      </c>
      <c r="Z53" s="210" t="e">
        <f t="shared" si="59"/>
        <v>#DIV/0!</v>
      </c>
      <c r="AA53" s="210" t="e">
        <f t="shared" si="60"/>
        <v>#DIV/0!</v>
      </c>
    </row>
    <row r="54" spans="1:27" x14ac:dyDescent="0.25">
      <c r="A54" s="220"/>
      <c r="B54" s="221"/>
      <c r="C54" s="109"/>
      <c r="D54" s="277"/>
      <c r="E54" s="65"/>
      <c r="F54" s="227"/>
      <c r="G54" s="65" t="e">
        <f t="shared" si="50"/>
        <v>#N/A</v>
      </c>
      <c r="H54" s="65"/>
      <c r="I54" s="65"/>
      <c r="J54" s="65"/>
      <c r="K54" s="176">
        <f t="shared" si="51"/>
        <v>0</v>
      </c>
      <c r="L54" s="177">
        <f t="shared" si="52"/>
        <v>0</v>
      </c>
      <c r="M54" s="209">
        <f t="shared" si="53"/>
        <v>0</v>
      </c>
      <c r="N54" s="211" t="e">
        <f t="shared" si="54"/>
        <v>#DIV/0!</v>
      </c>
      <c r="O54" s="211" t="e">
        <f t="shared" si="55"/>
        <v>#DIV/0!</v>
      </c>
      <c r="P54" s="176">
        <f t="shared" si="56"/>
        <v>0</v>
      </c>
      <c r="Q54" s="212">
        <f t="shared" si="57"/>
        <v>0</v>
      </c>
      <c r="R54" s="249"/>
      <c r="S54" s="34"/>
      <c r="T54" s="34"/>
      <c r="U54" s="249"/>
      <c r="V54" s="249"/>
      <c r="Y54" s="176">
        <f t="shared" si="58"/>
        <v>0</v>
      </c>
      <c r="Z54" s="210" t="e">
        <f t="shared" si="59"/>
        <v>#DIV/0!</v>
      </c>
      <c r="AA54" s="210" t="e">
        <f t="shared" si="60"/>
        <v>#DIV/0!</v>
      </c>
    </row>
    <row r="55" spans="1:27" x14ac:dyDescent="0.25">
      <c r="A55" s="220"/>
      <c r="B55" s="221"/>
      <c r="C55" s="109"/>
      <c r="D55" s="277"/>
      <c r="E55" s="65"/>
      <c r="F55" s="227"/>
      <c r="G55" s="65" t="e">
        <f t="shared" si="50"/>
        <v>#N/A</v>
      </c>
      <c r="H55" s="65"/>
      <c r="I55" s="65"/>
      <c r="J55" s="65"/>
      <c r="K55" s="176">
        <f t="shared" si="51"/>
        <v>0</v>
      </c>
      <c r="L55" s="177">
        <f t="shared" si="52"/>
        <v>0</v>
      </c>
      <c r="M55" s="209">
        <f t="shared" si="53"/>
        <v>0</v>
      </c>
      <c r="N55" s="211" t="e">
        <f t="shared" si="54"/>
        <v>#DIV/0!</v>
      </c>
      <c r="O55" s="211" t="e">
        <f t="shared" si="55"/>
        <v>#DIV/0!</v>
      </c>
      <c r="P55" s="176">
        <f t="shared" si="56"/>
        <v>0</v>
      </c>
      <c r="Q55" s="212">
        <f t="shared" si="57"/>
        <v>0</v>
      </c>
      <c r="R55" s="249"/>
      <c r="S55" s="34"/>
      <c r="T55" s="34"/>
      <c r="U55" s="249"/>
      <c r="V55" s="249"/>
      <c r="Y55" s="176">
        <f t="shared" si="58"/>
        <v>0</v>
      </c>
      <c r="Z55" s="210" t="e">
        <f t="shared" si="59"/>
        <v>#DIV/0!</v>
      </c>
      <c r="AA55" s="210" t="e">
        <f t="shared" si="60"/>
        <v>#DIV/0!</v>
      </c>
    </row>
    <row r="56" spans="1:27" x14ac:dyDescent="0.25">
      <c r="A56" s="220"/>
      <c r="B56" s="221"/>
      <c r="C56" s="109"/>
      <c r="D56" s="277"/>
      <c r="E56" s="65"/>
      <c r="F56" s="227"/>
      <c r="G56" s="65" t="e">
        <f t="shared" si="50"/>
        <v>#N/A</v>
      </c>
      <c r="H56" s="65"/>
      <c r="I56" s="65"/>
      <c r="J56" s="65"/>
      <c r="K56" s="176">
        <f t="shared" si="51"/>
        <v>0</v>
      </c>
      <c r="L56" s="177">
        <f t="shared" si="52"/>
        <v>0</v>
      </c>
      <c r="M56" s="209">
        <f t="shared" si="53"/>
        <v>0</v>
      </c>
      <c r="N56" s="211" t="e">
        <f t="shared" si="54"/>
        <v>#DIV/0!</v>
      </c>
      <c r="O56" s="211" t="e">
        <f t="shared" si="55"/>
        <v>#DIV/0!</v>
      </c>
      <c r="P56" s="176">
        <f t="shared" si="56"/>
        <v>0</v>
      </c>
      <c r="Q56" s="212">
        <f t="shared" si="57"/>
        <v>0</v>
      </c>
      <c r="R56" s="249"/>
      <c r="S56" s="34"/>
      <c r="T56" s="34"/>
      <c r="U56" s="249"/>
      <c r="V56" s="249"/>
      <c r="Y56" s="176">
        <f t="shared" si="58"/>
        <v>0</v>
      </c>
      <c r="Z56" s="210" t="e">
        <f t="shared" si="59"/>
        <v>#DIV/0!</v>
      </c>
      <c r="AA56" s="210" t="e">
        <f t="shared" si="60"/>
        <v>#DIV/0!</v>
      </c>
    </row>
    <row r="57" spans="1:27" x14ac:dyDescent="0.25">
      <c r="A57" s="220"/>
      <c r="B57" s="221"/>
      <c r="C57" s="109"/>
      <c r="D57" s="277"/>
      <c r="E57" s="65"/>
      <c r="F57" s="227"/>
      <c r="G57" s="65" t="e">
        <f t="shared" si="50"/>
        <v>#N/A</v>
      </c>
      <c r="H57" s="65"/>
      <c r="I57" s="65"/>
      <c r="J57" s="65"/>
      <c r="K57" s="176">
        <f t="shared" si="51"/>
        <v>0</v>
      </c>
      <c r="L57" s="177">
        <f t="shared" si="52"/>
        <v>0</v>
      </c>
      <c r="M57" s="209">
        <f t="shared" si="53"/>
        <v>0</v>
      </c>
      <c r="N57" s="211" t="e">
        <f t="shared" si="54"/>
        <v>#DIV/0!</v>
      </c>
      <c r="O57" s="211" t="e">
        <f t="shared" si="55"/>
        <v>#DIV/0!</v>
      </c>
      <c r="P57" s="176">
        <f t="shared" si="56"/>
        <v>0</v>
      </c>
      <c r="Q57" s="212">
        <f t="shared" si="57"/>
        <v>0</v>
      </c>
      <c r="R57" s="249"/>
      <c r="S57" s="34"/>
      <c r="T57" s="34"/>
      <c r="U57" s="249"/>
      <c r="V57" s="249"/>
      <c r="Y57" s="176">
        <f t="shared" si="58"/>
        <v>0</v>
      </c>
      <c r="Z57" s="210" t="e">
        <f t="shared" si="59"/>
        <v>#DIV/0!</v>
      </c>
      <c r="AA57" s="210" t="e">
        <f t="shared" si="60"/>
        <v>#DIV/0!</v>
      </c>
    </row>
    <row r="58" spans="1:27" x14ac:dyDescent="0.25">
      <c r="A58" s="220"/>
      <c r="B58" s="221"/>
      <c r="C58" s="109"/>
      <c r="D58" s="277"/>
      <c r="E58" s="65"/>
      <c r="F58" s="227"/>
      <c r="G58" s="65" t="e">
        <f t="shared" si="50"/>
        <v>#N/A</v>
      </c>
      <c r="H58" s="65"/>
      <c r="I58" s="65"/>
      <c r="J58" s="65"/>
      <c r="K58" s="176">
        <f t="shared" si="51"/>
        <v>0</v>
      </c>
      <c r="L58" s="177">
        <f t="shared" si="52"/>
        <v>0</v>
      </c>
      <c r="M58" s="209">
        <f t="shared" si="53"/>
        <v>0</v>
      </c>
      <c r="N58" s="211" t="e">
        <f t="shared" si="54"/>
        <v>#DIV/0!</v>
      </c>
      <c r="O58" s="211" t="e">
        <f t="shared" si="55"/>
        <v>#DIV/0!</v>
      </c>
      <c r="P58" s="176">
        <f t="shared" si="56"/>
        <v>0</v>
      </c>
      <c r="Q58" s="212">
        <f t="shared" si="57"/>
        <v>0</v>
      </c>
      <c r="R58" s="249"/>
      <c r="S58" s="34"/>
      <c r="T58" s="34"/>
      <c r="U58" s="249"/>
      <c r="V58" s="249"/>
      <c r="Y58" s="176">
        <f t="shared" si="58"/>
        <v>0</v>
      </c>
      <c r="Z58" s="210" t="e">
        <f t="shared" si="59"/>
        <v>#DIV/0!</v>
      </c>
      <c r="AA58" s="210" t="e">
        <f t="shared" si="60"/>
        <v>#DIV/0!</v>
      </c>
    </row>
    <row r="59" spans="1:27" x14ac:dyDescent="0.25">
      <c r="A59" s="220"/>
      <c r="B59" s="221"/>
      <c r="C59" s="109"/>
      <c r="D59" s="277"/>
      <c r="E59" s="65"/>
      <c r="F59" s="227"/>
      <c r="G59" s="65" t="e">
        <f t="shared" si="50"/>
        <v>#N/A</v>
      </c>
      <c r="H59" s="65"/>
      <c r="I59" s="65"/>
      <c r="J59" s="65"/>
      <c r="K59" s="176">
        <f t="shared" si="51"/>
        <v>0</v>
      </c>
      <c r="L59" s="177">
        <f t="shared" si="52"/>
        <v>0</v>
      </c>
      <c r="M59" s="209">
        <f t="shared" si="53"/>
        <v>0</v>
      </c>
      <c r="N59" s="211" t="e">
        <f t="shared" si="54"/>
        <v>#DIV/0!</v>
      </c>
      <c r="O59" s="211" t="e">
        <f t="shared" si="55"/>
        <v>#DIV/0!</v>
      </c>
      <c r="P59" s="176">
        <f t="shared" si="56"/>
        <v>0</v>
      </c>
      <c r="Q59" s="212">
        <f t="shared" si="57"/>
        <v>0</v>
      </c>
      <c r="R59" s="249"/>
      <c r="S59" s="34"/>
      <c r="T59" s="34"/>
      <c r="U59" s="249"/>
      <c r="V59" s="249"/>
      <c r="Y59" s="176">
        <f t="shared" si="58"/>
        <v>0</v>
      </c>
      <c r="Z59" s="210" t="e">
        <f t="shared" si="59"/>
        <v>#DIV/0!</v>
      </c>
      <c r="AA59" s="210" t="e">
        <f t="shared" si="60"/>
        <v>#DIV/0!</v>
      </c>
    </row>
    <row r="60" spans="1:27" x14ac:dyDescent="0.25">
      <c r="A60" s="220"/>
      <c r="B60" s="221"/>
      <c r="C60" s="109"/>
      <c r="D60" s="277"/>
      <c r="E60" s="65"/>
      <c r="F60" s="227"/>
      <c r="G60" s="65" t="e">
        <f t="shared" si="50"/>
        <v>#N/A</v>
      </c>
      <c r="H60" s="65"/>
      <c r="I60" s="65"/>
      <c r="J60" s="65"/>
      <c r="K60" s="176">
        <f t="shared" si="51"/>
        <v>0</v>
      </c>
      <c r="L60" s="177">
        <f t="shared" si="52"/>
        <v>0</v>
      </c>
      <c r="M60" s="209">
        <f t="shared" si="53"/>
        <v>0</v>
      </c>
      <c r="N60" s="211" t="e">
        <f t="shared" si="54"/>
        <v>#DIV/0!</v>
      </c>
      <c r="O60" s="211" t="e">
        <f t="shared" si="55"/>
        <v>#DIV/0!</v>
      </c>
      <c r="P60" s="176">
        <f t="shared" si="56"/>
        <v>0</v>
      </c>
      <c r="Q60" s="212">
        <f t="shared" si="57"/>
        <v>0</v>
      </c>
      <c r="R60" s="249"/>
      <c r="S60" s="34"/>
      <c r="T60" s="34"/>
      <c r="U60" s="249"/>
      <c r="V60" s="249"/>
      <c r="Y60" s="176">
        <f t="shared" si="58"/>
        <v>0</v>
      </c>
      <c r="Z60" s="210" t="e">
        <f t="shared" si="59"/>
        <v>#DIV/0!</v>
      </c>
      <c r="AA60" s="210" t="e">
        <f t="shared" si="60"/>
        <v>#DIV/0!</v>
      </c>
    </row>
    <row r="61" spans="1:27" x14ac:dyDescent="0.25">
      <c r="A61" s="220"/>
      <c r="B61" s="221"/>
      <c r="C61" s="109"/>
      <c r="D61" s="277"/>
      <c r="E61" s="65"/>
      <c r="F61" s="227"/>
      <c r="G61" s="65" t="e">
        <f t="shared" si="50"/>
        <v>#N/A</v>
      </c>
      <c r="H61" s="65"/>
      <c r="I61" s="65"/>
      <c r="J61" s="65"/>
      <c r="K61" s="176">
        <f t="shared" si="51"/>
        <v>0</v>
      </c>
      <c r="L61" s="177">
        <f t="shared" si="52"/>
        <v>0</v>
      </c>
      <c r="M61" s="209">
        <f t="shared" si="53"/>
        <v>0</v>
      </c>
      <c r="N61" s="211" t="e">
        <f t="shared" si="54"/>
        <v>#DIV/0!</v>
      </c>
      <c r="O61" s="211" t="e">
        <f t="shared" si="55"/>
        <v>#DIV/0!</v>
      </c>
      <c r="P61" s="176">
        <f t="shared" si="56"/>
        <v>0</v>
      </c>
      <c r="Q61" s="212">
        <f t="shared" si="57"/>
        <v>0</v>
      </c>
      <c r="R61" s="249"/>
      <c r="S61" s="34"/>
      <c r="T61" s="34"/>
      <c r="U61" s="249"/>
      <c r="V61" s="249"/>
      <c r="Y61" s="176">
        <f t="shared" si="58"/>
        <v>0</v>
      </c>
      <c r="Z61" s="210" t="e">
        <f t="shared" si="59"/>
        <v>#DIV/0!</v>
      </c>
      <c r="AA61" s="210" t="e">
        <f t="shared" si="60"/>
        <v>#DIV/0!</v>
      </c>
    </row>
    <row r="62" spans="1:27" x14ac:dyDescent="0.25">
      <c r="A62" s="220"/>
      <c r="B62" s="221"/>
      <c r="C62" s="109"/>
      <c r="D62" s="277"/>
      <c r="E62" s="65"/>
      <c r="F62" s="227"/>
      <c r="G62" s="65" t="e">
        <f t="shared" si="50"/>
        <v>#N/A</v>
      </c>
      <c r="H62" s="65"/>
      <c r="I62" s="65"/>
      <c r="J62" s="65"/>
      <c r="K62" s="176">
        <f t="shared" si="51"/>
        <v>0</v>
      </c>
      <c r="L62" s="177">
        <f t="shared" si="52"/>
        <v>0</v>
      </c>
      <c r="M62" s="209">
        <f t="shared" si="53"/>
        <v>0</v>
      </c>
      <c r="N62" s="211" t="e">
        <f t="shared" si="54"/>
        <v>#DIV/0!</v>
      </c>
      <c r="O62" s="211" t="e">
        <f t="shared" si="55"/>
        <v>#DIV/0!</v>
      </c>
      <c r="P62" s="176">
        <f t="shared" si="56"/>
        <v>0</v>
      </c>
      <c r="Q62" s="212">
        <f t="shared" si="57"/>
        <v>0</v>
      </c>
      <c r="R62" s="249"/>
      <c r="S62" s="34"/>
      <c r="T62" s="34"/>
      <c r="U62" s="249"/>
      <c r="V62" s="249"/>
      <c r="Y62" s="176">
        <f t="shared" si="58"/>
        <v>0</v>
      </c>
      <c r="Z62" s="210" t="e">
        <f t="shared" si="59"/>
        <v>#DIV/0!</v>
      </c>
      <c r="AA62" s="210" t="e">
        <f t="shared" si="60"/>
        <v>#DIV/0!</v>
      </c>
    </row>
    <row r="63" spans="1:27" x14ac:dyDescent="0.25">
      <c r="A63" s="220"/>
      <c r="B63" s="221"/>
      <c r="C63" s="109"/>
      <c r="D63" s="277"/>
      <c r="E63" s="65"/>
      <c r="F63" s="227"/>
      <c r="G63" s="65" t="e">
        <f t="shared" si="50"/>
        <v>#N/A</v>
      </c>
      <c r="H63" s="65"/>
      <c r="I63" s="65"/>
      <c r="J63" s="65"/>
      <c r="K63" s="176">
        <f t="shared" si="51"/>
        <v>0</v>
      </c>
      <c r="L63" s="177">
        <f t="shared" si="52"/>
        <v>0</v>
      </c>
      <c r="M63" s="209">
        <f t="shared" si="53"/>
        <v>0</v>
      </c>
      <c r="N63" s="211" t="e">
        <f t="shared" si="54"/>
        <v>#DIV/0!</v>
      </c>
      <c r="O63" s="211" t="e">
        <f t="shared" si="55"/>
        <v>#DIV/0!</v>
      </c>
      <c r="P63" s="176">
        <f t="shared" si="56"/>
        <v>0</v>
      </c>
      <c r="Q63" s="212">
        <f t="shared" si="57"/>
        <v>0</v>
      </c>
      <c r="R63" s="249"/>
      <c r="S63" s="34"/>
      <c r="T63" s="34"/>
      <c r="U63" s="249"/>
      <c r="V63" s="249"/>
      <c r="Y63" s="176">
        <f t="shared" si="58"/>
        <v>0</v>
      </c>
      <c r="Z63" s="210" t="e">
        <f t="shared" si="59"/>
        <v>#DIV/0!</v>
      </c>
      <c r="AA63" s="210" t="e">
        <f t="shared" si="60"/>
        <v>#DIV/0!</v>
      </c>
    </row>
    <row r="64" spans="1:27" x14ac:dyDescent="0.25">
      <c r="A64" s="220"/>
      <c r="B64" s="221"/>
      <c r="C64" s="109"/>
      <c r="D64" s="277"/>
      <c r="E64" s="65"/>
      <c r="F64" s="227"/>
      <c r="G64" s="65" t="e">
        <f t="shared" si="50"/>
        <v>#N/A</v>
      </c>
      <c r="H64" s="65"/>
      <c r="I64" s="65"/>
      <c r="J64" s="65"/>
      <c r="K64" s="176">
        <f t="shared" si="51"/>
        <v>0</v>
      </c>
      <c r="L64" s="177">
        <f t="shared" si="52"/>
        <v>0</v>
      </c>
      <c r="M64" s="209">
        <f t="shared" si="53"/>
        <v>0</v>
      </c>
      <c r="N64" s="211" t="e">
        <f t="shared" si="54"/>
        <v>#DIV/0!</v>
      </c>
      <c r="O64" s="211" t="e">
        <f t="shared" si="55"/>
        <v>#DIV/0!</v>
      </c>
      <c r="P64" s="176">
        <f t="shared" si="56"/>
        <v>0</v>
      </c>
      <c r="Q64" s="212">
        <f t="shared" si="57"/>
        <v>0</v>
      </c>
      <c r="R64" s="249"/>
      <c r="S64" s="34"/>
      <c r="T64" s="34"/>
      <c r="U64" s="249"/>
      <c r="V64" s="249"/>
      <c r="Y64" s="176">
        <f t="shared" si="58"/>
        <v>0</v>
      </c>
      <c r="Z64" s="210" t="e">
        <f t="shared" si="59"/>
        <v>#DIV/0!</v>
      </c>
      <c r="AA64" s="210" t="e">
        <f t="shared" si="60"/>
        <v>#DIV/0!</v>
      </c>
    </row>
    <row r="65" spans="1:27" x14ac:dyDescent="0.25">
      <c r="A65" s="220"/>
      <c r="B65" s="221"/>
      <c r="C65" s="109"/>
      <c r="D65" s="277"/>
      <c r="E65" s="65"/>
      <c r="F65" s="227"/>
      <c r="G65" s="65" t="e">
        <f t="shared" si="50"/>
        <v>#N/A</v>
      </c>
      <c r="H65" s="65"/>
      <c r="I65" s="65"/>
      <c r="J65" s="65"/>
      <c r="K65" s="176">
        <f t="shared" si="51"/>
        <v>0</v>
      </c>
      <c r="L65" s="177">
        <f t="shared" si="52"/>
        <v>0</v>
      </c>
      <c r="M65" s="209">
        <f t="shared" si="53"/>
        <v>0</v>
      </c>
      <c r="N65" s="211" t="e">
        <f t="shared" si="54"/>
        <v>#DIV/0!</v>
      </c>
      <c r="O65" s="211" t="e">
        <f t="shared" si="55"/>
        <v>#DIV/0!</v>
      </c>
      <c r="P65" s="176">
        <f t="shared" si="56"/>
        <v>0</v>
      </c>
      <c r="Q65" s="212">
        <f t="shared" si="57"/>
        <v>0</v>
      </c>
      <c r="R65" s="249"/>
      <c r="S65" s="34"/>
      <c r="T65" s="34"/>
      <c r="U65" s="249"/>
      <c r="V65" s="249"/>
      <c r="Y65" s="176">
        <f t="shared" si="58"/>
        <v>0</v>
      </c>
      <c r="Z65" s="210" t="e">
        <f t="shared" si="59"/>
        <v>#DIV/0!</v>
      </c>
      <c r="AA65" s="210" t="e">
        <f t="shared" si="60"/>
        <v>#DIV/0!</v>
      </c>
    </row>
    <row r="66" spans="1:27" x14ac:dyDescent="0.25">
      <c r="A66" s="220"/>
      <c r="B66" s="221"/>
      <c r="C66" s="109"/>
      <c r="D66" s="277"/>
      <c r="E66" s="65"/>
      <c r="F66" s="227"/>
      <c r="G66" s="65" t="e">
        <f t="shared" si="50"/>
        <v>#N/A</v>
      </c>
      <c r="H66" s="65"/>
      <c r="I66" s="65"/>
      <c r="J66" s="65"/>
      <c r="K66" s="176">
        <f t="shared" si="51"/>
        <v>0</v>
      </c>
      <c r="L66" s="177">
        <f t="shared" si="52"/>
        <v>0</v>
      </c>
      <c r="M66" s="209">
        <f t="shared" si="53"/>
        <v>0</v>
      </c>
      <c r="N66" s="211" t="e">
        <f t="shared" si="54"/>
        <v>#DIV/0!</v>
      </c>
      <c r="O66" s="211" t="e">
        <f t="shared" si="55"/>
        <v>#DIV/0!</v>
      </c>
      <c r="P66" s="176">
        <f t="shared" si="56"/>
        <v>0</v>
      </c>
      <c r="Q66" s="212">
        <f t="shared" si="57"/>
        <v>0</v>
      </c>
      <c r="R66" s="249"/>
      <c r="S66" s="34"/>
      <c r="T66" s="34"/>
      <c r="U66" s="249"/>
      <c r="V66" s="249"/>
      <c r="Y66" s="176">
        <f t="shared" si="58"/>
        <v>0</v>
      </c>
      <c r="Z66" s="210" t="e">
        <f t="shared" si="59"/>
        <v>#DIV/0!</v>
      </c>
      <c r="AA66" s="210" t="e">
        <f t="shared" si="60"/>
        <v>#DIV/0!</v>
      </c>
    </row>
    <row r="67" spans="1:27" x14ac:dyDescent="0.25">
      <c r="A67" s="220"/>
      <c r="B67" s="221"/>
      <c r="C67" s="109"/>
      <c r="D67" s="277"/>
      <c r="E67" s="65"/>
      <c r="F67" s="227"/>
      <c r="G67" s="65" t="e">
        <f t="shared" si="50"/>
        <v>#N/A</v>
      </c>
      <c r="H67" s="65"/>
      <c r="I67" s="65"/>
      <c r="J67" s="65"/>
      <c r="K67" s="176">
        <f t="shared" si="51"/>
        <v>0</v>
      </c>
      <c r="L67" s="177">
        <f t="shared" si="52"/>
        <v>0</v>
      </c>
      <c r="M67" s="209">
        <f t="shared" si="53"/>
        <v>0</v>
      </c>
      <c r="N67" s="211" t="e">
        <f t="shared" si="54"/>
        <v>#DIV/0!</v>
      </c>
      <c r="O67" s="211" t="e">
        <f t="shared" si="55"/>
        <v>#DIV/0!</v>
      </c>
      <c r="P67" s="176">
        <f t="shared" si="56"/>
        <v>0</v>
      </c>
      <c r="Q67" s="212">
        <f t="shared" si="57"/>
        <v>0</v>
      </c>
      <c r="R67" s="249"/>
      <c r="S67" s="34"/>
      <c r="T67" s="34"/>
      <c r="U67" s="249"/>
      <c r="V67" s="249"/>
      <c r="Y67" s="176">
        <f t="shared" si="58"/>
        <v>0</v>
      </c>
      <c r="Z67" s="210" t="e">
        <f t="shared" si="59"/>
        <v>#DIV/0!</v>
      </c>
      <c r="AA67" s="210" t="e">
        <f t="shared" si="60"/>
        <v>#DIV/0!</v>
      </c>
    </row>
    <row r="68" spans="1:27" x14ac:dyDescent="0.25">
      <c r="A68" s="220"/>
      <c r="B68" s="221"/>
      <c r="C68" s="109"/>
      <c r="D68" s="277"/>
      <c r="E68" s="65"/>
      <c r="F68" s="227"/>
      <c r="G68" s="65" t="e">
        <f t="shared" si="50"/>
        <v>#N/A</v>
      </c>
      <c r="H68" s="65"/>
      <c r="I68" s="65"/>
      <c r="J68" s="65"/>
      <c r="K68" s="176">
        <f t="shared" si="51"/>
        <v>0</v>
      </c>
      <c r="L68" s="177">
        <f t="shared" si="52"/>
        <v>0</v>
      </c>
      <c r="M68" s="209">
        <f t="shared" si="53"/>
        <v>0</v>
      </c>
      <c r="N68" s="211" t="e">
        <f t="shared" si="54"/>
        <v>#DIV/0!</v>
      </c>
      <c r="O68" s="211" t="e">
        <f t="shared" si="55"/>
        <v>#DIV/0!</v>
      </c>
      <c r="P68" s="176">
        <f t="shared" si="56"/>
        <v>0</v>
      </c>
      <c r="Q68" s="212">
        <f t="shared" si="57"/>
        <v>0</v>
      </c>
      <c r="R68" s="249"/>
      <c r="S68" s="34"/>
      <c r="T68" s="34"/>
      <c r="U68" s="249"/>
      <c r="V68" s="249"/>
      <c r="Y68" s="176">
        <f t="shared" si="58"/>
        <v>0</v>
      </c>
      <c r="Z68" s="210" t="e">
        <f t="shared" si="59"/>
        <v>#DIV/0!</v>
      </c>
      <c r="AA68" s="210" t="e">
        <f t="shared" si="60"/>
        <v>#DIV/0!</v>
      </c>
    </row>
    <row r="69" spans="1:27" x14ac:dyDescent="0.25">
      <c r="A69" s="220"/>
      <c r="B69" s="221"/>
      <c r="C69" s="109"/>
      <c r="D69" s="277"/>
      <c r="E69" s="65"/>
      <c r="F69" s="227"/>
      <c r="G69" s="65" t="e">
        <f t="shared" si="50"/>
        <v>#N/A</v>
      </c>
      <c r="H69" s="65"/>
      <c r="I69" s="65"/>
      <c r="J69" s="65"/>
      <c r="K69" s="176">
        <f t="shared" si="51"/>
        <v>0</v>
      </c>
      <c r="L69" s="177">
        <f t="shared" si="52"/>
        <v>0</v>
      </c>
      <c r="M69" s="209">
        <f t="shared" si="53"/>
        <v>0</v>
      </c>
      <c r="N69" s="211" t="e">
        <f t="shared" si="54"/>
        <v>#DIV/0!</v>
      </c>
      <c r="O69" s="211" t="e">
        <f t="shared" si="55"/>
        <v>#DIV/0!</v>
      </c>
      <c r="P69" s="176">
        <f t="shared" si="56"/>
        <v>0</v>
      </c>
      <c r="Q69" s="212">
        <f t="shared" si="57"/>
        <v>0</v>
      </c>
      <c r="R69" s="249"/>
      <c r="S69" s="34"/>
      <c r="T69" s="34"/>
      <c r="U69" s="249"/>
      <c r="V69" s="249"/>
      <c r="Y69" s="176">
        <f t="shared" si="58"/>
        <v>0</v>
      </c>
      <c r="Z69" s="210" t="e">
        <f t="shared" si="59"/>
        <v>#DIV/0!</v>
      </c>
      <c r="AA69" s="210" t="e">
        <f t="shared" si="60"/>
        <v>#DIV/0!</v>
      </c>
    </row>
    <row r="70" spans="1:27" x14ac:dyDescent="0.25">
      <c r="A70" s="220"/>
      <c r="B70" s="221"/>
      <c r="C70" s="109"/>
      <c r="D70" s="277"/>
      <c r="E70" s="65"/>
      <c r="F70" s="227"/>
      <c r="G70" s="65" t="e">
        <f t="shared" si="50"/>
        <v>#N/A</v>
      </c>
      <c r="H70" s="65"/>
      <c r="I70" s="65"/>
      <c r="J70" s="65"/>
      <c r="K70" s="176">
        <f t="shared" si="51"/>
        <v>0</v>
      </c>
      <c r="L70" s="177">
        <f t="shared" si="52"/>
        <v>0</v>
      </c>
      <c r="M70" s="209">
        <f t="shared" si="53"/>
        <v>0</v>
      </c>
      <c r="N70" s="211" t="e">
        <f t="shared" si="54"/>
        <v>#DIV/0!</v>
      </c>
      <c r="O70" s="211" t="e">
        <f t="shared" si="55"/>
        <v>#DIV/0!</v>
      </c>
      <c r="P70" s="176">
        <f t="shared" si="56"/>
        <v>0</v>
      </c>
      <c r="Q70" s="212">
        <f t="shared" si="57"/>
        <v>0</v>
      </c>
      <c r="R70" s="249"/>
      <c r="S70" s="34"/>
      <c r="T70" s="34"/>
      <c r="U70" s="249"/>
      <c r="V70" s="249"/>
      <c r="Y70" s="176">
        <f t="shared" si="58"/>
        <v>0</v>
      </c>
      <c r="Z70" s="210" t="e">
        <f t="shared" si="59"/>
        <v>#DIV/0!</v>
      </c>
      <c r="AA70" s="210" t="e">
        <f t="shared" si="60"/>
        <v>#DIV/0!</v>
      </c>
    </row>
    <row r="71" spans="1:27" x14ac:dyDescent="0.25">
      <c r="A71" s="220"/>
      <c r="B71" s="221"/>
      <c r="C71" s="109"/>
      <c r="D71" s="277"/>
      <c r="E71" s="65"/>
      <c r="F71" s="227"/>
      <c r="G71" s="65" t="e">
        <f t="shared" si="50"/>
        <v>#N/A</v>
      </c>
      <c r="H71" s="65"/>
      <c r="I71" s="65"/>
      <c r="J71" s="65"/>
      <c r="K71" s="176">
        <f t="shared" si="51"/>
        <v>0</v>
      </c>
      <c r="L71" s="177">
        <f t="shared" si="52"/>
        <v>0</v>
      </c>
      <c r="M71" s="209">
        <f t="shared" si="53"/>
        <v>0</v>
      </c>
      <c r="N71" s="211" t="e">
        <f t="shared" si="54"/>
        <v>#DIV/0!</v>
      </c>
      <c r="O71" s="211" t="e">
        <f t="shared" si="55"/>
        <v>#DIV/0!</v>
      </c>
      <c r="P71" s="176">
        <f t="shared" si="56"/>
        <v>0</v>
      </c>
      <c r="Q71" s="212">
        <f t="shared" si="57"/>
        <v>0</v>
      </c>
      <c r="R71" s="249"/>
      <c r="S71" s="34"/>
      <c r="T71" s="34"/>
      <c r="U71" s="249"/>
      <c r="V71" s="249"/>
      <c r="Y71" s="176">
        <f t="shared" si="58"/>
        <v>0</v>
      </c>
      <c r="Z71" s="210" t="e">
        <f t="shared" si="59"/>
        <v>#DIV/0!</v>
      </c>
      <c r="AA71" s="210" t="e">
        <f t="shared" si="60"/>
        <v>#DIV/0!</v>
      </c>
    </row>
    <row r="72" spans="1:27" x14ac:dyDescent="0.25">
      <c r="A72" s="220"/>
      <c r="B72" s="221"/>
      <c r="C72" s="109"/>
      <c r="D72" s="277"/>
      <c r="E72" s="65"/>
      <c r="F72" s="227"/>
      <c r="G72" s="65" t="e">
        <f t="shared" si="50"/>
        <v>#N/A</v>
      </c>
      <c r="H72" s="65"/>
      <c r="I72" s="65"/>
      <c r="J72" s="65"/>
      <c r="K72" s="176">
        <f t="shared" si="51"/>
        <v>0</v>
      </c>
      <c r="L72" s="177">
        <f t="shared" si="52"/>
        <v>0</v>
      </c>
      <c r="M72" s="209">
        <f t="shared" si="53"/>
        <v>0</v>
      </c>
      <c r="N72" s="211" t="e">
        <f t="shared" si="54"/>
        <v>#DIV/0!</v>
      </c>
      <c r="O72" s="211" t="e">
        <f t="shared" si="55"/>
        <v>#DIV/0!</v>
      </c>
      <c r="P72" s="176">
        <f t="shared" si="56"/>
        <v>0</v>
      </c>
      <c r="Q72" s="212">
        <f t="shared" si="57"/>
        <v>0</v>
      </c>
      <c r="R72" s="249"/>
      <c r="S72" s="34"/>
      <c r="T72" s="34"/>
      <c r="U72" s="249"/>
      <c r="V72" s="249"/>
      <c r="Y72" s="176">
        <f t="shared" si="58"/>
        <v>0</v>
      </c>
      <c r="Z72" s="210" t="e">
        <f t="shared" si="59"/>
        <v>#DIV/0!</v>
      </c>
      <c r="AA72" s="210" t="e">
        <f t="shared" si="60"/>
        <v>#DIV/0!</v>
      </c>
    </row>
    <row r="73" spans="1:27" x14ac:dyDescent="0.25">
      <c r="A73" s="220"/>
      <c r="B73" s="221"/>
      <c r="C73" s="109"/>
      <c r="D73" s="277"/>
      <c r="E73" s="65"/>
      <c r="F73" s="227"/>
      <c r="G73" s="65" t="e">
        <f t="shared" si="50"/>
        <v>#N/A</v>
      </c>
      <c r="H73" s="65"/>
      <c r="I73" s="65"/>
      <c r="J73" s="65"/>
      <c r="K73" s="176">
        <f t="shared" si="51"/>
        <v>0</v>
      </c>
      <c r="L73" s="177">
        <f t="shared" si="52"/>
        <v>0</v>
      </c>
      <c r="M73" s="209">
        <f t="shared" si="53"/>
        <v>0</v>
      </c>
      <c r="N73" s="211" t="e">
        <f t="shared" si="54"/>
        <v>#DIV/0!</v>
      </c>
      <c r="O73" s="211" t="e">
        <f t="shared" si="55"/>
        <v>#DIV/0!</v>
      </c>
      <c r="P73" s="176">
        <f t="shared" si="56"/>
        <v>0</v>
      </c>
      <c r="Q73" s="212">
        <f t="shared" si="57"/>
        <v>0</v>
      </c>
      <c r="R73" s="249"/>
      <c r="S73" s="34"/>
      <c r="T73" s="34"/>
      <c r="U73" s="249"/>
      <c r="V73" s="249"/>
      <c r="Y73" s="176">
        <f t="shared" si="58"/>
        <v>0</v>
      </c>
      <c r="Z73" s="210" t="e">
        <f t="shared" si="59"/>
        <v>#DIV/0!</v>
      </c>
      <c r="AA73" s="210" t="e">
        <f t="shared" si="60"/>
        <v>#DIV/0!</v>
      </c>
    </row>
    <row r="74" spans="1:27" x14ac:dyDescent="0.25">
      <c r="A74" s="220"/>
      <c r="B74" s="221"/>
      <c r="C74" s="109"/>
      <c r="D74" s="277"/>
      <c r="E74" s="65"/>
      <c r="F74" s="227"/>
      <c r="G74" s="65" t="e">
        <f t="shared" si="50"/>
        <v>#N/A</v>
      </c>
      <c r="H74" s="65"/>
      <c r="I74" s="65"/>
      <c r="J74" s="65"/>
      <c r="K74" s="176">
        <f t="shared" si="51"/>
        <v>0</v>
      </c>
      <c r="L74" s="177">
        <f t="shared" si="52"/>
        <v>0</v>
      </c>
      <c r="M74" s="209">
        <f t="shared" si="53"/>
        <v>0</v>
      </c>
      <c r="N74" s="211" t="e">
        <f t="shared" si="54"/>
        <v>#DIV/0!</v>
      </c>
      <c r="O74" s="211" t="e">
        <f t="shared" si="55"/>
        <v>#DIV/0!</v>
      </c>
      <c r="P74" s="176">
        <f t="shared" si="56"/>
        <v>0</v>
      </c>
      <c r="Q74" s="212">
        <f t="shared" si="57"/>
        <v>0</v>
      </c>
      <c r="R74" s="249"/>
      <c r="S74" s="34"/>
      <c r="T74" s="34"/>
      <c r="U74" s="249"/>
      <c r="V74" s="249"/>
      <c r="Y74" s="176">
        <f t="shared" si="58"/>
        <v>0</v>
      </c>
      <c r="Z74" s="210" t="e">
        <f t="shared" si="59"/>
        <v>#DIV/0!</v>
      </c>
      <c r="AA74" s="210" t="e">
        <f t="shared" si="60"/>
        <v>#DIV/0!</v>
      </c>
    </row>
    <row r="75" spans="1:27" x14ac:dyDescent="0.25">
      <c r="A75" s="220"/>
      <c r="B75" s="221"/>
      <c r="C75" s="109"/>
      <c r="D75" s="277"/>
      <c r="E75" s="65"/>
      <c r="F75" s="227"/>
      <c r="G75" s="65" t="e">
        <f t="shared" si="50"/>
        <v>#N/A</v>
      </c>
      <c r="H75" s="65"/>
      <c r="I75" s="65"/>
      <c r="J75" s="65"/>
      <c r="K75" s="176">
        <f t="shared" si="51"/>
        <v>0</v>
      </c>
      <c r="L75" s="177">
        <f t="shared" si="52"/>
        <v>0</v>
      </c>
      <c r="M75" s="209">
        <f t="shared" si="53"/>
        <v>0</v>
      </c>
      <c r="N75" s="211" t="e">
        <f t="shared" si="54"/>
        <v>#DIV/0!</v>
      </c>
      <c r="O75" s="211" t="e">
        <f t="shared" si="55"/>
        <v>#DIV/0!</v>
      </c>
      <c r="P75" s="176">
        <f t="shared" si="56"/>
        <v>0</v>
      </c>
      <c r="Q75" s="212">
        <f t="shared" si="57"/>
        <v>0</v>
      </c>
      <c r="R75" s="249"/>
      <c r="S75" s="34"/>
      <c r="T75" s="34"/>
      <c r="U75" s="249"/>
      <c r="V75" s="249"/>
      <c r="Y75" s="176">
        <f t="shared" si="58"/>
        <v>0</v>
      </c>
      <c r="Z75" s="210" t="e">
        <f t="shared" si="59"/>
        <v>#DIV/0!</v>
      </c>
      <c r="AA75" s="210" t="e">
        <f t="shared" si="60"/>
        <v>#DIV/0!</v>
      </c>
    </row>
    <row r="76" spans="1:27" x14ac:dyDescent="0.25">
      <c r="A76" s="220"/>
      <c r="B76" s="221"/>
      <c r="C76" s="109"/>
      <c r="D76" s="277"/>
      <c r="E76" s="65"/>
      <c r="F76" s="227"/>
      <c r="G76" s="65" t="e">
        <f t="shared" si="50"/>
        <v>#N/A</v>
      </c>
      <c r="H76" s="65"/>
      <c r="I76" s="65"/>
      <c r="J76" s="65"/>
      <c r="K76" s="176">
        <f t="shared" si="51"/>
        <v>0</v>
      </c>
      <c r="L76" s="177">
        <f t="shared" si="52"/>
        <v>0</v>
      </c>
      <c r="M76" s="209">
        <f t="shared" si="53"/>
        <v>0</v>
      </c>
      <c r="N76" s="211" t="e">
        <f t="shared" si="54"/>
        <v>#DIV/0!</v>
      </c>
      <c r="O76" s="211" t="e">
        <f t="shared" si="55"/>
        <v>#DIV/0!</v>
      </c>
      <c r="P76" s="176">
        <f t="shared" si="56"/>
        <v>0</v>
      </c>
      <c r="Q76" s="212">
        <f t="shared" si="57"/>
        <v>0</v>
      </c>
      <c r="R76" s="249"/>
      <c r="S76" s="34"/>
      <c r="T76" s="34"/>
      <c r="U76" s="249"/>
      <c r="V76" s="249"/>
      <c r="Y76" s="176">
        <f t="shared" si="58"/>
        <v>0</v>
      </c>
      <c r="Z76" s="210" t="e">
        <f t="shared" si="59"/>
        <v>#DIV/0!</v>
      </c>
      <c r="AA76" s="210" t="e">
        <f t="shared" si="60"/>
        <v>#DIV/0!</v>
      </c>
    </row>
    <row r="77" spans="1:27" x14ac:dyDescent="0.25">
      <c r="A77" s="220"/>
      <c r="B77" s="221"/>
      <c r="C77" s="109"/>
      <c r="D77" s="277"/>
      <c r="E77" s="65"/>
      <c r="F77" s="227"/>
      <c r="G77" s="65" t="e">
        <f t="shared" si="50"/>
        <v>#N/A</v>
      </c>
      <c r="H77" s="65"/>
      <c r="I77" s="65"/>
      <c r="J77" s="65"/>
      <c r="K77" s="176">
        <f t="shared" si="51"/>
        <v>0</v>
      </c>
      <c r="L77" s="177">
        <f t="shared" si="52"/>
        <v>0</v>
      </c>
      <c r="M77" s="209">
        <f t="shared" si="53"/>
        <v>0</v>
      </c>
      <c r="N77" s="211" t="e">
        <f t="shared" si="54"/>
        <v>#DIV/0!</v>
      </c>
      <c r="O77" s="211" t="e">
        <f t="shared" si="55"/>
        <v>#DIV/0!</v>
      </c>
      <c r="P77" s="176">
        <f t="shared" si="56"/>
        <v>0</v>
      </c>
      <c r="Q77" s="212">
        <f t="shared" si="57"/>
        <v>0</v>
      </c>
      <c r="R77" s="249"/>
      <c r="S77" s="34"/>
      <c r="T77" s="34"/>
      <c r="U77" s="249"/>
      <c r="V77" s="249"/>
      <c r="Y77" s="176">
        <f t="shared" si="58"/>
        <v>0</v>
      </c>
      <c r="Z77" s="210" t="e">
        <f t="shared" si="59"/>
        <v>#DIV/0!</v>
      </c>
      <c r="AA77" s="210" t="e">
        <f t="shared" si="60"/>
        <v>#DIV/0!</v>
      </c>
    </row>
    <row r="78" spans="1:27" x14ac:dyDescent="0.25">
      <c r="A78" s="220"/>
      <c r="B78" s="221"/>
      <c r="C78" s="109"/>
      <c r="D78" s="277"/>
      <c r="E78" s="65"/>
      <c r="F78" s="227"/>
      <c r="G78" s="65" t="e">
        <f t="shared" si="50"/>
        <v>#N/A</v>
      </c>
      <c r="H78" s="65"/>
      <c r="I78" s="65"/>
      <c r="J78" s="65"/>
      <c r="K78" s="176">
        <f t="shared" si="51"/>
        <v>0</v>
      </c>
      <c r="L78" s="177">
        <f t="shared" si="52"/>
        <v>0</v>
      </c>
      <c r="M78" s="209">
        <f t="shared" si="53"/>
        <v>0</v>
      </c>
      <c r="N78" s="211" t="e">
        <f t="shared" si="54"/>
        <v>#DIV/0!</v>
      </c>
      <c r="O78" s="211" t="e">
        <f t="shared" si="55"/>
        <v>#DIV/0!</v>
      </c>
      <c r="P78" s="176">
        <f t="shared" si="56"/>
        <v>0</v>
      </c>
      <c r="Q78" s="212">
        <f t="shared" si="57"/>
        <v>0</v>
      </c>
      <c r="R78" s="249"/>
      <c r="S78" s="34"/>
      <c r="T78" s="34"/>
      <c r="U78" s="249"/>
      <c r="V78" s="249"/>
      <c r="Y78" s="176">
        <f t="shared" si="58"/>
        <v>0</v>
      </c>
      <c r="Z78" s="210" t="e">
        <f t="shared" si="59"/>
        <v>#DIV/0!</v>
      </c>
      <c r="AA78" s="210" t="e">
        <f t="shared" si="60"/>
        <v>#DIV/0!</v>
      </c>
    </row>
    <row r="79" spans="1:27" x14ac:dyDescent="0.25">
      <c r="A79" s="220"/>
      <c r="B79" s="221"/>
      <c r="C79" s="109"/>
      <c r="D79" s="277"/>
      <c r="E79" s="65"/>
      <c r="F79" s="227"/>
      <c r="G79" s="65" t="e">
        <f t="shared" si="50"/>
        <v>#N/A</v>
      </c>
      <c r="H79" s="65"/>
      <c r="I79" s="65"/>
      <c r="J79" s="65"/>
      <c r="K79" s="176">
        <f t="shared" si="51"/>
        <v>0</v>
      </c>
      <c r="L79" s="177">
        <f t="shared" si="52"/>
        <v>0</v>
      </c>
      <c r="M79" s="209">
        <f t="shared" si="53"/>
        <v>0</v>
      </c>
      <c r="N79" s="211" t="e">
        <f t="shared" si="54"/>
        <v>#DIV/0!</v>
      </c>
      <c r="O79" s="211" t="e">
        <f t="shared" si="55"/>
        <v>#DIV/0!</v>
      </c>
      <c r="P79" s="176">
        <f t="shared" si="56"/>
        <v>0</v>
      </c>
      <c r="Q79" s="212">
        <f t="shared" si="57"/>
        <v>0</v>
      </c>
      <c r="R79" s="249"/>
      <c r="S79" s="34"/>
      <c r="T79" s="34"/>
      <c r="U79" s="249"/>
      <c r="V79" s="249"/>
      <c r="Y79" s="176">
        <f t="shared" si="58"/>
        <v>0</v>
      </c>
      <c r="Z79" s="210" t="e">
        <f t="shared" si="59"/>
        <v>#DIV/0!</v>
      </c>
      <c r="AA79" s="210" t="e">
        <f t="shared" si="60"/>
        <v>#DIV/0!</v>
      </c>
    </row>
    <row r="80" spans="1:27" x14ac:dyDescent="0.25">
      <c r="A80" s="220"/>
      <c r="B80" s="221"/>
      <c r="C80" s="109"/>
      <c r="D80" s="277"/>
      <c r="E80" s="65"/>
      <c r="F80" s="227"/>
      <c r="G80" s="65" t="e">
        <f t="shared" si="50"/>
        <v>#N/A</v>
      </c>
      <c r="H80" s="65"/>
      <c r="I80" s="65"/>
      <c r="J80" s="65"/>
      <c r="K80" s="176">
        <f t="shared" si="51"/>
        <v>0</v>
      </c>
      <c r="L80" s="177">
        <f t="shared" si="52"/>
        <v>0</v>
      </c>
      <c r="M80" s="209">
        <f t="shared" si="53"/>
        <v>0</v>
      </c>
      <c r="N80" s="211" t="e">
        <f t="shared" si="54"/>
        <v>#DIV/0!</v>
      </c>
      <c r="O80" s="211" t="e">
        <f t="shared" si="55"/>
        <v>#DIV/0!</v>
      </c>
      <c r="P80" s="176">
        <f t="shared" si="56"/>
        <v>0</v>
      </c>
      <c r="Q80" s="212">
        <f t="shared" si="57"/>
        <v>0</v>
      </c>
      <c r="R80" s="249"/>
      <c r="S80" s="34"/>
      <c r="T80" s="34"/>
      <c r="U80" s="249"/>
      <c r="V80" s="249"/>
      <c r="Y80" s="176">
        <f t="shared" si="58"/>
        <v>0</v>
      </c>
      <c r="Z80" s="210" t="e">
        <f t="shared" si="59"/>
        <v>#DIV/0!</v>
      </c>
      <c r="AA80" s="210" t="e">
        <f t="shared" si="60"/>
        <v>#DIV/0!</v>
      </c>
    </row>
    <row r="81" spans="1:27" x14ac:dyDescent="0.25">
      <c r="A81" s="220"/>
      <c r="B81" s="221"/>
      <c r="C81" s="109"/>
      <c r="D81" s="277"/>
      <c r="E81" s="65"/>
      <c r="F81" s="227"/>
      <c r="G81" s="65" t="e">
        <f t="shared" si="50"/>
        <v>#N/A</v>
      </c>
      <c r="H81" s="65"/>
      <c r="I81" s="65"/>
      <c r="J81" s="65"/>
      <c r="K81" s="176">
        <f t="shared" si="51"/>
        <v>0</v>
      </c>
      <c r="L81" s="177">
        <f t="shared" si="52"/>
        <v>0</v>
      </c>
      <c r="M81" s="209">
        <f t="shared" si="53"/>
        <v>0</v>
      </c>
      <c r="N81" s="211" t="e">
        <f t="shared" si="54"/>
        <v>#DIV/0!</v>
      </c>
      <c r="O81" s="211" t="e">
        <f t="shared" si="55"/>
        <v>#DIV/0!</v>
      </c>
      <c r="P81" s="176">
        <f t="shared" si="56"/>
        <v>0</v>
      </c>
      <c r="Q81" s="212">
        <f t="shared" si="57"/>
        <v>0</v>
      </c>
      <c r="R81" s="249"/>
      <c r="S81" s="34"/>
      <c r="T81" s="34"/>
      <c r="U81" s="249"/>
      <c r="V81" s="249"/>
      <c r="Y81" s="176">
        <f t="shared" si="58"/>
        <v>0</v>
      </c>
      <c r="Z81" s="210" t="e">
        <f t="shared" si="59"/>
        <v>#DIV/0!</v>
      </c>
      <c r="AA81" s="210" t="e">
        <f t="shared" si="60"/>
        <v>#DIV/0!</v>
      </c>
    </row>
    <row r="82" spans="1:27" x14ac:dyDescent="0.25">
      <c r="A82" s="220"/>
      <c r="B82" s="221"/>
      <c r="C82" s="109"/>
      <c r="D82" s="277"/>
      <c r="E82" s="65"/>
      <c r="F82" s="227"/>
      <c r="G82" s="65" t="e">
        <f t="shared" si="50"/>
        <v>#N/A</v>
      </c>
      <c r="H82" s="65"/>
      <c r="I82" s="65"/>
      <c r="J82" s="65"/>
      <c r="K82" s="176">
        <f t="shared" si="51"/>
        <v>0</v>
      </c>
      <c r="L82" s="177">
        <f t="shared" si="52"/>
        <v>0</v>
      </c>
      <c r="M82" s="209">
        <f t="shared" si="53"/>
        <v>0</v>
      </c>
      <c r="N82" s="211" t="e">
        <f t="shared" si="54"/>
        <v>#DIV/0!</v>
      </c>
      <c r="O82" s="211" t="e">
        <f t="shared" si="55"/>
        <v>#DIV/0!</v>
      </c>
      <c r="P82" s="176">
        <f t="shared" si="56"/>
        <v>0</v>
      </c>
      <c r="Q82" s="212">
        <f t="shared" si="57"/>
        <v>0</v>
      </c>
      <c r="R82" s="249"/>
      <c r="S82" s="34"/>
      <c r="T82" s="34"/>
      <c r="U82" s="249"/>
      <c r="V82" s="249"/>
      <c r="Y82" s="176">
        <f t="shared" si="58"/>
        <v>0</v>
      </c>
      <c r="Z82" s="210" t="e">
        <f t="shared" si="59"/>
        <v>#DIV/0!</v>
      </c>
      <c r="AA82" s="210" t="e">
        <f t="shared" si="60"/>
        <v>#DIV/0!</v>
      </c>
    </row>
    <row r="83" spans="1:27" x14ac:dyDescent="0.25">
      <c r="A83" s="220"/>
      <c r="B83" s="221"/>
      <c r="C83" s="109"/>
      <c r="D83" s="277"/>
      <c r="E83" s="65"/>
      <c r="F83" s="227"/>
      <c r="G83" s="65" t="e">
        <f t="shared" si="50"/>
        <v>#N/A</v>
      </c>
      <c r="H83" s="65"/>
      <c r="I83" s="65"/>
      <c r="J83" s="65"/>
      <c r="K83" s="176">
        <f t="shared" si="51"/>
        <v>0</v>
      </c>
      <c r="L83" s="177">
        <f t="shared" si="52"/>
        <v>0</v>
      </c>
      <c r="M83" s="209">
        <f t="shared" si="53"/>
        <v>0</v>
      </c>
      <c r="N83" s="211" t="e">
        <f t="shared" si="54"/>
        <v>#DIV/0!</v>
      </c>
      <c r="O83" s="211" t="e">
        <f t="shared" si="55"/>
        <v>#DIV/0!</v>
      </c>
      <c r="P83" s="176">
        <f t="shared" si="56"/>
        <v>0</v>
      </c>
      <c r="Q83" s="212">
        <f t="shared" si="57"/>
        <v>0</v>
      </c>
      <c r="R83" s="249"/>
      <c r="S83" s="34"/>
      <c r="T83" s="34"/>
      <c r="U83" s="249"/>
      <c r="V83" s="249"/>
      <c r="Y83" s="176">
        <f t="shared" si="58"/>
        <v>0</v>
      </c>
      <c r="Z83" s="210" t="e">
        <f t="shared" si="59"/>
        <v>#DIV/0!</v>
      </c>
      <c r="AA83" s="210" t="e">
        <f t="shared" si="60"/>
        <v>#DIV/0!</v>
      </c>
    </row>
    <row r="84" spans="1:27" x14ac:dyDescent="0.25">
      <c r="A84" s="220"/>
      <c r="B84" s="221"/>
      <c r="C84" s="109"/>
      <c r="D84" s="277"/>
      <c r="E84" s="65"/>
      <c r="F84" s="227"/>
      <c r="G84" s="65" t="e">
        <f t="shared" si="50"/>
        <v>#N/A</v>
      </c>
      <c r="H84" s="65"/>
      <c r="I84" s="65"/>
      <c r="J84" s="65"/>
      <c r="K84" s="176">
        <f t="shared" si="51"/>
        <v>0</v>
      </c>
      <c r="L84" s="177">
        <f t="shared" si="52"/>
        <v>0</v>
      </c>
      <c r="M84" s="209">
        <f t="shared" si="53"/>
        <v>0</v>
      </c>
      <c r="N84" s="211" t="e">
        <f t="shared" si="54"/>
        <v>#DIV/0!</v>
      </c>
      <c r="O84" s="211" t="e">
        <f t="shared" si="55"/>
        <v>#DIV/0!</v>
      </c>
      <c r="P84" s="176">
        <f t="shared" si="56"/>
        <v>0</v>
      </c>
      <c r="Q84" s="212">
        <f t="shared" si="57"/>
        <v>0</v>
      </c>
      <c r="R84" s="249"/>
      <c r="S84" s="34"/>
      <c r="T84" s="34"/>
      <c r="U84" s="249"/>
      <c r="V84" s="249"/>
      <c r="Y84" s="176">
        <f t="shared" si="58"/>
        <v>0</v>
      </c>
      <c r="Z84" s="210" t="e">
        <f t="shared" si="59"/>
        <v>#DIV/0!</v>
      </c>
      <c r="AA84" s="210" t="e">
        <f t="shared" si="60"/>
        <v>#DIV/0!</v>
      </c>
    </row>
    <row r="85" spans="1:27" x14ac:dyDescent="0.25">
      <c r="A85" s="220"/>
      <c r="B85" s="221"/>
      <c r="C85" s="109"/>
      <c r="D85" s="277"/>
      <c r="E85" s="65"/>
      <c r="F85" s="227"/>
      <c r="G85" s="65" t="e">
        <f t="shared" si="50"/>
        <v>#N/A</v>
      </c>
      <c r="H85" s="65"/>
      <c r="I85" s="65"/>
      <c r="J85" s="65"/>
      <c r="K85" s="176">
        <f t="shared" si="51"/>
        <v>0</v>
      </c>
      <c r="L85" s="177">
        <f t="shared" si="52"/>
        <v>0</v>
      </c>
      <c r="M85" s="209">
        <f t="shared" si="53"/>
        <v>0</v>
      </c>
      <c r="N85" s="211" t="e">
        <f t="shared" si="54"/>
        <v>#DIV/0!</v>
      </c>
      <c r="O85" s="211" t="e">
        <f t="shared" si="55"/>
        <v>#DIV/0!</v>
      </c>
      <c r="P85" s="176">
        <f t="shared" si="56"/>
        <v>0</v>
      </c>
      <c r="Q85" s="212">
        <f t="shared" si="57"/>
        <v>0</v>
      </c>
      <c r="R85" s="249"/>
      <c r="S85" s="34"/>
      <c r="T85" s="34"/>
      <c r="U85" s="249"/>
      <c r="V85" s="249"/>
      <c r="Y85" s="176">
        <f t="shared" si="58"/>
        <v>0</v>
      </c>
      <c r="Z85" s="210" t="e">
        <f t="shared" si="59"/>
        <v>#DIV/0!</v>
      </c>
      <c r="AA85" s="210" t="e">
        <f t="shared" si="60"/>
        <v>#DIV/0!</v>
      </c>
    </row>
    <row r="86" spans="1:27" x14ac:dyDescent="0.25">
      <c r="A86" s="220"/>
      <c r="B86" s="221"/>
      <c r="C86" s="109"/>
      <c r="D86" s="277"/>
      <c r="E86" s="65"/>
      <c r="F86" s="227"/>
      <c r="G86" s="65" t="e">
        <f t="shared" si="50"/>
        <v>#N/A</v>
      </c>
      <c r="H86" s="65"/>
      <c r="I86" s="65"/>
      <c r="J86" s="65"/>
      <c r="K86" s="176">
        <f t="shared" si="51"/>
        <v>0</v>
      </c>
      <c r="L86" s="177">
        <f t="shared" si="52"/>
        <v>0</v>
      </c>
      <c r="M86" s="209">
        <f t="shared" si="53"/>
        <v>0</v>
      </c>
      <c r="N86" s="211" t="e">
        <f t="shared" si="54"/>
        <v>#DIV/0!</v>
      </c>
      <c r="O86" s="211" t="e">
        <f t="shared" si="55"/>
        <v>#DIV/0!</v>
      </c>
      <c r="P86" s="176">
        <f t="shared" si="56"/>
        <v>0</v>
      </c>
      <c r="Q86" s="212">
        <f t="shared" si="57"/>
        <v>0</v>
      </c>
      <c r="R86" s="249"/>
      <c r="S86" s="34"/>
      <c r="T86" s="34"/>
      <c r="U86" s="249"/>
      <c r="V86" s="249"/>
      <c r="Y86" s="176">
        <f t="shared" si="58"/>
        <v>0</v>
      </c>
      <c r="Z86" s="210" t="e">
        <f t="shared" si="59"/>
        <v>#DIV/0!</v>
      </c>
      <c r="AA86" s="210" t="e">
        <f t="shared" si="60"/>
        <v>#DIV/0!</v>
      </c>
    </row>
    <row r="87" spans="1:27" x14ac:dyDescent="0.25">
      <c r="A87" s="220"/>
      <c r="B87" s="221"/>
      <c r="C87" s="109"/>
      <c r="D87" s="277"/>
      <c r="E87" s="65"/>
      <c r="F87" s="227"/>
      <c r="G87" s="65" t="e">
        <f t="shared" si="50"/>
        <v>#N/A</v>
      </c>
      <c r="H87" s="65"/>
      <c r="I87" s="65"/>
      <c r="J87" s="65"/>
      <c r="K87" s="176">
        <f t="shared" si="51"/>
        <v>0</v>
      </c>
      <c r="L87" s="177">
        <f t="shared" si="52"/>
        <v>0</v>
      </c>
      <c r="M87" s="209">
        <f t="shared" si="53"/>
        <v>0</v>
      </c>
      <c r="N87" s="211" t="e">
        <f t="shared" si="54"/>
        <v>#DIV/0!</v>
      </c>
      <c r="O87" s="211" t="e">
        <f t="shared" si="55"/>
        <v>#DIV/0!</v>
      </c>
      <c r="P87" s="176">
        <f t="shared" si="56"/>
        <v>0</v>
      </c>
      <c r="Q87" s="212">
        <f t="shared" si="57"/>
        <v>0</v>
      </c>
      <c r="R87" s="249"/>
      <c r="S87" s="34"/>
      <c r="T87" s="34"/>
      <c r="U87" s="249"/>
      <c r="V87" s="249"/>
      <c r="Y87" s="176">
        <f t="shared" si="58"/>
        <v>0</v>
      </c>
      <c r="Z87" s="210" t="e">
        <f t="shared" si="59"/>
        <v>#DIV/0!</v>
      </c>
      <c r="AA87" s="210" t="e">
        <f t="shared" si="60"/>
        <v>#DIV/0!</v>
      </c>
    </row>
    <row r="88" spans="1:27" x14ac:dyDescent="0.25">
      <c r="A88" s="220"/>
      <c r="B88" s="221"/>
      <c r="C88" s="109"/>
      <c r="D88" s="277"/>
      <c r="E88" s="65"/>
      <c r="F88" s="227"/>
      <c r="G88" s="65" t="e">
        <f t="shared" si="50"/>
        <v>#N/A</v>
      </c>
      <c r="H88" s="65"/>
      <c r="I88" s="65"/>
      <c r="J88" s="65"/>
      <c r="K88" s="176">
        <f t="shared" si="51"/>
        <v>0</v>
      </c>
      <c r="L88" s="177">
        <f t="shared" si="52"/>
        <v>0</v>
      </c>
      <c r="M88" s="209">
        <f t="shared" si="53"/>
        <v>0</v>
      </c>
      <c r="N88" s="211" t="e">
        <f t="shared" si="54"/>
        <v>#DIV/0!</v>
      </c>
      <c r="O88" s="211" t="e">
        <f t="shared" si="55"/>
        <v>#DIV/0!</v>
      </c>
      <c r="P88" s="176">
        <f t="shared" si="56"/>
        <v>0</v>
      </c>
      <c r="Q88" s="212">
        <f t="shared" si="57"/>
        <v>0</v>
      </c>
      <c r="R88" s="249"/>
      <c r="S88" s="34"/>
      <c r="T88" s="34"/>
      <c r="U88" s="249"/>
      <c r="V88" s="249"/>
      <c r="Y88" s="176">
        <f t="shared" si="58"/>
        <v>0</v>
      </c>
      <c r="Z88" s="210" t="e">
        <f t="shared" si="59"/>
        <v>#DIV/0!</v>
      </c>
      <c r="AA88" s="210" t="e">
        <f t="shared" si="60"/>
        <v>#DIV/0!</v>
      </c>
    </row>
    <row r="89" spans="1:27" x14ac:dyDescent="0.25">
      <c r="A89" s="220"/>
      <c r="B89" s="221"/>
      <c r="C89" s="109"/>
      <c r="D89" s="277"/>
      <c r="E89" s="65"/>
      <c r="F89" s="227"/>
      <c r="G89" s="65" t="e">
        <f t="shared" si="50"/>
        <v>#N/A</v>
      </c>
      <c r="H89" s="65"/>
      <c r="I89" s="65"/>
      <c r="J89" s="65"/>
      <c r="K89" s="176">
        <f t="shared" si="51"/>
        <v>0</v>
      </c>
      <c r="L89" s="177">
        <f t="shared" si="52"/>
        <v>0</v>
      </c>
      <c r="M89" s="209">
        <f t="shared" si="53"/>
        <v>0</v>
      </c>
      <c r="N89" s="211" t="e">
        <f t="shared" si="54"/>
        <v>#DIV/0!</v>
      </c>
      <c r="O89" s="211" t="e">
        <f t="shared" si="55"/>
        <v>#DIV/0!</v>
      </c>
      <c r="P89" s="176">
        <f t="shared" si="56"/>
        <v>0</v>
      </c>
      <c r="Q89" s="212">
        <f t="shared" si="57"/>
        <v>0</v>
      </c>
      <c r="R89" s="249"/>
      <c r="S89" s="34"/>
      <c r="T89" s="34"/>
      <c r="U89" s="249"/>
      <c r="V89" s="249"/>
      <c r="Y89" s="176">
        <f t="shared" si="58"/>
        <v>0</v>
      </c>
      <c r="Z89" s="210" t="e">
        <f t="shared" si="59"/>
        <v>#DIV/0!</v>
      </c>
      <c r="AA89" s="210" t="e">
        <f t="shared" si="60"/>
        <v>#DIV/0!</v>
      </c>
    </row>
    <row r="90" spans="1:27" x14ac:dyDescent="0.25">
      <c r="A90" s="220"/>
      <c r="B90" s="221"/>
      <c r="C90" s="109"/>
      <c r="D90" s="277"/>
      <c r="E90" s="65"/>
      <c r="F90" s="227"/>
      <c r="G90" s="65" t="e">
        <f t="shared" si="50"/>
        <v>#N/A</v>
      </c>
      <c r="H90" s="65"/>
      <c r="I90" s="65"/>
      <c r="J90" s="65"/>
      <c r="K90" s="176">
        <f t="shared" si="51"/>
        <v>0</v>
      </c>
      <c r="L90" s="177">
        <f t="shared" si="52"/>
        <v>0</v>
      </c>
      <c r="M90" s="209">
        <f t="shared" si="53"/>
        <v>0</v>
      </c>
      <c r="N90" s="211" t="e">
        <f t="shared" si="54"/>
        <v>#DIV/0!</v>
      </c>
      <c r="O90" s="211" t="e">
        <f t="shared" si="55"/>
        <v>#DIV/0!</v>
      </c>
      <c r="P90" s="176">
        <f t="shared" si="56"/>
        <v>0</v>
      </c>
      <c r="Q90" s="212">
        <f t="shared" si="57"/>
        <v>0</v>
      </c>
      <c r="R90" s="249"/>
      <c r="S90" s="34"/>
      <c r="T90" s="34"/>
      <c r="U90" s="249"/>
      <c r="V90" s="249"/>
      <c r="Y90" s="176">
        <f t="shared" si="58"/>
        <v>0</v>
      </c>
      <c r="Z90" s="210" t="e">
        <f t="shared" si="59"/>
        <v>#DIV/0!</v>
      </c>
      <c r="AA90" s="210" t="e">
        <f t="shared" si="60"/>
        <v>#DIV/0!</v>
      </c>
    </row>
    <row r="91" spans="1:27" x14ac:dyDescent="0.25">
      <c r="A91" s="220"/>
      <c r="B91" s="221"/>
      <c r="C91" s="109"/>
      <c r="D91" s="277"/>
      <c r="E91" s="65"/>
      <c r="F91" s="227"/>
      <c r="G91" s="65" t="e">
        <f t="shared" si="50"/>
        <v>#N/A</v>
      </c>
      <c r="H91" s="65"/>
      <c r="I91" s="65"/>
      <c r="J91" s="65"/>
      <c r="K91" s="176">
        <f t="shared" si="51"/>
        <v>0</v>
      </c>
      <c r="L91" s="177">
        <f t="shared" si="52"/>
        <v>0</v>
      </c>
      <c r="M91" s="209">
        <f t="shared" si="53"/>
        <v>0</v>
      </c>
      <c r="N91" s="211" t="e">
        <f t="shared" si="54"/>
        <v>#DIV/0!</v>
      </c>
      <c r="O91" s="211" t="e">
        <f t="shared" si="55"/>
        <v>#DIV/0!</v>
      </c>
      <c r="P91" s="176">
        <f t="shared" si="56"/>
        <v>0</v>
      </c>
      <c r="Q91" s="212">
        <f t="shared" si="57"/>
        <v>0</v>
      </c>
      <c r="R91" s="249"/>
      <c r="S91" s="34"/>
      <c r="T91" s="34"/>
      <c r="U91" s="249"/>
      <c r="V91" s="249"/>
      <c r="Y91" s="176">
        <f t="shared" si="58"/>
        <v>0</v>
      </c>
      <c r="Z91" s="210" t="e">
        <f t="shared" si="59"/>
        <v>#DIV/0!</v>
      </c>
      <c r="AA91" s="210" t="e">
        <f t="shared" si="60"/>
        <v>#DIV/0!</v>
      </c>
    </row>
    <row r="92" spans="1:27" x14ac:dyDescent="0.25">
      <c r="A92" s="220"/>
      <c r="B92" s="221"/>
      <c r="C92" s="109"/>
      <c r="D92" s="277"/>
      <c r="E92" s="65"/>
      <c r="F92" s="227"/>
      <c r="G92" s="65" t="e">
        <f t="shared" si="50"/>
        <v>#N/A</v>
      </c>
      <c r="H92" s="65"/>
      <c r="I92" s="65"/>
      <c r="J92" s="65"/>
      <c r="K92" s="176">
        <f t="shared" si="51"/>
        <v>0</v>
      </c>
      <c r="L92" s="177">
        <f t="shared" si="52"/>
        <v>0</v>
      </c>
      <c r="M92" s="209">
        <f t="shared" si="53"/>
        <v>0</v>
      </c>
      <c r="N92" s="211" t="e">
        <f t="shared" si="54"/>
        <v>#DIV/0!</v>
      </c>
      <c r="O92" s="211" t="e">
        <f t="shared" si="55"/>
        <v>#DIV/0!</v>
      </c>
      <c r="P92" s="176">
        <f t="shared" si="56"/>
        <v>0</v>
      </c>
      <c r="Q92" s="212">
        <f t="shared" si="57"/>
        <v>0</v>
      </c>
      <c r="R92" s="249"/>
      <c r="S92" s="34"/>
      <c r="T92" s="34"/>
      <c r="U92" s="249"/>
      <c r="V92" s="249"/>
      <c r="Y92" s="176">
        <f t="shared" si="58"/>
        <v>0</v>
      </c>
      <c r="Z92" s="210" t="e">
        <f t="shared" si="59"/>
        <v>#DIV/0!</v>
      </c>
      <c r="AA92" s="210" t="e">
        <f t="shared" si="60"/>
        <v>#DIV/0!</v>
      </c>
    </row>
    <row r="93" spans="1:27" x14ac:dyDescent="0.25">
      <c r="A93" s="220"/>
      <c r="B93" s="221"/>
      <c r="C93" s="109"/>
      <c r="D93" s="277"/>
      <c r="E93" s="65"/>
      <c r="F93" s="227"/>
      <c r="G93" s="65" t="e">
        <f t="shared" si="50"/>
        <v>#N/A</v>
      </c>
      <c r="H93" s="65"/>
      <c r="I93" s="65"/>
      <c r="J93" s="65"/>
      <c r="K93" s="176">
        <f t="shared" si="51"/>
        <v>0</v>
      </c>
      <c r="L93" s="177">
        <f t="shared" si="52"/>
        <v>0</v>
      </c>
      <c r="M93" s="209">
        <f t="shared" si="53"/>
        <v>0</v>
      </c>
      <c r="N93" s="211" t="e">
        <f t="shared" si="54"/>
        <v>#DIV/0!</v>
      </c>
      <c r="O93" s="211" t="e">
        <f t="shared" si="55"/>
        <v>#DIV/0!</v>
      </c>
      <c r="P93" s="176">
        <f t="shared" si="56"/>
        <v>0</v>
      </c>
      <c r="Q93" s="212">
        <f t="shared" si="57"/>
        <v>0</v>
      </c>
      <c r="R93" s="249"/>
      <c r="S93" s="34"/>
      <c r="T93" s="34"/>
      <c r="U93" s="249"/>
      <c r="V93" s="249"/>
      <c r="Y93" s="176">
        <f t="shared" si="58"/>
        <v>0</v>
      </c>
      <c r="Z93" s="210" t="e">
        <f t="shared" si="59"/>
        <v>#DIV/0!</v>
      </c>
      <c r="AA93" s="210" t="e">
        <f t="shared" si="60"/>
        <v>#DIV/0!</v>
      </c>
    </row>
    <row r="94" spans="1:27" x14ac:dyDescent="0.25">
      <c r="A94" s="220"/>
      <c r="B94" s="221"/>
      <c r="C94" s="109"/>
      <c r="D94" s="277"/>
      <c r="E94" s="65"/>
      <c r="F94" s="227"/>
      <c r="G94" s="65" t="e">
        <f t="shared" si="50"/>
        <v>#N/A</v>
      </c>
      <c r="H94" s="65"/>
      <c r="I94" s="65"/>
      <c r="J94" s="65"/>
      <c r="K94" s="176">
        <f t="shared" si="51"/>
        <v>0</v>
      </c>
      <c r="L94" s="177">
        <f t="shared" si="52"/>
        <v>0</v>
      </c>
      <c r="M94" s="209">
        <f t="shared" si="53"/>
        <v>0</v>
      </c>
      <c r="N94" s="211" t="e">
        <f t="shared" si="54"/>
        <v>#DIV/0!</v>
      </c>
      <c r="O94" s="211" t="e">
        <f t="shared" si="55"/>
        <v>#DIV/0!</v>
      </c>
      <c r="P94" s="176">
        <f t="shared" si="56"/>
        <v>0</v>
      </c>
      <c r="Q94" s="212">
        <f t="shared" si="57"/>
        <v>0</v>
      </c>
      <c r="R94" s="249"/>
      <c r="S94" s="34"/>
      <c r="T94" s="34"/>
      <c r="U94" s="249"/>
      <c r="V94" s="249"/>
      <c r="Y94" s="176">
        <f t="shared" si="58"/>
        <v>0</v>
      </c>
      <c r="Z94" s="210" t="e">
        <f t="shared" si="59"/>
        <v>#DIV/0!</v>
      </c>
      <c r="AA94" s="210" t="e">
        <f t="shared" si="60"/>
        <v>#DIV/0!</v>
      </c>
    </row>
    <row r="95" spans="1:27" x14ac:dyDescent="0.25">
      <c r="A95" s="220"/>
      <c r="B95" s="221"/>
      <c r="C95" s="109"/>
      <c r="D95" s="277"/>
      <c r="E95" s="65"/>
      <c r="F95" s="227"/>
      <c r="G95" s="65" t="e">
        <f t="shared" si="50"/>
        <v>#N/A</v>
      </c>
      <c r="H95" s="65"/>
      <c r="I95" s="65"/>
      <c r="J95" s="65"/>
      <c r="K95" s="176">
        <f t="shared" si="51"/>
        <v>0</v>
      </c>
      <c r="L95" s="177">
        <f t="shared" si="52"/>
        <v>0</v>
      </c>
      <c r="M95" s="209">
        <f t="shared" si="53"/>
        <v>0</v>
      </c>
      <c r="N95" s="211" t="e">
        <f t="shared" si="54"/>
        <v>#DIV/0!</v>
      </c>
      <c r="O95" s="211" t="e">
        <f t="shared" si="55"/>
        <v>#DIV/0!</v>
      </c>
      <c r="P95" s="176">
        <f t="shared" si="56"/>
        <v>0</v>
      </c>
      <c r="Q95" s="212">
        <f t="shared" si="57"/>
        <v>0</v>
      </c>
      <c r="R95" s="249"/>
      <c r="S95" s="34"/>
      <c r="T95" s="34"/>
      <c r="U95" s="249"/>
      <c r="V95" s="249"/>
      <c r="Y95" s="176">
        <f t="shared" si="58"/>
        <v>0</v>
      </c>
      <c r="Z95" s="210" t="e">
        <f t="shared" si="59"/>
        <v>#DIV/0!</v>
      </c>
      <c r="AA95" s="210" t="e">
        <f t="shared" si="60"/>
        <v>#DIV/0!</v>
      </c>
    </row>
    <row r="96" spans="1:27" x14ac:dyDescent="0.25">
      <c r="A96" s="220"/>
      <c r="B96" s="221"/>
      <c r="C96" s="109"/>
      <c r="D96" s="277"/>
      <c r="E96" s="65"/>
      <c r="F96" s="227"/>
      <c r="G96" s="65" t="e">
        <f t="shared" si="50"/>
        <v>#N/A</v>
      </c>
      <c r="H96" s="65"/>
      <c r="I96" s="65"/>
      <c r="J96" s="65"/>
      <c r="K96" s="176">
        <f t="shared" si="51"/>
        <v>0</v>
      </c>
      <c r="L96" s="177">
        <f t="shared" si="52"/>
        <v>0</v>
      </c>
      <c r="M96" s="209">
        <f t="shared" si="53"/>
        <v>0</v>
      </c>
      <c r="N96" s="211" t="e">
        <f t="shared" si="54"/>
        <v>#DIV/0!</v>
      </c>
      <c r="O96" s="211" t="e">
        <f t="shared" si="55"/>
        <v>#DIV/0!</v>
      </c>
      <c r="P96" s="176">
        <f t="shared" si="56"/>
        <v>0</v>
      </c>
      <c r="Q96" s="212">
        <f t="shared" si="57"/>
        <v>0</v>
      </c>
      <c r="R96" s="249"/>
      <c r="S96" s="34"/>
      <c r="T96" s="34"/>
      <c r="U96" s="249"/>
      <c r="V96" s="249"/>
      <c r="Y96" s="176">
        <f t="shared" si="58"/>
        <v>0</v>
      </c>
      <c r="Z96" s="210" t="e">
        <f t="shared" si="59"/>
        <v>#DIV/0!</v>
      </c>
      <c r="AA96" s="210" t="e">
        <f t="shared" si="60"/>
        <v>#DIV/0!</v>
      </c>
    </row>
    <row r="97" spans="1:27" x14ac:dyDescent="0.25">
      <c r="A97" s="220"/>
      <c r="B97" s="221"/>
      <c r="C97" s="109"/>
      <c r="D97" s="277"/>
      <c r="E97" s="65"/>
      <c r="F97" s="227"/>
      <c r="G97" s="65" t="e">
        <f t="shared" ref="G97:G122" si="61">VLOOKUP(F97,$AD$9:$AE$17,2,0)</f>
        <v>#N/A</v>
      </c>
      <c r="H97" s="65"/>
      <c r="I97" s="65"/>
      <c r="J97" s="65"/>
      <c r="K97" s="176">
        <f t="shared" ref="K97:K122" si="62">H97*I97%</f>
        <v>0</v>
      </c>
      <c r="L97" s="177">
        <f t="shared" ref="L97:L122" si="63">H97*J97%</f>
        <v>0</v>
      </c>
      <c r="M97" s="209">
        <f t="shared" ref="M97:M122" si="64">$R$4*H97/SUM($H$4:$H$7)</f>
        <v>0</v>
      </c>
      <c r="N97" s="211" t="e">
        <f t="shared" ref="N97:N122" si="65">P97/M97*100</f>
        <v>#DIV/0!</v>
      </c>
      <c r="O97" s="211" t="e">
        <f t="shared" ref="O97:O122" si="66">Q97/M97*100</f>
        <v>#DIV/0!</v>
      </c>
      <c r="P97" s="176">
        <f t="shared" ref="P97:P122" si="67">$U$4*K97/SUM($K$4:$K$7)</f>
        <v>0</v>
      </c>
      <c r="Q97" s="212">
        <f t="shared" ref="Q97:Q122" si="68">$V$4*L97/SUM($L$4:$L$7)</f>
        <v>0</v>
      </c>
      <c r="R97" s="249"/>
      <c r="S97" s="34"/>
      <c r="T97" s="34"/>
      <c r="U97" s="249"/>
      <c r="V97" s="249"/>
      <c r="Y97" s="176">
        <f t="shared" ref="Y97:Y122" si="69">ROUND(M97,0)</f>
        <v>0</v>
      </c>
      <c r="Z97" s="210" t="e">
        <f t="shared" ref="Z97:Z122" si="70">ROUND(N97,2)</f>
        <v>#DIV/0!</v>
      </c>
      <c r="AA97" s="210" t="e">
        <f t="shared" ref="AA97:AA122" si="71">ROUND(O97,2)</f>
        <v>#DIV/0!</v>
      </c>
    </row>
    <row r="98" spans="1:27" x14ac:dyDescent="0.25">
      <c r="A98" s="220"/>
      <c r="B98" s="221"/>
      <c r="C98" s="109"/>
      <c r="D98" s="277"/>
      <c r="E98" s="65"/>
      <c r="F98" s="227"/>
      <c r="G98" s="65" t="e">
        <f t="shared" si="61"/>
        <v>#N/A</v>
      </c>
      <c r="H98" s="65"/>
      <c r="I98" s="65"/>
      <c r="J98" s="65"/>
      <c r="K98" s="176">
        <f t="shared" si="62"/>
        <v>0</v>
      </c>
      <c r="L98" s="177">
        <f t="shared" si="63"/>
        <v>0</v>
      </c>
      <c r="M98" s="209">
        <f t="shared" si="64"/>
        <v>0</v>
      </c>
      <c r="N98" s="211" t="e">
        <f t="shared" si="65"/>
        <v>#DIV/0!</v>
      </c>
      <c r="O98" s="211" t="e">
        <f t="shared" si="66"/>
        <v>#DIV/0!</v>
      </c>
      <c r="P98" s="176">
        <f t="shared" si="67"/>
        <v>0</v>
      </c>
      <c r="Q98" s="212">
        <f t="shared" si="68"/>
        <v>0</v>
      </c>
      <c r="R98" s="249"/>
      <c r="S98" s="34"/>
      <c r="T98" s="34"/>
      <c r="U98" s="249"/>
      <c r="V98" s="249"/>
      <c r="Y98" s="176">
        <f t="shared" si="69"/>
        <v>0</v>
      </c>
      <c r="Z98" s="210" t="e">
        <f t="shared" si="70"/>
        <v>#DIV/0!</v>
      </c>
      <c r="AA98" s="210" t="e">
        <f t="shared" si="71"/>
        <v>#DIV/0!</v>
      </c>
    </row>
    <row r="99" spans="1:27" x14ac:dyDescent="0.25">
      <c r="A99" s="220"/>
      <c r="B99" s="221"/>
      <c r="C99" s="109"/>
      <c r="D99" s="277"/>
      <c r="E99" s="65"/>
      <c r="F99" s="227"/>
      <c r="G99" s="65" t="e">
        <f t="shared" si="61"/>
        <v>#N/A</v>
      </c>
      <c r="H99" s="65"/>
      <c r="I99" s="65"/>
      <c r="J99" s="65"/>
      <c r="K99" s="176">
        <f t="shared" si="62"/>
        <v>0</v>
      </c>
      <c r="L99" s="177">
        <f t="shared" si="63"/>
        <v>0</v>
      </c>
      <c r="M99" s="209">
        <f t="shared" si="64"/>
        <v>0</v>
      </c>
      <c r="N99" s="211" t="e">
        <f t="shared" si="65"/>
        <v>#DIV/0!</v>
      </c>
      <c r="O99" s="211" t="e">
        <f t="shared" si="66"/>
        <v>#DIV/0!</v>
      </c>
      <c r="P99" s="176">
        <f t="shared" si="67"/>
        <v>0</v>
      </c>
      <c r="Q99" s="212">
        <f t="shared" si="68"/>
        <v>0</v>
      </c>
      <c r="R99" s="249"/>
      <c r="S99" s="34"/>
      <c r="T99" s="34"/>
      <c r="U99" s="249"/>
      <c r="V99" s="249"/>
      <c r="Y99" s="176">
        <f t="shared" si="69"/>
        <v>0</v>
      </c>
      <c r="Z99" s="210" t="e">
        <f t="shared" si="70"/>
        <v>#DIV/0!</v>
      </c>
      <c r="AA99" s="210" t="e">
        <f t="shared" si="71"/>
        <v>#DIV/0!</v>
      </c>
    </row>
    <row r="100" spans="1:27" x14ac:dyDescent="0.25">
      <c r="A100" s="220"/>
      <c r="B100" s="221"/>
      <c r="C100" s="109"/>
      <c r="D100" s="277"/>
      <c r="E100" s="65"/>
      <c r="F100" s="227"/>
      <c r="G100" s="65" t="e">
        <f t="shared" si="61"/>
        <v>#N/A</v>
      </c>
      <c r="H100" s="65"/>
      <c r="I100" s="65"/>
      <c r="J100" s="65"/>
      <c r="K100" s="176">
        <f t="shared" si="62"/>
        <v>0</v>
      </c>
      <c r="L100" s="177">
        <f t="shared" si="63"/>
        <v>0</v>
      </c>
      <c r="M100" s="209">
        <f t="shared" si="64"/>
        <v>0</v>
      </c>
      <c r="N100" s="211" t="e">
        <f t="shared" si="65"/>
        <v>#DIV/0!</v>
      </c>
      <c r="O100" s="211" t="e">
        <f t="shared" si="66"/>
        <v>#DIV/0!</v>
      </c>
      <c r="P100" s="176">
        <f t="shared" si="67"/>
        <v>0</v>
      </c>
      <c r="Q100" s="212">
        <f t="shared" si="68"/>
        <v>0</v>
      </c>
      <c r="R100" s="249"/>
      <c r="S100" s="34"/>
      <c r="T100" s="34"/>
      <c r="U100" s="249"/>
      <c r="V100" s="249"/>
      <c r="Y100" s="176">
        <f t="shared" si="69"/>
        <v>0</v>
      </c>
      <c r="Z100" s="210" t="e">
        <f t="shared" si="70"/>
        <v>#DIV/0!</v>
      </c>
      <c r="AA100" s="210" t="e">
        <f t="shared" si="71"/>
        <v>#DIV/0!</v>
      </c>
    </row>
    <row r="101" spans="1:27" x14ac:dyDescent="0.25">
      <c r="A101" s="220"/>
      <c r="B101" s="221"/>
      <c r="C101" s="109"/>
      <c r="D101" s="277"/>
      <c r="E101" s="65"/>
      <c r="F101" s="227"/>
      <c r="G101" s="65" t="e">
        <f t="shared" si="61"/>
        <v>#N/A</v>
      </c>
      <c r="H101" s="65"/>
      <c r="I101" s="65"/>
      <c r="J101" s="65"/>
      <c r="K101" s="176">
        <f t="shared" si="62"/>
        <v>0</v>
      </c>
      <c r="L101" s="177">
        <f t="shared" si="63"/>
        <v>0</v>
      </c>
      <c r="M101" s="209">
        <f t="shared" si="64"/>
        <v>0</v>
      </c>
      <c r="N101" s="211" t="e">
        <f t="shared" si="65"/>
        <v>#DIV/0!</v>
      </c>
      <c r="O101" s="211" t="e">
        <f t="shared" si="66"/>
        <v>#DIV/0!</v>
      </c>
      <c r="P101" s="176">
        <f t="shared" si="67"/>
        <v>0</v>
      </c>
      <c r="Q101" s="212">
        <f t="shared" si="68"/>
        <v>0</v>
      </c>
      <c r="R101" s="249"/>
      <c r="S101" s="34"/>
      <c r="T101" s="34"/>
      <c r="U101" s="249"/>
      <c r="V101" s="249"/>
      <c r="Y101" s="176">
        <f t="shared" si="69"/>
        <v>0</v>
      </c>
      <c r="Z101" s="210" t="e">
        <f t="shared" si="70"/>
        <v>#DIV/0!</v>
      </c>
      <c r="AA101" s="210" t="e">
        <f t="shared" si="71"/>
        <v>#DIV/0!</v>
      </c>
    </row>
    <row r="102" spans="1:27" x14ac:dyDescent="0.25">
      <c r="A102" s="220"/>
      <c r="B102" s="221"/>
      <c r="C102" s="109"/>
      <c r="D102" s="277"/>
      <c r="E102" s="65"/>
      <c r="F102" s="227"/>
      <c r="G102" s="65" t="e">
        <f t="shared" si="61"/>
        <v>#N/A</v>
      </c>
      <c r="H102" s="65"/>
      <c r="I102" s="65"/>
      <c r="J102" s="65"/>
      <c r="K102" s="176">
        <f t="shared" si="62"/>
        <v>0</v>
      </c>
      <c r="L102" s="177">
        <f t="shared" si="63"/>
        <v>0</v>
      </c>
      <c r="M102" s="209">
        <f t="shared" si="64"/>
        <v>0</v>
      </c>
      <c r="N102" s="211" t="e">
        <f t="shared" si="65"/>
        <v>#DIV/0!</v>
      </c>
      <c r="O102" s="211" t="e">
        <f t="shared" si="66"/>
        <v>#DIV/0!</v>
      </c>
      <c r="P102" s="176">
        <f t="shared" si="67"/>
        <v>0</v>
      </c>
      <c r="Q102" s="212">
        <f t="shared" si="68"/>
        <v>0</v>
      </c>
      <c r="R102" s="249"/>
      <c r="S102" s="34"/>
      <c r="T102" s="34"/>
      <c r="U102" s="249"/>
      <c r="V102" s="249"/>
      <c r="Y102" s="176">
        <f t="shared" si="69"/>
        <v>0</v>
      </c>
      <c r="Z102" s="210" t="e">
        <f t="shared" si="70"/>
        <v>#DIV/0!</v>
      </c>
      <c r="AA102" s="210" t="e">
        <f t="shared" si="71"/>
        <v>#DIV/0!</v>
      </c>
    </row>
    <row r="103" spans="1:27" x14ac:dyDescent="0.25">
      <c r="A103" s="220"/>
      <c r="B103" s="221"/>
      <c r="C103" s="109"/>
      <c r="D103" s="277"/>
      <c r="E103" s="65"/>
      <c r="F103" s="227"/>
      <c r="G103" s="65" t="e">
        <f t="shared" si="61"/>
        <v>#N/A</v>
      </c>
      <c r="H103" s="65"/>
      <c r="I103" s="65"/>
      <c r="J103" s="65"/>
      <c r="K103" s="176">
        <f t="shared" si="62"/>
        <v>0</v>
      </c>
      <c r="L103" s="177">
        <f t="shared" si="63"/>
        <v>0</v>
      </c>
      <c r="M103" s="209">
        <f t="shared" si="64"/>
        <v>0</v>
      </c>
      <c r="N103" s="211" t="e">
        <f t="shared" si="65"/>
        <v>#DIV/0!</v>
      </c>
      <c r="O103" s="211" t="e">
        <f t="shared" si="66"/>
        <v>#DIV/0!</v>
      </c>
      <c r="P103" s="176">
        <f t="shared" si="67"/>
        <v>0</v>
      </c>
      <c r="Q103" s="212">
        <f t="shared" si="68"/>
        <v>0</v>
      </c>
      <c r="R103" s="249"/>
      <c r="S103" s="34"/>
      <c r="T103" s="34"/>
      <c r="U103" s="249"/>
      <c r="V103" s="249"/>
      <c r="Y103" s="176">
        <f t="shared" si="69"/>
        <v>0</v>
      </c>
      <c r="Z103" s="210" t="e">
        <f t="shared" si="70"/>
        <v>#DIV/0!</v>
      </c>
      <c r="AA103" s="210" t="e">
        <f t="shared" si="71"/>
        <v>#DIV/0!</v>
      </c>
    </row>
    <row r="104" spans="1:27" x14ac:dyDescent="0.25">
      <c r="A104" s="220"/>
      <c r="B104" s="221"/>
      <c r="C104" s="109"/>
      <c r="D104" s="277"/>
      <c r="E104" s="65"/>
      <c r="F104" s="227"/>
      <c r="G104" s="65" t="e">
        <f t="shared" si="61"/>
        <v>#N/A</v>
      </c>
      <c r="H104" s="65"/>
      <c r="I104" s="65"/>
      <c r="J104" s="65"/>
      <c r="K104" s="176">
        <f t="shared" si="62"/>
        <v>0</v>
      </c>
      <c r="L104" s="177">
        <f t="shared" si="63"/>
        <v>0</v>
      </c>
      <c r="M104" s="209">
        <f t="shared" si="64"/>
        <v>0</v>
      </c>
      <c r="N104" s="211" t="e">
        <f t="shared" si="65"/>
        <v>#DIV/0!</v>
      </c>
      <c r="O104" s="211" t="e">
        <f t="shared" si="66"/>
        <v>#DIV/0!</v>
      </c>
      <c r="P104" s="176">
        <f t="shared" si="67"/>
        <v>0</v>
      </c>
      <c r="Q104" s="212">
        <f t="shared" si="68"/>
        <v>0</v>
      </c>
      <c r="R104" s="249"/>
      <c r="S104" s="34"/>
      <c r="T104" s="34"/>
      <c r="U104" s="249"/>
      <c r="V104" s="249"/>
      <c r="Y104" s="176">
        <f t="shared" si="69"/>
        <v>0</v>
      </c>
      <c r="Z104" s="210" t="e">
        <f t="shared" si="70"/>
        <v>#DIV/0!</v>
      </c>
      <c r="AA104" s="210" t="e">
        <f t="shared" si="71"/>
        <v>#DIV/0!</v>
      </c>
    </row>
    <row r="105" spans="1:27" x14ac:dyDescent="0.25">
      <c r="A105" s="220"/>
      <c r="B105" s="221"/>
      <c r="C105" s="109"/>
      <c r="D105" s="277"/>
      <c r="E105" s="65"/>
      <c r="F105" s="227"/>
      <c r="G105" s="65" t="e">
        <f t="shared" si="61"/>
        <v>#N/A</v>
      </c>
      <c r="H105" s="65"/>
      <c r="I105" s="65"/>
      <c r="J105" s="65"/>
      <c r="K105" s="176">
        <f t="shared" si="62"/>
        <v>0</v>
      </c>
      <c r="L105" s="177">
        <f t="shared" si="63"/>
        <v>0</v>
      </c>
      <c r="M105" s="209">
        <f t="shared" si="64"/>
        <v>0</v>
      </c>
      <c r="N105" s="211" t="e">
        <f t="shared" si="65"/>
        <v>#DIV/0!</v>
      </c>
      <c r="O105" s="211" t="e">
        <f t="shared" si="66"/>
        <v>#DIV/0!</v>
      </c>
      <c r="P105" s="176">
        <f t="shared" si="67"/>
        <v>0</v>
      </c>
      <c r="Q105" s="212">
        <f t="shared" si="68"/>
        <v>0</v>
      </c>
      <c r="R105" s="249"/>
      <c r="S105" s="34"/>
      <c r="T105" s="34"/>
      <c r="U105" s="249"/>
      <c r="V105" s="249"/>
      <c r="Y105" s="176">
        <f t="shared" si="69"/>
        <v>0</v>
      </c>
      <c r="Z105" s="210" t="e">
        <f t="shared" si="70"/>
        <v>#DIV/0!</v>
      </c>
      <c r="AA105" s="210" t="e">
        <f t="shared" si="71"/>
        <v>#DIV/0!</v>
      </c>
    </row>
    <row r="106" spans="1:27" x14ac:dyDescent="0.25">
      <c r="A106" s="220"/>
      <c r="B106" s="221"/>
      <c r="C106" s="109"/>
      <c r="D106" s="277"/>
      <c r="E106" s="65"/>
      <c r="F106" s="227"/>
      <c r="G106" s="65" t="e">
        <f t="shared" si="61"/>
        <v>#N/A</v>
      </c>
      <c r="H106" s="65"/>
      <c r="I106" s="65"/>
      <c r="J106" s="65"/>
      <c r="K106" s="176">
        <f t="shared" si="62"/>
        <v>0</v>
      </c>
      <c r="L106" s="177">
        <f t="shared" si="63"/>
        <v>0</v>
      </c>
      <c r="M106" s="209">
        <f t="shared" si="64"/>
        <v>0</v>
      </c>
      <c r="N106" s="211" t="e">
        <f t="shared" si="65"/>
        <v>#DIV/0!</v>
      </c>
      <c r="O106" s="211" t="e">
        <f t="shared" si="66"/>
        <v>#DIV/0!</v>
      </c>
      <c r="P106" s="176">
        <f t="shared" si="67"/>
        <v>0</v>
      </c>
      <c r="Q106" s="212">
        <f t="shared" si="68"/>
        <v>0</v>
      </c>
      <c r="R106" s="249"/>
      <c r="S106" s="34"/>
      <c r="T106" s="34"/>
      <c r="U106" s="249"/>
      <c r="V106" s="249"/>
      <c r="Y106" s="176">
        <f t="shared" si="69"/>
        <v>0</v>
      </c>
      <c r="Z106" s="210" t="e">
        <f t="shared" si="70"/>
        <v>#DIV/0!</v>
      </c>
      <c r="AA106" s="210" t="e">
        <f t="shared" si="71"/>
        <v>#DIV/0!</v>
      </c>
    </row>
    <row r="107" spans="1:27" x14ac:dyDescent="0.25">
      <c r="A107" s="220"/>
      <c r="B107" s="221"/>
      <c r="C107" s="109"/>
      <c r="D107" s="277"/>
      <c r="E107" s="65"/>
      <c r="F107" s="227"/>
      <c r="G107" s="65" t="e">
        <f t="shared" si="61"/>
        <v>#N/A</v>
      </c>
      <c r="H107" s="65"/>
      <c r="I107" s="65"/>
      <c r="J107" s="65"/>
      <c r="K107" s="176">
        <f t="shared" si="62"/>
        <v>0</v>
      </c>
      <c r="L107" s="177">
        <f t="shared" si="63"/>
        <v>0</v>
      </c>
      <c r="M107" s="209">
        <f t="shared" si="64"/>
        <v>0</v>
      </c>
      <c r="N107" s="211" t="e">
        <f t="shared" si="65"/>
        <v>#DIV/0!</v>
      </c>
      <c r="O107" s="211" t="e">
        <f t="shared" si="66"/>
        <v>#DIV/0!</v>
      </c>
      <c r="P107" s="176">
        <f t="shared" si="67"/>
        <v>0</v>
      </c>
      <c r="Q107" s="212">
        <f t="shared" si="68"/>
        <v>0</v>
      </c>
      <c r="R107" s="249"/>
      <c r="S107" s="34"/>
      <c r="T107" s="34"/>
      <c r="U107" s="249"/>
      <c r="V107" s="249"/>
      <c r="Y107" s="176">
        <f t="shared" si="69"/>
        <v>0</v>
      </c>
      <c r="Z107" s="210" t="e">
        <f t="shared" si="70"/>
        <v>#DIV/0!</v>
      </c>
      <c r="AA107" s="210" t="e">
        <f t="shared" si="71"/>
        <v>#DIV/0!</v>
      </c>
    </row>
    <row r="108" spans="1:27" x14ac:dyDescent="0.25">
      <c r="A108" s="220"/>
      <c r="B108" s="221"/>
      <c r="C108" s="109"/>
      <c r="D108" s="277"/>
      <c r="E108" s="65"/>
      <c r="F108" s="227"/>
      <c r="G108" s="65" t="e">
        <f t="shared" si="61"/>
        <v>#N/A</v>
      </c>
      <c r="H108" s="65"/>
      <c r="I108" s="65"/>
      <c r="J108" s="65"/>
      <c r="K108" s="176">
        <f t="shared" si="62"/>
        <v>0</v>
      </c>
      <c r="L108" s="177">
        <f t="shared" si="63"/>
        <v>0</v>
      </c>
      <c r="M108" s="209">
        <f t="shared" si="64"/>
        <v>0</v>
      </c>
      <c r="N108" s="211" t="e">
        <f t="shared" si="65"/>
        <v>#DIV/0!</v>
      </c>
      <c r="O108" s="211" t="e">
        <f t="shared" si="66"/>
        <v>#DIV/0!</v>
      </c>
      <c r="P108" s="176">
        <f t="shared" si="67"/>
        <v>0</v>
      </c>
      <c r="Q108" s="212">
        <f t="shared" si="68"/>
        <v>0</v>
      </c>
      <c r="R108" s="249"/>
      <c r="S108" s="34"/>
      <c r="T108" s="34"/>
      <c r="U108" s="249"/>
      <c r="V108" s="249"/>
      <c r="Y108" s="176">
        <f t="shared" si="69"/>
        <v>0</v>
      </c>
      <c r="Z108" s="210" t="e">
        <f t="shared" si="70"/>
        <v>#DIV/0!</v>
      </c>
      <c r="AA108" s="210" t="e">
        <f t="shared" si="71"/>
        <v>#DIV/0!</v>
      </c>
    </row>
    <row r="109" spans="1:27" x14ac:dyDescent="0.25">
      <c r="A109" s="220"/>
      <c r="B109" s="221"/>
      <c r="C109" s="109"/>
      <c r="D109" s="277"/>
      <c r="E109" s="65"/>
      <c r="F109" s="227"/>
      <c r="G109" s="65" t="e">
        <f t="shared" si="61"/>
        <v>#N/A</v>
      </c>
      <c r="H109" s="65"/>
      <c r="I109" s="65"/>
      <c r="J109" s="65"/>
      <c r="K109" s="176">
        <f t="shared" si="62"/>
        <v>0</v>
      </c>
      <c r="L109" s="177">
        <f t="shared" si="63"/>
        <v>0</v>
      </c>
      <c r="M109" s="209">
        <f t="shared" si="64"/>
        <v>0</v>
      </c>
      <c r="N109" s="211" t="e">
        <f t="shared" si="65"/>
        <v>#DIV/0!</v>
      </c>
      <c r="O109" s="211" t="e">
        <f t="shared" si="66"/>
        <v>#DIV/0!</v>
      </c>
      <c r="P109" s="176">
        <f t="shared" si="67"/>
        <v>0</v>
      </c>
      <c r="Q109" s="212">
        <f t="shared" si="68"/>
        <v>0</v>
      </c>
      <c r="R109" s="249"/>
      <c r="S109" s="34"/>
      <c r="T109" s="34"/>
      <c r="U109" s="249"/>
      <c r="V109" s="249"/>
      <c r="Y109" s="176">
        <f t="shared" si="69"/>
        <v>0</v>
      </c>
      <c r="Z109" s="210" t="e">
        <f t="shared" si="70"/>
        <v>#DIV/0!</v>
      </c>
      <c r="AA109" s="210" t="e">
        <f t="shared" si="71"/>
        <v>#DIV/0!</v>
      </c>
    </row>
    <row r="110" spans="1:27" x14ac:dyDescent="0.25">
      <c r="A110" s="220"/>
      <c r="B110" s="221"/>
      <c r="C110" s="109"/>
      <c r="D110" s="277"/>
      <c r="E110" s="65"/>
      <c r="F110" s="227"/>
      <c r="G110" s="65" t="e">
        <f t="shared" si="61"/>
        <v>#N/A</v>
      </c>
      <c r="H110" s="65"/>
      <c r="I110" s="65"/>
      <c r="J110" s="65"/>
      <c r="K110" s="176">
        <f t="shared" si="62"/>
        <v>0</v>
      </c>
      <c r="L110" s="177">
        <f t="shared" si="63"/>
        <v>0</v>
      </c>
      <c r="M110" s="209">
        <f t="shared" si="64"/>
        <v>0</v>
      </c>
      <c r="N110" s="211" t="e">
        <f t="shared" si="65"/>
        <v>#DIV/0!</v>
      </c>
      <c r="O110" s="211" t="e">
        <f t="shared" si="66"/>
        <v>#DIV/0!</v>
      </c>
      <c r="P110" s="176">
        <f t="shared" si="67"/>
        <v>0</v>
      </c>
      <c r="Q110" s="212">
        <f t="shared" si="68"/>
        <v>0</v>
      </c>
      <c r="R110" s="249"/>
      <c r="S110" s="34"/>
      <c r="T110" s="34"/>
      <c r="U110" s="249"/>
      <c r="V110" s="249"/>
      <c r="Y110" s="176">
        <f t="shared" si="69"/>
        <v>0</v>
      </c>
      <c r="Z110" s="210" t="e">
        <f t="shared" si="70"/>
        <v>#DIV/0!</v>
      </c>
      <c r="AA110" s="210" t="e">
        <f t="shared" si="71"/>
        <v>#DIV/0!</v>
      </c>
    </row>
    <row r="111" spans="1:27" x14ac:dyDescent="0.25">
      <c r="A111" s="220"/>
      <c r="B111" s="221"/>
      <c r="C111" s="109"/>
      <c r="D111" s="277"/>
      <c r="E111" s="65"/>
      <c r="F111" s="227"/>
      <c r="G111" s="65" t="e">
        <f t="shared" si="61"/>
        <v>#N/A</v>
      </c>
      <c r="H111" s="65"/>
      <c r="I111" s="65"/>
      <c r="J111" s="65"/>
      <c r="K111" s="176">
        <f t="shared" si="62"/>
        <v>0</v>
      </c>
      <c r="L111" s="177">
        <f t="shared" si="63"/>
        <v>0</v>
      </c>
      <c r="M111" s="209">
        <f t="shared" si="64"/>
        <v>0</v>
      </c>
      <c r="N111" s="211" t="e">
        <f t="shared" si="65"/>
        <v>#DIV/0!</v>
      </c>
      <c r="O111" s="211" t="e">
        <f t="shared" si="66"/>
        <v>#DIV/0!</v>
      </c>
      <c r="P111" s="176">
        <f t="shared" si="67"/>
        <v>0</v>
      </c>
      <c r="Q111" s="212">
        <f t="shared" si="68"/>
        <v>0</v>
      </c>
      <c r="R111" s="249"/>
      <c r="S111" s="34"/>
      <c r="T111" s="34"/>
      <c r="U111" s="249"/>
      <c r="V111" s="249"/>
      <c r="Y111" s="176">
        <f t="shared" si="69"/>
        <v>0</v>
      </c>
      <c r="Z111" s="210" t="e">
        <f t="shared" si="70"/>
        <v>#DIV/0!</v>
      </c>
      <c r="AA111" s="210" t="e">
        <f t="shared" si="71"/>
        <v>#DIV/0!</v>
      </c>
    </row>
    <row r="112" spans="1:27" x14ac:dyDescent="0.25">
      <c r="A112" s="220"/>
      <c r="B112" s="221"/>
      <c r="C112" s="109"/>
      <c r="D112" s="277"/>
      <c r="E112" s="65"/>
      <c r="F112" s="227"/>
      <c r="G112" s="65" t="e">
        <f t="shared" si="61"/>
        <v>#N/A</v>
      </c>
      <c r="H112" s="65"/>
      <c r="I112" s="65"/>
      <c r="J112" s="65"/>
      <c r="K112" s="176">
        <f t="shared" si="62"/>
        <v>0</v>
      </c>
      <c r="L112" s="177">
        <f t="shared" si="63"/>
        <v>0</v>
      </c>
      <c r="M112" s="209">
        <f t="shared" si="64"/>
        <v>0</v>
      </c>
      <c r="N112" s="211" t="e">
        <f t="shared" si="65"/>
        <v>#DIV/0!</v>
      </c>
      <c r="O112" s="211" t="e">
        <f t="shared" si="66"/>
        <v>#DIV/0!</v>
      </c>
      <c r="P112" s="176">
        <f t="shared" si="67"/>
        <v>0</v>
      </c>
      <c r="Q112" s="212">
        <f t="shared" si="68"/>
        <v>0</v>
      </c>
      <c r="R112" s="249"/>
      <c r="S112" s="34"/>
      <c r="T112" s="34"/>
      <c r="U112" s="249"/>
      <c r="V112" s="249"/>
      <c r="Y112" s="176">
        <f t="shared" si="69"/>
        <v>0</v>
      </c>
      <c r="Z112" s="210" t="e">
        <f t="shared" si="70"/>
        <v>#DIV/0!</v>
      </c>
      <c r="AA112" s="210" t="e">
        <f t="shared" si="71"/>
        <v>#DIV/0!</v>
      </c>
    </row>
    <row r="113" spans="1:27" x14ac:dyDescent="0.25">
      <c r="A113" s="220"/>
      <c r="B113" s="221"/>
      <c r="C113" s="109"/>
      <c r="D113" s="277"/>
      <c r="E113" s="65"/>
      <c r="F113" s="227"/>
      <c r="G113" s="65" t="e">
        <f t="shared" si="61"/>
        <v>#N/A</v>
      </c>
      <c r="H113" s="65"/>
      <c r="I113" s="65"/>
      <c r="J113" s="65"/>
      <c r="K113" s="176">
        <f t="shared" si="62"/>
        <v>0</v>
      </c>
      <c r="L113" s="177">
        <f t="shared" si="63"/>
        <v>0</v>
      </c>
      <c r="M113" s="209">
        <f t="shared" si="64"/>
        <v>0</v>
      </c>
      <c r="N113" s="211" t="e">
        <f t="shared" si="65"/>
        <v>#DIV/0!</v>
      </c>
      <c r="O113" s="211" t="e">
        <f t="shared" si="66"/>
        <v>#DIV/0!</v>
      </c>
      <c r="P113" s="176">
        <f t="shared" si="67"/>
        <v>0</v>
      </c>
      <c r="Q113" s="212">
        <f t="shared" si="68"/>
        <v>0</v>
      </c>
      <c r="R113" s="249"/>
      <c r="S113" s="34"/>
      <c r="T113" s="34"/>
      <c r="U113" s="249"/>
      <c r="V113" s="249"/>
      <c r="Y113" s="176">
        <f t="shared" si="69"/>
        <v>0</v>
      </c>
      <c r="Z113" s="210" t="e">
        <f t="shared" si="70"/>
        <v>#DIV/0!</v>
      </c>
      <c r="AA113" s="210" t="e">
        <f t="shared" si="71"/>
        <v>#DIV/0!</v>
      </c>
    </row>
    <row r="114" spans="1:27" x14ac:dyDescent="0.25">
      <c r="A114" s="220"/>
      <c r="B114" s="221"/>
      <c r="C114" s="109"/>
      <c r="D114" s="277"/>
      <c r="E114" s="65"/>
      <c r="F114" s="227"/>
      <c r="G114" s="65" t="e">
        <f t="shared" si="61"/>
        <v>#N/A</v>
      </c>
      <c r="H114" s="65"/>
      <c r="I114" s="65"/>
      <c r="J114" s="65"/>
      <c r="K114" s="176">
        <f t="shared" si="62"/>
        <v>0</v>
      </c>
      <c r="L114" s="177">
        <f t="shared" si="63"/>
        <v>0</v>
      </c>
      <c r="M114" s="209">
        <f t="shared" si="64"/>
        <v>0</v>
      </c>
      <c r="N114" s="211" t="e">
        <f t="shared" si="65"/>
        <v>#DIV/0!</v>
      </c>
      <c r="O114" s="211" t="e">
        <f t="shared" si="66"/>
        <v>#DIV/0!</v>
      </c>
      <c r="P114" s="176">
        <f t="shared" si="67"/>
        <v>0</v>
      </c>
      <c r="Q114" s="212">
        <f t="shared" si="68"/>
        <v>0</v>
      </c>
      <c r="R114" s="249"/>
      <c r="S114" s="34"/>
      <c r="T114" s="34"/>
      <c r="U114" s="249"/>
      <c r="V114" s="249"/>
      <c r="Y114" s="176">
        <f t="shared" si="69"/>
        <v>0</v>
      </c>
      <c r="Z114" s="210" t="e">
        <f t="shared" si="70"/>
        <v>#DIV/0!</v>
      </c>
      <c r="AA114" s="210" t="e">
        <f t="shared" si="71"/>
        <v>#DIV/0!</v>
      </c>
    </row>
    <row r="115" spans="1:27" x14ac:dyDescent="0.25">
      <c r="A115" s="220"/>
      <c r="B115" s="221"/>
      <c r="C115" s="109"/>
      <c r="D115" s="277"/>
      <c r="E115" s="65"/>
      <c r="F115" s="227"/>
      <c r="G115" s="65" t="e">
        <f t="shared" si="61"/>
        <v>#N/A</v>
      </c>
      <c r="H115" s="65"/>
      <c r="I115" s="65"/>
      <c r="J115" s="65"/>
      <c r="K115" s="176">
        <f t="shared" si="62"/>
        <v>0</v>
      </c>
      <c r="L115" s="177">
        <f t="shared" si="63"/>
        <v>0</v>
      </c>
      <c r="M115" s="209">
        <f t="shared" si="64"/>
        <v>0</v>
      </c>
      <c r="N115" s="211" t="e">
        <f t="shared" si="65"/>
        <v>#DIV/0!</v>
      </c>
      <c r="O115" s="211" t="e">
        <f t="shared" si="66"/>
        <v>#DIV/0!</v>
      </c>
      <c r="P115" s="176">
        <f t="shared" si="67"/>
        <v>0</v>
      </c>
      <c r="Q115" s="212">
        <f t="shared" si="68"/>
        <v>0</v>
      </c>
      <c r="R115" s="249"/>
      <c r="S115" s="34"/>
      <c r="T115" s="34"/>
      <c r="U115" s="249"/>
      <c r="V115" s="249"/>
      <c r="Y115" s="176">
        <f t="shared" si="69"/>
        <v>0</v>
      </c>
      <c r="Z115" s="210" t="e">
        <f t="shared" si="70"/>
        <v>#DIV/0!</v>
      </c>
      <c r="AA115" s="210" t="e">
        <f t="shared" si="71"/>
        <v>#DIV/0!</v>
      </c>
    </row>
    <row r="116" spans="1:27" x14ac:dyDescent="0.25">
      <c r="A116" s="220"/>
      <c r="B116" s="221"/>
      <c r="C116" s="109"/>
      <c r="D116" s="277"/>
      <c r="E116" s="65"/>
      <c r="F116" s="227"/>
      <c r="G116" s="65" t="e">
        <f t="shared" si="61"/>
        <v>#N/A</v>
      </c>
      <c r="H116" s="65"/>
      <c r="I116" s="65"/>
      <c r="J116" s="65"/>
      <c r="K116" s="176">
        <f t="shared" si="62"/>
        <v>0</v>
      </c>
      <c r="L116" s="177">
        <f t="shared" si="63"/>
        <v>0</v>
      </c>
      <c r="M116" s="209">
        <f t="shared" si="64"/>
        <v>0</v>
      </c>
      <c r="N116" s="211" t="e">
        <f t="shared" si="65"/>
        <v>#DIV/0!</v>
      </c>
      <c r="O116" s="211" t="e">
        <f t="shared" si="66"/>
        <v>#DIV/0!</v>
      </c>
      <c r="P116" s="176">
        <f t="shared" si="67"/>
        <v>0</v>
      </c>
      <c r="Q116" s="212">
        <f t="shared" si="68"/>
        <v>0</v>
      </c>
      <c r="R116" s="249"/>
      <c r="S116" s="34"/>
      <c r="T116" s="34"/>
      <c r="U116" s="249"/>
      <c r="V116" s="249"/>
      <c r="Y116" s="176">
        <f t="shared" si="69"/>
        <v>0</v>
      </c>
      <c r="Z116" s="210" t="e">
        <f t="shared" si="70"/>
        <v>#DIV/0!</v>
      </c>
      <c r="AA116" s="210" t="e">
        <f t="shared" si="71"/>
        <v>#DIV/0!</v>
      </c>
    </row>
    <row r="117" spans="1:27" x14ac:dyDescent="0.25">
      <c r="A117" s="220"/>
      <c r="B117" s="221"/>
      <c r="C117" s="109"/>
      <c r="D117" s="277"/>
      <c r="E117" s="65"/>
      <c r="F117" s="227"/>
      <c r="G117" s="65" t="e">
        <f t="shared" si="61"/>
        <v>#N/A</v>
      </c>
      <c r="H117" s="65"/>
      <c r="I117" s="65"/>
      <c r="J117" s="65"/>
      <c r="K117" s="176">
        <f t="shared" si="62"/>
        <v>0</v>
      </c>
      <c r="L117" s="177">
        <f t="shared" si="63"/>
        <v>0</v>
      </c>
      <c r="M117" s="209">
        <f t="shared" si="64"/>
        <v>0</v>
      </c>
      <c r="N117" s="211" t="e">
        <f t="shared" si="65"/>
        <v>#DIV/0!</v>
      </c>
      <c r="O117" s="211" t="e">
        <f t="shared" si="66"/>
        <v>#DIV/0!</v>
      </c>
      <c r="P117" s="176">
        <f t="shared" si="67"/>
        <v>0</v>
      </c>
      <c r="Q117" s="212">
        <f t="shared" si="68"/>
        <v>0</v>
      </c>
      <c r="R117" s="249"/>
      <c r="S117" s="34"/>
      <c r="T117" s="34"/>
      <c r="U117" s="249"/>
      <c r="V117" s="249"/>
      <c r="Y117" s="176">
        <f t="shared" si="69"/>
        <v>0</v>
      </c>
      <c r="Z117" s="210" t="e">
        <f t="shared" si="70"/>
        <v>#DIV/0!</v>
      </c>
      <c r="AA117" s="210" t="e">
        <f t="shared" si="71"/>
        <v>#DIV/0!</v>
      </c>
    </row>
    <row r="118" spans="1:27" x14ac:dyDescent="0.25">
      <c r="A118" s="220"/>
      <c r="B118" s="221"/>
      <c r="C118" s="109"/>
      <c r="D118" s="277"/>
      <c r="E118" s="65"/>
      <c r="F118" s="227"/>
      <c r="G118" s="65" t="e">
        <f t="shared" si="61"/>
        <v>#N/A</v>
      </c>
      <c r="H118" s="65"/>
      <c r="I118" s="65"/>
      <c r="J118" s="65"/>
      <c r="K118" s="176">
        <f t="shared" si="62"/>
        <v>0</v>
      </c>
      <c r="L118" s="177">
        <f t="shared" si="63"/>
        <v>0</v>
      </c>
      <c r="M118" s="209">
        <f t="shared" si="64"/>
        <v>0</v>
      </c>
      <c r="N118" s="211" t="e">
        <f t="shared" si="65"/>
        <v>#DIV/0!</v>
      </c>
      <c r="O118" s="211" t="e">
        <f t="shared" si="66"/>
        <v>#DIV/0!</v>
      </c>
      <c r="P118" s="176">
        <f t="shared" si="67"/>
        <v>0</v>
      </c>
      <c r="Q118" s="212">
        <f t="shared" si="68"/>
        <v>0</v>
      </c>
      <c r="R118" s="249"/>
      <c r="S118" s="34"/>
      <c r="T118" s="34"/>
      <c r="U118" s="249"/>
      <c r="V118" s="249"/>
      <c r="Y118" s="176">
        <f t="shared" si="69"/>
        <v>0</v>
      </c>
      <c r="Z118" s="210" t="e">
        <f t="shared" si="70"/>
        <v>#DIV/0!</v>
      </c>
      <c r="AA118" s="210" t="e">
        <f t="shared" si="71"/>
        <v>#DIV/0!</v>
      </c>
    </row>
    <row r="119" spans="1:27" x14ac:dyDescent="0.25">
      <c r="A119" s="220"/>
      <c r="B119" s="221"/>
      <c r="C119" s="109"/>
      <c r="D119" s="277"/>
      <c r="E119" s="65"/>
      <c r="F119" s="227"/>
      <c r="G119" s="65" t="e">
        <f t="shared" si="61"/>
        <v>#N/A</v>
      </c>
      <c r="H119" s="65"/>
      <c r="I119" s="65"/>
      <c r="J119" s="65"/>
      <c r="K119" s="176">
        <f t="shared" si="62"/>
        <v>0</v>
      </c>
      <c r="L119" s="177">
        <f t="shared" si="63"/>
        <v>0</v>
      </c>
      <c r="M119" s="209">
        <f t="shared" si="64"/>
        <v>0</v>
      </c>
      <c r="N119" s="211" t="e">
        <f t="shared" si="65"/>
        <v>#DIV/0!</v>
      </c>
      <c r="O119" s="211" t="e">
        <f t="shared" si="66"/>
        <v>#DIV/0!</v>
      </c>
      <c r="P119" s="176">
        <f t="shared" si="67"/>
        <v>0</v>
      </c>
      <c r="Q119" s="212">
        <f t="shared" si="68"/>
        <v>0</v>
      </c>
      <c r="R119" s="249"/>
      <c r="S119" s="34"/>
      <c r="T119" s="34"/>
      <c r="U119" s="249"/>
      <c r="V119" s="249"/>
      <c r="Y119" s="176">
        <f t="shared" si="69"/>
        <v>0</v>
      </c>
      <c r="Z119" s="210" t="e">
        <f t="shared" si="70"/>
        <v>#DIV/0!</v>
      </c>
      <c r="AA119" s="210" t="e">
        <f t="shared" si="71"/>
        <v>#DIV/0!</v>
      </c>
    </row>
    <row r="120" spans="1:27" x14ac:dyDescent="0.25">
      <c r="A120" s="220"/>
      <c r="B120" s="221"/>
      <c r="C120" s="109"/>
      <c r="D120" s="277"/>
      <c r="E120" s="65"/>
      <c r="F120" s="227"/>
      <c r="G120" s="65" t="e">
        <f t="shared" si="61"/>
        <v>#N/A</v>
      </c>
      <c r="H120" s="65"/>
      <c r="I120" s="65"/>
      <c r="J120" s="65"/>
      <c r="K120" s="176">
        <f t="shared" si="62"/>
        <v>0</v>
      </c>
      <c r="L120" s="177">
        <f t="shared" si="63"/>
        <v>0</v>
      </c>
      <c r="M120" s="209">
        <f t="shared" si="64"/>
        <v>0</v>
      </c>
      <c r="N120" s="211" t="e">
        <f t="shared" si="65"/>
        <v>#DIV/0!</v>
      </c>
      <c r="O120" s="211" t="e">
        <f t="shared" si="66"/>
        <v>#DIV/0!</v>
      </c>
      <c r="P120" s="176">
        <f t="shared" si="67"/>
        <v>0</v>
      </c>
      <c r="Q120" s="212">
        <f t="shared" si="68"/>
        <v>0</v>
      </c>
      <c r="R120" s="249"/>
      <c r="S120" s="34"/>
      <c r="T120" s="34"/>
      <c r="U120" s="249"/>
      <c r="V120" s="249"/>
      <c r="Y120" s="176">
        <f t="shared" si="69"/>
        <v>0</v>
      </c>
      <c r="Z120" s="210" t="e">
        <f t="shared" si="70"/>
        <v>#DIV/0!</v>
      </c>
      <c r="AA120" s="210" t="e">
        <f t="shared" si="71"/>
        <v>#DIV/0!</v>
      </c>
    </row>
    <row r="121" spans="1:27" x14ac:dyDescent="0.25">
      <c r="A121" s="220"/>
      <c r="B121" s="221"/>
      <c r="C121" s="109"/>
      <c r="D121" s="277"/>
      <c r="E121" s="65"/>
      <c r="F121" s="227"/>
      <c r="G121" s="65" t="e">
        <f t="shared" si="61"/>
        <v>#N/A</v>
      </c>
      <c r="H121" s="65"/>
      <c r="I121" s="65"/>
      <c r="J121" s="65"/>
      <c r="K121" s="176">
        <f t="shared" si="62"/>
        <v>0</v>
      </c>
      <c r="L121" s="177">
        <f t="shared" si="63"/>
        <v>0</v>
      </c>
      <c r="M121" s="209">
        <f t="shared" si="64"/>
        <v>0</v>
      </c>
      <c r="N121" s="211" t="e">
        <f t="shared" si="65"/>
        <v>#DIV/0!</v>
      </c>
      <c r="O121" s="211" t="e">
        <f t="shared" si="66"/>
        <v>#DIV/0!</v>
      </c>
      <c r="P121" s="176">
        <f t="shared" si="67"/>
        <v>0</v>
      </c>
      <c r="Q121" s="212">
        <f t="shared" si="68"/>
        <v>0</v>
      </c>
      <c r="R121" s="249"/>
      <c r="S121" s="34"/>
      <c r="T121" s="34"/>
      <c r="U121" s="249"/>
      <c r="V121" s="249"/>
      <c r="Y121" s="176">
        <f t="shared" si="69"/>
        <v>0</v>
      </c>
      <c r="Z121" s="210" t="e">
        <f t="shared" si="70"/>
        <v>#DIV/0!</v>
      </c>
      <c r="AA121" s="210" t="e">
        <f t="shared" si="71"/>
        <v>#DIV/0!</v>
      </c>
    </row>
    <row r="122" spans="1:27" x14ac:dyDescent="0.25">
      <c r="A122" s="220"/>
      <c r="B122" s="221"/>
      <c r="C122" s="109"/>
      <c r="D122" s="277"/>
      <c r="E122" s="65"/>
      <c r="F122" s="227"/>
      <c r="G122" s="65" t="e">
        <f t="shared" si="61"/>
        <v>#N/A</v>
      </c>
      <c r="H122" s="65"/>
      <c r="I122" s="65"/>
      <c r="J122" s="65"/>
      <c r="K122" s="176">
        <f t="shared" si="62"/>
        <v>0</v>
      </c>
      <c r="L122" s="177">
        <f t="shared" si="63"/>
        <v>0</v>
      </c>
      <c r="M122" s="209">
        <f t="shared" si="64"/>
        <v>0</v>
      </c>
      <c r="N122" s="211" t="e">
        <f t="shared" si="65"/>
        <v>#DIV/0!</v>
      </c>
      <c r="O122" s="211" t="e">
        <f t="shared" si="66"/>
        <v>#DIV/0!</v>
      </c>
      <c r="P122" s="176">
        <f t="shared" si="67"/>
        <v>0</v>
      </c>
      <c r="Q122" s="212">
        <f t="shared" si="68"/>
        <v>0</v>
      </c>
      <c r="R122" s="249"/>
      <c r="S122" s="34"/>
      <c r="T122" s="34"/>
      <c r="U122" s="249"/>
      <c r="V122" s="249"/>
      <c r="Y122" s="176">
        <f t="shared" si="69"/>
        <v>0</v>
      </c>
      <c r="Z122" s="210" t="e">
        <f t="shared" si="70"/>
        <v>#DIV/0!</v>
      </c>
      <c r="AA122" s="210" t="e">
        <f t="shared" si="71"/>
        <v>#DIV/0!</v>
      </c>
    </row>
    <row r="123" spans="1:27" x14ac:dyDescent="0.25">
      <c r="A123" s="230"/>
      <c r="B123" s="231"/>
      <c r="C123" s="15"/>
      <c r="D123" s="279"/>
      <c r="E123"/>
      <c r="F123" s="15"/>
      <c r="G123"/>
      <c r="H123"/>
      <c r="I123"/>
      <c r="J123"/>
    </row>
    <row r="124" spans="1:27" x14ac:dyDescent="0.25">
      <c r="A124" s="230"/>
      <c r="B124" s="231"/>
      <c r="C124" s="15"/>
      <c r="D124" s="279"/>
      <c r="E124"/>
      <c r="F124" s="15"/>
      <c r="G124"/>
      <c r="H124"/>
      <c r="I124"/>
      <c r="J124"/>
    </row>
    <row r="125" spans="1:27" x14ac:dyDescent="0.25">
      <c r="A125" s="230"/>
      <c r="B125" s="231"/>
      <c r="C125" s="15"/>
      <c r="D125" s="279"/>
      <c r="E125"/>
      <c r="F125" s="15"/>
      <c r="G125"/>
      <c r="H125"/>
      <c r="I125"/>
      <c r="J125"/>
    </row>
    <row r="126" spans="1:27" x14ac:dyDescent="0.25">
      <c r="A126" s="230"/>
      <c r="B126" s="231"/>
      <c r="C126" s="15"/>
      <c r="D126" s="279"/>
      <c r="E126"/>
      <c r="F126" s="15"/>
      <c r="G126"/>
      <c r="H126"/>
      <c r="I126"/>
      <c r="J126"/>
    </row>
    <row r="127" spans="1:27" x14ac:dyDescent="0.25">
      <c r="A127" s="230"/>
      <c r="B127" s="231"/>
      <c r="C127" s="15"/>
      <c r="D127" s="279"/>
      <c r="E127"/>
      <c r="F127" s="15"/>
      <c r="G127"/>
      <c r="H127"/>
      <c r="I127"/>
      <c r="J127"/>
    </row>
    <row r="128" spans="1:27" x14ac:dyDescent="0.25">
      <c r="A128" s="230"/>
      <c r="B128" s="231"/>
      <c r="C128" s="15"/>
      <c r="D128" s="279"/>
      <c r="E128"/>
      <c r="F128" s="15"/>
      <c r="G128"/>
      <c r="H128"/>
      <c r="I128"/>
      <c r="J128"/>
    </row>
    <row r="129" spans="1:10" x14ac:dyDescent="0.25">
      <c r="A129" s="230"/>
      <c r="B129" s="231"/>
      <c r="C129" s="15"/>
      <c r="D129" s="279"/>
      <c r="E129"/>
      <c r="F129" s="15"/>
      <c r="G129"/>
      <c r="H129"/>
      <c r="I129"/>
      <c r="J129"/>
    </row>
    <row r="130" spans="1:10" x14ac:dyDescent="0.25">
      <c r="A130" s="230"/>
      <c r="B130" s="231"/>
      <c r="C130" s="15"/>
      <c r="D130" s="279"/>
      <c r="E130"/>
      <c r="F130" s="15"/>
      <c r="G130"/>
      <c r="H130"/>
      <c r="I130"/>
      <c r="J130"/>
    </row>
    <row r="131" spans="1:10" x14ac:dyDescent="0.25">
      <c r="A131" s="230"/>
      <c r="B131" s="231"/>
      <c r="C131" s="15"/>
      <c r="D131" s="279"/>
      <c r="E131"/>
      <c r="F131" s="15"/>
      <c r="G131"/>
      <c r="H131"/>
      <c r="I131"/>
      <c r="J131"/>
    </row>
    <row r="132" spans="1:10" x14ac:dyDescent="0.25">
      <c r="A132" s="230"/>
      <c r="B132" s="231"/>
      <c r="C132" s="15"/>
      <c r="D132" s="279"/>
      <c r="E132"/>
      <c r="F132" s="15"/>
      <c r="G132"/>
      <c r="H132"/>
      <c r="I132"/>
      <c r="J132"/>
    </row>
    <row r="133" spans="1:10" x14ac:dyDescent="0.25">
      <c r="A133" s="230"/>
      <c r="B133" s="231"/>
      <c r="C133" s="15"/>
      <c r="D133" s="279"/>
      <c r="E133"/>
      <c r="F133" s="15"/>
      <c r="G133"/>
      <c r="H133"/>
      <c r="I133"/>
      <c r="J133"/>
    </row>
    <row r="134" spans="1:10" x14ac:dyDescent="0.25">
      <c r="A134" s="230"/>
      <c r="B134" s="231"/>
      <c r="C134" s="15"/>
      <c r="D134" s="279"/>
      <c r="E134"/>
      <c r="F134" s="15"/>
      <c r="G134"/>
      <c r="H134"/>
      <c r="I134"/>
      <c r="J134"/>
    </row>
    <row r="135" spans="1:10" x14ac:dyDescent="0.25">
      <c r="A135" s="230"/>
      <c r="B135" s="231"/>
      <c r="C135" s="15"/>
      <c r="D135" s="279"/>
      <c r="E135"/>
      <c r="F135" s="15"/>
      <c r="G135"/>
      <c r="H135"/>
      <c r="I135"/>
      <c r="J135"/>
    </row>
    <row r="136" spans="1:10" x14ac:dyDescent="0.25">
      <c r="A136" s="230"/>
      <c r="B136" s="231"/>
      <c r="C136" s="15"/>
      <c r="D136" s="279"/>
      <c r="E136"/>
      <c r="F136" s="15"/>
      <c r="G136"/>
      <c r="H136"/>
      <c r="I136"/>
      <c r="J136"/>
    </row>
    <row r="137" spans="1:10" x14ac:dyDescent="0.25">
      <c r="A137" s="230"/>
      <c r="B137" s="231"/>
      <c r="C137" s="15"/>
      <c r="D137" s="279"/>
      <c r="E137"/>
      <c r="F137" s="15"/>
      <c r="G137"/>
      <c r="H137"/>
      <c r="I137"/>
      <c r="J137"/>
    </row>
    <row r="138" spans="1:10" x14ac:dyDescent="0.25">
      <c r="A138" s="230"/>
      <c r="B138" s="231"/>
      <c r="C138" s="15"/>
      <c r="D138" s="279"/>
      <c r="E138"/>
      <c r="F138" s="15"/>
      <c r="G138"/>
      <c r="H138"/>
      <c r="I138"/>
      <c r="J138"/>
    </row>
    <row r="139" spans="1:10" x14ac:dyDescent="0.25">
      <c r="A139" s="230"/>
      <c r="B139" s="231"/>
      <c r="C139" s="15"/>
      <c r="D139" s="279"/>
      <c r="E139"/>
      <c r="F139" s="15"/>
      <c r="G139"/>
      <c r="H139"/>
      <c r="I139"/>
      <c r="J139"/>
    </row>
    <row r="140" spans="1:10" x14ac:dyDescent="0.25">
      <c r="A140" s="230"/>
      <c r="B140" s="231"/>
      <c r="C140" s="15"/>
      <c r="D140" s="279"/>
      <c r="E140"/>
      <c r="F140" s="15"/>
      <c r="G140"/>
      <c r="H140"/>
      <c r="I140"/>
      <c r="J140"/>
    </row>
    <row r="141" spans="1:10" x14ac:dyDescent="0.25">
      <c r="A141" s="230"/>
      <c r="B141" s="231"/>
      <c r="C141" s="15"/>
      <c r="D141" s="279"/>
      <c r="E141"/>
      <c r="F141" s="15"/>
      <c r="G141"/>
      <c r="H141"/>
      <c r="I141"/>
      <c r="J141"/>
    </row>
    <row r="142" spans="1:10" x14ac:dyDescent="0.25">
      <c r="A142" s="230"/>
      <c r="B142" s="231"/>
      <c r="C142" s="15"/>
      <c r="D142" s="279"/>
      <c r="E142"/>
      <c r="F142" s="15"/>
      <c r="G142"/>
      <c r="H142"/>
      <c r="I142"/>
      <c r="J142"/>
    </row>
    <row r="143" spans="1:10" x14ac:dyDescent="0.25">
      <c r="A143" s="230"/>
      <c r="B143" s="231"/>
      <c r="C143" s="15"/>
      <c r="D143" s="279"/>
      <c r="E143"/>
      <c r="F143" s="15"/>
      <c r="G143"/>
      <c r="H143"/>
      <c r="I143"/>
      <c r="J143"/>
    </row>
    <row r="144" spans="1:10" x14ac:dyDescent="0.25">
      <c r="A144" s="230"/>
      <c r="B144" s="231"/>
      <c r="C144" s="15"/>
      <c r="D144" s="279"/>
      <c r="E144"/>
      <c r="F144" s="15"/>
      <c r="G144"/>
      <c r="H144"/>
      <c r="I144"/>
      <c r="J144"/>
    </row>
    <row r="145" spans="1:10" x14ac:dyDescent="0.25">
      <c r="A145" s="230"/>
      <c r="B145" s="231"/>
      <c r="C145" s="15"/>
      <c r="D145" s="279"/>
      <c r="E145"/>
      <c r="F145" s="15"/>
      <c r="G145"/>
      <c r="H145"/>
      <c r="I145"/>
      <c r="J145"/>
    </row>
    <row r="146" spans="1:10" x14ac:dyDescent="0.25">
      <c r="A146" s="230"/>
      <c r="B146" s="231"/>
      <c r="C146" s="15"/>
      <c r="D146" s="279"/>
      <c r="E146"/>
      <c r="F146" s="15"/>
      <c r="G146"/>
      <c r="H146"/>
      <c r="I146"/>
      <c r="J146"/>
    </row>
    <row r="147" spans="1:10" x14ac:dyDescent="0.25">
      <c r="A147" s="230"/>
      <c r="B147" s="231"/>
      <c r="C147" s="15"/>
      <c r="D147" s="279"/>
      <c r="E147"/>
      <c r="F147" s="15"/>
      <c r="G147"/>
      <c r="H147"/>
      <c r="I147"/>
      <c r="J147"/>
    </row>
    <row r="148" spans="1:10" x14ac:dyDescent="0.25">
      <c r="A148" s="230"/>
      <c r="B148" s="231"/>
      <c r="C148" s="15"/>
      <c r="D148" s="279"/>
      <c r="E148"/>
      <c r="F148" s="15"/>
      <c r="G148"/>
      <c r="H148"/>
      <c r="I148"/>
      <c r="J148"/>
    </row>
    <row r="149" spans="1:10" x14ac:dyDescent="0.25">
      <c r="A149" s="230"/>
      <c r="B149" s="231"/>
      <c r="C149" s="15"/>
      <c r="D149" s="279"/>
      <c r="E149"/>
      <c r="F149" s="15"/>
      <c r="G149"/>
      <c r="H149"/>
      <c r="I149"/>
      <c r="J149"/>
    </row>
    <row r="150" spans="1:10" x14ac:dyDescent="0.25">
      <c r="A150" s="230"/>
      <c r="B150" s="231"/>
      <c r="C150" s="15"/>
      <c r="D150" s="279"/>
      <c r="E150"/>
      <c r="F150" s="15"/>
      <c r="G150"/>
      <c r="H150"/>
      <c r="I150"/>
      <c r="J150"/>
    </row>
    <row r="151" spans="1:10" x14ac:dyDescent="0.25">
      <c r="A151" s="230"/>
      <c r="B151" s="231"/>
      <c r="C151" s="15"/>
      <c r="D151" s="279"/>
      <c r="E151"/>
      <c r="F151" s="15"/>
      <c r="G151"/>
      <c r="H151"/>
      <c r="I151"/>
      <c r="J151"/>
    </row>
    <row r="152" spans="1:10" x14ac:dyDescent="0.25">
      <c r="A152" s="230"/>
      <c r="B152" s="231"/>
      <c r="C152" s="15"/>
      <c r="D152" s="279"/>
      <c r="E152"/>
      <c r="F152" s="15"/>
      <c r="G152"/>
      <c r="H152"/>
      <c r="I152"/>
      <c r="J152"/>
    </row>
    <row r="153" spans="1:10" x14ac:dyDescent="0.25">
      <c r="A153" s="230"/>
      <c r="B153" s="231"/>
      <c r="C153" s="15"/>
      <c r="D153" s="279"/>
      <c r="E153"/>
      <c r="F153" s="15"/>
      <c r="G153"/>
      <c r="H153"/>
      <c r="I153"/>
      <c r="J153"/>
    </row>
    <row r="154" spans="1:10" x14ac:dyDescent="0.25">
      <c r="A154" s="230"/>
      <c r="B154" s="231"/>
      <c r="C154" s="15"/>
      <c r="D154" s="279"/>
      <c r="E154"/>
      <c r="F154" s="15"/>
      <c r="G154"/>
      <c r="H154"/>
      <c r="I154"/>
      <c r="J154"/>
    </row>
    <row r="155" spans="1:10" x14ac:dyDescent="0.25">
      <c r="A155" s="230"/>
      <c r="B155" s="231"/>
      <c r="C155" s="15"/>
      <c r="D155" s="279"/>
      <c r="E155"/>
      <c r="F155" s="15"/>
      <c r="G155"/>
      <c r="H155"/>
      <c r="I155"/>
      <c r="J155"/>
    </row>
    <row r="156" spans="1:10" x14ac:dyDescent="0.25">
      <c r="A156" s="230"/>
      <c r="B156" s="231"/>
      <c r="C156" s="15"/>
      <c r="D156" s="279"/>
      <c r="E156"/>
      <c r="F156" s="15"/>
      <c r="G156"/>
      <c r="H156"/>
      <c r="I156"/>
      <c r="J156"/>
    </row>
    <row r="157" spans="1:10" x14ac:dyDescent="0.25">
      <c r="A157" s="230"/>
      <c r="B157" s="231"/>
      <c r="C157" s="15"/>
      <c r="D157" s="279"/>
      <c r="E157"/>
      <c r="F157" s="15"/>
      <c r="G157"/>
      <c r="H157"/>
      <c r="I157"/>
      <c r="J157"/>
    </row>
    <row r="158" spans="1:10" x14ac:dyDescent="0.25">
      <c r="A158" s="230"/>
      <c r="B158" s="231"/>
      <c r="C158" s="15"/>
      <c r="D158" s="279"/>
      <c r="E158"/>
      <c r="F158" s="15"/>
      <c r="G158"/>
      <c r="H158"/>
      <c r="I158"/>
      <c r="J158"/>
    </row>
    <row r="159" spans="1:10" x14ac:dyDescent="0.25">
      <c r="A159" s="230"/>
      <c r="B159" s="231"/>
      <c r="C159" s="15"/>
      <c r="D159" s="279"/>
      <c r="E159"/>
      <c r="F159" s="15"/>
      <c r="G159"/>
      <c r="H159"/>
      <c r="I159"/>
      <c r="J159"/>
    </row>
    <row r="160" spans="1:10" x14ac:dyDescent="0.25">
      <c r="A160" s="230"/>
      <c r="B160" s="231"/>
      <c r="C160" s="15"/>
      <c r="D160" s="279"/>
      <c r="E160"/>
      <c r="F160" s="15"/>
      <c r="G160"/>
      <c r="H160"/>
      <c r="I160"/>
      <c r="J160"/>
    </row>
    <row r="161" spans="1:10" x14ac:dyDescent="0.25">
      <c r="A161" s="230"/>
      <c r="B161" s="231"/>
      <c r="C161" s="15"/>
      <c r="D161" s="279"/>
      <c r="E161"/>
      <c r="F161" s="15"/>
      <c r="G161"/>
      <c r="H161"/>
      <c r="I161"/>
      <c r="J161"/>
    </row>
    <row r="162" spans="1:10" x14ac:dyDescent="0.25">
      <c r="A162" s="230"/>
      <c r="B162" s="231"/>
      <c r="C162" s="15"/>
      <c r="D162" s="279"/>
      <c r="E162"/>
      <c r="F162" s="15"/>
      <c r="G162"/>
      <c r="H162"/>
      <c r="I162"/>
      <c r="J162"/>
    </row>
    <row r="163" spans="1:10" x14ac:dyDescent="0.25">
      <c r="A163" s="230"/>
      <c r="B163" s="231"/>
      <c r="C163" s="15"/>
      <c r="D163" s="279"/>
      <c r="E163"/>
      <c r="F163" s="15"/>
      <c r="G163"/>
      <c r="H163"/>
      <c r="I163"/>
      <c r="J163"/>
    </row>
    <row r="164" spans="1:10" x14ac:dyDescent="0.25">
      <c r="A164" s="230"/>
      <c r="B164" s="231"/>
      <c r="C164" s="15"/>
      <c r="D164" s="279"/>
      <c r="E164"/>
      <c r="F164" s="15"/>
      <c r="G164"/>
      <c r="H164"/>
      <c r="I164"/>
      <c r="J164"/>
    </row>
    <row r="165" spans="1:10" x14ac:dyDescent="0.25">
      <c r="A165" s="230"/>
      <c r="B165" s="231"/>
      <c r="C165" s="15"/>
      <c r="D165" s="279"/>
      <c r="E165"/>
      <c r="F165" s="15"/>
      <c r="G165"/>
      <c r="H165"/>
      <c r="I165"/>
      <c r="J165"/>
    </row>
    <row r="166" spans="1:10" x14ac:dyDescent="0.25">
      <c r="A166" s="230"/>
      <c r="B166" s="231"/>
      <c r="C166" s="15"/>
      <c r="D166" s="279"/>
      <c r="E166"/>
      <c r="F166" s="15"/>
      <c r="G166"/>
      <c r="H166"/>
      <c r="I166"/>
      <c r="J166"/>
    </row>
    <row r="167" spans="1:10" x14ac:dyDescent="0.25">
      <c r="A167" s="230"/>
      <c r="B167" s="231"/>
      <c r="C167" s="15"/>
      <c r="D167" s="279"/>
      <c r="E167"/>
      <c r="F167" s="15"/>
      <c r="G167"/>
      <c r="H167"/>
      <c r="I167"/>
      <c r="J167"/>
    </row>
    <row r="168" spans="1:10" x14ac:dyDescent="0.25">
      <c r="A168" s="230"/>
      <c r="B168" s="231"/>
      <c r="C168" s="15"/>
      <c r="D168" s="279"/>
      <c r="E168"/>
      <c r="F168" s="15"/>
      <c r="G168"/>
      <c r="H168"/>
      <c r="I168"/>
      <c r="J168"/>
    </row>
    <row r="169" spans="1:10" x14ac:dyDescent="0.25">
      <c r="A169" s="230"/>
      <c r="B169" s="231"/>
      <c r="C169" s="15"/>
      <c r="D169" s="279"/>
      <c r="E169"/>
      <c r="F169" s="15"/>
      <c r="G169"/>
      <c r="H169"/>
      <c r="I169"/>
      <c r="J169"/>
    </row>
    <row r="170" spans="1:10" x14ac:dyDescent="0.25">
      <c r="A170" s="230"/>
      <c r="B170" s="231"/>
      <c r="C170" s="15"/>
      <c r="D170" s="279"/>
      <c r="E170"/>
      <c r="F170" s="15"/>
      <c r="G170"/>
      <c r="H170"/>
      <c r="I170"/>
      <c r="J170"/>
    </row>
    <row r="171" spans="1:10" x14ac:dyDescent="0.25">
      <c r="A171" s="230"/>
      <c r="B171" s="231"/>
      <c r="C171" s="15"/>
      <c r="D171" s="279"/>
      <c r="E171"/>
      <c r="F171" s="15"/>
      <c r="G171"/>
      <c r="H171"/>
      <c r="I171"/>
      <c r="J171"/>
    </row>
    <row r="172" spans="1:10" x14ac:dyDescent="0.25">
      <c r="A172" s="230"/>
      <c r="B172" s="231"/>
      <c r="C172" s="15"/>
      <c r="D172" s="279"/>
      <c r="E172"/>
      <c r="F172" s="15"/>
      <c r="G172"/>
      <c r="H172"/>
      <c r="I172"/>
      <c r="J172"/>
    </row>
    <row r="173" spans="1:10" x14ac:dyDescent="0.25">
      <c r="A173" s="230"/>
      <c r="B173" s="231"/>
      <c r="C173" s="15"/>
      <c r="D173" s="279"/>
      <c r="E173"/>
      <c r="F173" s="15"/>
      <c r="G173"/>
      <c r="H173"/>
      <c r="I173"/>
      <c r="J173"/>
    </row>
    <row r="174" spans="1:10" x14ac:dyDescent="0.25">
      <c r="A174" s="230"/>
      <c r="B174" s="231"/>
      <c r="C174" s="15"/>
      <c r="D174" s="279"/>
      <c r="E174"/>
      <c r="F174" s="15"/>
      <c r="G174"/>
      <c r="H174"/>
      <c r="I174"/>
      <c r="J174"/>
    </row>
    <row r="175" spans="1:10" x14ac:dyDescent="0.25">
      <c r="A175" s="230"/>
      <c r="B175" s="231"/>
      <c r="C175" s="15"/>
      <c r="D175" s="279"/>
      <c r="E175"/>
      <c r="F175" s="15"/>
      <c r="G175"/>
      <c r="H175"/>
      <c r="I175"/>
      <c r="J175"/>
    </row>
    <row r="176" spans="1:10" x14ac:dyDescent="0.25">
      <c r="A176" s="230"/>
      <c r="B176" s="231"/>
      <c r="C176" s="15"/>
      <c r="D176" s="279"/>
      <c r="E176"/>
      <c r="F176" s="15"/>
      <c r="G176"/>
      <c r="H176"/>
      <c r="I176"/>
      <c r="J176"/>
    </row>
    <row r="177" spans="1:10" x14ac:dyDescent="0.25">
      <c r="A177" s="230"/>
      <c r="B177" s="231"/>
      <c r="C177" s="15"/>
      <c r="D177" s="279"/>
      <c r="E177"/>
      <c r="F177" s="15"/>
      <c r="G177"/>
      <c r="H177"/>
      <c r="I177"/>
      <c r="J177"/>
    </row>
    <row r="178" spans="1:10" x14ac:dyDescent="0.25">
      <c r="A178" s="230"/>
      <c r="B178" s="231"/>
      <c r="C178" s="15"/>
      <c r="D178" s="279"/>
      <c r="E178"/>
      <c r="F178" s="15"/>
      <c r="G178"/>
      <c r="H178"/>
      <c r="I178"/>
      <c r="J178"/>
    </row>
    <row r="179" spans="1:10" x14ac:dyDescent="0.25">
      <c r="A179" s="230"/>
      <c r="B179" s="231"/>
      <c r="C179" s="15"/>
      <c r="D179" s="279"/>
      <c r="E179"/>
      <c r="F179" s="15"/>
      <c r="G179"/>
      <c r="H179"/>
      <c r="I179"/>
      <c r="J179"/>
    </row>
    <row r="180" spans="1:10" x14ac:dyDescent="0.25">
      <c r="A180" s="230"/>
      <c r="B180" s="231"/>
      <c r="C180" s="15"/>
      <c r="D180" s="279"/>
      <c r="E180"/>
      <c r="F180" s="15"/>
      <c r="G180"/>
      <c r="H180"/>
      <c r="I180"/>
      <c r="J180"/>
    </row>
    <row r="181" spans="1:10" x14ac:dyDescent="0.25">
      <c r="A181" s="230"/>
      <c r="B181" s="231"/>
      <c r="C181" s="15"/>
      <c r="D181" s="279"/>
      <c r="E181"/>
      <c r="F181" s="15"/>
      <c r="G181"/>
      <c r="H181"/>
      <c r="I181"/>
      <c r="J181"/>
    </row>
    <row r="182" spans="1:10" x14ac:dyDescent="0.25">
      <c r="A182" s="230"/>
      <c r="B182" s="231"/>
      <c r="C182" s="15"/>
      <c r="D182" s="279"/>
      <c r="E182"/>
      <c r="F182" s="15"/>
      <c r="G182"/>
      <c r="H182"/>
      <c r="I182"/>
      <c r="J182"/>
    </row>
    <row r="183" spans="1:10" x14ac:dyDescent="0.25">
      <c r="A183" s="230"/>
      <c r="B183" s="231"/>
      <c r="C183" s="15"/>
      <c r="D183" s="279"/>
      <c r="E183"/>
      <c r="F183" s="15"/>
      <c r="G183"/>
      <c r="H183"/>
      <c r="I183"/>
      <c r="J183"/>
    </row>
    <row r="184" spans="1:10" x14ac:dyDescent="0.25">
      <c r="A184" s="230"/>
      <c r="B184" s="231"/>
      <c r="C184" s="15"/>
      <c r="D184" s="279"/>
      <c r="E184"/>
      <c r="F184" s="15"/>
      <c r="G184"/>
      <c r="H184"/>
      <c r="I184"/>
      <c r="J184"/>
    </row>
    <row r="185" spans="1:10" x14ac:dyDescent="0.25">
      <c r="A185" s="230"/>
      <c r="B185" s="231"/>
      <c r="C185" s="15"/>
      <c r="D185" s="279"/>
      <c r="E185"/>
      <c r="F185" s="15"/>
      <c r="G185"/>
      <c r="H185"/>
      <c r="I185"/>
      <c r="J185"/>
    </row>
    <row r="186" spans="1:10" x14ac:dyDescent="0.25">
      <c r="A186" s="230"/>
      <c r="B186" s="231"/>
      <c r="C186" s="15"/>
      <c r="D186" s="279"/>
      <c r="E186"/>
      <c r="F186" s="15"/>
      <c r="G186"/>
      <c r="H186"/>
      <c r="I186"/>
      <c r="J186"/>
    </row>
    <row r="187" spans="1:10" x14ac:dyDescent="0.25">
      <c r="A187" s="230"/>
      <c r="B187" s="231"/>
      <c r="C187" s="15"/>
      <c r="D187" s="279"/>
      <c r="E187"/>
      <c r="F187" s="15"/>
      <c r="G187"/>
      <c r="H187"/>
      <c r="I187"/>
      <c r="J187"/>
    </row>
    <row r="188" spans="1:10" x14ac:dyDescent="0.25">
      <c r="A188" s="230"/>
      <c r="B188" s="231"/>
      <c r="C188" s="15"/>
      <c r="D188" s="279"/>
      <c r="E188"/>
      <c r="F188" s="15"/>
      <c r="G188"/>
      <c r="H188"/>
      <c r="I188"/>
      <c r="J188"/>
    </row>
    <row r="189" spans="1:10" x14ac:dyDescent="0.25">
      <c r="A189" s="230"/>
      <c r="B189" s="231"/>
      <c r="C189" s="15"/>
      <c r="D189" s="279"/>
      <c r="E189"/>
      <c r="F189" s="15"/>
      <c r="G189"/>
      <c r="H189"/>
      <c r="I189"/>
      <c r="J189"/>
    </row>
    <row r="190" spans="1:10" x14ac:dyDescent="0.25">
      <c r="A190" s="230"/>
      <c r="B190" s="231"/>
      <c r="C190" s="15"/>
      <c r="D190" s="279"/>
      <c r="E190"/>
      <c r="F190" s="15"/>
      <c r="G190"/>
      <c r="H190"/>
      <c r="I190"/>
      <c r="J190"/>
    </row>
    <row r="191" spans="1:10" x14ac:dyDescent="0.25">
      <c r="A191" s="230"/>
      <c r="B191" s="231"/>
      <c r="C191" s="15"/>
      <c r="D191" s="279"/>
      <c r="E191"/>
      <c r="F191" s="15"/>
      <c r="G191"/>
      <c r="H191"/>
      <c r="I191"/>
      <c r="J191"/>
    </row>
    <row r="192" spans="1:10" x14ac:dyDescent="0.25">
      <c r="A192" s="230"/>
      <c r="B192" s="231"/>
      <c r="C192" s="15"/>
      <c r="D192" s="279"/>
      <c r="E192"/>
      <c r="F192" s="15"/>
      <c r="G192"/>
      <c r="H192"/>
      <c r="I192"/>
      <c r="J192"/>
    </row>
    <row r="193" spans="1:10" x14ac:dyDescent="0.25">
      <c r="A193" s="230"/>
      <c r="B193" s="231"/>
      <c r="C193" s="15"/>
      <c r="D193" s="279"/>
      <c r="E193"/>
      <c r="F193" s="15"/>
      <c r="G193"/>
      <c r="H193"/>
      <c r="I193"/>
      <c r="J193"/>
    </row>
    <row r="194" spans="1:10" x14ac:dyDescent="0.25">
      <c r="A194" s="230"/>
      <c r="B194" s="231"/>
      <c r="C194" s="15"/>
      <c r="D194" s="279"/>
      <c r="E194"/>
      <c r="F194" s="15"/>
      <c r="G194"/>
      <c r="H194"/>
      <c r="I194"/>
      <c r="J194"/>
    </row>
    <row r="195" spans="1:10" x14ac:dyDescent="0.25">
      <c r="A195" s="230"/>
      <c r="B195" s="231"/>
      <c r="C195" s="15"/>
      <c r="D195" s="279"/>
      <c r="E195"/>
      <c r="F195" s="15"/>
      <c r="G195"/>
      <c r="H195"/>
      <c r="I195"/>
      <c r="J195"/>
    </row>
    <row r="196" spans="1:10" x14ac:dyDescent="0.25">
      <c r="A196" s="230"/>
      <c r="B196" s="231"/>
      <c r="C196" s="15"/>
      <c r="D196" s="279"/>
      <c r="E196"/>
      <c r="F196" s="15"/>
      <c r="G196"/>
      <c r="H196"/>
      <c r="I196"/>
      <c r="J196"/>
    </row>
    <row r="197" spans="1:10" x14ac:dyDescent="0.25">
      <c r="A197" s="230"/>
      <c r="B197" s="231"/>
      <c r="C197" s="15"/>
      <c r="D197" s="279"/>
      <c r="E197"/>
      <c r="F197" s="15"/>
      <c r="G197"/>
      <c r="H197"/>
      <c r="I197"/>
      <c r="J197"/>
    </row>
    <row r="198" spans="1:10" x14ac:dyDescent="0.25">
      <c r="A198" s="230"/>
      <c r="B198" s="231"/>
      <c r="C198" s="15"/>
      <c r="D198" s="279"/>
      <c r="E198"/>
      <c r="F198" s="15"/>
      <c r="G198"/>
      <c r="H198"/>
      <c r="I198"/>
      <c r="J198"/>
    </row>
    <row r="199" spans="1:10" x14ac:dyDescent="0.25">
      <c r="A199" s="230"/>
      <c r="B199" s="231"/>
      <c r="C199" s="15"/>
      <c r="D199" s="279"/>
      <c r="E199"/>
      <c r="F199" s="15"/>
      <c r="G199"/>
      <c r="H199"/>
      <c r="I199"/>
      <c r="J199"/>
    </row>
    <row r="200" spans="1:10" x14ac:dyDescent="0.25">
      <c r="A200" s="230"/>
      <c r="B200" s="231"/>
      <c r="C200" s="15"/>
      <c r="D200" s="279"/>
      <c r="E200"/>
      <c r="F200" s="15"/>
      <c r="G200"/>
      <c r="H200"/>
      <c r="I200"/>
      <c r="J200"/>
    </row>
    <row r="201" spans="1:10" x14ac:dyDescent="0.25">
      <c r="A201" s="230"/>
      <c r="B201" s="231"/>
      <c r="C201" s="15"/>
      <c r="D201" s="279"/>
      <c r="E201"/>
      <c r="F201" s="15"/>
      <c r="G201"/>
      <c r="H201"/>
      <c r="I201"/>
      <c r="J201"/>
    </row>
    <row r="202" spans="1:10" x14ac:dyDescent="0.25">
      <c r="A202" s="230"/>
      <c r="B202" s="231"/>
      <c r="C202" s="15"/>
      <c r="D202" s="279"/>
      <c r="E202"/>
      <c r="F202" s="15"/>
      <c r="G202"/>
      <c r="H202"/>
      <c r="I202"/>
      <c r="J202"/>
    </row>
    <row r="203" spans="1:10" x14ac:dyDescent="0.25">
      <c r="A203" s="230"/>
      <c r="B203" s="231"/>
      <c r="C203" s="15"/>
      <c r="D203" s="279"/>
      <c r="E203"/>
      <c r="F203" s="15"/>
      <c r="G203"/>
      <c r="H203"/>
      <c r="I203"/>
      <c r="J203"/>
    </row>
    <row r="204" spans="1:10" x14ac:dyDescent="0.25">
      <c r="A204" s="230"/>
      <c r="B204" s="231"/>
      <c r="C204" s="15"/>
      <c r="D204" s="279"/>
      <c r="E204"/>
      <c r="F204" s="15"/>
      <c r="G204"/>
      <c r="H204"/>
      <c r="I204"/>
      <c r="J204"/>
    </row>
    <row r="205" spans="1:10" x14ac:dyDescent="0.25">
      <c r="A205" s="230"/>
      <c r="B205" s="231"/>
      <c r="C205" s="15"/>
      <c r="D205" s="279"/>
      <c r="E205"/>
      <c r="F205" s="15"/>
      <c r="G205"/>
      <c r="H205"/>
      <c r="I205"/>
      <c r="J205"/>
    </row>
    <row r="206" spans="1:10" x14ac:dyDescent="0.25">
      <c r="A206" s="230"/>
      <c r="B206" s="231"/>
      <c r="C206" s="15"/>
      <c r="D206" s="279"/>
      <c r="E206"/>
      <c r="F206" s="15"/>
      <c r="G206"/>
      <c r="H206"/>
      <c r="I206"/>
      <c r="J206"/>
    </row>
    <row r="207" spans="1:10" x14ac:dyDescent="0.25">
      <c r="A207" s="230"/>
      <c r="B207" s="231"/>
      <c r="C207" s="15"/>
      <c r="D207" s="279"/>
      <c r="E207"/>
      <c r="F207" s="15"/>
      <c r="G207"/>
      <c r="H207"/>
      <c r="I207"/>
      <c r="J207"/>
    </row>
    <row r="208" spans="1:10" x14ac:dyDescent="0.25">
      <c r="A208" s="230"/>
      <c r="B208" s="231"/>
      <c r="C208" s="15"/>
      <c r="D208" s="279"/>
      <c r="E208"/>
      <c r="F208" s="15"/>
      <c r="G208"/>
      <c r="H208"/>
      <c r="I208"/>
      <c r="J208"/>
    </row>
    <row r="209" spans="1:10" x14ac:dyDescent="0.25">
      <c r="A209" s="230"/>
      <c r="B209" s="231"/>
      <c r="C209" s="15"/>
      <c r="D209" s="279"/>
      <c r="E209"/>
      <c r="F209" s="15"/>
      <c r="G209"/>
      <c r="H209"/>
      <c r="I209"/>
      <c r="J209"/>
    </row>
    <row r="210" spans="1:10" x14ac:dyDescent="0.25">
      <c r="A210" s="230"/>
      <c r="B210" s="231"/>
      <c r="C210" s="15"/>
      <c r="D210" s="279"/>
      <c r="E210"/>
      <c r="F210" s="15"/>
      <c r="G210"/>
      <c r="H210"/>
      <c r="I210"/>
      <c r="J210"/>
    </row>
    <row r="211" spans="1:10" x14ac:dyDescent="0.25">
      <c r="A211" s="230"/>
      <c r="B211" s="231"/>
      <c r="C211" s="15"/>
      <c r="D211" s="279"/>
      <c r="E211"/>
      <c r="F211" s="15"/>
      <c r="G211"/>
      <c r="H211"/>
      <c r="I211"/>
      <c r="J211"/>
    </row>
    <row r="212" spans="1:10" x14ac:dyDescent="0.25">
      <c r="A212" s="230"/>
      <c r="B212" s="231"/>
      <c r="C212" s="15"/>
      <c r="D212" s="279"/>
      <c r="E212"/>
      <c r="F212" s="15"/>
      <c r="G212"/>
      <c r="H212"/>
      <c r="I212"/>
      <c r="J212"/>
    </row>
    <row r="213" spans="1:10" x14ac:dyDescent="0.25">
      <c r="A213" s="230"/>
      <c r="B213" s="231"/>
      <c r="C213" s="15"/>
      <c r="D213" s="279"/>
      <c r="E213"/>
      <c r="F213" s="15"/>
      <c r="G213"/>
      <c r="H213"/>
      <c r="I213"/>
      <c r="J213"/>
    </row>
    <row r="214" spans="1:10" x14ac:dyDescent="0.25">
      <c r="A214" s="230"/>
      <c r="B214" s="231"/>
      <c r="C214" s="15"/>
      <c r="D214" s="279"/>
      <c r="E214"/>
      <c r="F214" s="15"/>
      <c r="G214"/>
      <c r="H214"/>
      <c r="I214"/>
      <c r="J214"/>
    </row>
    <row r="215" spans="1:10" x14ac:dyDescent="0.25">
      <c r="A215" s="230"/>
      <c r="B215" s="231"/>
      <c r="C215" s="15"/>
      <c r="D215" s="279"/>
      <c r="E215"/>
      <c r="F215" s="15"/>
      <c r="G215"/>
      <c r="H215"/>
      <c r="I215"/>
      <c r="J215"/>
    </row>
    <row r="216" spans="1:10" x14ac:dyDescent="0.25">
      <c r="A216" s="230"/>
      <c r="B216" s="231"/>
      <c r="C216" s="15"/>
      <c r="D216" s="279"/>
      <c r="E216"/>
      <c r="F216" s="15"/>
      <c r="G216"/>
      <c r="H216"/>
      <c r="I216"/>
      <c r="J216"/>
    </row>
    <row r="217" spans="1:10" x14ac:dyDescent="0.25">
      <c r="A217" s="230"/>
      <c r="B217" s="231"/>
      <c r="C217" s="15"/>
      <c r="D217" s="279"/>
      <c r="E217"/>
      <c r="F217" s="15"/>
      <c r="G217"/>
      <c r="H217"/>
      <c r="I217"/>
      <c r="J217"/>
    </row>
    <row r="218" spans="1:10" x14ac:dyDescent="0.25">
      <c r="A218" s="230"/>
      <c r="B218" s="231"/>
      <c r="C218" s="15"/>
      <c r="D218" s="279"/>
      <c r="E218"/>
      <c r="F218" s="15"/>
      <c r="G218"/>
      <c r="H218"/>
      <c r="I218"/>
      <c r="J218"/>
    </row>
    <row r="219" spans="1:10" x14ac:dyDescent="0.25">
      <c r="A219" s="230"/>
      <c r="B219" s="231"/>
      <c r="C219" s="15"/>
      <c r="D219" s="279"/>
      <c r="E219"/>
      <c r="F219" s="15"/>
      <c r="G219"/>
      <c r="H219"/>
      <c r="I219"/>
      <c r="J219"/>
    </row>
    <row r="220" spans="1:10" x14ac:dyDescent="0.25">
      <c r="A220" s="230"/>
      <c r="B220" s="231"/>
      <c r="C220" s="15"/>
      <c r="D220" s="279"/>
      <c r="E220"/>
      <c r="F220" s="15"/>
      <c r="G220"/>
      <c r="H220"/>
      <c r="I220"/>
      <c r="J220"/>
    </row>
    <row r="221" spans="1:10" x14ac:dyDescent="0.25">
      <c r="A221" s="230"/>
      <c r="B221" s="231"/>
      <c r="C221" s="15"/>
      <c r="D221" s="279"/>
      <c r="E221"/>
      <c r="F221" s="15"/>
      <c r="G221"/>
      <c r="H221"/>
      <c r="I221"/>
      <c r="J221"/>
    </row>
    <row r="222" spans="1:10" x14ac:dyDescent="0.25">
      <c r="A222" s="230"/>
      <c r="B222" s="231"/>
      <c r="C222" s="15"/>
      <c r="D222" s="279"/>
      <c r="E222"/>
      <c r="F222" s="15"/>
      <c r="G222"/>
      <c r="H222"/>
      <c r="I222"/>
      <c r="J222"/>
    </row>
    <row r="223" spans="1:10" x14ac:dyDescent="0.25">
      <c r="A223" s="230"/>
      <c r="B223" s="231"/>
      <c r="C223" s="15"/>
      <c r="D223" s="279"/>
      <c r="E223"/>
      <c r="F223" s="15"/>
      <c r="G223"/>
      <c r="H223"/>
      <c r="I223"/>
      <c r="J223"/>
    </row>
    <row r="224" spans="1:10" x14ac:dyDescent="0.25">
      <c r="A224" s="230"/>
      <c r="B224" s="231"/>
      <c r="C224" s="15"/>
      <c r="D224" s="279"/>
      <c r="E224"/>
      <c r="F224" s="15"/>
      <c r="G224"/>
      <c r="H224"/>
      <c r="I224"/>
      <c r="J224"/>
    </row>
    <row r="225" spans="1:10" x14ac:dyDescent="0.25">
      <c r="A225" s="230"/>
      <c r="B225" s="231"/>
      <c r="C225" s="15"/>
      <c r="D225" s="279"/>
      <c r="E225"/>
      <c r="F225" s="15"/>
      <c r="G225"/>
      <c r="H225"/>
      <c r="I225"/>
      <c r="J225"/>
    </row>
    <row r="226" spans="1:10" x14ac:dyDescent="0.25">
      <c r="A226" s="230"/>
      <c r="B226" s="231"/>
      <c r="C226" s="15"/>
      <c r="D226" s="279"/>
      <c r="E226"/>
      <c r="F226" s="15"/>
      <c r="G226"/>
      <c r="H226"/>
      <c r="I226"/>
      <c r="J226"/>
    </row>
    <row r="227" spans="1:10" x14ac:dyDescent="0.25">
      <c r="A227" s="230"/>
      <c r="B227" s="231"/>
      <c r="C227" s="15"/>
      <c r="D227" s="279"/>
      <c r="E227"/>
      <c r="F227" s="15"/>
      <c r="G227"/>
      <c r="H227"/>
      <c r="I227"/>
      <c r="J227"/>
    </row>
    <row r="228" spans="1:10" x14ac:dyDescent="0.25">
      <c r="A228" s="230"/>
      <c r="B228" s="231"/>
      <c r="C228" s="15"/>
      <c r="D228" s="279"/>
      <c r="E228"/>
      <c r="F228" s="15"/>
      <c r="G228"/>
      <c r="H228"/>
      <c r="I228"/>
      <c r="J228"/>
    </row>
    <row r="229" spans="1:10" x14ac:dyDescent="0.25">
      <c r="A229" s="230"/>
      <c r="B229" s="231"/>
      <c r="C229" s="15"/>
      <c r="D229" s="279"/>
      <c r="E229"/>
      <c r="F229" s="15"/>
      <c r="G229"/>
      <c r="H229"/>
      <c r="I229"/>
      <c r="J229"/>
    </row>
    <row r="230" spans="1:10" x14ac:dyDescent="0.25">
      <c r="A230" s="230"/>
      <c r="B230" s="231"/>
      <c r="C230" s="15"/>
      <c r="D230" s="279"/>
      <c r="E230"/>
      <c r="F230" s="15"/>
      <c r="G230"/>
      <c r="H230"/>
      <c r="I230"/>
      <c r="J230"/>
    </row>
    <row r="231" spans="1:10" x14ac:dyDescent="0.25">
      <c r="A231" s="230"/>
      <c r="B231" s="231"/>
      <c r="C231" s="15"/>
      <c r="D231" s="279"/>
      <c r="E231"/>
      <c r="F231" s="15"/>
      <c r="G231"/>
      <c r="H231"/>
      <c r="I231"/>
      <c r="J231"/>
    </row>
    <row r="232" spans="1:10" x14ac:dyDescent="0.25">
      <c r="A232" s="230"/>
      <c r="B232" s="231"/>
      <c r="C232" s="15"/>
      <c r="D232" s="279"/>
      <c r="E232"/>
      <c r="F232" s="15"/>
      <c r="G232"/>
      <c r="H232"/>
      <c r="I232"/>
      <c r="J232"/>
    </row>
    <row r="233" spans="1:10" x14ac:dyDescent="0.25">
      <c r="A233" s="230"/>
      <c r="B233" s="231"/>
      <c r="C233" s="15"/>
      <c r="D233" s="279"/>
      <c r="E233"/>
      <c r="F233" s="15"/>
      <c r="G233"/>
      <c r="H233"/>
      <c r="I233"/>
      <c r="J233"/>
    </row>
    <row r="234" spans="1:10" x14ac:dyDescent="0.25">
      <c r="A234" s="230"/>
      <c r="B234" s="231"/>
      <c r="C234" s="15"/>
      <c r="D234" s="279"/>
      <c r="E234"/>
      <c r="F234" s="15"/>
      <c r="G234"/>
      <c r="H234"/>
      <c r="I234"/>
      <c r="J234"/>
    </row>
    <row r="235" spans="1:10" x14ac:dyDescent="0.25">
      <c r="A235" s="230"/>
      <c r="B235" s="231"/>
      <c r="C235" s="15"/>
      <c r="D235" s="279"/>
      <c r="E235"/>
      <c r="F235" s="15"/>
      <c r="G235"/>
      <c r="H235"/>
      <c r="I235"/>
      <c r="J235"/>
    </row>
    <row r="236" spans="1:10" x14ac:dyDescent="0.25">
      <c r="A236" s="230"/>
      <c r="B236" s="231"/>
      <c r="C236" s="15"/>
      <c r="D236" s="279"/>
      <c r="E236"/>
      <c r="F236" s="15"/>
      <c r="G236"/>
      <c r="H236"/>
      <c r="I236"/>
      <c r="J236"/>
    </row>
    <row r="237" spans="1:10" x14ac:dyDescent="0.25">
      <c r="A237" s="230"/>
      <c r="B237" s="231"/>
      <c r="C237" s="15"/>
      <c r="D237" s="279"/>
      <c r="E237"/>
      <c r="F237" s="15"/>
      <c r="G237"/>
      <c r="H237"/>
      <c r="I237"/>
      <c r="J237"/>
    </row>
    <row r="238" spans="1:10" x14ac:dyDescent="0.25">
      <c r="A238" s="230"/>
      <c r="B238" s="231"/>
      <c r="C238" s="15"/>
      <c r="D238" s="279"/>
      <c r="E238"/>
      <c r="F238" s="15"/>
      <c r="G238"/>
      <c r="H238"/>
      <c r="I238"/>
      <c r="J238"/>
    </row>
    <row r="239" spans="1:10" x14ac:dyDescent="0.25">
      <c r="A239" s="230"/>
      <c r="B239" s="231"/>
      <c r="C239" s="15"/>
      <c r="D239" s="279"/>
      <c r="E239"/>
      <c r="F239" s="15"/>
      <c r="G239"/>
      <c r="H239"/>
      <c r="I239"/>
      <c r="J239"/>
    </row>
    <row r="240" spans="1:10" x14ac:dyDescent="0.25">
      <c r="A240" s="230"/>
      <c r="B240" s="231"/>
      <c r="C240" s="15"/>
      <c r="D240" s="279"/>
      <c r="E240"/>
      <c r="F240" s="15"/>
      <c r="G240"/>
      <c r="H240"/>
      <c r="I240"/>
      <c r="J240"/>
    </row>
    <row r="241" spans="1:10" x14ac:dyDescent="0.25">
      <c r="A241" s="230"/>
      <c r="B241" s="231"/>
      <c r="C241" s="15"/>
      <c r="D241" s="279"/>
      <c r="E241"/>
      <c r="F241" s="15"/>
      <c r="G241"/>
      <c r="H241"/>
      <c r="I241"/>
      <c r="J241"/>
    </row>
    <row r="242" spans="1:10" x14ac:dyDescent="0.25">
      <c r="A242" s="230"/>
      <c r="B242" s="231"/>
      <c r="C242" s="15"/>
      <c r="D242" s="279"/>
      <c r="E242"/>
      <c r="F242" s="15"/>
      <c r="G242"/>
      <c r="H242"/>
      <c r="I242"/>
      <c r="J242"/>
    </row>
    <row r="243" spans="1:10" x14ac:dyDescent="0.25">
      <c r="A243" s="230"/>
      <c r="B243" s="231"/>
      <c r="C243" s="15"/>
      <c r="D243" s="279"/>
      <c r="E243"/>
      <c r="F243" s="15"/>
      <c r="G243"/>
      <c r="H243"/>
      <c r="I243"/>
      <c r="J243"/>
    </row>
    <row r="244" spans="1:10" x14ac:dyDescent="0.25">
      <c r="A244" s="230"/>
      <c r="B244" s="231"/>
      <c r="C244" s="15"/>
      <c r="D244" s="279"/>
      <c r="E244"/>
      <c r="F244" s="15"/>
      <c r="G244"/>
      <c r="H244"/>
      <c r="I244"/>
      <c r="J244"/>
    </row>
    <row r="245" spans="1:10" x14ac:dyDescent="0.25">
      <c r="A245" s="230"/>
      <c r="B245" s="231"/>
      <c r="C245" s="15"/>
      <c r="D245" s="279"/>
      <c r="E245"/>
      <c r="F245" s="15"/>
      <c r="G245"/>
      <c r="H245"/>
      <c r="I245"/>
      <c r="J245"/>
    </row>
    <row r="246" spans="1:10" x14ac:dyDescent="0.25">
      <c r="A246" s="230"/>
      <c r="B246" s="231"/>
      <c r="C246" s="15"/>
      <c r="D246" s="279"/>
      <c r="E246"/>
      <c r="F246" s="15"/>
      <c r="G246"/>
      <c r="H246"/>
      <c r="I246"/>
      <c r="J246"/>
    </row>
    <row r="247" spans="1:10" x14ac:dyDescent="0.25">
      <c r="A247" s="230"/>
      <c r="B247" s="231"/>
      <c r="C247" s="15"/>
      <c r="D247" s="279"/>
      <c r="E247"/>
      <c r="F247" s="15"/>
      <c r="G247"/>
      <c r="H247"/>
      <c r="I247"/>
      <c r="J247"/>
    </row>
    <row r="248" spans="1:10" x14ac:dyDescent="0.25">
      <c r="A248" s="230"/>
      <c r="B248" s="231"/>
      <c r="C248" s="15"/>
      <c r="D248" s="279"/>
      <c r="E248"/>
      <c r="F248" s="15"/>
      <c r="G248"/>
      <c r="H248"/>
      <c r="I248"/>
      <c r="J248"/>
    </row>
    <row r="249" spans="1:10" x14ac:dyDescent="0.25">
      <c r="A249" s="230"/>
      <c r="B249" s="231"/>
      <c r="C249" s="15"/>
      <c r="D249" s="279"/>
      <c r="E249"/>
      <c r="F249" s="15"/>
      <c r="G249"/>
      <c r="H249"/>
      <c r="I249"/>
      <c r="J249"/>
    </row>
    <row r="250" spans="1:10" x14ac:dyDescent="0.25">
      <c r="A250" s="230"/>
      <c r="B250" s="231"/>
      <c r="C250" s="15"/>
      <c r="D250" s="279"/>
      <c r="E250"/>
      <c r="F250" s="15"/>
      <c r="G250"/>
      <c r="H250"/>
      <c r="I250"/>
      <c r="J250"/>
    </row>
    <row r="251" spans="1:10" x14ac:dyDescent="0.25">
      <c r="A251" s="230"/>
      <c r="B251" s="231"/>
      <c r="C251" s="15"/>
      <c r="D251" s="279"/>
      <c r="E251"/>
      <c r="F251" s="15"/>
      <c r="G251"/>
      <c r="H251"/>
      <c r="I251"/>
      <c r="J251"/>
    </row>
    <row r="252" spans="1:10" x14ac:dyDescent="0.25">
      <c r="A252" s="230"/>
      <c r="B252" s="231"/>
      <c r="C252" s="15"/>
      <c r="D252" s="279"/>
      <c r="E252"/>
      <c r="F252" s="15"/>
      <c r="G252"/>
      <c r="H252"/>
      <c r="I252"/>
      <c r="J252"/>
    </row>
    <row r="253" spans="1:10" x14ac:dyDescent="0.25">
      <c r="A253" s="230"/>
      <c r="B253" s="231"/>
      <c r="C253" s="15"/>
      <c r="D253" s="279"/>
      <c r="E253"/>
      <c r="F253" s="15"/>
      <c r="G253"/>
      <c r="H253"/>
      <c r="I253"/>
      <c r="J253"/>
    </row>
    <row r="254" spans="1:10" x14ac:dyDescent="0.25">
      <c r="A254" s="230"/>
      <c r="B254" s="231"/>
      <c r="C254" s="15"/>
      <c r="D254" s="279"/>
      <c r="E254"/>
      <c r="F254" s="15"/>
      <c r="G254"/>
      <c r="H254"/>
      <c r="I254"/>
      <c r="J254"/>
    </row>
    <row r="255" spans="1:10" x14ac:dyDescent="0.25">
      <c r="A255" s="230"/>
      <c r="B255" s="231"/>
      <c r="C255" s="15"/>
      <c r="D255" s="279"/>
      <c r="E255"/>
      <c r="F255" s="15"/>
      <c r="G255"/>
      <c r="H255"/>
      <c r="I255"/>
      <c r="J255"/>
    </row>
    <row r="256" spans="1:10" x14ac:dyDescent="0.25">
      <c r="A256" s="230"/>
      <c r="B256" s="231"/>
      <c r="C256" s="15"/>
      <c r="D256" s="279"/>
      <c r="E256"/>
      <c r="F256" s="15"/>
      <c r="G256"/>
      <c r="H256"/>
      <c r="I256"/>
      <c r="J256"/>
    </row>
    <row r="257" spans="1:10" x14ac:dyDescent="0.25">
      <c r="A257" s="230"/>
      <c r="B257" s="231"/>
      <c r="C257" s="15"/>
      <c r="D257" s="279"/>
      <c r="E257"/>
      <c r="F257" s="15"/>
      <c r="G257"/>
      <c r="H257"/>
      <c r="I257"/>
      <c r="J257"/>
    </row>
    <row r="258" spans="1:10" x14ac:dyDescent="0.25">
      <c r="A258" s="230"/>
      <c r="B258" s="231"/>
      <c r="C258" s="15"/>
      <c r="D258" s="279"/>
      <c r="E258"/>
      <c r="F258" s="15"/>
      <c r="G258"/>
      <c r="H258"/>
      <c r="I258"/>
      <c r="J258"/>
    </row>
    <row r="259" spans="1:10" x14ac:dyDescent="0.25">
      <c r="A259" s="230"/>
      <c r="B259" s="231"/>
      <c r="C259" s="15"/>
      <c r="D259" s="279"/>
      <c r="E259"/>
      <c r="F259" s="15"/>
      <c r="G259"/>
      <c r="H259"/>
      <c r="I259"/>
      <c r="J259"/>
    </row>
    <row r="260" spans="1:10" x14ac:dyDescent="0.25">
      <c r="A260" s="230"/>
      <c r="B260" s="231"/>
      <c r="C260" s="15"/>
      <c r="D260" s="279"/>
      <c r="E260"/>
      <c r="F260" s="15"/>
      <c r="G260"/>
      <c r="H260"/>
      <c r="I260"/>
      <c r="J260"/>
    </row>
    <row r="261" spans="1:10" x14ac:dyDescent="0.25">
      <c r="A261" s="230"/>
      <c r="B261" s="231"/>
      <c r="C261" s="15"/>
      <c r="D261" s="279"/>
      <c r="E261"/>
      <c r="F261" s="15"/>
      <c r="G261"/>
      <c r="H261"/>
      <c r="I261"/>
      <c r="J261"/>
    </row>
    <row r="262" spans="1:10" x14ac:dyDescent="0.25">
      <c r="A262" s="230"/>
      <c r="B262" s="231"/>
      <c r="C262" s="15"/>
      <c r="D262" s="279"/>
      <c r="E262"/>
      <c r="F262" s="15"/>
      <c r="G262"/>
      <c r="H262"/>
      <c r="I262"/>
      <c r="J262"/>
    </row>
    <row r="263" spans="1:10" x14ac:dyDescent="0.25">
      <c r="A263" s="230"/>
      <c r="B263" s="231"/>
      <c r="C263" s="15"/>
      <c r="D263" s="279"/>
      <c r="E263"/>
      <c r="F263" s="15"/>
      <c r="G263"/>
      <c r="H263"/>
      <c r="I263"/>
      <c r="J263"/>
    </row>
    <row r="264" spans="1:10" x14ac:dyDescent="0.25">
      <c r="A264" s="230"/>
      <c r="B264" s="231"/>
      <c r="C264" s="15"/>
      <c r="D264" s="279"/>
      <c r="E264"/>
      <c r="F264" s="15"/>
      <c r="G264"/>
      <c r="H264"/>
      <c r="I264"/>
      <c r="J264"/>
    </row>
    <row r="265" spans="1:10" x14ac:dyDescent="0.25">
      <c r="A265" s="230"/>
      <c r="B265" s="231"/>
      <c r="C265" s="15"/>
      <c r="D265" s="279"/>
      <c r="E265"/>
      <c r="F265" s="15"/>
      <c r="G265"/>
      <c r="H265"/>
      <c r="I265"/>
      <c r="J265"/>
    </row>
    <row r="266" spans="1:10" x14ac:dyDescent="0.25">
      <c r="A266" s="230"/>
      <c r="B266" s="231"/>
      <c r="C266" s="15"/>
      <c r="D266" s="279"/>
      <c r="E266"/>
      <c r="F266" s="15"/>
      <c r="G266"/>
      <c r="H266"/>
      <c r="I266"/>
      <c r="J266"/>
    </row>
    <row r="267" spans="1:10" x14ac:dyDescent="0.25">
      <c r="A267" s="230"/>
      <c r="B267" s="231"/>
      <c r="C267" s="15"/>
      <c r="D267" s="279"/>
      <c r="E267"/>
      <c r="F267" s="15"/>
      <c r="G267"/>
      <c r="H267"/>
      <c r="I267"/>
      <c r="J267"/>
    </row>
    <row r="268" spans="1:10" x14ac:dyDescent="0.25">
      <c r="A268" s="230"/>
      <c r="B268" s="231"/>
      <c r="C268" s="15"/>
      <c r="D268" s="279"/>
      <c r="E268"/>
      <c r="F268" s="15"/>
      <c r="G268"/>
      <c r="H268"/>
      <c r="I268"/>
      <c r="J268"/>
    </row>
    <row r="269" spans="1:10" x14ac:dyDescent="0.25">
      <c r="A269" s="230"/>
      <c r="B269" s="231"/>
      <c r="C269" s="15"/>
      <c r="D269" s="279"/>
      <c r="E269"/>
      <c r="F269" s="15"/>
      <c r="G269"/>
      <c r="H269"/>
      <c r="I269"/>
      <c r="J269"/>
    </row>
    <row r="270" spans="1:10" x14ac:dyDescent="0.25">
      <c r="A270" s="230"/>
      <c r="B270" s="231"/>
      <c r="C270" s="15"/>
      <c r="D270" s="279"/>
      <c r="E270"/>
      <c r="F270" s="15"/>
      <c r="G270"/>
      <c r="H270"/>
      <c r="I270"/>
      <c r="J270"/>
    </row>
    <row r="271" spans="1:10" x14ac:dyDescent="0.25">
      <c r="A271" s="230"/>
      <c r="B271" s="231"/>
      <c r="C271" s="15"/>
      <c r="D271" s="279"/>
      <c r="E271"/>
      <c r="F271" s="15"/>
      <c r="G271"/>
      <c r="H271"/>
      <c r="I271"/>
      <c r="J271"/>
    </row>
    <row r="272" spans="1:10" x14ac:dyDescent="0.25">
      <c r="A272" s="230"/>
      <c r="B272" s="231"/>
      <c r="C272" s="15"/>
      <c r="D272" s="279"/>
      <c r="E272"/>
      <c r="F272" s="15"/>
      <c r="G272"/>
      <c r="H272"/>
      <c r="I272"/>
      <c r="J272"/>
    </row>
    <row r="273" spans="1:10" x14ac:dyDescent="0.25">
      <c r="A273" s="230"/>
      <c r="B273" s="231"/>
      <c r="C273" s="15"/>
      <c r="D273" s="279"/>
      <c r="E273"/>
      <c r="F273" s="15"/>
      <c r="G273"/>
      <c r="H273"/>
      <c r="I273"/>
      <c r="J273"/>
    </row>
    <row r="274" spans="1:10" x14ac:dyDescent="0.25">
      <c r="A274" s="230"/>
      <c r="B274" s="231"/>
      <c r="C274" s="15"/>
      <c r="D274" s="279"/>
      <c r="E274"/>
      <c r="F274" s="15"/>
      <c r="G274"/>
      <c r="H274"/>
      <c r="I274"/>
      <c r="J274"/>
    </row>
    <row r="275" spans="1:10" x14ac:dyDescent="0.25">
      <c r="A275" s="230"/>
      <c r="B275" s="231"/>
      <c r="C275" s="15"/>
      <c r="D275" s="279"/>
      <c r="E275"/>
      <c r="F275" s="15"/>
      <c r="G275"/>
      <c r="H275"/>
      <c r="I275"/>
      <c r="J275"/>
    </row>
    <row r="276" spans="1:10" x14ac:dyDescent="0.25">
      <c r="A276" s="230"/>
      <c r="B276" s="231"/>
      <c r="C276" s="15"/>
      <c r="D276" s="279"/>
      <c r="E276"/>
      <c r="F276" s="15"/>
      <c r="G276"/>
      <c r="H276"/>
      <c r="I276"/>
      <c r="J276"/>
    </row>
    <row r="277" spans="1:10" x14ac:dyDescent="0.25">
      <c r="A277" s="230"/>
      <c r="B277" s="231"/>
      <c r="C277" s="15"/>
      <c r="D277" s="279"/>
      <c r="E277"/>
      <c r="F277" s="15"/>
      <c r="G277"/>
      <c r="H277"/>
      <c r="I277"/>
      <c r="J277"/>
    </row>
    <row r="278" spans="1:10" x14ac:dyDescent="0.25">
      <c r="A278" s="230"/>
      <c r="B278" s="231"/>
      <c r="C278" s="15"/>
      <c r="D278" s="279"/>
      <c r="E278"/>
      <c r="F278" s="15"/>
      <c r="G278"/>
      <c r="H278"/>
      <c r="I278"/>
      <c r="J278"/>
    </row>
    <row r="279" spans="1:10" x14ac:dyDescent="0.25">
      <c r="A279" s="230"/>
      <c r="B279" s="231"/>
      <c r="C279" s="15"/>
      <c r="D279" s="279"/>
      <c r="E279"/>
      <c r="F279" s="15"/>
      <c r="G279"/>
      <c r="H279"/>
      <c r="I279"/>
      <c r="J279"/>
    </row>
    <row r="280" spans="1:10" x14ac:dyDescent="0.25">
      <c r="A280" s="230"/>
      <c r="B280" s="231"/>
      <c r="C280" s="15"/>
      <c r="D280" s="279"/>
      <c r="E280"/>
      <c r="F280" s="15"/>
      <c r="G280"/>
      <c r="H280"/>
      <c r="I280"/>
      <c r="J280"/>
    </row>
    <row r="281" spans="1:10" x14ac:dyDescent="0.25">
      <c r="A281" s="230"/>
      <c r="B281" s="231"/>
      <c r="C281" s="15"/>
      <c r="D281" s="279"/>
      <c r="E281"/>
      <c r="F281" s="15"/>
      <c r="G281"/>
      <c r="H281"/>
      <c r="I281"/>
      <c r="J281"/>
    </row>
    <row r="282" spans="1:10" x14ac:dyDescent="0.25">
      <c r="A282" s="230"/>
      <c r="B282" s="231"/>
      <c r="C282" s="15"/>
      <c r="D282" s="279"/>
      <c r="E282"/>
      <c r="F282" s="15"/>
      <c r="G282"/>
      <c r="H282"/>
      <c r="I282"/>
      <c r="J282"/>
    </row>
    <row r="283" spans="1:10" x14ac:dyDescent="0.25">
      <c r="A283" s="230"/>
      <c r="B283" s="231"/>
      <c r="C283" s="15"/>
      <c r="D283" s="279"/>
      <c r="E283"/>
      <c r="F283" s="15"/>
      <c r="G283"/>
      <c r="H283"/>
      <c r="I283"/>
      <c r="J283"/>
    </row>
    <row r="284" spans="1:10" x14ac:dyDescent="0.25">
      <c r="A284" s="230"/>
      <c r="B284" s="231"/>
      <c r="C284" s="15"/>
      <c r="D284" s="279"/>
      <c r="E284"/>
      <c r="F284" s="15"/>
      <c r="G284"/>
      <c r="H284"/>
      <c r="I284"/>
      <c r="J284"/>
    </row>
    <row r="285" spans="1:10" x14ac:dyDescent="0.25">
      <c r="A285" s="230"/>
      <c r="B285" s="231"/>
      <c r="C285" s="15"/>
      <c r="D285" s="279"/>
      <c r="E285"/>
      <c r="F285" s="15"/>
      <c r="G285"/>
      <c r="H285"/>
      <c r="I285"/>
      <c r="J285"/>
    </row>
    <row r="286" spans="1:10" x14ac:dyDescent="0.25">
      <c r="A286" s="230"/>
      <c r="B286" s="231"/>
      <c r="C286" s="15"/>
      <c r="D286" s="279"/>
      <c r="E286"/>
      <c r="F286" s="15"/>
      <c r="G286"/>
      <c r="H286"/>
      <c r="I286"/>
      <c r="J286"/>
    </row>
    <row r="287" spans="1:10" x14ac:dyDescent="0.25">
      <c r="A287" s="230"/>
      <c r="B287" s="231"/>
      <c r="C287" s="15"/>
      <c r="D287" s="279"/>
      <c r="E287"/>
      <c r="F287" s="15"/>
      <c r="G287"/>
      <c r="H287"/>
      <c r="I287"/>
      <c r="J287"/>
    </row>
    <row r="288" spans="1:10" x14ac:dyDescent="0.25">
      <c r="A288" s="230"/>
      <c r="B288" s="231"/>
      <c r="C288" s="15"/>
      <c r="D288" s="279"/>
      <c r="E288"/>
      <c r="F288" s="15"/>
      <c r="G288"/>
      <c r="H288"/>
      <c r="I288"/>
      <c r="J288"/>
    </row>
    <row r="289" spans="1:10" x14ac:dyDescent="0.25">
      <c r="A289" s="230"/>
      <c r="B289" s="231"/>
      <c r="C289" s="15"/>
      <c r="D289" s="279"/>
      <c r="E289"/>
      <c r="F289" s="15"/>
      <c r="G289"/>
      <c r="H289"/>
      <c r="I289"/>
      <c r="J289"/>
    </row>
    <row r="290" spans="1:10" x14ac:dyDescent="0.25">
      <c r="A290" s="230"/>
      <c r="B290" s="231"/>
      <c r="C290" s="15"/>
      <c r="D290" s="279"/>
      <c r="E290"/>
      <c r="F290" s="15"/>
      <c r="G290"/>
      <c r="H290"/>
      <c r="I290"/>
      <c r="J290"/>
    </row>
    <row r="291" spans="1:10" x14ac:dyDescent="0.25">
      <c r="A291" s="230"/>
      <c r="B291" s="231"/>
      <c r="C291" s="15"/>
      <c r="D291" s="279"/>
      <c r="E291"/>
      <c r="F291" s="15"/>
      <c r="G291"/>
      <c r="H291"/>
      <c r="I291"/>
      <c r="J291"/>
    </row>
  </sheetData>
  <autoFilter ref="A3:AE17" xr:uid="{00000000-0009-0000-0000-000002000000}"/>
  <mergeCells count="29">
    <mergeCell ref="W11:W12"/>
    <mergeCell ref="W14:W16"/>
    <mergeCell ref="R14:R16"/>
    <mergeCell ref="S14:S16"/>
    <mergeCell ref="T14:T16"/>
    <mergeCell ref="U14:U16"/>
    <mergeCell ref="V14:V16"/>
    <mergeCell ref="R11:R12"/>
    <mergeCell ref="S11:S12"/>
    <mergeCell ref="T11:T12"/>
    <mergeCell ref="U11:U12"/>
    <mergeCell ref="V11:V12"/>
    <mergeCell ref="H2:L2"/>
    <mergeCell ref="M2:Q2"/>
    <mergeCell ref="R2:V2"/>
    <mergeCell ref="Y2:AA2"/>
    <mergeCell ref="W2:W3"/>
    <mergeCell ref="W4:W7"/>
    <mergeCell ref="U8:U10"/>
    <mergeCell ref="V8:V10"/>
    <mergeCell ref="R8:R10"/>
    <mergeCell ref="S8:S10"/>
    <mergeCell ref="T8:T10"/>
    <mergeCell ref="R4:R7"/>
    <mergeCell ref="S4:S7"/>
    <mergeCell ref="T4:T7"/>
    <mergeCell ref="U4:U7"/>
    <mergeCell ref="V4:V7"/>
    <mergeCell ref="W8:W10"/>
  </mergeCells>
  <conditionalFormatting sqref="N4:O122 E8:E11">
    <cfRule type="expression" dxfId="52" priority="1">
      <formula>$E4="M"</formula>
    </cfRule>
    <cfRule type="expression" dxfId="51" priority="2">
      <formula>$E4="C"</formula>
    </cfRule>
  </conditionalFormatting>
  <dataValidations count="1">
    <dataValidation type="textLength" operator="equal" allowBlank="1" showInputMessage="1" showErrorMessage="1" sqref="F1:F1048576" xr:uid="{00000000-0002-0000-0200-000000000000}">
      <formula1>4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AF769"/>
  <sheetViews>
    <sheetView zoomScale="85" zoomScaleNormal="85" workbookViewId="0">
      <pane xSplit="2" ySplit="3" topLeftCell="C106" activePane="bottomRight" state="frozen"/>
      <selection pane="topRight" activeCell="C1" sqref="C1"/>
      <selection pane="bottomLeft" activeCell="A4" sqref="A4"/>
      <selection pane="bottomRight" activeCell="X129" sqref="X129:Z129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147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21" width="9.28515625" style="256" customWidth="1"/>
    <col min="22" max="22" width="10.42578125" style="256" customWidth="1"/>
    <col min="23" max="25" width="6.7109375" customWidth="1"/>
    <col min="26" max="26" width="7.7109375" bestFit="1" customWidth="1"/>
    <col min="27" max="27" width="9.5703125" bestFit="1" customWidth="1"/>
    <col min="30" max="30" width="8.5703125" bestFit="1" customWidth="1"/>
  </cols>
  <sheetData>
    <row r="1" spans="1:32" s="166" customFormat="1" ht="13.5" thickBot="1" x14ac:dyDescent="0.25">
      <c r="A1" s="188"/>
      <c r="B1" s="188"/>
      <c r="C1" s="189"/>
      <c r="D1" s="190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12"/>
      <c r="S1" s="112"/>
      <c r="T1" s="112"/>
      <c r="U1" s="112"/>
      <c r="V1" s="189"/>
    </row>
    <row r="2" spans="1:32" s="166" customFormat="1" ht="14.45" customHeight="1" thickBot="1" x14ac:dyDescent="0.25">
      <c r="A2" s="193"/>
      <c r="B2" s="194"/>
      <c r="C2" s="195"/>
      <c r="D2" s="196"/>
      <c r="E2" s="197"/>
      <c r="F2" s="198"/>
      <c r="G2" s="199"/>
      <c r="H2" s="334" t="s">
        <v>93</v>
      </c>
      <c r="I2" s="335"/>
      <c r="J2" s="335"/>
      <c r="K2" s="335"/>
      <c r="L2" s="336"/>
      <c r="M2" s="337" t="s">
        <v>94</v>
      </c>
      <c r="N2" s="338"/>
      <c r="O2" s="338"/>
      <c r="P2" s="338"/>
      <c r="Q2" s="339"/>
      <c r="R2" s="340" t="s">
        <v>95</v>
      </c>
      <c r="S2" s="340"/>
      <c r="T2" s="340"/>
      <c r="U2" s="340"/>
      <c r="V2" s="341"/>
      <c r="X2" s="342" t="s">
        <v>96</v>
      </c>
      <c r="Y2" s="342"/>
      <c r="Z2" s="342"/>
    </row>
    <row r="3" spans="1:32" s="172" customFormat="1" ht="12.75" x14ac:dyDescent="0.2">
      <c r="A3" s="200" t="s">
        <v>69</v>
      </c>
      <c r="B3" s="201" t="s">
        <v>97</v>
      </c>
      <c r="C3" s="201" t="s">
        <v>98</v>
      </c>
      <c r="D3" s="202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181" t="s">
        <v>102</v>
      </c>
      <c r="T3" s="181" t="s">
        <v>103</v>
      </c>
      <c r="U3" s="182" t="s">
        <v>44</v>
      </c>
      <c r="V3" s="183" t="s">
        <v>23</v>
      </c>
      <c r="X3" s="173" t="s">
        <v>60</v>
      </c>
      <c r="Y3" s="173" t="s">
        <v>42</v>
      </c>
      <c r="Z3" s="173" t="s">
        <v>43</v>
      </c>
    </row>
    <row r="4" spans="1:32" s="166" customFormat="1" ht="15" customHeight="1" x14ac:dyDescent="0.25">
      <c r="A4" s="213">
        <v>72438</v>
      </c>
      <c r="B4" s="216">
        <v>9944</v>
      </c>
      <c r="C4" s="118" t="s">
        <v>73</v>
      </c>
      <c r="D4" s="205">
        <v>45962</v>
      </c>
      <c r="E4" s="206"/>
      <c r="F4" s="207" t="s">
        <v>89</v>
      </c>
      <c r="G4" s="65" t="str">
        <f t="shared" ref="G4:G130" si="0">VLOOKUP(F4,$AC$11:$AD$19,2,0)</f>
        <v>Chanho</v>
      </c>
      <c r="H4" s="209">
        <v>2890</v>
      </c>
      <c r="I4" s="210">
        <v>4.1500000000000004</v>
      </c>
      <c r="J4" s="210">
        <v>8.3000000000000007</v>
      </c>
      <c r="K4" s="176">
        <f t="shared" ref="K4:K19" si="1">H4*I4%</f>
        <v>119.935</v>
      </c>
      <c r="L4" s="177">
        <f t="shared" ref="L4:L19" si="2">H4*J4%</f>
        <v>239.87</v>
      </c>
      <c r="M4" s="209">
        <f>$R$4*H4/SUM($H$4:$H$5)</f>
        <v>2918.7848605577688</v>
      </c>
      <c r="N4" s="211">
        <f t="shared" ref="N4:N5" si="3">P4/M4*100</f>
        <v>4.1713241502424436</v>
      </c>
      <c r="O4" s="211">
        <f t="shared" ref="O4:O5" si="4">Q4/M4*100</f>
        <v>8.3386859776168532</v>
      </c>
      <c r="P4" s="176">
        <f>$U$4*K4/SUM($K$4:$K$5)</f>
        <v>121.75197778206645</v>
      </c>
      <c r="Q4" s="212">
        <f>$V$4*L4/SUM($L$4:$L$5)</f>
        <v>243.38830388413427</v>
      </c>
      <c r="R4" s="345">
        <v>5070</v>
      </c>
      <c r="S4" s="346">
        <v>4.1500000000000004</v>
      </c>
      <c r="T4" s="346">
        <v>8.36</v>
      </c>
      <c r="U4" s="345">
        <f>R4*S4%</f>
        <v>210.405</v>
      </c>
      <c r="V4" s="345">
        <f>R4*T4%</f>
        <v>423.85199999999998</v>
      </c>
      <c r="X4" s="176">
        <f>ROUND(M4,0)</f>
        <v>2919</v>
      </c>
      <c r="Y4" s="210">
        <f>ROUND(N4,2)</f>
        <v>4.17</v>
      </c>
      <c r="Z4" s="210">
        <f>ROUND(O4,2)</f>
        <v>8.34</v>
      </c>
    </row>
    <row r="5" spans="1:32" s="166" customFormat="1" x14ac:dyDescent="0.25">
      <c r="A5" s="213">
        <v>72438</v>
      </c>
      <c r="B5" s="216">
        <v>9944</v>
      </c>
      <c r="C5" s="118" t="s">
        <v>73</v>
      </c>
      <c r="D5" s="205">
        <v>45962</v>
      </c>
      <c r="E5" s="206"/>
      <c r="F5" s="207" t="s">
        <v>12</v>
      </c>
      <c r="G5" s="65" t="str">
        <f t="shared" si="0"/>
        <v>Ormanjhi</v>
      </c>
      <c r="H5" s="209">
        <v>2130</v>
      </c>
      <c r="I5" s="210">
        <v>4.0999999999999996</v>
      </c>
      <c r="J5" s="210">
        <v>8.35</v>
      </c>
      <c r="K5" s="176">
        <f t="shared" si="1"/>
        <v>87.329999999999984</v>
      </c>
      <c r="L5" s="177">
        <f t="shared" si="2"/>
        <v>177.85499999999999</v>
      </c>
      <c r="M5" s="209">
        <f>$R$4*H5/SUM($H$4:$H$5)</f>
        <v>2151.2151394422312</v>
      </c>
      <c r="N5" s="211">
        <f t="shared" si="3"/>
        <v>4.1210672327696418</v>
      </c>
      <c r="O5" s="211">
        <f t="shared" si="4"/>
        <v>8.3889190256747845</v>
      </c>
      <c r="P5" s="176">
        <f>$U$4*K5/SUM($K$4:$K$5)</f>
        <v>88.653022217933554</v>
      </c>
      <c r="Q5" s="212">
        <f>$V$4*L5/SUM($L$4:$L$5)</f>
        <v>180.46369611586567</v>
      </c>
      <c r="R5" s="345"/>
      <c r="S5" s="346"/>
      <c r="T5" s="346"/>
      <c r="U5" s="345"/>
      <c r="V5" s="345"/>
      <c r="X5" s="176">
        <f t="shared" ref="X5:X19" si="5">ROUND(M5,0)</f>
        <v>2151</v>
      </c>
      <c r="Y5" s="210">
        <f t="shared" ref="Y5:Z19" si="6">ROUND(N5,2)</f>
        <v>4.12</v>
      </c>
      <c r="Z5" s="210">
        <f t="shared" si="6"/>
        <v>8.39</v>
      </c>
    </row>
    <row r="6" spans="1:32" s="166" customFormat="1" x14ac:dyDescent="0.25">
      <c r="A6" s="213">
        <v>72230</v>
      </c>
      <c r="B6" s="216">
        <v>1023</v>
      </c>
      <c r="C6" s="118" t="s">
        <v>109</v>
      </c>
      <c r="D6" s="205">
        <v>45962</v>
      </c>
      <c r="E6" s="206"/>
      <c r="F6" s="207" t="s">
        <v>6</v>
      </c>
      <c r="G6" s="65" t="str">
        <f t="shared" si="0"/>
        <v>Hisri</v>
      </c>
      <c r="H6" s="209">
        <v>1064</v>
      </c>
      <c r="I6" s="210">
        <v>4.0999999999999996</v>
      </c>
      <c r="J6" s="210">
        <v>8.23</v>
      </c>
      <c r="K6" s="176">
        <f t="shared" si="1"/>
        <v>43.623999999999995</v>
      </c>
      <c r="L6" s="177">
        <f t="shared" si="2"/>
        <v>87.5672</v>
      </c>
      <c r="M6" s="209">
        <f>$R$6*H6/SUM($H$6:$H$7)</f>
        <v>1057.1520514883346</v>
      </c>
      <c r="N6" s="211">
        <f t="shared" ref="N6" si="7">P6/M6*100</f>
        <v>3.8393099291848718</v>
      </c>
      <c r="O6" s="211">
        <f t="shared" ref="O6" si="8">Q6/M6*100</f>
        <v>8.0759971005617093</v>
      </c>
      <c r="P6" s="176">
        <f>$U$6*K6/SUM($K$6:$K$7)</f>
        <v>40.587343679373198</v>
      </c>
      <c r="Q6" s="212">
        <f>$V$6*L6/SUM($L$6:$L$7)</f>
        <v>85.375569026726524</v>
      </c>
      <c r="R6" s="328">
        <v>2470</v>
      </c>
      <c r="S6" s="331">
        <v>4</v>
      </c>
      <c r="T6" s="331">
        <v>8.25</v>
      </c>
      <c r="U6" s="345">
        <f>R6*S6%</f>
        <v>98.8</v>
      </c>
      <c r="V6" s="345">
        <f>R6*T6%</f>
        <v>203.77500000000001</v>
      </c>
      <c r="X6" s="176">
        <f t="shared" si="5"/>
        <v>1057</v>
      </c>
      <c r="Y6" s="210">
        <f t="shared" si="6"/>
        <v>3.84</v>
      </c>
      <c r="Z6" s="210">
        <f t="shared" si="6"/>
        <v>8.08</v>
      </c>
    </row>
    <row r="7" spans="1:32" s="166" customFormat="1" x14ac:dyDescent="0.25">
      <c r="A7" s="213">
        <v>72230</v>
      </c>
      <c r="B7" s="216">
        <v>1023</v>
      </c>
      <c r="C7" s="118" t="s">
        <v>109</v>
      </c>
      <c r="D7" s="205">
        <v>45962</v>
      </c>
      <c r="E7" s="206"/>
      <c r="F7" s="207" t="s">
        <v>14</v>
      </c>
      <c r="G7" s="65" t="str">
        <f t="shared" si="0"/>
        <v>Piragutu</v>
      </c>
      <c r="H7" s="209">
        <v>1422</v>
      </c>
      <c r="I7" s="210">
        <v>4.4000000000000004</v>
      </c>
      <c r="J7" s="210">
        <v>8.5399999999999991</v>
      </c>
      <c r="K7" s="176">
        <f t="shared" si="1"/>
        <v>62.568000000000005</v>
      </c>
      <c r="L7" s="177">
        <f t="shared" si="2"/>
        <v>121.43879999999999</v>
      </c>
      <c r="M7" s="209">
        <f>$R$6*H7/SUM($H$6:$H$7)</f>
        <v>1412.8479485116654</v>
      </c>
      <c r="N7" s="211">
        <f t="shared" ref="N7" si="9">P7/M7*100</f>
        <v>4.1202350459544981</v>
      </c>
      <c r="O7" s="211">
        <f t="shared" ref="O7" si="10">Q7/M7*100</f>
        <v>8.3801962623082584</v>
      </c>
      <c r="P7" s="176">
        <f>$U$6*K7/SUM($K$6:$K$7)</f>
        <v>58.212656320626792</v>
      </c>
      <c r="Q7" s="212">
        <f>$V$6*L7/SUM($L$6:$L$7)</f>
        <v>118.3994309732735</v>
      </c>
      <c r="R7" s="330"/>
      <c r="S7" s="333"/>
      <c r="T7" s="333"/>
      <c r="U7" s="345"/>
      <c r="V7" s="345"/>
      <c r="X7" s="176">
        <f t="shared" si="5"/>
        <v>1413</v>
      </c>
      <c r="Y7" s="210">
        <f t="shared" si="6"/>
        <v>4.12</v>
      </c>
      <c r="Z7" s="210">
        <f t="shared" si="6"/>
        <v>8.3800000000000008</v>
      </c>
      <c r="AD7" s="262"/>
      <c r="AE7" s="263"/>
      <c r="AF7" s="263"/>
    </row>
    <row r="8" spans="1:32" s="166" customFormat="1" ht="12.75" x14ac:dyDescent="0.2">
      <c r="A8" s="213">
        <v>72230</v>
      </c>
      <c r="B8" s="216">
        <v>1023</v>
      </c>
      <c r="C8" s="118" t="s">
        <v>77</v>
      </c>
      <c r="D8" s="205">
        <v>45962</v>
      </c>
      <c r="E8" s="206"/>
      <c r="F8" s="207" t="s">
        <v>4</v>
      </c>
      <c r="G8" s="208" t="str">
        <f t="shared" si="0"/>
        <v>Pali</v>
      </c>
      <c r="H8" s="209">
        <v>3190</v>
      </c>
      <c r="I8" s="210">
        <v>4.0999999999999996</v>
      </c>
      <c r="J8" s="210">
        <v>8.35</v>
      </c>
      <c r="K8" s="176">
        <f t="shared" si="1"/>
        <v>130.79</v>
      </c>
      <c r="L8" s="177">
        <f t="shared" si="2"/>
        <v>266.36499999999995</v>
      </c>
      <c r="M8" s="209">
        <f>$R$8*H8/SUM($H$8)</f>
        <v>3090</v>
      </c>
      <c r="N8" s="211">
        <f t="shared" ref="N8:N9" si="11">P8/M8*100</f>
        <v>4.2</v>
      </c>
      <c r="O8" s="211">
        <f t="shared" ref="O8:O9" si="12">Q8/M8*100</f>
        <v>8.2100000000000009</v>
      </c>
      <c r="P8" s="176">
        <f>$U$8*K8/SUM($K$8)</f>
        <v>129.78</v>
      </c>
      <c r="Q8" s="212">
        <f>$V$8*L8/SUM($L$8)</f>
        <v>253.68900000000002</v>
      </c>
      <c r="R8" s="255">
        <v>3090</v>
      </c>
      <c r="S8" s="257">
        <v>4.2</v>
      </c>
      <c r="T8" s="257">
        <v>8.2100000000000009</v>
      </c>
      <c r="U8" s="255">
        <f>R8*S8%</f>
        <v>129.78</v>
      </c>
      <c r="V8" s="255">
        <f>R8*T8%</f>
        <v>253.68900000000002</v>
      </c>
      <c r="X8" s="176">
        <f t="shared" si="5"/>
        <v>3090</v>
      </c>
      <c r="Y8" s="210">
        <f t="shared" si="6"/>
        <v>4.2</v>
      </c>
      <c r="Z8" s="210">
        <f t="shared" si="6"/>
        <v>8.2100000000000009</v>
      </c>
    </row>
    <row r="9" spans="1:32" s="166" customFormat="1" ht="12.75" x14ac:dyDescent="0.2">
      <c r="A9" s="213">
        <v>72190</v>
      </c>
      <c r="B9" s="216">
        <v>1023</v>
      </c>
      <c r="C9" s="118" t="s">
        <v>109</v>
      </c>
      <c r="D9" s="205">
        <v>45963</v>
      </c>
      <c r="E9" s="206"/>
      <c r="F9" s="207" t="s">
        <v>8</v>
      </c>
      <c r="G9" s="208" t="str">
        <f t="shared" si="0"/>
        <v>Chorya</v>
      </c>
      <c r="H9" s="209">
        <v>1526</v>
      </c>
      <c r="I9" s="210">
        <v>3.45</v>
      </c>
      <c r="J9" s="210">
        <v>8.0299999999999994</v>
      </c>
      <c r="K9" s="176">
        <f t="shared" si="1"/>
        <v>52.647000000000006</v>
      </c>
      <c r="L9" s="177">
        <f t="shared" si="2"/>
        <v>122.53779999999999</v>
      </c>
      <c r="M9" s="209">
        <f>$R$9*H9/SUM($H$9:$H$10)</f>
        <v>1542.9025844930418</v>
      </c>
      <c r="N9" s="211">
        <f t="shared" si="11"/>
        <v>3.4334739144017496</v>
      </c>
      <c r="O9" s="211">
        <f t="shared" si="12"/>
        <v>8.0482752300685902</v>
      </c>
      <c r="P9" s="176">
        <f>$U$9*K9/SUM($K$9:$K$10)</f>
        <v>52.975157763199</v>
      </c>
      <c r="Q9" s="212">
        <f>$V$9*L9/SUM($L$9:$L$10)</f>
        <v>124.17704653184158</v>
      </c>
      <c r="R9" s="328">
        <v>3560</v>
      </c>
      <c r="S9" s="331">
        <v>3.8</v>
      </c>
      <c r="T9" s="331">
        <v>8.23</v>
      </c>
      <c r="U9" s="345">
        <f>R9*S9%</f>
        <v>135.28</v>
      </c>
      <c r="V9" s="345">
        <f>R9*T9%</f>
        <v>292.988</v>
      </c>
      <c r="X9" s="176">
        <f t="shared" si="5"/>
        <v>1543</v>
      </c>
      <c r="Y9" s="210">
        <f t="shared" si="6"/>
        <v>3.43</v>
      </c>
      <c r="Z9" s="210">
        <f t="shared" si="6"/>
        <v>8.0500000000000007</v>
      </c>
    </row>
    <row r="10" spans="1:32" s="166" customFormat="1" ht="12.75" x14ac:dyDescent="0.2">
      <c r="A10" s="213">
        <v>72190</v>
      </c>
      <c r="B10" s="216">
        <v>1023</v>
      </c>
      <c r="C10" s="118" t="s">
        <v>109</v>
      </c>
      <c r="D10" s="205">
        <v>45963</v>
      </c>
      <c r="E10" s="206"/>
      <c r="F10" s="207" t="s">
        <v>12</v>
      </c>
      <c r="G10" s="208" t="str">
        <f t="shared" si="0"/>
        <v>Ormanjhi</v>
      </c>
      <c r="H10" s="209">
        <v>1995</v>
      </c>
      <c r="I10" s="210">
        <v>4.0999999999999996</v>
      </c>
      <c r="J10" s="210">
        <v>8.35</v>
      </c>
      <c r="K10" s="176">
        <f t="shared" si="1"/>
        <v>81.794999999999987</v>
      </c>
      <c r="L10" s="177">
        <f t="shared" si="2"/>
        <v>166.58249999999998</v>
      </c>
      <c r="M10" s="209">
        <f>$R$9*H10/SUM($H$9:$H$10)</f>
        <v>2017.0974155069582</v>
      </c>
      <c r="N10" s="211">
        <f t="shared" ref="N10:N11" si="13">P10/M10*100</f>
        <v>4.0803603040716432</v>
      </c>
      <c r="O10" s="211">
        <f t="shared" ref="O10:O11" si="14">Q10/M10*100</f>
        <v>8.3690035082282357</v>
      </c>
      <c r="P10" s="176">
        <f>$U$9*K10/SUM($K$9:$K$10)</f>
        <v>82.30484223680098</v>
      </c>
      <c r="Q10" s="212">
        <f>$V$9*L10/SUM($L$9:$L$10)</f>
        <v>168.8109534681584</v>
      </c>
      <c r="R10" s="330"/>
      <c r="S10" s="333"/>
      <c r="T10" s="333"/>
      <c r="U10" s="345"/>
      <c r="V10" s="345"/>
      <c r="X10" s="176">
        <f t="shared" si="5"/>
        <v>2017</v>
      </c>
      <c r="Y10" s="210">
        <f t="shared" si="6"/>
        <v>4.08</v>
      </c>
      <c r="Z10" s="210">
        <f t="shared" si="6"/>
        <v>8.3699999999999992</v>
      </c>
    </row>
    <row r="11" spans="1:32" s="166" customFormat="1" ht="12.75" x14ac:dyDescent="0.2">
      <c r="A11" s="213">
        <v>72190</v>
      </c>
      <c r="B11" s="216">
        <v>1023</v>
      </c>
      <c r="C11" s="118" t="s">
        <v>77</v>
      </c>
      <c r="D11" s="205">
        <v>45963</v>
      </c>
      <c r="E11" s="206"/>
      <c r="F11" s="207" t="s">
        <v>4</v>
      </c>
      <c r="G11" s="208" t="str">
        <f t="shared" si="0"/>
        <v>Pali</v>
      </c>
      <c r="H11" s="209">
        <v>3170</v>
      </c>
      <c r="I11" s="210">
        <v>4.2</v>
      </c>
      <c r="J11" s="210">
        <v>8.3699999999999992</v>
      </c>
      <c r="K11" s="176">
        <f t="shared" si="1"/>
        <v>133.14000000000001</v>
      </c>
      <c r="L11" s="177">
        <f t="shared" si="2"/>
        <v>265.32900000000001</v>
      </c>
      <c r="M11" s="209">
        <f>$R$11*H11/SUM($H$11)</f>
        <v>3080</v>
      </c>
      <c r="N11" s="211">
        <f t="shared" si="13"/>
        <v>4.1500000000000004</v>
      </c>
      <c r="O11" s="211">
        <f t="shared" si="14"/>
        <v>8.11</v>
      </c>
      <c r="P11" s="176">
        <f>$U$11*K11/SUM($K$11)</f>
        <v>127.82000000000001</v>
      </c>
      <c r="Q11" s="212">
        <f>$V$11*L11/SUM($L$11)</f>
        <v>249.78799999999998</v>
      </c>
      <c r="R11" s="260">
        <v>3080</v>
      </c>
      <c r="S11" s="261">
        <v>4.1500000000000004</v>
      </c>
      <c r="T11" s="261">
        <v>8.11</v>
      </c>
      <c r="U11" s="255">
        <f>R11*S11%</f>
        <v>127.82000000000001</v>
      </c>
      <c r="V11" s="255">
        <f>R11*T11%</f>
        <v>249.78799999999998</v>
      </c>
      <c r="X11" s="176">
        <f t="shared" si="5"/>
        <v>3080</v>
      </c>
      <c r="Y11" s="210">
        <f t="shared" si="6"/>
        <v>4.1500000000000004</v>
      </c>
      <c r="Z11" s="210">
        <f t="shared" si="6"/>
        <v>8.11</v>
      </c>
      <c r="AC11" s="174" t="s">
        <v>2</v>
      </c>
      <c r="AD11" s="166" t="s">
        <v>3</v>
      </c>
    </row>
    <row r="12" spans="1:32" s="166" customFormat="1" ht="12.75" x14ac:dyDescent="0.2">
      <c r="A12" s="213">
        <v>72333</v>
      </c>
      <c r="B12" s="216">
        <v>1846</v>
      </c>
      <c r="C12" s="118" t="s">
        <v>73</v>
      </c>
      <c r="D12" s="205">
        <v>45963</v>
      </c>
      <c r="E12" s="206"/>
      <c r="F12" s="207" t="s">
        <v>89</v>
      </c>
      <c r="G12" s="208" t="str">
        <f t="shared" si="0"/>
        <v>Chanho</v>
      </c>
      <c r="H12" s="209">
        <v>1691</v>
      </c>
      <c r="I12" s="210">
        <v>4.3499999999999996</v>
      </c>
      <c r="J12" s="210">
        <v>8.4600000000000009</v>
      </c>
      <c r="K12" s="176">
        <f t="shared" si="1"/>
        <v>73.558499999999995</v>
      </c>
      <c r="L12" s="177">
        <f t="shared" si="2"/>
        <v>143.05860000000001</v>
      </c>
      <c r="M12" s="209">
        <f>$R$12*H12/SUM($H$12:$H$14)</f>
        <v>1691.3879330121588</v>
      </c>
      <c r="N12" s="211">
        <f t="shared" ref="N12" si="15">P12/M12*100</f>
        <v>4.3461364352634453</v>
      </c>
      <c r="O12" s="211">
        <f t="shared" ref="O12" si="16">Q12/M12*100</f>
        <v>8.403491802079353</v>
      </c>
      <c r="P12" s="176">
        <f>$U$12*K12/SUM($K$12:$K$14)</f>
        <v>73.510027218290702</v>
      </c>
      <c r="Q12" s="212">
        <f>$V$12*L12/SUM($L$12:$L$14)</f>
        <v>142.1356462920362</v>
      </c>
      <c r="R12" s="328">
        <v>4360</v>
      </c>
      <c r="S12" s="331">
        <v>4.4000000000000004</v>
      </c>
      <c r="T12" s="331">
        <v>8.41</v>
      </c>
      <c r="U12" s="328">
        <f>R12*S12%</f>
        <v>191.84000000000003</v>
      </c>
      <c r="V12" s="328">
        <f>R12*T12%</f>
        <v>366.67600000000004</v>
      </c>
      <c r="X12" s="176">
        <f t="shared" si="5"/>
        <v>1691</v>
      </c>
      <c r="Y12" s="210">
        <f t="shared" si="6"/>
        <v>4.3499999999999996</v>
      </c>
      <c r="Z12" s="210">
        <f t="shared" si="6"/>
        <v>8.4</v>
      </c>
      <c r="AC12" s="174" t="s">
        <v>4</v>
      </c>
      <c r="AD12" s="166" t="s">
        <v>5</v>
      </c>
    </row>
    <row r="13" spans="1:32" s="166" customFormat="1" ht="12.75" x14ac:dyDescent="0.2">
      <c r="A13" s="213">
        <v>72333</v>
      </c>
      <c r="B13" s="216">
        <v>1846</v>
      </c>
      <c r="C13" s="118" t="s">
        <v>73</v>
      </c>
      <c r="D13" s="205">
        <v>45963</v>
      </c>
      <c r="E13" s="206"/>
      <c r="F13" s="207" t="s">
        <v>14</v>
      </c>
      <c r="G13" s="208" t="str">
        <f t="shared" si="0"/>
        <v>Piragutu</v>
      </c>
      <c r="H13" s="209">
        <v>1588</v>
      </c>
      <c r="I13" s="210">
        <v>4.5999999999999996</v>
      </c>
      <c r="J13" s="210">
        <v>8.58</v>
      </c>
      <c r="K13" s="176">
        <f t="shared" si="1"/>
        <v>73.048000000000002</v>
      </c>
      <c r="L13" s="177">
        <f t="shared" si="2"/>
        <v>136.25040000000001</v>
      </c>
      <c r="M13" s="209">
        <f t="shared" ref="M13:M14" si="17">$R$12*H13/SUM($H$12:$H$14)</f>
        <v>1588.3643037393897</v>
      </c>
      <c r="N13" s="211">
        <f t="shared" ref="N13:N14" si="18">P13/M13*100</f>
        <v>4.5959143913130687</v>
      </c>
      <c r="O13" s="211">
        <f t="shared" ref="O13:O14" si="19">Q13/M13*100</f>
        <v>8.5226902673570759</v>
      </c>
      <c r="P13" s="176">
        <f t="shared" ref="P13:P14" si="20">$U$12*K13/SUM($K$12:$K$14)</f>
        <v>72.999863622038234</v>
      </c>
      <c r="Q13" s="212">
        <f t="shared" ref="Q13:Q14" si="21">$V$12*L13/SUM($L$12:$L$14)</f>
        <v>135.37136992497096</v>
      </c>
      <c r="R13" s="329"/>
      <c r="S13" s="332"/>
      <c r="T13" s="332"/>
      <c r="U13" s="329"/>
      <c r="V13" s="329"/>
      <c r="X13" s="176">
        <f t="shared" si="5"/>
        <v>1588</v>
      </c>
      <c r="Y13" s="210">
        <f t="shared" si="6"/>
        <v>4.5999999999999996</v>
      </c>
      <c r="Z13" s="210">
        <f t="shared" si="6"/>
        <v>8.52</v>
      </c>
      <c r="AC13" s="174" t="s">
        <v>6</v>
      </c>
      <c r="AD13" s="166" t="s">
        <v>92</v>
      </c>
    </row>
    <row r="14" spans="1:32" s="166" customFormat="1" ht="12.75" x14ac:dyDescent="0.2">
      <c r="A14" s="213">
        <v>72333</v>
      </c>
      <c r="B14" s="216">
        <v>1846</v>
      </c>
      <c r="C14" s="118" t="s">
        <v>73</v>
      </c>
      <c r="D14" s="205">
        <v>45963</v>
      </c>
      <c r="E14" s="175"/>
      <c r="F14" s="207" t="s">
        <v>6</v>
      </c>
      <c r="G14" s="208" t="str">
        <f t="shared" si="0"/>
        <v>Hisri</v>
      </c>
      <c r="H14" s="209">
        <v>1080</v>
      </c>
      <c r="I14" s="210">
        <v>4.2</v>
      </c>
      <c r="J14" s="210">
        <v>8.31</v>
      </c>
      <c r="K14" s="176">
        <f t="shared" si="1"/>
        <v>45.36</v>
      </c>
      <c r="L14" s="177">
        <f t="shared" si="2"/>
        <v>89.748000000000005</v>
      </c>
      <c r="M14" s="209">
        <f t="shared" si="17"/>
        <v>1080.2477632484515</v>
      </c>
      <c r="N14" s="211">
        <f t="shared" si="18"/>
        <v>4.1962696616336714</v>
      </c>
      <c r="O14" s="211">
        <f t="shared" si="19"/>
        <v>8.2544937204822038</v>
      </c>
      <c r="P14" s="176">
        <f t="shared" si="20"/>
        <v>45.330109159671096</v>
      </c>
      <c r="Q14" s="212">
        <f t="shared" si="21"/>
        <v>89.168983782992882</v>
      </c>
      <c r="R14" s="330"/>
      <c r="S14" s="333"/>
      <c r="T14" s="333"/>
      <c r="U14" s="330"/>
      <c r="V14" s="330"/>
      <c r="X14" s="176">
        <f t="shared" si="5"/>
        <v>1080</v>
      </c>
      <c r="Y14" s="210">
        <f t="shared" si="6"/>
        <v>4.2</v>
      </c>
      <c r="Z14" s="210">
        <f t="shared" si="6"/>
        <v>8.25</v>
      </c>
      <c r="AC14" s="174" t="s">
        <v>8</v>
      </c>
      <c r="AD14" s="166" t="s">
        <v>118</v>
      </c>
    </row>
    <row r="15" spans="1:32" s="166" customFormat="1" ht="12.75" x14ac:dyDescent="0.2">
      <c r="A15" s="213">
        <v>72192</v>
      </c>
      <c r="B15" s="213">
        <v>1846</v>
      </c>
      <c r="C15" s="118" t="s">
        <v>73</v>
      </c>
      <c r="D15" s="264">
        <v>45965</v>
      </c>
      <c r="E15" s="175"/>
      <c r="F15" s="207" t="s">
        <v>14</v>
      </c>
      <c r="G15" s="208" t="str">
        <f t="shared" si="0"/>
        <v>Piragutu</v>
      </c>
      <c r="H15" s="209">
        <v>1333.7</v>
      </c>
      <c r="I15" s="210">
        <v>4.5</v>
      </c>
      <c r="J15" s="210">
        <v>8.6199999999999992</v>
      </c>
      <c r="K15" s="176">
        <f t="shared" si="1"/>
        <v>60.016500000000001</v>
      </c>
      <c r="L15" s="177">
        <f t="shared" si="2"/>
        <v>114.96494</v>
      </c>
      <c r="M15" s="209">
        <f>$R$15*H15/SUM($H$15:$H$16)</f>
        <v>1371.1292742888156</v>
      </c>
      <c r="N15" s="211">
        <f t="shared" ref="N15" si="22">P15/M15*100</f>
        <v>4.5010092825775843</v>
      </c>
      <c r="O15" s="211">
        <f t="shared" ref="O15" si="23">Q15/M15*100</f>
        <v>8.5378652260338246</v>
      </c>
      <c r="P15" s="176">
        <f>$U$15*K15/SUM($K$15:$K$16)</f>
        <v>61.71465591187826</v>
      </c>
      <c r="Q15" s="212">
        <f>$V$15*L15/SUM($L$15:$L$16)</f>
        <v>117.06516951347473</v>
      </c>
      <c r="R15" s="328">
        <v>3220</v>
      </c>
      <c r="S15" s="331">
        <v>4.3</v>
      </c>
      <c r="T15" s="331">
        <v>8.39</v>
      </c>
      <c r="U15" s="345">
        <f>R15*S15%</f>
        <v>138.45999999999998</v>
      </c>
      <c r="V15" s="345">
        <f>R15*T15%</f>
        <v>270.15800000000002</v>
      </c>
      <c r="X15" s="176">
        <f t="shared" si="5"/>
        <v>1371</v>
      </c>
      <c r="Y15" s="210">
        <f t="shared" si="6"/>
        <v>4.5</v>
      </c>
      <c r="Z15" s="210">
        <f t="shared" si="6"/>
        <v>8.5399999999999991</v>
      </c>
      <c r="AC15" s="174" t="s">
        <v>10</v>
      </c>
      <c r="AD15" s="166" t="s">
        <v>106</v>
      </c>
    </row>
    <row r="16" spans="1:32" s="166" customFormat="1" ht="12.75" x14ac:dyDescent="0.2">
      <c r="A16" s="213">
        <v>72192</v>
      </c>
      <c r="B16" s="213">
        <v>1846</v>
      </c>
      <c r="C16" s="118" t="s">
        <v>73</v>
      </c>
      <c r="D16" s="264">
        <v>45965</v>
      </c>
      <c r="E16" s="175"/>
      <c r="F16" s="207" t="s">
        <v>12</v>
      </c>
      <c r="G16" s="208" t="str">
        <f t="shared" si="0"/>
        <v>Ormanjhi</v>
      </c>
      <c r="H16" s="209">
        <v>1798.4</v>
      </c>
      <c r="I16" s="210">
        <v>4.1500000000000004</v>
      </c>
      <c r="J16" s="210">
        <v>8.36</v>
      </c>
      <c r="K16" s="176">
        <f t="shared" si="1"/>
        <v>74.633600000000001</v>
      </c>
      <c r="L16" s="177">
        <f t="shared" si="2"/>
        <v>150.34623999999999</v>
      </c>
      <c r="M16" s="209">
        <f>$R$15*H16/SUM($H$15:$H$16)</f>
        <v>1848.8707257111839</v>
      </c>
      <c r="N16" s="211">
        <f t="shared" ref="N16:N17" si="24">P16/M16*100</f>
        <v>4.1509307828215505</v>
      </c>
      <c r="O16" s="211">
        <f t="shared" ref="O16:O17" si="25">Q16/M16*100</f>
        <v>8.2803426090072829</v>
      </c>
      <c r="P16" s="176">
        <f>$U$15*K16/SUM($K$15:$K$16)</f>
        <v>76.745344088121726</v>
      </c>
      <c r="Q16" s="212">
        <f>$V$15*L16/SUM($L$15:$L$16)</f>
        <v>153.09283048652532</v>
      </c>
      <c r="R16" s="330"/>
      <c r="S16" s="333"/>
      <c r="T16" s="333"/>
      <c r="U16" s="345"/>
      <c r="V16" s="345"/>
      <c r="X16" s="176">
        <f t="shared" si="5"/>
        <v>1849</v>
      </c>
      <c r="Y16" s="210">
        <f t="shared" si="6"/>
        <v>4.1500000000000004</v>
      </c>
      <c r="Z16" s="210">
        <f t="shared" si="6"/>
        <v>8.2799999999999994</v>
      </c>
      <c r="AC16" s="174" t="s">
        <v>12</v>
      </c>
      <c r="AD16" s="166" t="s">
        <v>107</v>
      </c>
    </row>
    <row r="17" spans="1:30" s="166" customFormat="1" ht="12.75" x14ac:dyDescent="0.2">
      <c r="A17" s="213">
        <v>72351</v>
      </c>
      <c r="B17" s="213">
        <v>9944</v>
      </c>
      <c r="C17" s="118" t="s">
        <v>73</v>
      </c>
      <c r="D17" s="205">
        <v>45964</v>
      </c>
      <c r="E17" s="175"/>
      <c r="F17" s="207" t="s">
        <v>6</v>
      </c>
      <c r="G17" s="208" t="str">
        <f t="shared" si="0"/>
        <v>Hisri</v>
      </c>
      <c r="H17" s="209">
        <v>1091</v>
      </c>
      <c r="I17" s="210">
        <v>4.1500000000000004</v>
      </c>
      <c r="J17" s="210">
        <v>8.24</v>
      </c>
      <c r="K17" s="176">
        <f t="shared" si="1"/>
        <v>45.276500000000006</v>
      </c>
      <c r="L17" s="177">
        <f t="shared" si="2"/>
        <v>89.898399999999995</v>
      </c>
      <c r="M17" s="209">
        <f>$R$17*H17/SUM($H$17:$H$19)</f>
        <v>1086.9469773725093</v>
      </c>
      <c r="N17" s="211">
        <f t="shared" si="24"/>
        <v>4.1393836654704854</v>
      </c>
      <c r="O17" s="211">
        <f t="shared" si="25"/>
        <v>8.1867713246190501</v>
      </c>
      <c r="P17" s="176">
        <f>$U$17*K17/SUM($K$17:$K$19)</f>
        <v>44.992905633682824</v>
      </c>
      <c r="Q17" s="212">
        <f>$V$17*L17/SUM($L$17:$L$19)</f>
        <v>88.985863457346113</v>
      </c>
      <c r="R17" s="350">
        <v>5900</v>
      </c>
      <c r="S17" s="331">
        <v>4.25</v>
      </c>
      <c r="T17" s="350">
        <v>8.32</v>
      </c>
      <c r="U17" s="328">
        <f>R17*S17%</f>
        <v>250.75000000000003</v>
      </c>
      <c r="V17" s="328">
        <f>R17*T17%</f>
        <v>490.88</v>
      </c>
      <c r="X17" s="176">
        <f t="shared" si="5"/>
        <v>1087</v>
      </c>
      <c r="Y17" s="210">
        <f t="shared" si="6"/>
        <v>4.1399999999999997</v>
      </c>
      <c r="Z17" s="210">
        <f t="shared" si="6"/>
        <v>8.19</v>
      </c>
      <c r="AC17" s="174" t="s">
        <v>14</v>
      </c>
      <c r="AD17" s="166" t="s">
        <v>91</v>
      </c>
    </row>
    <row r="18" spans="1:30" s="166" customFormat="1" ht="12.75" x14ac:dyDescent="0.2">
      <c r="A18" s="213">
        <v>72351</v>
      </c>
      <c r="B18" s="213">
        <v>9944</v>
      </c>
      <c r="C18" s="118" t="s">
        <v>73</v>
      </c>
      <c r="D18" s="205">
        <v>45964</v>
      </c>
      <c r="E18" s="175"/>
      <c r="F18" s="207" t="s">
        <v>14</v>
      </c>
      <c r="G18" s="208" t="str">
        <f t="shared" si="0"/>
        <v>Piragutu</v>
      </c>
      <c r="H18" s="209">
        <v>1384</v>
      </c>
      <c r="I18" s="210">
        <v>4.5</v>
      </c>
      <c r="J18" s="210">
        <v>8.49</v>
      </c>
      <c r="K18" s="176">
        <f t="shared" si="1"/>
        <v>62.28</v>
      </c>
      <c r="L18" s="177">
        <f t="shared" si="2"/>
        <v>117.50160000000001</v>
      </c>
      <c r="M18" s="209">
        <f t="shared" ref="M18:M19" si="26">$R$17*H18/SUM($H$17:$H$19)</f>
        <v>1378.8584937521107</v>
      </c>
      <c r="N18" s="211">
        <f t="shared" ref="N18:N19" si="27">P18/M18*100</f>
        <v>4.4884883119559484</v>
      </c>
      <c r="O18" s="211">
        <f t="shared" ref="O18:O19" si="28">Q18/M18*100</f>
        <v>8.4351563769436595</v>
      </c>
      <c r="P18" s="176">
        <f t="shared" ref="P18:P19" si="29">$U$17*K18/SUM($K$17:$K$19)</f>
        <v>61.889902330475323</v>
      </c>
      <c r="Q18" s="212">
        <f t="shared" ref="Q18:Q19" si="30">$V$17*L18/SUM($L$17:$L$19)</f>
        <v>116.30887016476046</v>
      </c>
      <c r="R18" s="351"/>
      <c r="S18" s="332"/>
      <c r="T18" s="351"/>
      <c r="U18" s="329"/>
      <c r="V18" s="329"/>
      <c r="X18" s="176">
        <f t="shared" si="5"/>
        <v>1379</v>
      </c>
      <c r="Y18" s="210">
        <f t="shared" si="6"/>
        <v>4.49</v>
      </c>
      <c r="Z18" s="210">
        <f t="shared" si="6"/>
        <v>8.44</v>
      </c>
      <c r="AC18" s="174" t="s">
        <v>78</v>
      </c>
      <c r="AD18" s="166" t="s">
        <v>108</v>
      </c>
    </row>
    <row r="19" spans="1:30" s="166" customFormat="1" ht="12.75" x14ac:dyDescent="0.2">
      <c r="A19" s="213">
        <v>72351</v>
      </c>
      <c r="B19" s="213">
        <v>9944</v>
      </c>
      <c r="C19" s="118" t="s">
        <v>73</v>
      </c>
      <c r="D19" s="205">
        <v>45964</v>
      </c>
      <c r="E19" s="175"/>
      <c r="F19" s="207" t="s">
        <v>4</v>
      </c>
      <c r="G19" s="208" t="str">
        <f t="shared" si="0"/>
        <v>Pali</v>
      </c>
      <c r="H19" s="209">
        <v>3447</v>
      </c>
      <c r="I19" s="210">
        <v>4.2</v>
      </c>
      <c r="J19" s="210">
        <v>8.3699999999999992</v>
      </c>
      <c r="K19" s="176">
        <f t="shared" si="1"/>
        <v>144.774</v>
      </c>
      <c r="L19" s="177">
        <f t="shared" si="2"/>
        <v>288.51389999999998</v>
      </c>
      <c r="M19" s="209">
        <f t="shared" si="26"/>
        <v>3434.19452887538</v>
      </c>
      <c r="N19" s="211">
        <f t="shared" si="27"/>
        <v>4.18925575782555</v>
      </c>
      <c r="O19" s="211">
        <f t="shared" si="28"/>
        <v>8.3159315518278465</v>
      </c>
      <c r="P19" s="176">
        <f t="shared" si="29"/>
        <v>143.8671920358419</v>
      </c>
      <c r="Q19" s="212">
        <f t="shared" si="30"/>
        <v>285.58526637789339</v>
      </c>
      <c r="R19" s="352"/>
      <c r="S19" s="333"/>
      <c r="T19" s="352"/>
      <c r="U19" s="330"/>
      <c r="V19" s="330"/>
      <c r="X19" s="176">
        <f t="shared" si="5"/>
        <v>3434</v>
      </c>
      <c r="Y19" s="210">
        <f t="shared" si="6"/>
        <v>4.1900000000000004</v>
      </c>
      <c r="Z19" s="210">
        <f t="shared" si="6"/>
        <v>8.32</v>
      </c>
      <c r="AC19" s="174" t="s">
        <v>89</v>
      </c>
      <c r="AD19" s="166" t="s">
        <v>88</v>
      </c>
    </row>
    <row r="20" spans="1:30" x14ac:dyDescent="0.25">
      <c r="A20" s="220">
        <v>72353</v>
      </c>
      <c r="B20" s="221">
        <v>9944</v>
      </c>
      <c r="C20" s="109" t="s">
        <v>73</v>
      </c>
      <c r="D20" s="229">
        <v>45967</v>
      </c>
      <c r="E20" s="65"/>
      <c r="F20" s="227" t="s">
        <v>6</v>
      </c>
      <c r="G20" s="65" t="str">
        <f t="shared" si="0"/>
        <v>Hisri</v>
      </c>
      <c r="H20" s="65">
        <v>1281</v>
      </c>
      <c r="I20" s="65">
        <v>4.2</v>
      </c>
      <c r="J20" s="65">
        <v>8.25</v>
      </c>
      <c r="K20" s="176">
        <f t="shared" ref="K20:K54" si="31">H20*I20%</f>
        <v>53.802000000000007</v>
      </c>
      <c r="L20" s="177">
        <f t="shared" ref="L20:L54" si="32">H20*J20%</f>
        <v>105.6825</v>
      </c>
      <c r="M20" s="209">
        <f>$R$20*H20/SUM($H$20:$H$22)</f>
        <v>1299.8382352941176</v>
      </c>
      <c r="N20" s="211">
        <f t="shared" ref="N20" si="33">P20/M20*100</f>
        <v>4.1891261494816527</v>
      </c>
      <c r="O20" s="211">
        <f t="shared" ref="O20" si="34">Q20/M20*100</f>
        <v>8.1256515491196808</v>
      </c>
      <c r="P20" s="176">
        <f>$U$20*K20/SUM($K$20:$K$22)</f>
        <v>54.451863415666729</v>
      </c>
      <c r="Q20" s="212">
        <f>$V$20*L20/SUM($L$20:$L$22)</f>
        <v>105.62032570222638</v>
      </c>
      <c r="R20" s="347">
        <v>4140</v>
      </c>
      <c r="S20" s="347">
        <v>4.25</v>
      </c>
      <c r="T20" s="347">
        <v>8.26</v>
      </c>
      <c r="U20" s="328">
        <f>R20*S20%</f>
        <v>175.95000000000002</v>
      </c>
      <c r="V20" s="328">
        <f>R20*T20%</f>
        <v>341.964</v>
      </c>
      <c r="X20" s="176">
        <f t="shared" ref="X20:X38" si="35">ROUND(M20,0)</f>
        <v>1300</v>
      </c>
      <c r="Y20" s="210">
        <f t="shared" ref="Y20:Z70" si="36">ROUND(N20,2)</f>
        <v>4.1900000000000004</v>
      </c>
      <c r="Z20" s="210">
        <f t="shared" si="36"/>
        <v>8.1300000000000008</v>
      </c>
    </row>
    <row r="21" spans="1:30" x14ac:dyDescent="0.25">
      <c r="A21" s="220">
        <v>72353</v>
      </c>
      <c r="B21" s="221">
        <v>9944</v>
      </c>
      <c r="C21" s="109" t="s">
        <v>73</v>
      </c>
      <c r="D21" s="229">
        <v>45967</v>
      </c>
      <c r="E21" s="65"/>
      <c r="F21" s="227" t="s">
        <v>14</v>
      </c>
      <c r="G21" s="65" t="str">
        <f t="shared" si="0"/>
        <v>Piragutu</v>
      </c>
      <c r="H21" s="65">
        <v>1345</v>
      </c>
      <c r="I21" s="65">
        <v>4.45</v>
      </c>
      <c r="J21" s="65">
        <v>8.48</v>
      </c>
      <c r="K21" s="176">
        <f t="shared" si="31"/>
        <v>59.852500000000006</v>
      </c>
      <c r="L21" s="177">
        <f t="shared" si="32"/>
        <v>114.056</v>
      </c>
      <c r="M21" s="209">
        <f t="shared" ref="M21:M22" si="37">$R$20*H21/SUM($H$20:$H$22)</f>
        <v>1364.7794117647059</v>
      </c>
      <c r="N21" s="211">
        <f t="shared" ref="N21:N23" si="38">P21/M21*100</f>
        <v>4.4384788964746074</v>
      </c>
      <c r="O21" s="211">
        <f t="shared" ref="O21:O23" si="39">Q21/M21*100</f>
        <v>8.3521848650345305</v>
      </c>
      <c r="P21" s="176">
        <f t="shared" ref="P21:P22" si="40">$U$20*K21/SUM($K$20:$K$22)</f>
        <v>60.575446174606753</v>
      </c>
      <c r="Q21" s="212">
        <f t="shared" ref="Q21:Q22" si="41">$V$20*L21/SUM($L$20:$L$22)</f>
        <v>113.98889947051906</v>
      </c>
      <c r="R21" s="349"/>
      <c r="S21" s="349"/>
      <c r="T21" s="349"/>
      <c r="U21" s="329"/>
      <c r="V21" s="329"/>
      <c r="X21" s="176">
        <f t="shared" si="35"/>
        <v>1365</v>
      </c>
      <c r="Y21" s="210">
        <f t="shared" si="36"/>
        <v>4.4400000000000004</v>
      </c>
      <c r="Z21" s="210">
        <f t="shared" si="36"/>
        <v>8.35</v>
      </c>
    </row>
    <row r="22" spans="1:30" x14ac:dyDescent="0.25">
      <c r="A22" s="220">
        <v>72353</v>
      </c>
      <c r="B22" s="221">
        <v>9944</v>
      </c>
      <c r="C22" s="109" t="s">
        <v>73</v>
      </c>
      <c r="D22" s="229">
        <v>45967</v>
      </c>
      <c r="E22" s="65"/>
      <c r="F22" s="227" t="s">
        <v>12</v>
      </c>
      <c r="G22" s="65" t="str">
        <f t="shared" si="0"/>
        <v>Ormanjhi</v>
      </c>
      <c r="H22" s="65">
        <v>1454</v>
      </c>
      <c r="I22" s="65">
        <v>4.1399999999999997</v>
      </c>
      <c r="J22" s="65">
        <v>8.42</v>
      </c>
      <c r="K22" s="176">
        <f t="shared" si="31"/>
        <v>60.195599999999999</v>
      </c>
      <c r="L22" s="177">
        <f t="shared" si="32"/>
        <v>122.4268</v>
      </c>
      <c r="M22" s="209">
        <f t="shared" si="37"/>
        <v>1475.3823529411766</v>
      </c>
      <c r="N22" s="211">
        <f t="shared" si="38"/>
        <v>4.1292814902033417</v>
      </c>
      <c r="O22" s="211">
        <f t="shared" si="39"/>
        <v>8.2930892174045709</v>
      </c>
      <c r="P22" s="176">
        <f t="shared" si="40"/>
        <v>60.922690409726542</v>
      </c>
      <c r="Q22" s="212">
        <f t="shared" si="41"/>
        <v>122.35477482725454</v>
      </c>
      <c r="R22" s="348"/>
      <c r="S22" s="348"/>
      <c r="T22" s="348"/>
      <c r="U22" s="330"/>
      <c r="V22" s="330"/>
      <c r="X22" s="176">
        <f t="shared" si="35"/>
        <v>1475</v>
      </c>
      <c r="Y22" s="210">
        <f t="shared" si="36"/>
        <v>4.13</v>
      </c>
      <c r="Z22" s="210">
        <f t="shared" si="36"/>
        <v>8.2899999999999991</v>
      </c>
    </row>
    <row r="23" spans="1:30" x14ac:dyDescent="0.25">
      <c r="A23" s="220">
        <v>72335</v>
      </c>
      <c r="B23" s="221">
        <v>1023</v>
      </c>
      <c r="C23" s="109" t="s">
        <v>77</v>
      </c>
      <c r="D23" s="229">
        <v>45965</v>
      </c>
      <c r="E23" s="65"/>
      <c r="F23" s="227" t="s">
        <v>89</v>
      </c>
      <c r="G23" s="65" t="str">
        <f t="shared" si="0"/>
        <v>Chanho</v>
      </c>
      <c r="H23" s="65">
        <v>2293</v>
      </c>
      <c r="I23" s="65">
        <v>4.3</v>
      </c>
      <c r="J23" s="65">
        <v>8.27</v>
      </c>
      <c r="K23" s="176">
        <f t="shared" si="31"/>
        <v>98.59899999999999</v>
      </c>
      <c r="L23" s="177">
        <f t="shared" si="32"/>
        <v>189.6311</v>
      </c>
      <c r="M23" s="209">
        <f>$R$23*H23/SUM($H$23:$H$24)</f>
        <v>2288.9367985823983</v>
      </c>
      <c r="N23" s="211">
        <f t="shared" si="38"/>
        <v>4.25</v>
      </c>
      <c r="O23" s="211">
        <f t="shared" si="39"/>
        <v>8.07</v>
      </c>
      <c r="P23" s="176">
        <f>$U$23*K23/SUM($K$23:$K$24)</f>
        <v>97.279813939751932</v>
      </c>
      <c r="Q23" s="212">
        <f>$V$23*L23/SUM($L$23:$L$24)</f>
        <v>184.71719964559952</v>
      </c>
      <c r="R23" s="347">
        <v>3380</v>
      </c>
      <c r="S23" s="347">
        <v>4.25</v>
      </c>
      <c r="T23" s="347">
        <v>8.07</v>
      </c>
      <c r="U23" s="345">
        <f>R23*S23%</f>
        <v>143.65</v>
      </c>
      <c r="V23" s="345">
        <f>R23*T23%</f>
        <v>272.76600000000002</v>
      </c>
      <c r="X23" s="176">
        <f t="shared" si="35"/>
        <v>2289</v>
      </c>
      <c r="Y23" s="210">
        <f t="shared" si="36"/>
        <v>4.25</v>
      </c>
      <c r="Z23" s="210">
        <f t="shared" si="36"/>
        <v>8.07</v>
      </c>
    </row>
    <row r="24" spans="1:30" x14ac:dyDescent="0.25">
      <c r="A24" s="220">
        <v>72335</v>
      </c>
      <c r="B24" s="221">
        <v>1023</v>
      </c>
      <c r="C24" s="109" t="s">
        <v>77</v>
      </c>
      <c r="D24" s="229">
        <v>45965</v>
      </c>
      <c r="E24" s="65"/>
      <c r="F24" s="227" t="s">
        <v>6</v>
      </c>
      <c r="G24" s="65" t="str">
        <f t="shared" si="0"/>
        <v>Hisri</v>
      </c>
      <c r="H24" s="65">
        <v>1093</v>
      </c>
      <c r="I24" s="65">
        <v>4.3</v>
      </c>
      <c r="J24" s="65">
        <v>8.27</v>
      </c>
      <c r="K24" s="176">
        <f t="shared" si="31"/>
        <v>46.998999999999995</v>
      </c>
      <c r="L24" s="177">
        <f t="shared" si="32"/>
        <v>90.391099999999994</v>
      </c>
      <c r="M24" s="209">
        <f>$R$23*H24/SUM($H$23:$H$24)</f>
        <v>1091.0632014176019</v>
      </c>
      <c r="N24" s="211">
        <f t="shared" ref="N24" si="42">P24/M24*100</f>
        <v>4.25</v>
      </c>
      <c r="O24" s="211">
        <f t="shared" ref="O24" si="43">Q24/M24*100</f>
        <v>8.07</v>
      </c>
      <c r="P24" s="176">
        <f>$U$23*K24/SUM($K$23:$K$24)</f>
        <v>46.370186060248081</v>
      </c>
      <c r="Q24" s="212">
        <f>$V$23*L24/SUM($L$23:$L$24)</f>
        <v>88.04880035440047</v>
      </c>
      <c r="R24" s="348"/>
      <c r="S24" s="348"/>
      <c r="T24" s="348"/>
      <c r="U24" s="345"/>
      <c r="V24" s="345"/>
      <c r="X24" s="176">
        <f t="shared" si="35"/>
        <v>1091</v>
      </c>
      <c r="Y24" s="210">
        <f t="shared" si="36"/>
        <v>4.25</v>
      </c>
      <c r="Z24" s="210">
        <f t="shared" si="36"/>
        <v>8.07</v>
      </c>
    </row>
    <row r="25" spans="1:30" x14ac:dyDescent="0.25">
      <c r="A25" s="220">
        <v>72336</v>
      </c>
      <c r="B25" s="221">
        <v>1846</v>
      </c>
      <c r="C25" s="109" t="s">
        <v>73</v>
      </c>
      <c r="D25" s="229">
        <v>45966</v>
      </c>
      <c r="E25" s="65"/>
      <c r="F25" s="227" t="s">
        <v>89</v>
      </c>
      <c r="G25" s="65" t="str">
        <f t="shared" si="0"/>
        <v>Chanho</v>
      </c>
      <c r="H25" s="65">
        <v>1993</v>
      </c>
      <c r="I25" s="65">
        <v>4.3499999999999996</v>
      </c>
      <c r="J25" s="65">
        <v>8.4</v>
      </c>
      <c r="K25" s="176">
        <f t="shared" si="31"/>
        <v>86.695499999999996</v>
      </c>
      <c r="L25" s="177">
        <f t="shared" si="32"/>
        <v>167.41200000000001</v>
      </c>
      <c r="M25" s="209">
        <f>$R$25*H25/SUM($H$25:$H$27)</f>
        <v>2019.5620901205839</v>
      </c>
      <c r="N25" s="211">
        <f t="shared" ref="N25" si="44">P25/M25*100</f>
        <v>4.258149883199696</v>
      </c>
      <c r="O25" s="211">
        <f t="shared" ref="O25" si="45">Q25/M25*100</f>
        <v>8.1693645252844096</v>
      </c>
      <c r="P25" s="176">
        <f>$U$25*K25/SUM($K$25:$K$27)</f>
        <v>85.995980781614975</v>
      </c>
      <c r="Q25" s="212">
        <f>$V$25*L25/SUM($L$25:$L$27)</f>
        <v>164.98538895640334</v>
      </c>
      <c r="R25" s="347">
        <v>4790</v>
      </c>
      <c r="S25" s="347">
        <v>4.0999999999999996</v>
      </c>
      <c r="T25" s="347">
        <v>8.0399999999999991</v>
      </c>
      <c r="U25" s="328">
        <f>R25*S25%</f>
        <v>196.39</v>
      </c>
      <c r="V25" s="328">
        <f>R25*T25%</f>
        <v>385.11599999999993</v>
      </c>
      <c r="X25" s="176">
        <f t="shared" si="35"/>
        <v>2020</v>
      </c>
      <c r="Y25" s="210">
        <f t="shared" si="36"/>
        <v>4.26</v>
      </c>
      <c r="Z25" s="210">
        <f t="shared" si="36"/>
        <v>8.17</v>
      </c>
    </row>
    <row r="26" spans="1:30" x14ac:dyDescent="0.25">
      <c r="A26" s="220">
        <v>72336</v>
      </c>
      <c r="B26" s="221">
        <v>1846</v>
      </c>
      <c r="C26" s="109" t="s">
        <v>73</v>
      </c>
      <c r="D26" s="229">
        <v>45966</v>
      </c>
      <c r="E26" s="65"/>
      <c r="F26" s="227" t="s">
        <v>8</v>
      </c>
      <c r="G26" s="65" t="str">
        <f t="shared" si="0"/>
        <v>Chorya</v>
      </c>
      <c r="H26" s="65">
        <v>1229</v>
      </c>
      <c r="I26" s="65">
        <v>3.3</v>
      </c>
      <c r="J26" s="65">
        <v>7.57</v>
      </c>
      <c r="K26" s="176">
        <f t="shared" si="31"/>
        <v>40.557000000000002</v>
      </c>
      <c r="L26" s="177">
        <f t="shared" si="32"/>
        <v>93.035300000000007</v>
      </c>
      <c r="M26" s="209">
        <f t="shared" ref="M26:M27" si="46">$R$25*H26/SUM($H$25:$H$27)</f>
        <v>1245.3797334461603</v>
      </c>
      <c r="N26" s="211">
        <f t="shared" ref="N26:N27" si="47">P26/M26*100</f>
        <v>3.2303206010480459</v>
      </c>
      <c r="O26" s="211">
        <f t="shared" ref="O26:O27" si="48">Q26/M26*100</f>
        <v>7.3621535067146411</v>
      </c>
      <c r="P26" s="176">
        <f t="shared" ref="P26:P27" si="49">$U$25*K26/SUM($K$25:$K$27)</f>
        <v>40.229758090788557</v>
      </c>
      <c r="Q26" s="212">
        <f t="shared" ref="Q26:Q27" si="50">$V$25*L26/SUM($L$25:$L$27)</f>
        <v>91.686767717819947</v>
      </c>
      <c r="R26" s="349"/>
      <c r="S26" s="349"/>
      <c r="T26" s="349"/>
      <c r="U26" s="329"/>
      <c r="V26" s="329"/>
      <c r="X26" s="176">
        <f t="shared" si="35"/>
        <v>1245</v>
      </c>
      <c r="Y26" s="210">
        <f t="shared" si="36"/>
        <v>3.23</v>
      </c>
      <c r="Z26" s="210">
        <f t="shared" si="36"/>
        <v>7.36</v>
      </c>
    </row>
    <row r="27" spans="1:30" x14ac:dyDescent="0.25">
      <c r="A27" s="220">
        <v>72336</v>
      </c>
      <c r="B27" s="221">
        <v>1846</v>
      </c>
      <c r="C27" s="109" t="s">
        <v>73</v>
      </c>
      <c r="D27" s="229">
        <v>45966</v>
      </c>
      <c r="E27" s="65"/>
      <c r="F27" s="227" t="s">
        <v>14</v>
      </c>
      <c r="G27" s="65" t="str">
        <f t="shared" si="0"/>
        <v>Piragutu</v>
      </c>
      <c r="H27" s="65">
        <v>1505</v>
      </c>
      <c r="I27" s="65">
        <v>4.7</v>
      </c>
      <c r="J27" s="65">
        <v>8.66</v>
      </c>
      <c r="K27" s="176">
        <f t="shared" si="31"/>
        <v>70.734999999999999</v>
      </c>
      <c r="L27" s="177">
        <f t="shared" si="32"/>
        <v>130.333</v>
      </c>
      <c r="M27" s="209">
        <f t="shared" si="46"/>
        <v>1525.0581764332558</v>
      </c>
      <c r="N27" s="211">
        <f t="shared" si="47"/>
        <v>4.6007596439169136</v>
      </c>
      <c r="O27" s="211">
        <f t="shared" si="48"/>
        <v>8.4222258082098804</v>
      </c>
      <c r="P27" s="176">
        <f t="shared" si="49"/>
        <v>70.164261127596433</v>
      </c>
      <c r="Q27" s="212">
        <f t="shared" si="50"/>
        <v>128.44384332577664</v>
      </c>
      <c r="R27" s="348"/>
      <c r="S27" s="348"/>
      <c r="T27" s="348"/>
      <c r="U27" s="330"/>
      <c r="V27" s="330"/>
      <c r="X27" s="176">
        <f t="shared" si="35"/>
        <v>1525</v>
      </c>
      <c r="Y27" s="210">
        <f t="shared" si="36"/>
        <v>4.5999999999999996</v>
      </c>
      <c r="Z27" s="210">
        <f t="shared" si="36"/>
        <v>8.42</v>
      </c>
    </row>
    <row r="28" spans="1:30" x14ac:dyDescent="0.25">
      <c r="A28" s="220">
        <v>72193</v>
      </c>
      <c r="B28" s="221">
        <v>1023</v>
      </c>
      <c r="C28" s="109" t="s">
        <v>73</v>
      </c>
      <c r="D28" s="229">
        <v>45966</v>
      </c>
      <c r="E28" s="65"/>
      <c r="F28" s="227" t="s">
        <v>6</v>
      </c>
      <c r="G28" s="65" t="str">
        <f t="shared" si="0"/>
        <v>Hisri</v>
      </c>
      <c r="H28" s="65">
        <v>1116</v>
      </c>
      <c r="I28" s="65">
        <v>4.1500000000000004</v>
      </c>
      <c r="J28" s="65">
        <v>8.24</v>
      </c>
      <c r="K28" s="176">
        <f t="shared" si="31"/>
        <v>46.314</v>
      </c>
      <c r="L28" s="177">
        <f t="shared" si="32"/>
        <v>91.958399999999997</v>
      </c>
      <c r="M28" s="209">
        <f>$R$28*H28/SUM($H$28:$H$29)</f>
        <v>1113.3126934984521</v>
      </c>
      <c r="N28" s="211">
        <f t="shared" ref="N28" si="51">P28/M28*100</f>
        <v>4.1499999999999995</v>
      </c>
      <c r="O28" s="211">
        <f t="shared" ref="O28" si="52">Q28/M28*100</f>
        <v>8.2489812926809361</v>
      </c>
      <c r="P28" s="176">
        <f>$U$28*K28/SUM($K$28:$K$29)</f>
        <v>46.202476780185755</v>
      </c>
      <c r="Q28" s="212">
        <f>$V$28*L28/SUM($L$28:$L$29)</f>
        <v>91.836955815729553</v>
      </c>
      <c r="R28" s="347">
        <v>2900</v>
      </c>
      <c r="S28" s="347">
        <v>4.1500000000000004</v>
      </c>
      <c r="T28" s="347">
        <v>8.36</v>
      </c>
      <c r="U28" s="345">
        <f>R28*S28%</f>
        <v>120.35000000000001</v>
      </c>
      <c r="V28" s="345">
        <f>R28*T28%</f>
        <v>242.43999999999997</v>
      </c>
      <c r="X28" s="176">
        <f t="shared" si="35"/>
        <v>1113</v>
      </c>
      <c r="Y28" s="210">
        <f t="shared" si="36"/>
        <v>4.1500000000000004</v>
      </c>
      <c r="Z28" s="210">
        <f t="shared" si="36"/>
        <v>8.25</v>
      </c>
    </row>
    <row r="29" spans="1:30" x14ac:dyDescent="0.25">
      <c r="A29" s="220">
        <v>72193</v>
      </c>
      <c r="B29" s="221">
        <v>1023</v>
      </c>
      <c r="C29" s="109" t="s">
        <v>73</v>
      </c>
      <c r="D29" s="229">
        <v>45966</v>
      </c>
      <c r="E29" s="65"/>
      <c r="F29" s="227" t="s">
        <v>12</v>
      </c>
      <c r="G29" s="65" t="str">
        <f t="shared" si="0"/>
        <v>Ormanjhi</v>
      </c>
      <c r="H29" s="65">
        <v>1791</v>
      </c>
      <c r="I29" s="65">
        <v>4.1500000000000004</v>
      </c>
      <c r="J29" s="65">
        <v>8.42</v>
      </c>
      <c r="K29" s="176">
        <f t="shared" si="31"/>
        <v>74.32650000000001</v>
      </c>
      <c r="L29" s="177">
        <f t="shared" si="32"/>
        <v>150.8022</v>
      </c>
      <c r="M29" s="209">
        <f>$R$28*H29/SUM($H$28:$H$29)</f>
        <v>1786.6873065015479</v>
      </c>
      <c r="N29" s="211">
        <f t="shared" ref="N29:N30" si="53">P29/M29*100</f>
        <v>4.1500000000000004</v>
      </c>
      <c r="O29" s="211">
        <f t="shared" ref="O29:O30" si="54">Q29/M29*100</f>
        <v>8.4291774859676547</v>
      </c>
      <c r="P29" s="176">
        <f>$U$28*K29/SUM($K$28:$K$29)</f>
        <v>74.147523219814246</v>
      </c>
      <c r="Q29" s="212">
        <f>$V$28*L29/SUM($L$28:$L$29)</f>
        <v>150.6030441842704</v>
      </c>
      <c r="R29" s="348"/>
      <c r="S29" s="348"/>
      <c r="T29" s="348"/>
      <c r="U29" s="345"/>
      <c r="V29" s="345"/>
      <c r="X29" s="176">
        <f t="shared" si="35"/>
        <v>1787</v>
      </c>
      <c r="Y29" s="210">
        <f t="shared" si="36"/>
        <v>4.1500000000000004</v>
      </c>
      <c r="Z29" s="210">
        <f t="shared" si="36"/>
        <v>8.43</v>
      </c>
    </row>
    <row r="30" spans="1:30" x14ac:dyDescent="0.25">
      <c r="A30" s="220">
        <v>72196</v>
      </c>
      <c r="B30" s="221">
        <v>1846</v>
      </c>
      <c r="C30" s="109" t="s">
        <v>73</v>
      </c>
      <c r="D30" s="229">
        <v>45968</v>
      </c>
      <c r="E30" s="65"/>
      <c r="F30" s="227" t="s">
        <v>8</v>
      </c>
      <c r="G30" s="65" t="str">
        <f t="shared" si="0"/>
        <v>Chorya</v>
      </c>
      <c r="H30" s="65">
        <v>931</v>
      </c>
      <c r="I30" s="65">
        <v>3.45</v>
      </c>
      <c r="J30" s="65">
        <v>8.1</v>
      </c>
      <c r="K30" s="176">
        <f t="shared" si="31"/>
        <v>32.119500000000002</v>
      </c>
      <c r="L30" s="177">
        <f t="shared" si="32"/>
        <v>75.411000000000001</v>
      </c>
      <c r="M30" s="209">
        <f>$R$30*H30/SUM($H$30:$H$32)</f>
        <v>931</v>
      </c>
      <c r="N30" s="211">
        <f t="shared" si="53"/>
        <v>3.4594677505943707</v>
      </c>
      <c r="O30" s="211">
        <f t="shared" si="54"/>
        <v>8.1170876932008813</v>
      </c>
      <c r="P30" s="176">
        <f>$U$30*K30/SUM($K$30:$K$32)</f>
        <v>32.207644758033595</v>
      </c>
      <c r="Q30" s="212">
        <f>$V$30*L30/SUM($L$30:$L$32)</f>
        <v>75.570086423700204</v>
      </c>
      <c r="R30" s="347">
        <v>3580</v>
      </c>
      <c r="S30" s="347">
        <v>4.2</v>
      </c>
      <c r="T30" s="347">
        <v>8.3699999999999992</v>
      </c>
      <c r="U30" s="328">
        <f>R30*S30%</f>
        <v>150.36000000000001</v>
      </c>
      <c r="V30" s="328">
        <f>R30*T30%</f>
        <v>299.64600000000002</v>
      </c>
      <c r="X30" s="176">
        <f t="shared" si="35"/>
        <v>931</v>
      </c>
      <c r="Y30" s="210">
        <f t="shared" si="36"/>
        <v>3.46</v>
      </c>
      <c r="Z30" s="210">
        <f t="shared" si="36"/>
        <v>8.1199999999999992</v>
      </c>
    </row>
    <row r="31" spans="1:30" x14ac:dyDescent="0.25">
      <c r="A31" s="220">
        <v>72196</v>
      </c>
      <c r="B31" s="221">
        <v>1846</v>
      </c>
      <c r="C31" s="109" t="s">
        <v>73</v>
      </c>
      <c r="D31" s="229">
        <v>45968</v>
      </c>
      <c r="E31" s="65"/>
      <c r="F31" s="227" t="s">
        <v>6</v>
      </c>
      <c r="G31" s="65" t="str">
        <f t="shared" si="0"/>
        <v>Hisri</v>
      </c>
      <c r="H31" s="65">
        <v>1150</v>
      </c>
      <c r="I31" s="65">
        <v>4.25</v>
      </c>
      <c r="J31" s="65">
        <v>8.26</v>
      </c>
      <c r="K31" s="176">
        <f t="shared" si="31"/>
        <v>48.875</v>
      </c>
      <c r="L31" s="177">
        <f t="shared" si="32"/>
        <v>94.99</v>
      </c>
      <c r="M31" s="209">
        <f t="shared" ref="M31:M32" si="55">$R$30*H31/SUM($H$30:$H$32)</f>
        <v>1150</v>
      </c>
      <c r="N31" s="211">
        <f t="shared" ref="N31:N33" si="56">P31/M31*100</f>
        <v>4.2616631710220512</v>
      </c>
      <c r="O31" s="211">
        <f t="shared" ref="O31:O33" si="57">Q31/M31*100</f>
        <v>8.2774252278813911</v>
      </c>
      <c r="P31" s="176">
        <f t="shared" ref="P31:P32" si="58">$U$30*K31/SUM($K$30:$K$32)</f>
        <v>49.009126466753585</v>
      </c>
      <c r="Q31" s="212">
        <f t="shared" ref="Q31:Q32" si="59">$V$30*L31/SUM($L$30:$L$32)</f>
        <v>95.190390120635996</v>
      </c>
      <c r="R31" s="349"/>
      <c r="S31" s="349"/>
      <c r="T31" s="349"/>
      <c r="U31" s="329"/>
      <c r="V31" s="329"/>
      <c r="X31" s="176">
        <f t="shared" si="35"/>
        <v>1150</v>
      </c>
      <c r="Y31" s="210">
        <f t="shared" si="36"/>
        <v>4.26</v>
      </c>
      <c r="Z31" s="210">
        <f t="shared" si="36"/>
        <v>8.2799999999999994</v>
      </c>
    </row>
    <row r="32" spans="1:30" x14ac:dyDescent="0.25">
      <c r="A32" s="220">
        <v>72196</v>
      </c>
      <c r="B32" s="221">
        <v>1846</v>
      </c>
      <c r="C32" s="109" t="s">
        <v>73</v>
      </c>
      <c r="D32" s="229">
        <v>45968</v>
      </c>
      <c r="E32" s="65"/>
      <c r="F32" s="227" t="s">
        <v>14</v>
      </c>
      <c r="G32" s="65" t="str">
        <f t="shared" si="0"/>
        <v>Piragutu</v>
      </c>
      <c r="H32" s="65">
        <v>1499</v>
      </c>
      <c r="I32" s="65">
        <v>4.5999999999999996</v>
      </c>
      <c r="J32" s="65">
        <v>8.58</v>
      </c>
      <c r="K32" s="176">
        <f t="shared" si="31"/>
        <v>68.953999999999994</v>
      </c>
      <c r="L32" s="177">
        <f t="shared" si="32"/>
        <v>128.61420000000001</v>
      </c>
      <c r="M32" s="209">
        <f t="shared" si="55"/>
        <v>1499</v>
      </c>
      <c r="N32" s="211">
        <f t="shared" si="56"/>
        <v>4.6126236674591619</v>
      </c>
      <c r="O32" s="211">
        <f t="shared" si="57"/>
        <v>8.5981002972424143</v>
      </c>
      <c r="P32" s="176">
        <f t="shared" si="58"/>
        <v>69.143228775212833</v>
      </c>
      <c r="Q32" s="212">
        <f t="shared" si="59"/>
        <v>128.88552345566379</v>
      </c>
      <c r="R32" s="348"/>
      <c r="S32" s="348"/>
      <c r="T32" s="348"/>
      <c r="U32" s="330"/>
      <c r="V32" s="330"/>
      <c r="X32" s="176">
        <f t="shared" si="35"/>
        <v>1499</v>
      </c>
      <c r="Y32" s="210">
        <f t="shared" si="36"/>
        <v>4.6100000000000003</v>
      </c>
      <c r="Z32" s="210">
        <f t="shared" si="36"/>
        <v>8.6</v>
      </c>
    </row>
    <row r="33" spans="1:26" x14ac:dyDescent="0.25">
      <c r="A33" s="220">
        <v>72337</v>
      </c>
      <c r="B33" s="221">
        <v>1023</v>
      </c>
      <c r="C33" s="109" t="s">
        <v>109</v>
      </c>
      <c r="D33" s="229">
        <v>45968</v>
      </c>
      <c r="E33" s="65"/>
      <c r="F33" s="227" t="s">
        <v>89</v>
      </c>
      <c r="G33" s="65" t="str">
        <f t="shared" si="0"/>
        <v>Chanho</v>
      </c>
      <c r="H33" s="65">
        <v>1602</v>
      </c>
      <c r="I33" s="65">
        <v>4.25</v>
      </c>
      <c r="J33" s="65">
        <v>8.51</v>
      </c>
      <c r="K33" s="176">
        <f t="shared" si="31"/>
        <v>68.085000000000008</v>
      </c>
      <c r="L33" s="177">
        <f t="shared" si="32"/>
        <v>136.33019999999999</v>
      </c>
      <c r="M33" s="209">
        <f>$R$33*H33/SUM($H$33)</f>
        <v>1620</v>
      </c>
      <c r="N33" s="211">
        <f t="shared" si="56"/>
        <v>4.2</v>
      </c>
      <c r="O33" s="211">
        <f t="shared" si="57"/>
        <v>8.31</v>
      </c>
      <c r="P33" s="176">
        <f>$U$33*K33/SUM($K$33)</f>
        <v>68.040000000000006</v>
      </c>
      <c r="Q33" s="212">
        <f>$V$33*L33/SUM($L$33)</f>
        <v>134.62200000000001</v>
      </c>
      <c r="R33" s="249">
        <v>1620</v>
      </c>
      <c r="S33" s="249">
        <v>4.2</v>
      </c>
      <c r="T33" s="249">
        <v>8.31</v>
      </c>
      <c r="U33" s="249">
        <f>R33*S33%</f>
        <v>68.040000000000006</v>
      </c>
      <c r="V33" s="249">
        <f>R33*T33%</f>
        <v>134.62200000000001</v>
      </c>
      <c r="X33" s="176">
        <f t="shared" si="35"/>
        <v>1620</v>
      </c>
      <c r="Y33" s="210">
        <f t="shared" si="36"/>
        <v>4.2</v>
      </c>
      <c r="Z33" s="210">
        <f t="shared" si="36"/>
        <v>8.31</v>
      </c>
    </row>
    <row r="34" spans="1:26" x14ac:dyDescent="0.25">
      <c r="A34" s="220">
        <v>72337</v>
      </c>
      <c r="B34" s="221">
        <v>1023</v>
      </c>
      <c r="C34" s="109" t="s">
        <v>77</v>
      </c>
      <c r="D34" s="229">
        <v>45968</v>
      </c>
      <c r="E34" s="65"/>
      <c r="F34" s="227" t="s">
        <v>4</v>
      </c>
      <c r="G34" s="65" t="str">
        <f t="shared" si="0"/>
        <v>Pali</v>
      </c>
      <c r="H34" s="65">
        <v>4330</v>
      </c>
      <c r="I34" s="65">
        <v>4.1500000000000004</v>
      </c>
      <c r="J34" s="65">
        <v>8.36</v>
      </c>
      <c r="K34" s="176">
        <f t="shared" si="31"/>
        <v>179.69500000000002</v>
      </c>
      <c r="L34" s="177">
        <f t="shared" si="32"/>
        <v>361.988</v>
      </c>
      <c r="M34" s="209">
        <f>$R$34*H34/SUM($H$34)</f>
        <v>4340</v>
      </c>
      <c r="N34" s="211">
        <f t="shared" ref="N34" si="60">P34/M34*100</f>
        <v>4.1500000000000004</v>
      </c>
      <c r="O34" s="211">
        <f t="shared" ref="O34" si="61">Q34/M34*100</f>
        <v>8.36</v>
      </c>
      <c r="P34" s="176">
        <f>$U$34*K34/SUM($K$34)</f>
        <v>180.11</v>
      </c>
      <c r="Q34" s="212">
        <f>$V$34*L34/SUM($L$34)</f>
        <v>362.82399999999996</v>
      </c>
      <c r="R34" s="249">
        <v>4340</v>
      </c>
      <c r="S34" s="249">
        <v>4.1500000000000004</v>
      </c>
      <c r="T34" s="249">
        <v>8.36</v>
      </c>
      <c r="U34" s="249">
        <f>R34*S34%</f>
        <v>180.11</v>
      </c>
      <c r="V34" s="249">
        <f>R34*T34%</f>
        <v>362.82399999999996</v>
      </c>
      <c r="X34" s="176">
        <f t="shared" si="35"/>
        <v>4340</v>
      </c>
      <c r="Y34" s="210">
        <f t="shared" si="36"/>
        <v>4.1500000000000004</v>
      </c>
      <c r="Z34" s="210">
        <f t="shared" si="36"/>
        <v>8.36</v>
      </c>
    </row>
    <row r="35" spans="1:26" x14ac:dyDescent="0.25">
      <c r="A35" s="220">
        <v>71474</v>
      </c>
      <c r="B35" s="221">
        <v>1023</v>
      </c>
      <c r="C35" s="109" t="s">
        <v>109</v>
      </c>
      <c r="D35" s="229">
        <v>45967</v>
      </c>
      <c r="E35" s="65"/>
      <c r="F35" s="227" t="s">
        <v>4</v>
      </c>
      <c r="G35" s="65" t="str">
        <f t="shared" si="0"/>
        <v>Pali</v>
      </c>
      <c r="H35" s="65">
        <v>4330</v>
      </c>
      <c r="I35" s="65">
        <v>4.0999999999999996</v>
      </c>
      <c r="J35" s="65">
        <v>8.35</v>
      </c>
      <c r="K35" s="176">
        <f t="shared" si="31"/>
        <v>177.52999999999997</v>
      </c>
      <c r="L35" s="177">
        <f t="shared" si="32"/>
        <v>361.55499999999995</v>
      </c>
      <c r="M35" s="209">
        <f>$R$35*H35/SUM($H$35)</f>
        <v>4320</v>
      </c>
      <c r="N35" s="211">
        <f t="shared" ref="N35" si="62">P35/M35*100</f>
        <v>4.0999999999999996</v>
      </c>
      <c r="O35" s="211">
        <f t="shared" ref="O35" si="63">Q35/M35*100</f>
        <v>8.35</v>
      </c>
      <c r="P35" s="176">
        <f>$U$35*K35/SUM($K$35)</f>
        <v>177.11999999999998</v>
      </c>
      <c r="Q35" s="212">
        <f>$V$35*L35/SUM($L$35)</f>
        <v>360.71999999999997</v>
      </c>
      <c r="R35" s="234">
        <v>4320</v>
      </c>
      <c r="S35" s="234">
        <v>4.0999999999999996</v>
      </c>
      <c r="T35" s="234">
        <v>8.35</v>
      </c>
      <c r="U35" s="260">
        <f>R35*S35%</f>
        <v>177.11999999999998</v>
      </c>
      <c r="V35" s="260">
        <f>R35*T35%</f>
        <v>360.71999999999997</v>
      </c>
      <c r="X35" s="176">
        <f t="shared" si="35"/>
        <v>4320</v>
      </c>
      <c r="Y35" s="210">
        <f t="shared" si="36"/>
        <v>4.0999999999999996</v>
      </c>
      <c r="Z35" s="210">
        <f t="shared" si="36"/>
        <v>8.35</v>
      </c>
    </row>
    <row r="36" spans="1:26" x14ac:dyDescent="0.25">
      <c r="A36" s="220">
        <v>71474</v>
      </c>
      <c r="B36" s="221">
        <v>1023</v>
      </c>
      <c r="C36" s="109" t="s">
        <v>77</v>
      </c>
      <c r="D36" s="229">
        <v>45967</v>
      </c>
      <c r="E36" s="65"/>
      <c r="F36" s="227" t="s">
        <v>89</v>
      </c>
      <c r="G36" s="65" t="str">
        <f t="shared" si="0"/>
        <v>Chanho</v>
      </c>
      <c r="H36" s="65">
        <v>2310</v>
      </c>
      <c r="I36" s="65">
        <v>4.2</v>
      </c>
      <c r="J36" s="65">
        <v>8.18</v>
      </c>
      <c r="K36" s="176">
        <f t="shared" si="31"/>
        <v>97.02000000000001</v>
      </c>
      <c r="L36" s="177">
        <f t="shared" si="32"/>
        <v>188.958</v>
      </c>
      <c r="M36" s="209">
        <f>$R$36*H36/SUM($H$36)</f>
        <v>2330</v>
      </c>
      <c r="N36" s="211">
        <f t="shared" ref="N36:N37" si="64">P36/M36*100</f>
        <v>4.1499999999999995</v>
      </c>
      <c r="O36" s="211">
        <f t="shared" ref="O36:O37" si="65">Q36/M36*100</f>
        <v>8.17</v>
      </c>
      <c r="P36" s="176">
        <f>$U$36*K36/SUM($K$36)</f>
        <v>96.694999999999993</v>
      </c>
      <c r="Q36" s="212">
        <f>$V$36*L36/SUM($L$36)</f>
        <v>190.36099999999999</v>
      </c>
      <c r="R36" s="234">
        <v>2330</v>
      </c>
      <c r="S36" s="234">
        <v>4.1500000000000004</v>
      </c>
      <c r="T36" s="234">
        <v>8.17</v>
      </c>
      <c r="U36" s="260">
        <f>R36*S36%</f>
        <v>96.695000000000007</v>
      </c>
      <c r="V36" s="260">
        <f>R36*T36%</f>
        <v>190.36099999999999</v>
      </c>
      <c r="X36" s="176">
        <f t="shared" si="35"/>
        <v>2330</v>
      </c>
      <c r="Y36" s="210">
        <f t="shared" si="36"/>
        <v>4.1500000000000004</v>
      </c>
      <c r="Z36" s="210">
        <f t="shared" si="36"/>
        <v>8.17</v>
      </c>
    </row>
    <row r="37" spans="1:26" x14ac:dyDescent="0.25">
      <c r="A37" s="220">
        <v>72198</v>
      </c>
      <c r="B37" s="221">
        <v>1023</v>
      </c>
      <c r="C37" s="109" t="s">
        <v>109</v>
      </c>
      <c r="D37" s="229">
        <v>45971</v>
      </c>
      <c r="E37" s="65"/>
      <c r="F37" s="227" t="s">
        <v>12</v>
      </c>
      <c r="G37" s="65" t="str">
        <f t="shared" si="0"/>
        <v>Ormanjhi</v>
      </c>
      <c r="H37" s="65">
        <v>1551</v>
      </c>
      <c r="I37" s="65">
        <v>4.2</v>
      </c>
      <c r="J37" s="65">
        <v>8.43</v>
      </c>
      <c r="K37" s="176">
        <f t="shared" si="31"/>
        <v>65.14200000000001</v>
      </c>
      <c r="L37" s="177">
        <f t="shared" si="32"/>
        <v>130.74930000000001</v>
      </c>
      <c r="M37" s="209">
        <f>$R$37*H37/SUM($H$37:$H$38)</f>
        <v>1551</v>
      </c>
      <c r="N37" s="211">
        <f t="shared" si="64"/>
        <v>4.1838644067796613</v>
      </c>
      <c r="O37" s="211">
        <f t="shared" si="65"/>
        <v>8.4356551088004696</v>
      </c>
      <c r="P37" s="176">
        <f>$U$37*K37/SUM($K$37:$K$38)</f>
        <v>64.891736949152545</v>
      </c>
      <c r="Q37" s="212">
        <f>$V$37*L37/SUM($L$37:$L$38)</f>
        <v>130.83701073749529</v>
      </c>
      <c r="R37" s="347">
        <v>3190</v>
      </c>
      <c r="S37" s="347">
        <v>3.8</v>
      </c>
      <c r="T37" s="347">
        <v>8.23</v>
      </c>
      <c r="U37" s="345">
        <f t="shared" ref="U37" si="66">R37*S37%</f>
        <v>121.22</v>
      </c>
      <c r="V37" s="345">
        <f t="shared" ref="V37" si="67">R37*T37%</f>
        <v>262.53699999999998</v>
      </c>
      <c r="X37" s="176">
        <f t="shared" si="35"/>
        <v>1551</v>
      </c>
      <c r="Y37" s="210">
        <f t="shared" si="36"/>
        <v>4.18</v>
      </c>
      <c r="Z37" s="210">
        <f t="shared" si="36"/>
        <v>8.44</v>
      </c>
    </row>
    <row r="38" spans="1:26" x14ac:dyDescent="0.25">
      <c r="A38" s="220">
        <v>72198</v>
      </c>
      <c r="B38" s="221">
        <v>1023</v>
      </c>
      <c r="C38" s="109" t="s">
        <v>109</v>
      </c>
      <c r="D38" s="229">
        <v>45971</v>
      </c>
      <c r="E38" s="65"/>
      <c r="F38" s="227" t="s">
        <v>8</v>
      </c>
      <c r="G38" s="65" t="str">
        <f t="shared" si="0"/>
        <v>Chorya</v>
      </c>
      <c r="H38" s="65">
        <v>1639</v>
      </c>
      <c r="I38" s="65">
        <v>3.45</v>
      </c>
      <c r="J38" s="65">
        <v>8.0299999999999994</v>
      </c>
      <c r="K38" s="176">
        <f t="shared" si="31"/>
        <v>56.545500000000004</v>
      </c>
      <c r="L38" s="177">
        <f t="shared" si="32"/>
        <v>131.61169999999998</v>
      </c>
      <c r="M38" s="209">
        <f>$R$37*H38/SUM($H$37:$H$38)</f>
        <v>1639</v>
      </c>
      <c r="N38" s="211">
        <f t="shared" ref="N38" si="68">P38/M38*100</f>
        <v>3.436745762711864</v>
      </c>
      <c r="O38" s="211">
        <f t="shared" ref="O38" si="69">Q38/M38*100</f>
        <v>8.0353867762357982</v>
      </c>
      <c r="P38" s="176">
        <f>$U$37*K38/SUM($K$37:$K$38)</f>
        <v>56.328263050847454</v>
      </c>
      <c r="Q38" s="212">
        <f>$V$37*L38/SUM($L$37:$L$38)</f>
        <v>131.69998926250472</v>
      </c>
      <c r="R38" s="348"/>
      <c r="S38" s="348"/>
      <c r="T38" s="348"/>
      <c r="U38" s="345"/>
      <c r="V38" s="345"/>
      <c r="X38" s="176">
        <f t="shared" si="35"/>
        <v>1639</v>
      </c>
      <c r="Y38" s="210">
        <f t="shared" si="36"/>
        <v>3.44</v>
      </c>
      <c r="Z38" s="210">
        <f t="shared" si="36"/>
        <v>8.0399999999999991</v>
      </c>
    </row>
    <row r="39" spans="1:26" x14ac:dyDescent="0.25">
      <c r="A39" s="220">
        <v>72198</v>
      </c>
      <c r="B39" s="221">
        <v>1023</v>
      </c>
      <c r="C39" s="109" t="s">
        <v>77</v>
      </c>
      <c r="D39" s="229">
        <v>45971</v>
      </c>
      <c r="E39" s="65"/>
      <c r="F39" s="227" t="s">
        <v>89</v>
      </c>
      <c r="G39" s="65" t="str">
        <f t="shared" si="0"/>
        <v>Chanho</v>
      </c>
      <c r="H39" s="65">
        <v>1624</v>
      </c>
      <c r="I39" s="65">
        <v>4.25</v>
      </c>
      <c r="J39" s="65">
        <v>8.32</v>
      </c>
      <c r="K39" s="176">
        <f t="shared" si="31"/>
        <v>69.02000000000001</v>
      </c>
      <c r="L39" s="177">
        <f t="shared" si="32"/>
        <v>135.11679999999998</v>
      </c>
      <c r="M39" s="209">
        <f>$R$39*H39/SUM($H$39:$H$40)</f>
        <v>1625.0317662007624</v>
      </c>
      <c r="N39" s="211">
        <f t="shared" ref="N39" si="70">P39/M39*100</f>
        <v>4.2546074789320771</v>
      </c>
      <c r="O39" s="211">
        <f t="shared" ref="O39" si="71">Q39/M39*100</f>
        <v>8.2302759709713396</v>
      </c>
      <c r="P39" s="176">
        <f>$U$39*K39/SUM($K$39:$K$40)</f>
        <v>69.138723059799659</v>
      </c>
      <c r="Q39" s="212">
        <f>$V$39*L39/SUM($L$39:$L$40)</f>
        <v>133.74459897427249</v>
      </c>
      <c r="R39" s="347">
        <v>3150</v>
      </c>
      <c r="S39" s="347">
        <v>4.4000000000000004</v>
      </c>
      <c r="T39" s="347">
        <v>8.35</v>
      </c>
      <c r="U39" s="345">
        <f t="shared" ref="U39" si="72">R39*S39%</f>
        <v>138.60000000000002</v>
      </c>
      <c r="V39" s="345">
        <f t="shared" ref="V39" si="73">R39*T39%</f>
        <v>263.02499999999998</v>
      </c>
      <c r="X39" s="176">
        <f t="shared" ref="X39:X99" si="74">ROUND(M39,0)</f>
        <v>1625</v>
      </c>
      <c r="Y39" s="210">
        <f t="shared" si="36"/>
        <v>4.25</v>
      </c>
      <c r="Z39" s="210">
        <f t="shared" si="36"/>
        <v>8.23</v>
      </c>
    </row>
    <row r="40" spans="1:26" x14ac:dyDescent="0.25">
      <c r="A40" s="220">
        <v>72198</v>
      </c>
      <c r="B40" s="221">
        <v>1023</v>
      </c>
      <c r="C40" s="109" t="s">
        <v>77</v>
      </c>
      <c r="D40" s="229">
        <v>45971</v>
      </c>
      <c r="E40" s="65"/>
      <c r="F40" s="227" t="s">
        <v>14</v>
      </c>
      <c r="G40" s="65" t="str">
        <f t="shared" si="0"/>
        <v>Piragutu</v>
      </c>
      <c r="H40" s="65">
        <v>1524</v>
      </c>
      <c r="I40" s="65">
        <v>4.55</v>
      </c>
      <c r="J40" s="65">
        <v>8.57</v>
      </c>
      <c r="K40" s="176">
        <f t="shared" si="31"/>
        <v>69.341999999999999</v>
      </c>
      <c r="L40" s="177">
        <f t="shared" si="32"/>
        <v>130.60679999999999</v>
      </c>
      <c r="M40" s="209">
        <f>$R$39*H40/SUM($H$39:$H$40)</f>
        <v>1524.9682337992376</v>
      </c>
      <c r="N40" s="211">
        <f t="shared" ref="N40" si="75">P40/M40*100</f>
        <v>4.5549327127390473</v>
      </c>
      <c r="O40" s="211">
        <f t="shared" ref="O40" si="76">Q40/M40*100</f>
        <v>8.4775799364452364</v>
      </c>
      <c r="P40" s="176">
        <f>$U$39*K40/SUM($K$39:$K$40)</f>
        <v>69.461276940200349</v>
      </c>
      <c r="Q40" s="212">
        <f>$V$39*L40/SUM($L$39:$L$40)</f>
        <v>129.28040102572746</v>
      </c>
      <c r="R40" s="348"/>
      <c r="S40" s="348"/>
      <c r="T40" s="348"/>
      <c r="U40" s="345"/>
      <c r="V40" s="345"/>
      <c r="X40" s="176">
        <f t="shared" si="74"/>
        <v>1525</v>
      </c>
      <c r="Y40" s="210">
        <f t="shared" si="36"/>
        <v>4.55</v>
      </c>
      <c r="Z40" s="210">
        <f t="shared" si="36"/>
        <v>8.48</v>
      </c>
    </row>
    <row r="41" spans="1:26" x14ac:dyDescent="0.25">
      <c r="A41" s="220">
        <v>72340</v>
      </c>
      <c r="B41" s="221">
        <v>1023</v>
      </c>
      <c r="C41" s="109" t="s">
        <v>109</v>
      </c>
      <c r="D41" s="229">
        <v>45970</v>
      </c>
      <c r="E41" s="65"/>
      <c r="F41" s="227" t="s">
        <v>14</v>
      </c>
      <c r="G41" s="65" t="str">
        <f t="shared" si="0"/>
        <v>Piragutu</v>
      </c>
      <c r="H41" s="65">
        <v>1430</v>
      </c>
      <c r="I41" s="65">
        <v>4.7</v>
      </c>
      <c r="J41" s="65">
        <v>8.6</v>
      </c>
      <c r="K41" s="176">
        <f t="shared" si="31"/>
        <v>67.209999999999994</v>
      </c>
      <c r="L41" s="177">
        <f t="shared" si="32"/>
        <v>122.97999999999999</v>
      </c>
      <c r="M41" s="209">
        <f>$R$41*H41/SUM($H$41:$H$42)</f>
        <v>1403.3208955223881</v>
      </c>
      <c r="N41" s="211">
        <f t="shared" ref="N41" si="77">P41/M41*100</f>
        <v>4.6339451058201062</v>
      </c>
      <c r="O41" s="211">
        <f t="shared" ref="O41" si="78">Q41/M41*100</f>
        <v>8.5498352277733716</v>
      </c>
      <c r="P41" s="176">
        <f>$U$41*K41/SUM($K$41:$K$42)</f>
        <v>65.029119957010593</v>
      </c>
      <c r="Q41" s="212">
        <f>$V$41*L41/SUM($L$41:$L$42)</f>
        <v>119.9816242840779</v>
      </c>
      <c r="R41" s="347">
        <v>2630</v>
      </c>
      <c r="S41" s="347">
        <v>4.45</v>
      </c>
      <c r="T41" s="347">
        <v>8.42</v>
      </c>
      <c r="U41" s="345">
        <f t="shared" ref="U41" si="79">R41*S41%</f>
        <v>117.03500000000001</v>
      </c>
      <c r="V41" s="345">
        <f t="shared" ref="V41" si="80">R41*T41%</f>
        <v>221.446</v>
      </c>
      <c r="X41" s="176">
        <f t="shared" si="74"/>
        <v>1403</v>
      </c>
      <c r="Y41" s="210">
        <f t="shared" si="36"/>
        <v>4.63</v>
      </c>
      <c r="Z41" s="210">
        <f t="shared" si="36"/>
        <v>8.5500000000000007</v>
      </c>
    </row>
    <row r="42" spans="1:26" x14ac:dyDescent="0.25">
      <c r="A42" s="220">
        <v>72340</v>
      </c>
      <c r="B42" s="221">
        <v>1023</v>
      </c>
      <c r="C42" s="109" t="s">
        <v>109</v>
      </c>
      <c r="D42" s="229">
        <v>45970</v>
      </c>
      <c r="E42" s="65"/>
      <c r="F42" s="227" t="s">
        <v>6</v>
      </c>
      <c r="G42" s="65" t="str">
        <f t="shared" si="0"/>
        <v>Hisri</v>
      </c>
      <c r="H42" s="65">
        <v>1250</v>
      </c>
      <c r="I42" s="65">
        <v>4.3</v>
      </c>
      <c r="J42" s="65">
        <v>8.32</v>
      </c>
      <c r="K42" s="176">
        <f t="shared" si="31"/>
        <v>53.749999999999993</v>
      </c>
      <c r="L42" s="177">
        <f t="shared" si="32"/>
        <v>104</v>
      </c>
      <c r="M42" s="209">
        <f>$R$41*H42/SUM($H$41:$H$42)</f>
        <v>1226.6791044776119</v>
      </c>
      <c r="N42" s="211">
        <f t="shared" ref="N42" si="81">P42/M42*100</f>
        <v>4.2395667989417998</v>
      </c>
      <c r="O42" s="211">
        <f t="shared" ref="O42" si="82">Q42/M42*100</f>
        <v>8.2714684994272627</v>
      </c>
      <c r="P42" s="176">
        <f>$U$41*K42/SUM($K$41:$K$42)</f>
        <v>52.005880042989425</v>
      </c>
      <c r="Q42" s="212">
        <f>$V$41*L42/SUM($L$41:$L$42)</f>
        <v>101.4643757159221</v>
      </c>
      <c r="R42" s="348"/>
      <c r="S42" s="348"/>
      <c r="T42" s="348"/>
      <c r="U42" s="345"/>
      <c r="V42" s="345"/>
      <c r="X42" s="176">
        <f t="shared" si="74"/>
        <v>1227</v>
      </c>
      <c r="Y42" s="210">
        <f t="shared" si="36"/>
        <v>4.24</v>
      </c>
      <c r="Z42" s="210">
        <f t="shared" si="36"/>
        <v>8.27</v>
      </c>
    </row>
    <row r="43" spans="1:26" x14ac:dyDescent="0.25">
      <c r="A43" s="220">
        <v>72338</v>
      </c>
      <c r="B43" s="221">
        <v>1846</v>
      </c>
      <c r="C43" s="109" t="s">
        <v>73</v>
      </c>
      <c r="D43" s="229">
        <v>45969</v>
      </c>
      <c r="E43" s="65"/>
      <c r="F43" s="227" t="s">
        <v>12</v>
      </c>
      <c r="G43" s="65" t="str">
        <f t="shared" si="0"/>
        <v>Ormanjhi</v>
      </c>
      <c r="H43" s="65">
        <v>2207</v>
      </c>
      <c r="I43" s="65">
        <v>4.0999999999999996</v>
      </c>
      <c r="J43" s="65">
        <v>8.35</v>
      </c>
      <c r="K43" s="176">
        <f t="shared" si="31"/>
        <v>90.486999999999995</v>
      </c>
      <c r="L43" s="177">
        <f t="shared" si="32"/>
        <v>184.28449999999998</v>
      </c>
      <c r="M43" s="209">
        <f>$R$43*H43/SUM($H$43:$H$45)</f>
        <v>2217.240266290095</v>
      </c>
      <c r="N43" s="211">
        <f t="shared" ref="N43" si="83">P43/M43*100</f>
        <v>4.1055691776146226</v>
      </c>
      <c r="O43" s="211">
        <f t="shared" ref="O43" si="84">Q43/M43*100</f>
        <v>8.3346573032293794</v>
      </c>
      <c r="P43" s="176">
        <f>$U$43*K43/SUM($K$43:$K$45)</f>
        <v>91.030332966466517</v>
      </c>
      <c r="Q43" s="212">
        <f>$V$43*L43/SUM($L$43:$L$45)</f>
        <v>184.79937778448993</v>
      </c>
      <c r="R43" s="347">
        <v>4980</v>
      </c>
      <c r="S43" s="347">
        <v>4.3499999999999996</v>
      </c>
      <c r="T43" s="347">
        <v>8.4</v>
      </c>
      <c r="U43" s="328">
        <f>R43*S43%</f>
        <v>216.63</v>
      </c>
      <c r="V43" s="328">
        <f>R43*T43%</f>
        <v>418.32000000000005</v>
      </c>
      <c r="X43" s="176">
        <f t="shared" si="74"/>
        <v>2217</v>
      </c>
      <c r="Y43" s="210">
        <f t="shared" si="36"/>
        <v>4.1100000000000003</v>
      </c>
      <c r="Z43" s="210">
        <f t="shared" si="36"/>
        <v>8.33</v>
      </c>
    </row>
    <row r="44" spans="1:26" x14ac:dyDescent="0.25">
      <c r="A44" s="220">
        <v>72338</v>
      </c>
      <c r="B44" s="221">
        <v>1846</v>
      </c>
      <c r="C44" s="109" t="s">
        <v>73</v>
      </c>
      <c r="D44" s="229">
        <v>45969</v>
      </c>
      <c r="E44" s="65"/>
      <c r="F44" s="227" t="s">
        <v>6</v>
      </c>
      <c r="G44" s="65" t="str">
        <f t="shared" si="0"/>
        <v>Hisri</v>
      </c>
      <c r="H44" s="65">
        <v>1100</v>
      </c>
      <c r="I44" s="65">
        <v>4.3</v>
      </c>
      <c r="J44" s="65">
        <v>8.27</v>
      </c>
      <c r="K44" s="176">
        <f t="shared" si="31"/>
        <v>47.3</v>
      </c>
      <c r="L44" s="177">
        <f t="shared" si="32"/>
        <v>90.97</v>
      </c>
      <c r="M44" s="209">
        <f t="shared" ref="M44:M45" si="85">$R$43*H44/SUM($H$43:$H$45)</f>
        <v>1105.1038934839621</v>
      </c>
      <c r="N44" s="211">
        <f t="shared" ref="N44:N45" si="86">P44/M44*100</f>
        <v>4.3058408448153358</v>
      </c>
      <c r="O44" s="211">
        <f t="shared" ref="O44:O45" si="87">Q44/M44*100</f>
        <v>8.2548042991265831</v>
      </c>
      <c r="P44" s="176">
        <f t="shared" ref="P44:P45" si="88">$U$43*K44/SUM($K$43:$K$45)</f>
        <v>47.584014823276995</v>
      </c>
      <c r="Q44" s="212">
        <f t="shared" ref="Q44:Q45" si="89">$V$43*L44/SUM($L$43:$L$45)</f>
        <v>91.224163709129371</v>
      </c>
      <c r="R44" s="349"/>
      <c r="S44" s="349"/>
      <c r="T44" s="349"/>
      <c r="U44" s="329"/>
      <c r="V44" s="329"/>
      <c r="X44" s="176">
        <f t="shared" si="74"/>
        <v>1105</v>
      </c>
      <c r="Y44" s="210">
        <f t="shared" si="36"/>
        <v>4.3099999999999996</v>
      </c>
      <c r="Z44" s="210">
        <f t="shared" si="36"/>
        <v>8.25</v>
      </c>
    </row>
    <row r="45" spans="1:26" x14ac:dyDescent="0.25">
      <c r="A45" s="220">
        <v>72338</v>
      </c>
      <c r="B45" s="221">
        <v>1846</v>
      </c>
      <c r="C45" s="109" t="s">
        <v>73</v>
      </c>
      <c r="D45" s="229">
        <v>45969</v>
      </c>
      <c r="E45" s="65"/>
      <c r="F45" s="227" t="s">
        <v>14</v>
      </c>
      <c r="G45" s="65" t="str">
        <f t="shared" si="0"/>
        <v>Piragutu</v>
      </c>
      <c r="H45" s="65">
        <v>1650</v>
      </c>
      <c r="I45" s="65">
        <v>4.7</v>
      </c>
      <c r="J45" s="65">
        <v>8.6</v>
      </c>
      <c r="K45" s="176">
        <f t="shared" si="31"/>
        <v>77.55</v>
      </c>
      <c r="L45" s="177">
        <f t="shared" si="32"/>
        <v>141.89999999999998</v>
      </c>
      <c r="M45" s="209">
        <f t="shared" si="85"/>
        <v>1657.6558402259432</v>
      </c>
      <c r="N45" s="211">
        <f t="shared" si="86"/>
        <v>4.7063841792167622</v>
      </c>
      <c r="O45" s="211">
        <f t="shared" si="87"/>
        <v>8.5841979410506184</v>
      </c>
      <c r="P45" s="176">
        <f t="shared" si="88"/>
        <v>78.015652210256476</v>
      </c>
      <c r="Q45" s="212">
        <f t="shared" si="89"/>
        <v>142.29645850638073</v>
      </c>
      <c r="R45" s="348"/>
      <c r="S45" s="348"/>
      <c r="T45" s="348"/>
      <c r="U45" s="330"/>
      <c r="V45" s="330"/>
      <c r="X45" s="176">
        <f t="shared" si="74"/>
        <v>1658</v>
      </c>
      <c r="Y45" s="210">
        <f t="shared" si="36"/>
        <v>4.71</v>
      </c>
      <c r="Z45" s="210">
        <f t="shared" si="36"/>
        <v>8.58</v>
      </c>
    </row>
    <row r="46" spans="1:26" x14ac:dyDescent="0.25">
      <c r="A46" s="220">
        <v>72339</v>
      </c>
      <c r="B46" s="221">
        <v>9944</v>
      </c>
      <c r="C46" s="109" t="s">
        <v>73</v>
      </c>
      <c r="D46" s="229">
        <v>45970</v>
      </c>
      <c r="E46" s="65"/>
      <c r="F46" s="227" t="s">
        <v>89</v>
      </c>
      <c r="G46" s="65" t="str">
        <f t="shared" si="0"/>
        <v>Chanho</v>
      </c>
      <c r="H46" s="65">
        <v>2200</v>
      </c>
      <c r="I46" s="65">
        <v>4.3</v>
      </c>
      <c r="J46" s="65">
        <v>8.27</v>
      </c>
      <c r="K46" s="176">
        <f t="shared" si="31"/>
        <v>94.6</v>
      </c>
      <c r="L46" s="177">
        <f t="shared" si="32"/>
        <v>181.94</v>
      </c>
      <c r="M46" s="209">
        <f>$R$46*H46/SUM($H$46:$H$47)</f>
        <v>2200</v>
      </c>
      <c r="N46" s="211">
        <f t="shared" ref="N46" si="90">P46/M46*100</f>
        <v>4.3167938931297707</v>
      </c>
      <c r="O46" s="211">
        <f t="shared" ref="O46" si="91">Q46/M46*100</f>
        <v>8.1893050077574436</v>
      </c>
      <c r="P46" s="176">
        <f>$U$46*K46/SUM($K$46:$K$47)</f>
        <v>94.969465648854964</v>
      </c>
      <c r="Q46" s="212">
        <f>$V$46*L46/SUM($L$46:$L$47)</f>
        <v>180.16471017066377</v>
      </c>
      <c r="R46" s="347">
        <v>6500</v>
      </c>
      <c r="S46" s="347">
        <v>4.3499999999999996</v>
      </c>
      <c r="T46" s="347">
        <v>8.15</v>
      </c>
      <c r="U46" s="345">
        <f t="shared" ref="U46" si="92">R46*S46%</f>
        <v>282.75</v>
      </c>
      <c r="V46" s="345">
        <f t="shared" ref="V46" si="93">R46*T46%</f>
        <v>529.75</v>
      </c>
      <c r="X46" s="176">
        <f t="shared" si="74"/>
        <v>2200</v>
      </c>
      <c r="Y46" s="210">
        <f t="shared" si="36"/>
        <v>4.32</v>
      </c>
      <c r="Z46" s="210">
        <f t="shared" si="36"/>
        <v>8.19</v>
      </c>
    </row>
    <row r="47" spans="1:26" x14ac:dyDescent="0.25">
      <c r="A47" s="220">
        <v>72339</v>
      </c>
      <c r="B47" s="221">
        <v>9944</v>
      </c>
      <c r="C47" s="109" t="s">
        <v>73</v>
      </c>
      <c r="D47" s="229">
        <v>45970</v>
      </c>
      <c r="E47" s="65"/>
      <c r="F47" s="227" t="s">
        <v>78</v>
      </c>
      <c r="G47" s="65" t="str">
        <f t="shared" si="0"/>
        <v>Bhandra</v>
      </c>
      <c r="H47" s="65">
        <v>4300</v>
      </c>
      <c r="I47" s="65">
        <v>4.3499999999999996</v>
      </c>
      <c r="J47" s="65">
        <v>8.2100000000000009</v>
      </c>
      <c r="K47" s="176">
        <f t="shared" si="31"/>
        <v>187.04999999999998</v>
      </c>
      <c r="L47" s="177">
        <f t="shared" si="32"/>
        <v>353.03000000000003</v>
      </c>
      <c r="M47" s="209">
        <f>$R$46*H47/SUM($H$46:$H$47)</f>
        <v>4300</v>
      </c>
      <c r="N47" s="211">
        <f t="shared" ref="N47" si="94">P47/M47*100</f>
        <v>4.3669891709568613</v>
      </c>
      <c r="O47" s="211">
        <f t="shared" ref="O47" si="95">Q47/M47*100</f>
        <v>8.1298904611473546</v>
      </c>
      <c r="P47" s="176">
        <f>$U$46*K47/SUM($K$46:$K$47)</f>
        <v>187.78053435114504</v>
      </c>
      <c r="Q47" s="212">
        <f>$V$46*L47/SUM($L$46:$L$47)</f>
        <v>349.58528982933626</v>
      </c>
      <c r="R47" s="348"/>
      <c r="S47" s="348"/>
      <c r="T47" s="348"/>
      <c r="U47" s="345"/>
      <c r="V47" s="345"/>
      <c r="X47" s="176">
        <f t="shared" si="74"/>
        <v>4300</v>
      </c>
      <c r="Y47" s="210">
        <f t="shared" si="36"/>
        <v>4.37</v>
      </c>
      <c r="Z47" s="210">
        <f t="shared" si="36"/>
        <v>8.1300000000000008</v>
      </c>
    </row>
    <row r="48" spans="1:26" x14ac:dyDescent="0.25">
      <c r="A48" s="220">
        <v>72355</v>
      </c>
      <c r="B48" s="221">
        <v>1846</v>
      </c>
      <c r="C48" s="109" t="s">
        <v>73</v>
      </c>
      <c r="D48" s="229">
        <v>45971</v>
      </c>
      <c r="E48" s="65"/>
      <c r="F48" s="227" t="s">
        <v>6</v>
      </c>
      <c r="G48" s="65" t="str">
        <f t="shared" si="0"/>
        <v>Hisri</v>
      </c>
      <c r="H48" s="65">
        <v>1357</v>
      </c>
      <c r="I48" s="65">
        <v>4.2</v>
      </c>
      <c r="J48" s="65">
        <v>8.25</v>
      </c>
      <c r="K48" s="176">
        <f t="shared" si="31"/>
        <v>56.994000000000007</v>
      </c>
      <c r="L48" s="177">
        <f t="shared" si="32"/>
        <v>111.9525</v>
      </c>
      <c r="M48" s="209">
        <f>$R$48*H48/SUM($H$48:$H$49)</f>
        <v>1347.6952001769521</v>
      </c>
      <c r="N48" s="211">
        <f t="shared" ref="N48" si="96">P48/M48*100</f>
        <v>4.2051043557168786</v>
      </c>
      <c r="O48" s="211">
        <f t="shared" ref="O48" si="97">Q48/M48*100</f>
        <v>8.0386276937371424</v>
      </c>
      <c r="P48" s="176">
        <f>$U$48*K48/SUM($K$48:$K$49)</f>
        <v>56.671989564428316</v>
      </c>
      <c r="Q48" s="212">
        <f>$V$48*L48/SUM($L$48:$L$49)</f>
        <v>108.33619958859069</v>
      </c>
      <c r="R48" s="347">
        <v>4490</v>
      </c>
      <c r="S48" s="347">
        <v>4.0999999999999996</v>
      </c>
      <c r="T48" s="347">
        <v>8.1</v>
      </c>
      <c r="U48" s="345">
        <f t="shared" ref="U48" si="98">R48*S48%</f>
        <v>184.08999999999997</v>
      </c>
      <c r="V48" s="345">
        <f t="shared" ref="V48" si="99">R48*T48%</f>
        <v>363.69</v>
      </c>
      <c r="X48" s="176">
        <f t="shared" si="74"/>
        <v>1348</v>
      </c>
      <c r="Y48" s="210">
        <f t="shared" si="36"/>
        <v>4.21</v>
      </c>
      <c r="Z48" s="210">
        <f t="shared" si="36"/>
        <v>8.0399999999999991</v>
      </c>
    </row>
    <row r="49" spans="1:26" x14ac:dyDescent="0.25">
      <c r="A49" s="220">
        <v>72355</v>
      </c>
      <c r="B49" s="221">
        <v>1846</v>
      </c>
      <c r="C49" s="109" t="s">
        <v>73</v>
      </c>
      <c r="D49" s="229">
        <v>45971</v>
      </c>
      <c r="E49" s="65"/>
      <c r="F49" s="227" t="s">
        <v>4</v>
      </c>
      <c r="G49" s="65" t="str">
        <f t="shared" si="0"/>
        <v>Pali</v>
      </c>
      <c r="H49" s="65">
        <v>3164</v>
      </c>
      <c r="I49" s="65">
        <v>4.05</v>
      </c>
      <c r="J49" s="65">
        <v>8.34</v>
      </c>
      <c r="K49" s="176">
        <f t="shared" si="31"/>
        <v>128.142</v>
      </c>
      <c r="L49" s="177">
        <f t="shared" si="32"/>
        <v>263.87760000000003</v>
      </c>
      <c r="M49" s="209">
        <f>$R$48*H49/SUM($H$48:$H$49)</f>
        <v>3142.3047998230481</v>
      </c>
      <c r="N49" s="211">
        <f t="shared" ref="N49" si="100">P49/M49*100</f>
        <v>4.054922057298417</v>
      </c>
      <c r="O49" s="211">
        <f t="shared" ref="O49" si="101">Q49/M49*100</f>
        <v>8.1263218140324582</v>
      </c>
      <c r="P49" s="176">
        <f>$U$48*K49/SUM($K$48:$K$49)</f>
        <v>127.41801043557166</v>
      </c>
      <c r="Q49" s="212">
        <f>$V$48*L49/SUM($L$48:$L$49)</f>
        <v>255.35380041140934</v>
      </c>
      <c r="R49" s="348"/>
      <c r="S49" s="348"/>
      <c r="T49" s="348"/>
      <c r="U49" s="345"/>
      <c r="V49" s="345"/>
      <c r="X49" s="176">
        <f t="shared" si="74"/>
        <v>3142</v>
      </c>
      <c r="Y49" s="210">
        <f t="shared" si="36"/>
        <v>4.05</v>
      </c>
      <c r="Z49" s="210">
        <f t="shared" si="36"/>
        <v>8.1300000000000008</v>
      </c>
    </row>
    <row r="50" spans="1:26" x14ac:dyDescent="0.25">
      <c r="A50" s="220">
        <v>70148</v>
      </c>
      <c r="B50" s="221">
        <v>1023</v>
      </c>
      <c r="C50" s="109" t="s">
        <v>73</v>
      </c>
      <c r="D50" s="229">
        <v>45973</v>
      </c>
      <c r="E50" s="65"/>
      <c r="F50" s="227" t="s">
        <v>14</v>
      </c>
      <c r="G50" s="65" t="str">
        <f t="shared" si="0"/>
        <v>Piragutu</v>
      </c>
      <c r="H50" s="65">
        <v>1754</v>
      </c>
      <c r="I50" s="65">
        <v>4.5</v>
      </c>
      <c r="J50" s="65">
        <v>8.49</v>
      </c>
      <c r="K50" s="176">
        <f t="shared" si="31"/>
        <v>78.929999999999993</v>
      </c>
      <c r="L50" s="177">
        <f t="shared" si="32"/>
        <v>148.91460000000001</v>
      </c>
      <c r="M50" s="209">
        <f>$R$50*H50/SUM($H$50:$H$51)</f>
        <v>1754.4419249181153</v>
      </c>
      <c r="N50" s="211">
        <f t="shared" ref="N50" si="102">P50/M50*100</f>
        <v>4.342334889926617</v>
      </c>
      <c r="O50" s="211">
        <f t="shared" ref="O50" si="103">Q50/M50*100</f>
        <v>8.3725532391255868</v>
      </c>
      <c r="P50" s="176">
        <f>$U$50*K50/SUM($K$50:$K$51)</f>
        <v>76.183743829219466</v>
      </c>
      <c r="Q50" s="212">
        <f>$V$50*L50/SUM($L$50:$L$51)</f>
        <v>146.89158421330896</v>
      </c>
      <c r="R50" s="347">
        <v>3970</v>
      </c>
      <c r="S50" s="347">
        <v>4.0999999999999996</v>
      </c>
      <c r="T50" s="347">
        <v>8.2899999999999991</v>
      </c>
      <c r="U50" s="345">
        <f t="shared" ref="U50" si="104">R50*S50%</f>
        <v>162.76999999999998</v>
      </c>
      <c r="V50" s="345">
        <f t="shared" ref="V50" si="105">R50*T50%</f>
        <v>329.11299999999994</v>
      </c>
      <c r="X50" s="176">
        <f t="shared" si="74"/>
        <v>1754</v>
      </c>
      <c r="Y50" s="210">
        <f t="shared" si="36"/>
        <v>4.34</v>
      </c>
      <c r="Z50" s="210">
        <f t="shared" si="36"/>
        <v>8.3699999999999992</v>
      </c>
    </row>
    <row r="51" spans="1:26" x14ac:dyDescent="0.25">
      <c r="A51" s="220">
        <v>70148</v>
      </c>
      <c r="B51" s="221">
        <v>1023</v>
      </c>
      <c r="C51" s="109" t="s">
        <v>73</v>
      </c>
      <c r="D51" s="229">
        <v>45973</v>
      </c>
      <c r="E51" s="65"/>
      <c r="F51" s="227" t="s">
        <v>12</v>
      </c>
      <c r="G51" s="65" t="str">
        <f t="shared" si="0"/>
        <v>Ormanjhi</v>
      </c>
      <c r="H51" s="65">
        <v>2215</v>
      </c>
      <c r="I51" s="65">
        <v>4.05</v>
      </c>
      <c r="J51" s="65">
        <v>8.34</v>
      </c>
      <c r="K51" s="176">
        <f t="shared" si="31"/>
        <v>89.707499999999996</v>
      </c>
      <c r="L51" s="177">
        <f t="shared" si="32"/>
        <v>184.73099999999999</v>
      </c>
      <c r="M51" s="209">
        <f>$R$50*H51/SUM($H$50:$H$51)</f>
        <v>2215.5580750818845</v>
      </c>
      <c r="N51" s="211">
        <f t="shared" ref="N51" si="106">P51/M51*100</f>
        <v>3.9081014009339561</v>
      </c>
      <c r="O51" s="211">
        <f t="shared" ref="O51" si="107">Q51/M51*100</f>
        <v>8.2246282702364404</v>
      </c>
      <c r="P51" s="176">
        <f>$U$50*K51/SUM($K$50:$K$51)</f>
        <v>86.586256170780516</v>
      </c>
      <c r="Q51" s="212">
        <f>$V$50*L51/SUM($L$50:$L$51)</f>
        <v>182.22141578669098</v>
      </c>
      <c r="R51" s="348"/>
      <c r="S51" s="348"/>
      <c r="T51" s="348"/>
      <c r="U51" s="345"/>
      <c r="V51" s="345"/>
      <c r="X51" s="176">
        <f t="shared" si="74"/>
        <v>2216</v>
      </c>
      <c r="Y51" s="210">
        <f t="shared" si="36"/>
        <v>3.91</v>
      </c>
      <c r="Z51" s="210">
        <f t="shared" si="36"/>
        <v>8.2200000000000006</v>
      </c>
    </row>
    <row r="52" spans="1:26" x14ac:dyDescent="0.25">
      <c r="A52" s="220">
        <v>72200</v>
      </c>
      <c r="B52" s="221">
        <v>1023</v>
      </c>
      <c r="C52" s="109" t="s">
        <v>109</v>
      </c>
      <c r="D52" s="229">
        <v>45972</v>
      </c>
      <c r="E52" s="65"/>
      <c r="F52" s="227" t="s">
        <v>89</v>
      </c>
      <c r="G52" s="65" t="str">
        <f t="shared" si="0"/>
        <v>Chanho</v>
      </c>
      <c r="H52" s="65">
        <v>2653</v>
      </c>
      <c r="I52" s="65">
        <v>4.25</v>
      </c>
      <c r="J52" s="65">
        <v>8.51</v>
      </c>
      <c r="K52" s="176">
        <f t="shared" si="31"/>
        <v>112.75250000000001</v>
      </c>
      <c r="L52" s="177">
        <f t="shared" si="32"/>
        <v>225.77029999999999</v>
      </c>
      <c r="M52" s="209">
        <f>$R$52*H52/SUM($H$52:$H$53)</f>
        <v>2649.5951464239879</v>
      </c>
      <c r="N52" s="211">
        <v>4.25</v>
      </c>
      <c r="O52" s="211">
        <v>8.51</v>
      </c>
      <c r="P52" s="176">
        <f>$U$52*K52/SUM($K$52:$K$53)</f>
        <v>112.06222714798398</v>
      </c>
      <c r="Q52" s="212">
        <f>$V$52*L52/SUM($L$52:$L$53)</f>
        <v>218.28348505149643</v>
      </c>
      <c r="R52" s="347">
        <v>4280</v>
      </c>
      <c r="S52" s="347">
        <v>4.4000000000000004</v>
      </c>
      <c r="T52" s="347">
        <v>8.2899999999999991</v>
      </c>
      <c r="U52" s="345">
        <f t="shared" ref="U52" si="108">R52*S52%</f>
        <v>188.32000000000002</v>
      </c>
      <c r="V52" s="345">
        <f t="shared" ref="V52" si="109">R52*T52%</f>
        <v>354.81199999999995</v>
      </c>
      <c r="X52" s="176">
        <f t="shared" si="74"/>
        <v>2650</v>
      </c>
      <c r="Y52" s="210">
        <f t="shared" si="36"/>
        <v>4.25</v>
      </c>
      <c r="Z52" s="210">
        <f t="shared" si="36"/>
        <v>8.51</v>
      </c>
    </row>
    <row r="53" spans="1:26" x14ac:dyDescent="0.25">
      <c r="A53" s="220">
        <v>72200</v>
      </c>
      <c r="B53" s="221">
        <v>1023</v>
      </c>
      <c r="C53" s="109" t="s">
        <v>109</v>
      </c>
      <c r="D53" s="229">
        <v>45972</v>
      </c>
      <c r="E53" s="65"/>
      <c r="F53" s="227" t="s">
        <v>14</v>
      </c>
      <c r="G53" s="65" t="str">
        <f t="shared" si="0"/>
        <v>Piragutu</v>
      </c>
      <c r="H53" s="65">
        <v>1632.5</v>
      </c>
      <c r="I53" s="65">
        <v>4.7</v>
      </c>
      <c r="J53" s="65">
        <v>8.65</v>
      </c>
      <c r="K53" s="176">
        <f t="shared" si="31"/>
        <v>76.727500000000006</v>
      </c>
      <c r="L53" s="177">
        <f t="shared" si="32"/>
        <v>141.21125000000001</v>
      </c>
      <c r="M53" s="209">
        <f>$R$52*H53/SUM($H$52:$H$53)</f>
        <v>1630.4048535760121</v>
      </c>
      <c r="N53" s="211">
        <v>4.6399999999999997</v>
      </c>
      <c r="O53" s="211">
        <v>7.93</v>
      </c>
      <c r="P53" s="176">
        <f>$U$52*K53/SUM($K$52:$K$53)</f>
        <v>76.25777285201606</v>
      </c>
      <c r="Q53" s="212">
        <f>$V$52*L53/SUM($L$52:$L$53)</f>
        <v>136.52851494850353</v>
      </c>
      <c r="R53" s="348"/>
      <c r="S53" s="348"/>
      <c r="T53" s="348"/>
      <c r="U53" s="345"/>
      <c r="V53" s="345"/>
      <c r="X53" s="176">
        <f t="shared" si="74"/>
        <v>1630</v>
      </c>
      <c r="Y53" s="210">
        <f t="shared" si="36"/>
        <v>4.6399999999999997</v>
      </c>
      <c r="Z53" s="210">
        <f t="shared" si="36"/>
        <v>7.93</v>
      </c>
    </row>
    <row r="54" spans="1:26" x14ac:dyDescent="0.25">
      <c r="A54" s="220">
        <v>72200</v>
      </c>
      <c r="B54" s="221">
        <v>1023</v>
      </c>
      <c r="C54" s="109" t="s">
        <v>77</v>
      </c>
      <c r="D54" s="229">
        <v>45972</v>
      </c>
      <c r="E54" s="65"/>
      <c r="F54" s="227" t="s">
        <v>6</v>
      </c>
      <c r="G54" s="65" t="str">
        <f t="shared" si="0"/>
        <v>Hisri</v>
      </c>
      <c r="H54" s="65">
        <v>1221.3</v>
      </c>
      <c r="I54" s="65">
        <v>4.25</v>
      </c>
      <c r="J54" s="65">
        <v>8.26</v>
      </c>
      <c r="K54" s="176">
        <f t="shared" si="31"/>
        <v>51.905250000000002</v>
      </c>
      <c r="L54" s="177">
        <f t="shared" si="32"/>
        <v>100.87937999999998</v>
      </c>
      <c r="M54" s="209">
        <f>$R$54*H54/SUM($H$54:$H$55)</f>
        <v>1240.7799291678514</v>
      </c>
      <c r="N54" s="211">
        <f t="shared" ref="N54" si="110">P54/M54*100</f>
        <v>4.2687295505723917</v>
      </c>
      <c r="O54" s="211">
        <f t="shared" ref="O54" si="111">Q54/M54*100</f>
        <v>8.2605084736758254</v>
      </c>
      <c r="P54" s="176">
        <f>$U$54*K54/SUM($K$54:$K$55)</f>
        <v>52.965539493959255</v>
      </c>
      <c r="Q54" s="212">
        <f>$V$54*L54/SUM($L$54:$L$55)</f>
        <v>102.49473118857925</v>
      </c>
      <c r="R54" s="347">
        <v>3930</v>
      </c>
      <c r="S54" s="347">
        <v>4.2</v>
      </c>
      <c r="T54" s="347">
        <v>8.3699999999999992</v>
      </c>
      <c r="U54" s="345">
        <f t="shared" ref="U54" si="112">R54*S54%</f>
        <v>165.06</v>
      </c>
      <c r="V54" s="345">
        <f t="shared" ref="V54" si="113">R54*T54%</f>
        <v>328.94099999999997</v>
      </c>
      <c r="X54" s="176">
        <f t="shared" si="74"/>
        <v>1241</v>
      </c>
      <c r="Y54" s="210">
        <f t="shared" si="36"/>
        <v>4.2699999999999996</v>
      </c>
      <c r="Z54" s="210">
        <f t="shared" si="36"/>
        <v>8.26</v>
      </c>
    </row>
    <row r="55" spans="1:26" x14ac:dyDescent="0.25">
      <c r="A55" s="220">
        <v>72200</v>
      </c>
      <c r="B55" s="221">
        <v>1023</v>
      </c>
      <c r="C55" s="109" t="s">
        <v>77</v>
      </c>
      <c r="D55" s="229">
        <v>45972</v>
      </c>
      <c r="E55" s="65"/>
      <c r="F55" s="227" t="s">
        <v>12</v>
      </c>
      <c r="G55" s="65" t="str">
        <f t="shared" si="0"/>
        <v>Ormanjhi</v>
      </c>
      <c r="H55" s="65">
        <v>2647</v>
      </c>
      <c r="I55" s="65">
        <v>4.1500000000000004</v>
      </c>
      <c r="J55" s="65">
        <v>8.42</v>
      </c>
      <c r="K55" s="176">
        <f t="shared" ref="K55:K105" si="114">H55*I55%</f>
        <v>109.85050000000001</v>
      </c>
      <c r="L55" s="177">
        <f t="shared" ref="L55:L105" si="115">H55*J55%</f>
        <v>222.87739999999999</v>
      </c>
      <c r="M55" s="209">
        <f>$R$54*H55/SUM($H$54:$H$55)</f>
        <v>2689.2200708321484</v>
      </c>
      <c r="N55" s="211">
        <f t="shared" ref="N55" si="116">P55/M55*100</f>
        <v>4.1682888552648061</v>
      </c>
      <c r="O55" s="211">
        <f t="shared" ref="O55" si="117">Q55/M55*100</f>
        <v>8.420518323044849</v>
      </c>
      <c r="P55" s="176">
        <f>$U$54*K55/SUM($K$54:$K$55)</f>
        <v>112.09446050604076</v>
      </c>
      <c r="Q55" s="212">
        <f>$V$54*L55/SUM($L$54:$L$55)</f>
        <v>226.44626881142071</v>
      </c>
      <c r="R55" s="348"/>
      <c r="S55" s="348"/>
      <c r="T55" s="348"/>
      <c r="U55" s="345"/>
      <c r="V55" s="345"/>
      <c r="X55" s="176">
        <f t="shared" si="74"/>
        <v>2689</v>
      </c>
      <c r="Y55" s="210">
        <f t="shared" si="36"/>
        <v>4.17</v>
      </c>
      <c r="Z55" s="210">
        <f t="shared" si="36"/>
        <v>8.42</v>
      </c>
    </row>
    <row r="56" spans="1:26" x14ac:dyDescent="0.25">
      <c r="A56" s="220">
        <v>72197</v>
      </c>
      <c r="B56" s="221">
        <v>1846</v>
      </c>
      <c r="C56" s="109" t="s">
        <v>73</v>
      </c>
      <c r="D56" s="229">
        <v>45970</v>
      </c>
      <c r="E56" s="65"/>
      <c r="F56" s="227" t="s">
        <v>12</v>
      </c>
      <c r="G56" s="65" t="str">
        <f t="shared" si="0"/>
        <v>Ormanjhi</v>
      </c>
      <c r="H56" s="65">
        <v>1636</v>
      </c>
      <c r="I56" s="65">
        <v>4.0999999999999996</v>
      </c>
      <c r="J56" s="65">
        <v>8.41</v>
      </c>
      <c r="K56" s="176">
        <f t="shared" si="114"/>
        <v>67.075999999999993</v>
      </c>
      <c r="L56" s="177">
        <f t="shared" si="115"/>
        <v>137.58760000000001</v>
      </c>
      <c r="M56" s="209">
        <f>$R$56*H56/SUM($H$56:$H$57)</f>
        <v>1628.4576697401508</v>
      </c>
      <c r="N56" s="211">
        <f t="shared" ref="N56" si="118">P56/M56*100</f>
        <v>4.1170053747084472</v>
      </c>
      <c r="O56" s="211">
        <f t="shared" ref="O56" si="119">Q56/M56*100</f>
        <v>8.3534725031545776</v>
      </c>
      <c r="P56" s="176">
        <f>$U$56*K56/SUM($K$56:$K$57)</f>
        <v>67.043689788053939</v>
      </c>
      <c r="Q56" s="212">
        <f>$V$56*L56/SUM($L$56:$L$57)</f>
        <v>136.03276366725527</v>
      </c>
      <c r="R56" s="347">
        <v>4750</v>
      </c>
      <c r="S56" s="347">
        <v>4.1500000000000004</v>
      </c>
      <c r="T56" s="347">
        <v>8.36</v>
      </c>
      <c r="U56" s="345">
        <f t="shared" ref="U56" si="120">R56*S56%</f>
        <v>197.125</v>
      </c>
      <c r="V56" s="345">
        <f t="shared" ref="V56" si="121">R56*T56%</f>
        <v>397.09999999999997</v>
      </c>
      <c r="X56" s="176">
        <f t="shared" si="74"/>
        <v>1628</v>
      </c>
      <c r="Y56" s="210">
        <f t="shared" si="36"/>
        <v>4.12</v>
      </c>
      <c r="Z56" s="210">
        <f t="shared" si="36"/>
        <v>8.35</v>
      </c>
    </row>
    <row r="57" spans="1:26" x14ac:dyDescent="0.25">
      <c r="A57" s="220">
        <v>72197</v>
      </c>
      <c r="B57" s="221">
        <v>1846</v>
      </c>
      <c r="C57" s="109" t="s">
        <v>73</v>
      </c>
      <c r="D57" s="229">
        <v>45970</v>
      </c>
      <c r="E57" s="65"/>
      <c r="F57" s="227" t="s">
        <v>4</v>
      </c>
      <c r="G57" s="65" t="str">
        <f t="shared" si="0"/>
        <v>Pali</v>
      </c>
      <c r="H57" s="65">
        <v>3136</v>
      </c>
      <c r="I57" s="65">
        <v>4.1500000000000004</v>
      </c>
      <c r="J57" s="65">
        <v>8.42</v>
      </c>
      <c r="K57" s="176">
        <f t="shared" si="114"/>
        <v>130.14400000000001</v>
      </c>
      <c r="L57" s="177">
        <f t="shared" si="115"/>
        <v>264.05119999999999</v>
      </c>
      <c r="M57" s="209">
        <f>$R$56*H57/SUM($H$56:$H$57)</f>
        <v>3121.5423302598492</v>
      </c>
      <c r="N57" s="211">
        <f t="shared" ref="N57" si="122">P57/M57*100</f>
        <v>4.167212757326844</v>
      </c>
      <c r="O57" s="211">
        <f t="shared" ref="O57" si="123">Q57/M57*100</f>
        <v>8.3634052885328796</v>
      </c>
      <c r="P57" s="176">
        <f>$U$56*K57/SUM($K$56:$K$57)</f>
        <v>130.08131021194606</v>
      </c>
      <c r="Q57" s="212">
        <f>$V$56*L57/SUM($L$56:$L$57)</f>
        <v>261.0672363327447</v>
      </c>
      <c r="R57" s="348"/>
      <c r="S57" s="348"/>
      <c r="T57" s="348"/>
      <c r="U57" s="345"/>
      <c r="V57" s="345"/>
      <c r="X57" s="176">
        <f t="shared" si="74"/>
        <v>3122</v>
      </c>
      <c r="Y57" s="210">
        <f t="shared" si="36"/>
        <v>4.17</v>
      </c>
      <c r="Z57" s="210">
        <f t="shared" si="36"/>
        <v>8.36</v>
      </c>
    </row>
    <row r="58" spans="1:26" x14ac:dyDescent="0.25">
      <c r="A58" s="220">
        <v>72356</v>
      </c>
      <c r="B58" s="221">
        <v>1023</v>
      </c>
      <c r="C58" s="109" t="s">
        <v>109</v>
      </c>
      <c r="D58" s="229">
        <v>45974</v>
      </c>
      <c r="E58" s="65"/>
      <c r="F58" s="227" t="s">
        <v>89</v>
      </c>
      <c r="G58" s="65" t="str">
        <f t="shared" si="0"/>
        <v>Chanho</v>
      </c>
      <c r="H58" s="65">
        <v>2137.04</v>
      </c>
      <c r="I58" s="65">
        <v>4.2</v>
      </c>
      <c r="J58" s="65">
        <v>8.06</v>
      </c>
      <c r="K58" s="176">
        <f t="shared" si="114"/>
        <v>89.755679999999998</v>
      </c>
      <c r="L58" s="177">
        <f t="shared" si="115"/>
        <v>172.24542400000001</v>
      </c>
      <c r="M58" s="209">
        <f>$R$58*H58/SUM($H$58:$H$59)</f>
        <v>2176.1864860461328</v>
      </c>
      <c r="N58" s="211">
        <f t="shared" ref="N58" si="124">P58/M58*100</f>
        <v>4.191728875091937</v>
      </c>
      <c r="O58" s="211">
        <f t="shared" ref="O58" si="125">Q58/M58*100</f>
        <v>7.6921431881639633</v>
      </c>
      <c r="P58" s="176">
        <f>$U$58*K58/SUM($K$58:$K$59)</f>
        <v>91.219837311444323</v>
      </c>
      <c r="Q58" s="212">
        <f>$V$58*L58/SUM($L$58:$L$59)</f>
        <v>167.39538054814233</v>
      </c>
      <c r="R58" s="347">
        <v>3500</v>
      </c>
      <c r="S58" s="347">
        <v>3.55</v>
      </c>
      <c r="T58" s="347">
        <v>7.49</v>
      </c>
      <c r="U58" s="345">
        <f t="shared" ref="U58" si="126">R58*S58%</f>
        <v>124.24999999999999</v>
      </c>
      <c r="V58" s="345">
        <f t="shared" ref="V58" si="127">R58*T58%</f>
        <v>262.15000000000003</v>
      </c>
      <c r="X58" s="176">
        <f t="shared" si="74"/>
        <v>2176</v>
      </c>
      <c r="Y58" s="210">
        <f t="shared" si="36"/>
        <v>4.1900000000000004</v>
      </c>
      <c r="Z58" s="210">
        <f t="shared" si="36"/>
        <v>7.69</v>
      </c>
    </row>
    <row r="59" spans="1:26" x14ac:dyDescent="0.25">
      <c r="A59" s="220">
        <v>72356</v>
      </c>
      <c r="B59" s="221">
        <v>1023</v>
      </c>
      <c r="C59" s="109" t="s">
        <v>109</v>
      </c>
      <c r="D59" s="229">
        <v>45974</v>
      </c>
      <c r="E59" s="65"/>
      <c r="F59" s="227" t="s">
        <v>8</v>
      </c>
      <c r="G59" s="65" t="str">
        <f t="shared" si="0"/>
        <v>Chorya</v>
      </c>
      <c r="H59" s="65">
        <v>1300</v>
      </c>
      <c r="I59" s="65">
        <v>2.5</v>
      </c>
      <c r="J59" s="65">
        <v>7.5</v>
      </c>
      <c r="K59" s="176">
        <f t="shared" si="114"/>
        <v>32.5</v>
      </c>
      <c r="L59" s="177">
        <f t="shared" si="115"/>
        <v>97.5</v>
      </c>
      <c r="M59" s="209">
        <f>$R$58*H59/SUM($H$58:$H$59)</f>
        <v>1323.8135139538672</v>
      </c>
      <c r="N59" s="211">
        <f t="shared" ref="N59" si="128">P59/M59*100</f>
        <v>2.4950767113642494</v>
      </c>
      <c r="O59" s="211">
        <f t="shared" ref="O59" si="129">Q59/M59*100</f>
        <v>7.1577014778200647</v>
      </c>
      <c r="P59" s="176">
        <f>$U$58*K59/SUM($K$58:$K$59)</f>
        <v>33.030162688555656</v>
      </c>
      <c r="Q59" s="212">
        <f>$V$58*L59/SUM($L$58:$L$59)</f>
        <v>94.754619451857693</v>
      </c>
      <c r="R59" s="348"/>
      <c r="S59" s="348"/>
      <c r="T59" s="348"/>
      <c r="U59" s="345"/>
      <c r="V59" s="345"/>
      <c r="X59" s="176">
        <f t="shared" si="74"/>
        <v>1324</v>
      </c>
      <c r="Y59" s="210">
        <f t="shared" si="36"/>
        <v>2.5</v>
      </c>
      <c r="Z59" s="210">
        <f t="shared" si="36"/>
        <v>7.16</v>
      </c>
    </row>
    <row r="60" spans="1:26" x14ac:dyDescent="0.25">
      <c r="A60" s="220">
        <v>72356</v>
      </c>
      <c r="B60" s="221">
        <v>1023</v>
      </c>
      <c r="C60" s="109" t="s">
        <v>109</v>
      </c>
      <c r="D60" s="229">
        <v>45974</v>
      </c>
      <c r="E60" s="65"/>
      <c r="F60" s="227" t="s">
        <v>4</v>
      </c>
      <c r="G60" s="65" t="str">
        <f t="shared" si="0"/>
        <v>Pali</v>
      </c>
      <c r="H60" s="65">
        <v>4330</v>
      </c>
      <c r="I60" s="65">
        <v>4.1500000000000004</v>
      </c>
      <c r="J60" s="65">
        <v>8.36</v>
      </c>
      <c r="K60" s="176">
        <f t="shared" si="114"/>
        <v>179.69500000000002</v>
      </c>
      <c r="L60" s="177">
        <f t="shared" si="115"/>
        <v>361.988</v>
      </c>
      <c r="M60" s="209">
        <f>$R$60*H60/SUM($H$60)</f>
        <v>4320</v>
      </c>
      <c r="N60" s="211">
        <f t="shared" ref="N60:N61" si="130">P60/M60*100</f>
        <v>4.1500000000000004</v>
      </c>
      <c r="O60" s="211">
        <f t="shared" ref="O60:O61" si="131">Q60/M60*100</f>
        <v>8.3000000000000007</v>
      </c>
      <c r="P60" s="176">
        <f>$U$60*K60/SUM($K$60)</f>
        <v>179.28</v>
      </c>
      <c r="Q60" s="212">
        <f>$V$60*L60/SUM($L$60)</f>
        <v>358.56</v>
      </c>
      <c r="R60" s="249">
        <v>4320</v>
      </c>
      <c r="S60" s="249">
        <v>4.1500000000000004</v>
      </c>
      <c r="T60" s="249">
        <v>8.3000000000000007</v>
      </c>
      <c r="U60" s="249">
        <f>R60*S60%</f>
        <v>179.28</v>
      </c>
      <c r="V60" s="249">
        <f>R60*T60%</f>
        <v>358.56</v>
      </c>
      <c r="X60" s="176">
        <f t="shared" si="74"/>
        <v>4320</v>
      </c>
      <c r="Y60" s="210">
        <f t="shared" si="36"/>
        <v>4.1500000000000004</v>
      </c>
      <c r="Z60" s="210">
        <f t="shared" si="36"/>
        <v>8.3000000000000007</v>
      </c>
    </row>
    <row r="61" spans="1:26" x14ac:dyDescent="0.25">
      <c r="A61" s="220">
        <v>70148</v>
      </c>
      <c r="B61" s="221">
        <v>1023</v>
      </c>
      <c r="C61" s="109" t="s">
        <v>109</v>
      </c>
      <c r="D61" s="229">
        <v>45973</v>
      </c>
      <c r="E61" s="65"/>
      <c r="F61" s="227" t="s">
        <v>14</v>
      </c>
      <c r="G61" s="65" t="str">
        <f t="shared" si="0"/>
        <v>Piragutu</v>
      </c>
      <c r="H61" s="65">
        <v>1754</v>
      </c>
      <c r="I61" s="65">
        <v>4.5</v>
      </c>
      <c r="J61" s="65">
        <v>8.49</v>
      </c>
      <c r="K61" s="176">
        <f t="shared" si="114"/>
        <v>78.929999999999993</v>
      </c>
      <c r="L61" s="177">
        <f t="shared" si="115"/>
        <v>148.91460000000001</v>
      </c>
      <c r="M61" s="209">
        <f>$R$61*H61/SUM($H$61:$H$62)</f>
        <v>1754.4419249181153</v>
      </c>
      <c r="N61" s="211">
        <f t="shared" si="130"/>
        <v>4.342334889926617</v>
      </c>
      <c r="O61" s="211">
        <f t="shared" si="131"/>
        <v>8.3725532391255868</v>
      </c>
      <c r="P61" s="176">
        <f>$U$61*K61/SUM($K$61:$K$62)</f>
        <v>76.183743829219466</v>
      </c>
      <c r="Q61" s="212">
        <f>$V$61*L61/SUM($L$61:$L$62)</f>
        <v>146.89158421330896</v>
      </c>
      <c r="R61" s="347">
        <v>3970</v>
      </c>
      <c r="S61" s="347">
        <v>4.0999999999999996</v>
      </c>
      <c r="T61" s="347">
        <v>8.2899999999999991</v>
      </c>
      <c r="U61" s="345">
        <f t="shared" ref="U61" si="132">R61*S61%</f>
        <v>162.76999999999998</v>
      </c>
      <c r="V61" s="345">
        <f t="shared" ref="V61" si="133">R61*T61%</f>
        <v>329.11299999999994</v>
      </c>
      <c r="X61" s="176">
        <f t="shared" si="74"/>
        <v>1754</v>
      </c>
      <c r="Y61" s="210">
        <f t="shared" si="36"/>
        <v>4.34</v>
      </c>
      <c r="Z61" s="210">
        <f t="shared" si="36"/>
        <v>8.3699999999999992</v>
      </c>
    </row>
    <row r="62" spans="1:26" x14ac:dyDescent="0.25">
      <c r="A62" s="220">
        <v>70148</v>
      </c>
      <c r="B62" s="221">
        <v>1023</v>
      </c>
      <c r="C62" s="109" t="s">
        <v>109</v>
      </c>
      <c r="D62" s="229">
        <v>45973</v>
      </c>
      <c r="E62" s="65"/>
      <c r="F62" s="227" t="s">
        <v>12</v>
      </c>
      <c r="G62" s="65" t="str">
        <f t="shared" si="0"/>
        <v>Ormanjhi</v>
      </c>
      <c r="H62" s="65">
        <v>2215</v>
      </c>
      <c r="I62" s="65">
        <v>4.05</v>
      </c>
      <c r="J62" s="65">
        <v>8.34</v>
      </c>
      <c r="K62" s="176">
        <f t="shared" si="114"/>
        <v>89.707499999999996</v>
      </c>
      <c r="L62" s="177">
        <f t="shared" si="115"/>
        <v>184.73099999999999</v>
      </c>
      <c r="M62" s="209">
        <f>$R$61*H62/SUM($H$61:$H$62)</f>
        <v>2215.5580750818845</v>
      </c>
      <c r="N62" s="211">
        <f t="shared" ref="N62" si="134">P62/M62*100</f>
        <v>3.9081014009339561</v>
      </c>
      <c r="O62" s="211">
        <f t="shared" ref="O62" si="135">Q62/M62*100</f>
        <v>8.2246282702364404</v>
      </c>
      <c r="P62" s="176">
        <f>$U$61*K62/SUM($K$61:$K$62)</f>
        <v>86.586256170780516</v>
      </c>
      <c r="Q62" s="212">
        <f>$V$61*L62/SUM($L$61:$L$62)</f>
        <v>182.22141578669098</v>
      </c>
      <c r="R62" s="348"/>
      <c r="S62" s="348"/>
      <c r="T62" s="348"/>
      <c r="U62" s="345"/>
      <c r="V62" s="345"/>
      <c r="X62" s="176">
        <f t="shared" si="74"/>
        <v>2216</v>
      </c>
      <c r="Y62" s="210">
        <f t="shared" si="36"/>
        <v>3.91</v>
      </c>
      <c r="Z62" s="210">
        <f t="shared" si="36"/>
        <v>8.2200000000000006</v>
      </c>
    </row>
    <row r="63" spans="1:26" x14ac:dyDescent="0.25">
      <c r="A63" s="220">
        <v>72356</v>
      </c>
      <c r="B63" s="221">
        <v>1846</v>
      </c>
      <c r="C63" s="109" t="s">
        <v>73</v>
      </c>
      <c r="D63" s="229">
        <v>45973</v>
      </c>
      <c r="E63" s="65"/>
      <c r="F63" s="227" t="s">
        <v>4</v>
      </c>
      <c r="G63" s="65" t="str">
        <f t="shared" si="0"/>
        <v>Pali</v>
      </c>
      <c r="H63" s="65">
        <v>4054</v>
      </c>
      <c r="I63" s="65">
        <v>4.05</v>
      </c>
      <c r="J63" s="65">
        <v>8.36</v>
      </c>
      <c r="K63" s="176">
        <f t="shared" si="114"/>
        <v>164.18700000000001</v>
      </c>
      <c r="L63" s="177">
        <f t="shared" si="115"/>
        <v>338.9144</v>
      </c>
      <c r="M63" s="209">
        <f>$R$63*H63/SUM($H$63:$H$64)</f>
        <v>4054.7550754330414</v>
      </c>
      <c r="N63" s="211">
        <f t="shared" ref="N63" si="136">P63/M63*100</f>
        <v>4.0510029558172347</v>
      </c>
      <c r="O63" s="211">
        <f t="shared" ref="O63" si="137">Q63/M63*100</f>
        <v>8.1238004582451282</v>
      </c>
      <c r="P63" s="176">
        <f>$U$63*K63/SUM($K$63:$K$64)</f>
        <v>164.25824795694183</v>
      </c>
      <c r="Q63" s="212">
        <f>$V$63*L63/SUM($L$63:$L$64)</f>
        <v>329.40021139874705</v>
      </c>
      <c r="R63" s="347">
        <v>5370</v>
      </c>
      <c r="S63" s="347">
        <v>4.0999999999999996</v>
      </c>
      <c r="T63" s="347">
        <v>8.1</v>
      </c>
      <c r="U63" s="345">
        <f t="shared" ref="U63" si="138">R63*S63%</f>
        <v>220.16999999999996</v>
      </c>
      <c r="V63" s="345">
        <f t="shared" ref="V63" si="139">R63*T63%</f>
        <v>434.97</v>
      </c>
      <c r="X63" s="176">
        <f t="shared" si="74"/>
        <v>4055</v>
      </c>
      <c r="Y63" s="210">
        <f t="shared" si="36"/>
        <v>4.05</v>
      </c>
      <c r="Z63" s="210">
        <f t="shared" si="36"/>
        <v>8.1199999999999992</v>
      </c>
    </row>
    <row r="64" spans="1:26" x14ac:dyDescent="0.25">
      <c r="A64" s="220">
        <v>72356</v>
      </c>
      <c r="B64" s="221">
        <v>1846</v>
      </c>
      <c r="C64" s="109" t="s">
        <v>73</v>
      </c>
      <c r="D64" s="229">
        <v>45973</v>
      </c>
      <c r="E64" s="65"/>
      <c r="F64" s="227" t="s">
        <v>6</v>
      </c>
      <c r="G64" s="65" t="str">
        <f t="shared" si="0"/>
        <v>Hisri</v>
      </c>
      <c r="H64" s="65">
        <v>1315</v>
      </c>
      <c r="I64" s="65">
        <v>4.25</v>
      </c>
      <c r="J64" s="65">
        <v>8.26</v>
      </c>
      <c r="K64" s="176">
        <f t="shared" si="114"/>
        <v>55.887500000000003</v>
      </c>
      <c r="L64" s="177">
        <f t="shared" si="115"/>
        <v>108.61899999999999</v>
      </c>
      <c r="M64" s="209">
        <f>$R$63*H64/SUM($H$63:$H$64)</f>
        <v>1315.2449245669584</v>
      </c>
      <c r="N64" s="211">
        <f t="shared" ref="N64:N65" si="140">P64/M64*100</f>
        <v>4.2510524844995663</v>
      </c>
      <c r="O64" s="211">
        <f t="shared" ref="O64:O65" si="141">Q64/M64*100</f>
        <v>8.0266258116154017</v>
      </c>
      <c r="P64" s="176">
        <f>$U$63*K64/SUM($K$63:$K$64)</f>
        <v>55.911752043058137</v>
      </c>
      <c r="Q64" s="212">
        <f>$V$63*L64/SUM($L$63:$L$64)</f>
        <v>105.56978860125299</v>
      </c>
      <c r="R64" s="348"/>
      <c r="S64" s="348"/>
      <c r="T64" s="348"/>
      <c r="U64" s="345"/>
      <c r="V64" s="345"/>
      <c r="X64" s="176">
        <f t="shared" si="74"/>
        <v>1315</v>
      </c>
      <c r="Y64" s="210">
        <f t="shared" si="36"/>
        <v>4.25</v>
      </c>
      <c r="Z64" s="210">
        <f t="shared" si="36"/>
        <v>8.0299999999999994</v>
      </c>
    </row>
    <row r="65" spans="1:26" x14ac:dyDescent="0.25">
      <c r="A65" s="220">
        <v>72346</v>
      </c>
      <c r="B65" s="221">
        <v>1846</v>
      </c>
      <c r="C65" s="109" t="s">
        <v>73</v>
      </c>
      <c r="D65" s="229">
        <v>45975</v>
      </c>
      <c r="E65" s="65"/>
      <c r="F65" s="227" t="s">
        <v>12</v>
      </c>
      <c r="G65" s="65" t="str">
        <f t="shared" si="0"/>
        <v>Ormanjhi</v>
      </c>
      <c r="H65" s="65">
        <v>2376</v>
      </c>
      <c r="I65" s="65">
        <v>4.2</v>
      </c>
      <c r="J65" s="65">
        <v>8.3699999999999992</v>
      </c>
      <c r="K65" s="176">
        <f t="shared" si="114"/>
        <v>99.792000000000002</v>
      </c>
      <c r="L65" s="177">
        <f t="shared" si="115"/>
        <v>198.87119999999999</v>
      </c>
      <c r="M65" s="209">
        <f>$R$65*H65/SUM($H$65:$H$67)</f>
        <v>2409.5617529880478</v>
      </c>
      <c r="N65" s="211">
        <f t="shared" si="140"/>
        <v>4.1384580271146199</v>
      </c>
      <c r="O65" s="211">
        <f t="shared" si="141"/>
        <v>8.1153935005030267</v>
      </c>
      <c r="P65" s="176">
        <f>$U$65*K65/SUM($K$65:$K$67)</f>
        <v>99.718701784817625</v>
      </c>
      <c r="Q65" s="212">
        <f>$V$65*L65/SUM($L$65:$L$67)</f>
        <v>195.54541789259881</v>
      </c>
      <c r="R65" s="347">
        <v>5600</v>
      </c>
      <c r="S65" s="347">
        <v>4.3</v>
      </c>
      <c r="T65" s="347">
        <v>8.14</v>
      </c>
      <c r="U65" s="328">
        <f>R65*S65%</f>
        <v>240.79999999999998</v>
      </c>
      <c r="V65" s="328">
        <f>R65*T65%</f>
        <v>455.84</v>
      </c>
      <c r="X65" s="176">
        <f t="shared" si="74"/>
        <v>2410</v>
      </c>
      <c r="Y65" s="210">
        <f t="shared" si="36"/>
        <v>4.1399999999999997</v>
      </c>
      <c r="Z65" s="210">
        <f t="shared" si="36"/>
        <v>8.1199999999999992</v>
      </c>
    </row>
    <row r="66" spans="1:26" x14ac:dyDescent="0.25">
      <c r="A66" s="220">
        <v>72346</v>
      </c>
      <c r="B66" s="221">
        <v>1846</v>
      </c>
      <c r="C66" s="109" t="s">
        <v>73</v>
      </c>
      <c r="D66" s="229">
        <v>45975</v>
      </c>
      <c r="E66" s="65"/>
      <c r="F66" s="227" t="s">
        <v>14</v>
      </c>
      <c r="G66" s="65" t="str">
        <f t="shared" si="0"/>
        <v>Piragutu</v>
      </c>
      <c r="H66" s="65">
        <v>1870</v>
      </c>
      <c r="I66" s="65">
        <v>4.6500000000000004</v>
      </c>
      <c r="J66" s="65">
        <v>8.52</v>
      </c>
      <c r="K66" s="176">
        <f t="shared" si="114"/>
        <v>86.955000000000013</v>
      </c>
      <c r="L66" s="177">
        <f t="shared" si="115"/>
        <v>159.32399999999998</v>
      </c>
      <c r="M66" s="209">
        <f>$R$65*H66/SUM($H$65:$H$67)</f>
        <v>1896.414342629482</v>
      </c>
      <c r="N66" s="211">
        <f t="shared" ref="N66" si="142">P66/M66*100</f>
        <v>4.5818642443054731</v>
      </c>
      <c r="O66" s="211">
        <f t="shared" ref="O66" si="143">Q66/M66*100</f>
        <v>8.2608306600102495</v>
      </c>
      <c r="P66" s="176">
        <f>$U$65*K66/SUM($K$65:$K$67)</f>
        <v>86.891130688820923</v>
      </c>
      <c r="Q66" s="212">
        <f>$V$65*L66/SUM($L$65:$L$67)</f>
        <v>156.65957745676806</v>
      </c>
      <c r="R66" s="349"/>
      <c r="S66" s="349"/>
      <c r="T66" s="349"/>
      <c r="U66" s="329"/>
      <c r="V66" s="329"/>
      <c r="X66" s="176">
        <f t="shared" si="74"/>
        <v>1896</v>
      </c>
      <c r="Y66" s="210">
        <f t="shared" si="36"/>
        <v>4.58</v>
      </c>
      <c r="Z66" s="210">
        <f t="shared" si="36"/>
        <v>8.26</v>
      </c>
    </row>
    <row r="67" spans="1:26" x14ac:dyDescent="0.25">
      <c r="A67" s="220">
        <v>72346</v>
      </c>
      <c r="B67" s="221">
        <v>1846</v>
      </c>
      <c r="C67" s="109" t="s">
        <v>73</v>
      </c>
      <c r="D67" s="229">
        <v>45975</v>
      </c>
      <c r="E67" s="65"/>
      <c r="F67" s="227" t="s">
        <v>6</v>
      </c>
      <c r="G67" s="65" t="str">
        <f t="shared" si="0"/>
        <v>Hisri</v>
      </c>
      <c r="H67" s="65">
        <v>1276</v>
      </c>
      <c r="I67" s="65">
        <v>4.25</v>
      </c>
      <c r="J67" s="65">
        <v>8.26</v>
      </c>
      <c r="K67" s="176">
        <f t="shared" si="114"/>
        <v>54.230000000000004</v>
      </c>
      <c r="L67" s="177">
        <f t="shared" si="115"/>
        <v>105.3976</v>
      </c>
      <c r="M67" s="209">
        <f>$R$65*H67/SUM($H$65:$H$67)</f>
        <v>1294.0239043824702</v>
      </c>
      <c r="N67" s="211">
        <f t="shared" ref="N67" si="144">P67/M67*100</f>
        <v>4.1877253845802711</v>
      </c>
      <c r="O67" s="211">
        <f t="shared" ref="O67" si="145">Q67/M67*100</f>
        <v>8.0087395835310637</v>
      </c>
      <c r="P67" s="176">
        <f>$U$65*K67/SUM($K$65:$K$67)</f>
        <v>54.190167526361435</v>
      </c>
      <c r="Q67" s="212">
        <f>$V$65*L67/SUM($L$65:$L$67)</f>
        <v>103.63500465063305</v>
      </c>
      <c r="R67" s="348"/>
      <c r="S67" s="348"/>
      <c r="T67" s="348"/>
      <c r="U67" s="330"/>
      <c r="V67" s="330"/>
      <c r="X67" s="176">
        <f t="shared" si="74"/>
        <v>1294</v>
      </c>
      <c r="Y67" s="210">
        <f t="shared" si="36"/>
        <v>4.1900000000000004</v>
      </c>
      <c r="Z67" s="210">
        <f t="shared" si="36"/>
        <v>8.01</v>
      </c>
    </row>
    <row r="68" spans="1:26" x14ac:dyDescent="0.25">
      <c r="A68" s="220">
        <v>72347</v>
      </c>
      <c r="B68" s="221">
        <v>9944</v>
      </c>
      <c r="C68" s="109" t="s">
        <v>73</v>
      </c>
      <c r="D68" s="229">
        <v>45976</v>
      </c>
      <c r="E68" s="65"/>
      <c r="F68" s="227" t="s">
        <v>12</v>
      </c>
      <c r="G68" s="65" t="str">
        <f t="shared" si="0"/>
        <v>Ormanjhi</v>
      </c>
      <c r="H68" s="65">
        <v>2208</v>
      </c>
      <c r="I68" s="65">
        <v>4.25</v>
      </c>
      <c r="J68" s="65">
        <v>8.44</v>
      </c>
      <c r="K68" s="176">
        <f t="shared" si="114"/>
        <v>93.84</v>
      </c>
      <c r="L68" s="177">
        <f t="shared" si="115"/>
        <v>186.35519999999997</v>
      </c>
      <c r="M68" s="209">
        <f>$R$68*H68/SUM($H$68:$H$70)</f>
        <v>2208</v>
      </c>
      <c r="N68" s="211">
        <f t="shared" ref="N68" si="146">P68/M68*100</f>
        <v>4.2535783391125657</v>
      </c>
      <c r="O68" s="211">
        <f t="shared" ref="O68" si="147">Q68/M68*100</f>
        <v>8.4210767562100894</v>
      </c>
      <c r="P68" s="176">
        <f>$U$68*K68/SUM($K$68:$K$70)</f>
        <v>93.919009727605442</v>
      </c>
      <c r="Q68" s="212">
        <f>$V$68*L68/SUM($L$68:$L$70)</f>
        <v>185.93737477711878</v>
      </c>
      <c r="R68" s="347">
        <v>9920</v>
      </c>
      <c r="S68" s="347">
        <v>4.2</v>
      </c>
      <c r="T68" s="347">
        <v>8.3699999999999992</v>
      </c>
      <c r="U68" s="328">
        <f>R68*S68%</f>
        <v>416.64000000000004</v>
      </c>
      <c r="V68" s="328">
        <f>R68*T68%</f>
        <v>830.30399999999997</v>
      </c>
      <c r="X68" s="176">
        <f t="shared" si="74"/>
        <v>2208</v>
      </c>
      <c r="Y68" s="210">
        <f t="shared" si="36"/>
        <v>4.25</v>
      </c>
      <c r="Z68" s="210">
        <f t="shared" si="36"/>
        <v>8.42</v>
      </c>
    </row>
    <row r="69" spans="1:26" x14ac:dyDescent="0.25">
      <c r="A69" s="220">
        <v>72347</v>
      </c>
      <c r="B69" s="221">
        <v>9944</v>
      </c>
      <c r="C69" s="109" t="s">
        <v>73</v>
      </c>
      <c r="D69" s="229">
        <v>45976</v>
      </c>
      <c r="E69" s="65"/>
      <c r="F69" s="227" t="s">
        <v>89</v>
      </c>
      <c r="G69" s="65" t="str">
        <f t="shared" si="0"/>
        <v>Chanho</v>
      </c>
      <c r="H69" s="65">
        <v>1601</v>
      </c>
      <c r="I69" s="65">
        <v>4.3</v>
      </c>
      <c r="J69" s="65">
        <v>8.39</v>
      </c>
      <c r="K69" s="176">
        <f t="shared" si="114"/>
        <v>68.842999999999989</v>
      </c>
      <c r="L69" s="177">
        <f t="shared" si="115"/>
        <v>134.32390000000001</v>
      </c>
      <c r="M69" s="209">
        <f t="shared" ref="M69:M70" si="148">$R$68*H69/SUM($H$68:$H$70)</f>
        <v>1601</v>
      </c>
      <c r="N69" s="211">
        <f t="shared" ref="N69:N71" si="149">P69/M69*100</f>
        <v>4.3036204372197711</v>
      </c>
      <c r="O69" s="211">
        <f t="shared" ref="O69:O71" si="150">Q69/M69*100</f>
        <v>8.3711888607349128</v>
      </c>
      <c r="P69" s="176">
        <f t="shared" ref="P69:P70" si="151">$U$68*K69/SUM($K$68:$K$70)</f>
        <v>68.900963199888537</v>
      </c>
      <c r="Q69" s="212">
        <f t="shared" ref="Q69:Q70" si="152">$V$68*L69/SUM($L$68:$L$70)</f>
        <v>134.02273366036596</v>
      </c>
      <c r="R69" s="349"/>
      <c r="S69" s="349"/>
      <c r="T69" s="349"/>
      <c r="U69" s="329"/>
      <c r="V69" s="329"/>
      <c r="X69" s="176">
        <f t="shared" si="74"/>
        <v>1601</v>
      </c>
      <c r="Y69" s="210">
        <f t="shared" si="36"/>
        <v>4.3</v>
      </c>
      <c r="Z69" s="210">
        <f t="shared" si="36"/>
        <v>8.3699999999999992</v>
      </c>
    </row>
    <row r="70" spans="1:26" x14ac:dyDescent="0.25">
      <c r="A70" s="220">
        <v>72347</v>
      </c>
      <c r="B70" s="221">
        <v>9944</v>
      </c>
      <c r="C70" s="109" t="s">
        <v>73</v>
      </c>
      <c r="D70" s="229">
        <v>45976</v>
      </c>
      <c r="E70" s="65"/>
      <c r="F70" s="227" t="s">
        <v>4</v>
      </c>
      <c r="G70" s="65" t="str">
        <f t="shared" si="0"/>
        <v>Pali</v>
      </c>
      <c r="H70" s="65">
        <v>6111</v>
      </c>
      <c r="I70" s="65">
        <v>4.1500000000000004</v>
      </c>
      <c r="J70" s="65">
        <v>8.3699999999999992</v>
      </c>
      <c r="K70" s="176">
        <f t="shared" si="114"/>
        <v>253.60650000000001</v>
      </c>
      <c r="L70" s="177">
        <f t="shared" si="115"/>
        <v>511.4907</v>
      </c>
      <c r="M70" s="209">
        <f t="shared" si="148"/>
        <v>6111</v>
      </c>
      <c r="N70" s="211">
        <f t="shared" si="149"/>
        <v>4.1534941428981522</v>
      </c>
      <c r="O70" s="211">
        <f t="shared" si="150"/>
        <v>8.3512337025448424</v>
      </c>
      <c r="P70" s="176">
        <f t="shared" si="151"/>
        <v>253.82002707250609</v>
      </c>
      <c r="Q70" s="212">
        <f t="shared" si="152"/>
        <v>510.3438915625153</v>
      </c>
      <c r="R70" s="348"/>
      <c r="S70" s="348"/>
      <c r="T70" s="348"/>
      <c r="U70" s="330"/>
      <c r="V70" s="330"/>
      <c r="X70" s="176">
        <f t="shared" si="74"/>
        <v>6111</v>
      </c>
      <c r="Y70" s="210">
        <f t="shared" si="36"/>
        <v>4.1500000000000004</v>
      </c>
      <c r="Z70" s="210">
        <f t="shared" si="36"/>
        <v>8.35</v>
      </c>
    </row>
    <row r="71" spans="1:26" x14ac:dyDescent="0.25">
      <c r="A71" s="220">
        <v>72359</v>
      </c>
      <c r="B71" s="221">
        <v>1023</v>
      </c>
      <c r="C71" s="109" t="s">
        <v>73</v>
      </c>
      <c r="D71" s="229">
        <v>45976</v>
      </c>
      <c r="E71" s="65"/>
      <c r="F71" s="227" t="s">
        <v>6</v>
      </c>
      <c r="G71" s="65" t="str">
        <f t="shared" si="0"/>
        <v>Hisri</v>
      </c>
      <c r="H71" s="65">
        <v>1950</v>
      </c>
      <c r="I71" s="65">
        <v>4.25</v>
      </c>
      <c r="J71" s="65">
        <v>8.26</v>
      </c>
      <c r="K71" s="176">
        <f t="shared" si="114"/>
        <v>82.875</v>
      </c>
      <c r="L71" s="177">
        <f t="shared" si="115"/>
        <v>161.07</v>
      </c>
      <c r="M71" s="209">
        <f>$R$71*H71/SUM($H$71:$H$72)</f>
        <v>1945.4225352112676</v>
      </c>
      <c r="N71" s="211">
        <f t="shared" si="149"/>
        <v>4.2119121262590218</v>
      </c>
      <c r="O71" s="211">
        <f t="shared" si="150"/>
        <v>8.2369628244096322</v>
      </c>
      <c r="P71" s="176">
        <f>$U$71*K71/SUM($K$71:$K$72)</f>
        <v>81.939487667539069</v>
      </c>
      <c r="Q71" s="212">
        <f>$V$71*L71/SUM($L$71:$L$72)</f>
        <v>160.2437310030395</v>
      </c>
      <c r="R71" s="347">
        <v>4250</v>
      </c>
      <c r="S71" s="347">
        <v>4.4000000000000004</v>
      </c>
      <c r="T71" s="347">
        <v>8.41</v>
      </c>
      <c r="U71" s="345">
        <f t="shared" ref="U71" si="153">R71*S71%</f>
        <v>187.00000000000003</v>
      </c>
      <c r="V71" s="345">
        <f t="shared" ref="V71" si="154">R71*T71%</f>
        <v>357.42500000000001</v>
      </c>
      <c r="X71" s="176">
        <f t="shared" si="74"/>
        <v>1945</v>
      </c>
      <c r="Y71" s="210">
        <f t="shared" ref="Y71:Z105" si="155">ROUND(N71,2)</f>
        <v>4.21</v>
      </c>
      <c r="Z71" s="210">
        <f t="shared" si="155"/>
        <v>8.24</v>
      </c>
    </row>
    <row r="72" spans="1:26" x14ac:dyDescent="0.25">
      <c r="A72" s="220">
        <v>72359</v>
      </c>
      <c r="B72" s="221">
        <v>1023</v>
      </c>
      <c r="C72" s="109" t="s">
        <v>73</v>
      </c>
      <c r="D72" s="229">
        <v>45976</v>
      </c>
      <c r="E72" s="65"/>
      <c r="F72" s="227" t="s">
        <v>14</v>
      </c>
      <c r="G72" s="65" t="str">
        <f t="shared" si="0"/>
        <v>Piragutu</v>
      </c>
      <c r="H72" s="65">
        <v>2310</v>
      </c>
      <c r="I72" s="65">
        <v>4.5999999999999996</v>
      </c>
      <c r="J72" s="65">
        <v>8.58</v>
      </c>
      <c r="K72" s="176">
        <f t="shared" si="114"/>
        <v>106.26</v>
      </c>
      <c r="L72" s="177">
        <f t="shared" si="115"/>
        <v>198.19800000000001</v>
      </c>
      <c r="M72" s="209">
        <f>$R$71*H72/SUM($H$71:$H$72)</f>
        <v>2304.5774647887324</v>
      </c>
      <c r="N72" s="211">
        <f t="shared" ref="N72:N73" si="156">P72/M72*100</f>
        <v>4.5587754778332945</v>
      </c>
      <c r="O72" s="211">
        <f t="shared" ref="O72:O73" si="157">Q72/M72*100</f>
        <v>8.5560703430308287</v>
      </c>
      <c r="P72" s="176">
        <f>$U$71*K72/SUM($K$71:$K$72)</f>
        <v>105.06051233246096</v>
      </c>
      <c r="Q72" s="212">
        <f>$V$71*L72/SUM($L$71:$L$72)</f>
        <v>197.18126899696048</v>
      </c>
      <c r="R72" s="348"/>
      <c r="S72" s="348"/>
      <c r="T72" s="348"/>
      <c r="U72" s="345"/>
      <c r="V72" s="345"/>
      <c r="X72" s="176">
        <f t="shared" si="74"/>
        <v>2305</v>
      </c>
      <c r="Y72" s="210">
        <f t="shared" si="155"/>
        <v>4.5599999999999996</v>
      </c>
      <c r="Z72" s="210">
        <f t="shared" si="155"/>
        <v>8.56</v>
      </c>
    </row>
    <row r="73" spans="1:26" x14ac:dyDescent="0.25">
      <c r="A73" s="220">
        <v>72348</v>
      </c>
      <c r="B73" s="221">
        <v>9944</v>
      </c>
      <c r="C73" s="109" t="s">
        <v>73</v>
      </c>
      <c r="D73" s="229">
        <v>45977</v>
      </c>
      <c r="E73" s="65"/>
      <c r="F73" s="227" t="s">
        <v>8</v>
      </c>
      <c r="G73" s="65" t="str">
        <f t="shared" si="0"/>
        <v>Chorya</v>
      </c>
      <c r="H73" s="65">
        <v>1325</v>
      </c>
      <c r="I73" s="65">
        <v>2.8</v>
      </c>
      <c r="J73" s="65">
        <v>7.54</v>
      </c>
      <c r="K73" s="176">
        <f t="shared" si="114"/>
        <v>37.099999999999994</v>
      </c>
      <c r="L73" s="177">
        <f t="shared" si="115"/>
        <v>99.904999999999987</v>
      </c>
      <c r="M73" s="209">
        <f>$R$73*H73/SUM($H$73:$H$75)</f>
        <v>1325</v>
      </c>
      <c r="N73" s="211">
        <f t="shared" si="156"/>
        <v>2.6899871285570089</v>
      </c>
      <c r="O73" s="211">
        <f t="shared" si="157"/>
        <v>7.0693595043874291</v>
      </c>
      <c r="P73" s="176">
        <f>$U$73*K73/SUM($K$73:$K$75)</f>
        <v>35.64232945338037</v>
      </c>
      <c r="Q73" s="212">
        <f>$V$73*L73/SUM($L$73:$L$75)</f>
        <v>93.669013433133429</v>
      </c>
      <c r="R73" s="347">
        <v>7010</v>
      </c>
      <c r="S73" s="347">
        <v>3.7</v>
      </c>
      <c r="T73" s="347">
        <v>7.58</v>
      </c>
      <c r="U73" s="328">
        <f>R73*S73%</f>
        <v>259.37000000000006</v>
      </c>
      <c r="V73" s="328">
        <f>R73*T73%</f>
        <v>531.35800000000006</v>
      </c>
      <c r="X73" s="176">
        <f t="shared" si="74"/>
        <v>1325</v>
      </c>
      <c r="Y73" s="210">
        <f t="shared" si="155"/>
        <v>2.69</v>
      </c>
      <c r="Z73" s="210">
        <f t="shared" si="155"/>
        <v>7.07</v>
      </c>
    </row>
    <row r="74" spans="1:26" x14ac:dyDescent="0.25">
      <c r="A74" s="220">
        <v>72348</v>
      </c>
      <c r="B74" s="221">
        <v>9944</v>
      </c>
      <c r="C74" s="109" t="s">
        <v>73</v>
      </c>
      <c r="D74" s="229">
        <v>45977</v>
      </c>
      <c r="E74" s="65"/>
      <c r="F74" s="227" t="s">
        <v>89</v>
      </c>
      <c r="G74" s="65" t="str">
        <f t="shared" si="0"/>
        <v>Chanho</v>
      </c>
      <c r="H74" s="65">
        <v>1565</v>
      </c>
      <c r="I74" s="65">
        <v>4.3499999999999996</v>
      </c>
      <c r="J74" s="65">
        <v>8.4</v>
      </c>
      <c r="K74" s="176">
        <f t="shared" si="114"/>
        <v>68.077500000000001</v>
      </c>
      <c r="L74" s="177">
        <f t="shared" si="115"/>
        <v>131.46</v>
      </c>
      <c r="M74" s="209">
        <f t="shared" ref="M74:M75" si="158">$R$73*H74/SUM($H$73:$H$75)</f>
        <v>1565</v>
      </c>
      <c r="N74" s="211">
        <f t="shared" ref="N74:N75" si="159">P74/M74*100</f>
        <v>4.179087146151069</v>
      </c>
      <c r="O74" s="211">
        <f t="shared" ref="O74:O75" si="160">Q74/M74*100</f>
        <v>7.8756790234554908</v>
      </c>
      <c r="P74" s="176">
        <f t="shared" ref="P74:P75" si="161">$U$73*K74/SUM($K$73:$K$75)</f>
        <v>65.40271383726423</v>
      </c>
      <c r="Q74" s="212">
        <f t="shared" ref="Q74:Q75" si="162">$V$73*L74/SUM($L$73:$L$75)</f>
        <v>123.25437671707844</v>
      </c>
      <c r="R74" s="349"/>
      <c r="S74" s="349"/>
      <c r="T74" s="349"/>
      <c r="U74" s="329"/>
      <c r="V74" s="329"/>
      <c r="X74" s="176">
        <f t="shared" si="74"/>
        <v>1565</v>
      </c>
      <c r="Y74" s="210">
        <f t="shared" si="155"/>
        <v>4.18</v>
      </c>
      <c r="Z74" s="210">
        <f t="shared" si="155"/>
        <v>7.88</v>
      </c>
    </row>
    <row r="75" spans="1:26" x14ac:dyDescent="0.25">
      <c r="A75" s="220">
        <v>72348</v>
      </c>
      <c r="B75" s="221">
        <v>9944</v>
      </c>
      <c r="C75" s="109" t="s">
        <v>73</v>
      </c>
      <c r="D75" s="229">
        <v>45977</v>
      </c>
      <c r="E75" s="65"/>
      <c r="F75" s="227" t="s">
        <v>4</v>
      </c>
      <c r="G75" s="65" t="str">
        <f t="shared" si="0"/>
        <v>Pali</v>
      </c>
      <c r="H75" s="65">
        <v>4120</v>
      </c>
      <c r="I75" s="65">
        <v>4</v>
      </c>
      <c r="J75" s="65">
        <v>8.14</v>
      </c>
      <c r="K75" s="176">
        <f t="shared" si="114"/>
        <v>164.8</v>
      </c>
      <c r="L75" s="177">
        <f t="shared" si="115"/>
        <v>335.36799999999999</v>
      </c>
      <c r="M75" s="209">
        <f t="shared" si="158"/>
        <v>4120</v>
      </c>
      <c r="N75" s="211">
        <f t="shared" si="159"/>
        <v>3.8428387550814431</v>
      </c>
      <c r="O75" s="211">
        <f t="shared" si="160"/>
        <v>7.6319080060628224</v>
      </c>
      <c r="P75" s="176">
        <f t="shared" si="161"/>
        <v>158.32495670935546</v>
      </c>
      <c r="Q75" s="212">
        <f t="shared" si="162"/>
        <v>314.43460984978827</v>
      </c>
      <c r="R75" s="348"/>
      <c r="S75" s="348"/>
      <c r="T75" s="348"/>
      <c r="U75" s="330"/>
      <c r="V75" s="330"/>
      <c r="X75" s="176">
        <f t="shared" si="74"/>
        <v>4120</v>
      </c>
      <c r="Y75" s="210">
        <f t="shared" si="155"/>
        <v>3.84</v>
      </c>
      <c r="Z75" s="210">
        <f t="shared" si="155"/>
        <v>7.63</v>
      </c>
    </row>
    <row r="76" spans="1:26" x14ac:dyDescent="0.25">
      <c r="A76" s="220">
        <v>72745</v>
      </c>
      <c r="B76" s="221">
        <v>1023</v>
      </c>
      <c r="C76" s="109" t="s">
        <v>73</v>
      </c>
      <c r="D76" s="229">
        <v>45978</v>
      </c>
      <c r="E76" s="65"/>
      <c r="F76" s="227" t="s">
        <v>89</v>
      </c>
      <c r="G76" s="65" t="str">
        <f t="shared" si="0"/>
        <v>Chanho</v>
      </c>
      <c r="H76" s="65">
        <v>1588</v>
      </c>
      <c r="I76" s="65">
        <v>4.0999999999999996</v>
      </c>
      <c r="J76" s="65">
        <v>8.1</v>
      </c>
      <c r="K76" s="176">
        <f t="shared" si="114"/>
        <v>65.10799999999999</v>
      </c>
      <c r="L76" s="177">
        <f t="shared" si="115"/>
        <v>128.62800000000001</v>
      </c>
      <c r="M76" s="209">
        <f>$R$76*H76/SUM($H$76:$H$77)</f>
        <v>1590.3915662650602</v>
      </c>
      <c r="N76" s="211">
        <f t="shared" ref="N76" si="163">P76/M76*100</f>
        <v>4.0898333001502287</v>
      </c>
      <c r="O76" s="211">
        <f t="shared" ref="O76" si="164">Q76/M76*100</f>
        <v>7.8250387325703441</v>
      </c>
      <c r="P76" s="176">
        <f>$U$76*K76/SUM($K$76:$K$77)</f>
        <v>65.044363879889218</v>
      </c>
      <c r="Q76" s="212">
        <f>$V$76*L76/SUM($L$76:$L$77)</f>
        <v>124.44875605977312</v>
      </c>
      <c r="R76" s="347">
        <v>2660</v>
      </c>
      <c r="S76" s="347">
        <v>4.1500000000000004</v>
      </c>
      <c r="T76" s="347">
        <v>7.86</v>
      </c>
      <c r="U76" s="345">
        <f t="shared" ref="U76" si="165">R76*S76%</f>
        <v>110.39</v>
      </c>
      <c r="V76" s="345">
        <f t="shared" ref="V76" si="166">R76*T76%</f>
        <v>209.07600000000002</v>
      </c>
      <c r="X76" s="176">
        <f t="shared" si="74"/>
        <v>1590</v>
      </c>
      <c r="Y76" s="210">
        <f t="shared" si="155"/>
        <v>4.09</v>
      </c>
      <c r="Z76" s="210">
        <f t="shared" si="155"/>
        <v>7.83</v>
      </c>
    </row>
    <row r="77" spans="1:26" x14ac:dyDescent="0.25">
      <c r="A77" s="220">
        <v>72745</v>
      </c>
      <c r="B77" s="221">
        <v>1023</v>
      </c>
      <c r="C77" s="109" t="s">
        <v>73</v>
      </c>
      <c r="D77" s="229">
        <v>45978</v>
      </c>
      <c r="E77" s="65"/>
      <c r="F77" s="227" t="s">
        <v>6</v>
      </c>
      <c r="G77" s="65" t="str">
        <f t="shared" si="0"/>
        <v>Hisri</v>
      </c>
      <c r="H77" s="65">
        <v>1068</v>
      </c>
      <c r="I77" s="65">
        <v>4.25</v>
      </c>
      <c r="J77" s="65">
        <v>8.19</v>
      </c>
      <c r="K77" s="176">
        <f t="shared" si="114"/>
        <v>45.39</v>
      </c>
      <c r="L77" s="177">
        <f t="shared" si="115"/>
        <v>87.469200000000001</v>
      </c>
      <c r="M77" s="209">
        <f>$R$76*H77/SUM($H$76:$H$77)</f>
        <v>1069.6084337349398</v>
      </c>
      <c r="N77" s="211">
        <f t="shared" ref="N77" si="167">P77/M77*100</f>
        <v>4.2394613477167011</v>
      </c>
      <c r="O77" s="211">
        <f t="shared" ref="O77" si="168">Q77/M77*100</f>
        <v>7.9119836073766807</v>
      </c>
      <c r="P77" s="176">
        <f>$U$76*K77/SUM($K$76:$K$77)</f>
        <v>45.345636120110775</v>
      </c>
      <c r="Q77" s="212">
        <f>$V$76*L77/SUM($L$76:$L$77)</f>
        <v>84.627243940226904</v>
      </c>
      <c r="R77" s="348"/>
      <c r="S77" s="348"/>
      <c r="T77" s="348"/>
      <c r="U77" s="345"/>
      <c r="V77" s="345"/>
      <c r="X77" s="176">
        <f t="shared" si="74"/>
        <v>1070</v>
      </c>
      <c r="Y77" s="210">
        <f t="shared" si="155"/>
        <v>4.24</v>
      </c>
      <c r="Z77" s="210">
        <f t="shared" si="155"/>
        <v>7.91</v>
      </c>
    </row>
    <row r="78" spans="1:26" x14ac:dyDescent="0.25">
      <c r="A78" s="220">
        <v>72776</v>
      </c>
      <c r="B78" s="221">
        <v>1023</v>
      </c>
      <c r="C78" s="109" t="s">
        <v>109</v>
      </c>
      <c r="D78" s="229">
        <v>45980</v>
      </c>
      <c r="E78" s="65"/>
      <c r="F78" s="227" t="s">
        <v>8</v>
      </c>
      <c r="G78" s="65" t="str">
        <f t="shared" si="0"/>
        <v>Chorya</v>
      </c>
      <c r="H78" s="65">
        <v>1289</v>
      </c>
      <c r="I78" s="65">
        <v>2.95</v>
      </c>
      <c r="J78" s="65">
        <v>7.5</v>
      </c>
      <c r="K78" s="176">
        <f t="shared" si="114"/>
        <v>38.025500000000001</v>
      </c>
      <c r="L78" s="177">
        <f t="shared" si="115"/>
        <v>96.674999999999997</v>
      </c>
      <c r="M78" s="209">
        <f>$R$78*H78/SUM($H$78:$H$79)</f>
        <v>1289.2977592977593</v>
      </c>
      <c r="N78" s="211">
        <f t="shared" ref="N78" si="169">P78/M78*100</f>
        <v>2.8900406142222197</v>
      </c>
      <c r="O78" s="211">
        <f t="shared" ref="O78" si="170">Q78/M78*100</f>
        <v>7.5327117834904795</v>
      </c>
      <c r="P78" s="176">
        <f>$U$78*K78/SUM($K$78:$K$79)</f>
        <v>37.261228881962275</v>
      </c>
      <c r="Q78" s="212">
        <f>$V$78*L78/SUM($L$78:$L$79)</f>
        <v>97.119084238901038</v>
      </c>
      <c r="R78" s="347">
        <v>4330</v>
      </c>
      <c r="S78" s="347">
        <v>3.75</v>
      </c>
      <c r="T78" s="347">
        <v>7.97</v>
      </c>
      <c r="U78" s="345">
        <f t="shared" ref="U78" si="171">R78*S78%</f>
        <v>162.375</v>
      </c>
      <c r="V78" s="345">
        <f t="shared" ref="V78" si="172">R78*T78%</f>
        <v>345.10099999999994</v>
      </c>
      <c r="X78" s="176">
        <f t="shared" si="74"/>
        <v>1289</v>
      </c>
      <c r="Y78" s="210">
        <f t="shared" si="155"/>
        <v>2.89</v>
      </c>
      <c r="Z78" s="210">
        <f t="shared" si="155"/>
        <v>7.53</v>
      </c>
    </row>
    <row r="79" spans="1:26" x14ac:dyDescent="0.25">
      <c r="A79" s="220">
        <v>72776</v>
      </c>
      <c r="B79" s="221">
        <v>1023</v>
      </c>
      <c r="C79" s="109" t="s">
        <v>109</v>
      </c>
      <c r="D79" s="229">
        <v>45980</v>
      </c>
      <c r="E79" s="65"/>
      <c r="F79" s="227" t="s">
        <v>12</v>
      </c>
      <c r="G79" s="65" t="str">
        <f t="shared" si="0"/>
        <v>Ormanjhi</v>
      </c>
      <c r="H79" s="65">
        <v>3040</v>
      </c>
      <c r="I79" s="65">
        <v>4.2</v>
      </c>
      <c r="J79" s="65">
        <v>8.1199999999999992</v>
      </c>
      <c r="K79" s="176">
        <f t="shared" si="114"/>
        <v>127.68</v>
      </c>
      <c r="L79" s="177">
        <f t="shared" si="115"/>
        <v>246.84799999999998</v>
      </c>
      <c r="M79" s="209">
        <f>$R$78*H79/SUM($H$78:$H$79)</f>
        <v>3040.7022407022405</v>
      </c>
      <c r="N79" s="211">
        <f t="shared" ref="N79" si="173">P79/M79*100</f>
        <v>4.1146340948248552</v>
      </c>
      <c r="O79" s="211">
        <f t="shared" ref="O79" si="174">Q79/M79*100</f>
        <v>8.1554159575923588</v>
      </c>
      <c r="P79" s="176">
        <f>$U$78*K79/SUM($K$78:$K$79)</f>
        <v>125.11377111803773</v>
      </c>
      <c r="Q79" s="212">
        <f>$V$78*L79/SUM($L$78:$L$79)</f>
        <v>247.98191576109895</v>
      </c>
      <c r="R79" s="348"/>
      <c r="S79" s="348"/>
      <c r="T79" s="348"/>
      <c r="U79" s="345"/>
      <c r="V79" s="345"/>
      <c r="X79" s="176">
        <f t="shared" si="74"/>
        <v>3041</v>
      </c>
      <c r="Y79" s="210">
        <f t="shared" si="155"/>
        <v>4.1100000000000003</v>
      </c>
      <c r="Z79" s="210">
        <f t="shared" si="155"/>
        <v>8.16</v>
      </c>
    </row>
    <row r="80" spans="1:26" x14ac:dyDescent="0.25">
      <c r="A80" s="220">
        <v>72775</v>
      </c>
      <c r="B80" s="221">
        <v>1846</v>
      </c>
      <c r="C80" s="109" t="s">
        <v>73</v>
      </c>
      <c r="D80" s="229">
        <v>45979</v>
      </c>
      <c r="E80" s="65"/>
      <c r="F80" s="227" t="s">
        <v>4</v>
      </c>
      <c r="G80" s="65" t="str">
        <f t="shared" si="0"/>
        <v>Pali</v>
      </c>
      <c r="H80" s="65">
        <v>2960</v>
      </c>
      <c r="I80" s="65">
        <v>4.2</v>
      </c>
      <c r="J80" s="65">
        <v>8.3699999999999992</v>
      </c>
      <c r="K80" s="176">
        <f t="shared" si="114"/>
        <v>124.32000000000001</v>
      </c>
      <c r="L80" s="177">
        <f t="shared" si="115"/>
        <v>247.75199999999998</v>
      </c>
      <c r="M80" s="209">
        <f>$R$80*H80/SUM($H$80:$H$81)</f>
        <v>2960</v>
      </c>
      <c r="N80" s="211">
        <f t="shared" ref="N80" si="175">P80/M80*100</f>
        <v>4.1000000000000005</v>
      </c>
      <c r="O80" s="211">
        <f t="shared" ref="O80" si="176">Q80/M80*100</f>
        <v>8.2900863303058756</v>
      </c>
      <c r="P80" s="176">
        <f>$U$80*K80/SUM($K$80:$K$81)</f>
        <v>121.36</v>
      </c>
      <c r="Q80" s="212">
        <f>$V$80*L80/SUM($L$80:$L$81)</f>
        <v>245.3865553770539</v>
      </c>
      <c r="R80" s="347">
        <v>6150</v>
      </c>
      <c r="S80" s="347">
        <v>4.0999999999999996</v>
      </c>
      <c r="T80" s="347">
        <v>8.1</v>
      </c>
      <c r="U80" s="345">
        <f>R80*S80%</f>
        <v>252.14999999999998</v>
      </c>
      <c r="V80" s="345">
        <f t="shared" ref="V80" si="177">R80*T80%</f>
        <v>498.15000000000003</v>
      </c>
      <c r="X80" s="176">
        <f t="shared" si="74"/>
        <v>2960</v>
      </c>
      <c r="Y80" s="210">
        <f t="shared" si="155"/>
        <v>4.0999999999999996</v>
      </c>
      <c r="Z80" s="210">
        <f t="shared" si="155"/>
        <v>8.2899999999999991</v>
      </c>
    </row>
    <row r="81" spans="1:26" x14ac:dyDescent="0.25">
      <c r="A81" s="220">
        <v>72775</v>
      </c>
      <c r="B81" s="221">
        <v>1846</v>
      </c>
      <c r="C81" s="109" t="s">
        <v>73</v>
      </c>
      <c r="D81" s="229">
        <v>45979</v>
      </c>
      <c r="E81" s="65"/>
      <c r="F81" s="227" t="s">
        <v>12</v>
      </c>
      <c r="G81" s="65" t="str">
        <f t="shared" si="0"/>
        <v>Ormanjhi</v>
      </c>
      <c r="H81" s="65">
        <v>3190</v>
      </c>
      <c r="I81" s="65">
        <v>4.2</v>
      </c>
      <c r="J81" s="65">
        <v>8</v>
      </c>
      <c r="K81" s="176">
        <f t="shared" si="114"/>
        <v>133.98000000000002</v>
      </c>
      <c r="L81" s="177">
        <f t="shared" si="115"/>
        <v>255.20000000000002</v>
      </c>
      <c r="M81" s="209">
        <f>$R$80*H81/SUM($H$80:$H$81)</f>
        <v>3190</v>
      </c>
      <c r="N81" s="211">
        <f t="shared" ref="N81" si="178">P81/M81*100</f>
        <v>4.0999999999999996</v>
      </c>
      <c r="O81" s="211">
        <f t="shared" ref="O81" si="179">Q81/M81*100</f>
        <v>7.9236189536973711</v>
      </c>
      <c r="P81" s="176">
        <f>$U$80*K81/SUM($K$80:$K$81)</f>
        <v>130.79</v>
      </c>
      <c r="Q81" s="212">
        <f>$V$80*L81/SUM($L$80:$L$81)</f>
        <v>252.76344462294617</v>
      </c>
      <c r="R81" s="348"/>
      <c r="S81" s="348"/>
      <c r="T81" s="348"/>
      <c r="U81" s="345"/>
      <c r="V81" s="345"/>
      <c r="X81" s="176">
        <f t="shared" si="74"/>
        <v>3190</v>
      </c>
      <c r="Y81" s="210">
        <f t="shared" si="155"/>
        <v>4.0999999999999996</v>
      </c>
      <c r="Z81" s="210">
        <f t="shared" si="155"/>
        <v>7.92</v>
      </c>
    </row>
    <row r="82" spans="1:26" x14ac:dyDescent="0.25">
      <c r="A82" s="220">
        <v>72772</v>
      </c>
      <c r="B82" s="221">
        <v>1023</v>
      </c>
      <c r="C82" s="109" t="s">
        <v>77</v>
      </c>
      <c r="D82" s="229">
        <v>45977</v>
      </c>
      <c r="E82" s="65"/>
      <c r="F82" s="227" t="s">
        <v>6</v>
      </c>
      <c r="G82" s="65" t="str">
        <f t="shared" si="0"/>
        <v>Hisri</v>
      </c>
      <c r="H82" s="65">
        <v>1156</v>
      </c>
      <c r="I82" s="65">
        <v>4.25</v>
      </c>
      <c r="J82" s="65">
        <v>8.26</v>
      </c>
      <c r="K82" s="176">
        <f t="shared" si="114"/>
        <v>49.13</v>
      </c>
      <c r="L82" s="177">
        <f t="shared" si="115"/>
        <v>95.485599999999991</v>
      </c>
      <c r="M82" s="209">
        <f>$R$82*H82/SUM($H$82:$H$83)</f>
        <v>1163.5064935064936</v>
      </c>
      <c r="N82" s="211">
        <f t="shared" ref="N82" si="180">P82/M82*100</f>
        <v>4.2410809616729876</v>
      </c>
      <c r="O82" s="211">
        <f t="shared" ref="O82" si="181">Q82/M82*100</f>
        <v>8.1280667806140414</v>
      </c>
      <c r="P82" s="176">
        <f>$U$82*K82/SUM($K$82:$K$83)</f>
        <v>49.345252383932852</v>
      </c>
      <c r="Q82" s="212">
        <f>$V$82*L82/SUM($L$82:$L$83)</f>
        <v>94.570584788988583</v>
      </c>
      <c r="R82" s="347">
        <v>2480</v>
      </c>
      <c r="S82" s="347">
        <v>4.4000000000000004</v>
      </c>
      <c r="T82" s="347">
        <v>8.2899999999999991</v>
      </c>
      <c r="U82" s="345">
        <f>R82*S82%</f>
        <v>109.12</v>
      </c>
      <c r="V82" s="345">
        <f t="shared" ref="V82" si="182">R82*T82%</f>
        <v>205.59199999999996</v>
      </c>
      <c r="X82" s="176">
        <f t="shared" si="74"/>
        <v>1164</v>
      </c>
      <c r="Y82" s="210">
        <f t="shared" si="155"/>
        <v>4.24</v>
      </c>
      <c r="Z82" s="210">
        <f t="shared" si="155"/>
        <v>8.1300000000000008</v>
      </c>
    </row>
    <row r="83" spans="1:26" x14ac:dyDescent="0.25">
      <c r="A83" s="220">
        <v>72772</v>
      </c>
      <c r="B83" s="221">
        <v>1023</v>
      </c>
      <c r="C83" s="109" t="s">
        <v>77</v>
      </c>
      <c r="D83" s="229">
        <v>45977</v>
      </c>
      <c r="E83" s="65"/>
      <c r="F83" s="227" t="s">
        <v>14</v>
      </c>
      <c r="G83" s="65" t="str">
        <f t="shared" si="0"/>
        <v>Piragutu</v>
      </c>
      <c r="H83" s="65">
        <v>1308</v>
      </c>
      <c r="I83" s="65">
        <v>4.55</v>
      </c>
      <c r="J83" s="65">
        <v>8.57</v>
      </c>
      <c r="K83" s="176">
        <f t="shared" si="114"/>
        <v>59.513999999999996</v>
      </c>
      <c r="L83" s="177">
        <f t="shared" si="115"/>
        <v>112.0956</v>
      </c>
      <c r="M83" s="209">
        <f>$R$82*H83/SUM($H$82:$H$83)</f>
        <v>1316.4935064935064</v>
      </c>
      <c r="N83" s="211">
        <f t="shared" ref="N83" si="183">P83/M83*100</f>
        <v>4.5404513824969621</v>
      </c>
      <c r="O83" s="211">
        <f t="shared" ref="O83" si="184">Q83/M83*100</f>
        <v>8.4331152917508891</v>
      </c>
      <c r="P83" s="176">
        <f>$U$82*K83/SUM($K$82:$K$83)</f>
        <v>59.774747616067145</v>
      </c>
      <c r="Q83" s="212">
        <f>$V$82*L83/SUM($L$82:$L$83)</f>
        <v>111.02141521101137</v>
      </c>
      <c r="R83" s="348"/>
      <c r="S83" s="348"/>
      <c r="T83" s="348"/>
      <c r="U83" s="345"/>
      <c r="V83" s="345"/>
      <c r="X83" s="176">
        <f t="shared" si="74"/>
        <v>1316</v>
      </c>
      <c r="Y83" s="210">
        <f t="shared" si="155"/>
        <v>4.54</v>
      </c>
      <c r="Z83" s="210">
        <f t="shared" si="155"/>
        <v>8.43</v>
      </c>
    </row>
    <row r="84" spans="1:26" x14ac:dyDescent="0.25">
      <c r="A84" s="220">
        <v>72772</v>
      </c>
      <c r="B84" s="221">
        <v>1023</v>
      </c>
      <c r="C84" s="109" t="s">
        <v>109</v>
      </c>
      <c r="D84" s="229">
        <v>45977</v>
      </c>
      <c r="E84" s="65"/>
      <c r="F84" s="227" t="s">
        <v>12</v>
      </c>
      <c r="G84" s="65" t="str">
        <f t="shared" si="0"/>
        <v>Ormanjhi</v>
      </c>
      <c r="H84" s="65">
        <v>3739</v>
      </c>
      <c r="I84" s="65">
        <v>4.45</v>
      </c>
      <c r="J84" s="65">
        <v>8.23</v>
      </c>
      <c r="K84" s="176">
        <f t="shared" si="114"/>
        <v>166.38550000000001</v>
      </c>
      <c r="L84" s="177">
        <f t="shared" si="115"/>
        <v>307.71969999999999</v>
      </c>
      <c r="M84" s="209">
        <f>$R$84*H84/SUM($H$84)</f>
        <v>3739</v>
      </c>
      <c r="N84" s="211">
        <f t="shared" ref="N84:N85" si="185">P84/M84*100</f>
        <v>4.45</v>
      </c>
      <c r="O84" s="211">
        <f t="shared" ref="O84:O85" si="186">Q84/M84*100</f>
        <v>8.23</v>
      </c>
      <c r="P84" s="176">
        <f>$U$84*K84/SUM($K$84)</f>
        <v>166.38550000000001</v>
      </c>
      <c r="Q84" s="212">
        <f>$V$84*L84/SUM($L$84)</f>
        <v>307.71969999999999</v>
      </c>
      <c r="R84" s="249">
        <v>3739</v>
      </c>
      <c r="S84" s="249">
        <v>4.45</v>
      </c>
      <c r="T84" s="249">
        <v>8.23</v>
      </c>
      <c r="U84" s="249">
        <f>R84*S84%</f>
        <v>166.38550000000001</v>
      </c>
      <c r="V84" s="249">
        <f>R84*T84%</f>
        <v>307.71969999999999</v>
      </c>
      <c r="X84" s="176">
        <f t="shared" si="74"/>
        <v>3739</v>
      </c>
      <c r="Y84" s="210">
        <f t="shared" si="155"/>
        <v>4.45</v>
      </c>
      <c r="Z84" s="210">
        <f t="shared" si="155"/>
        <v>8.23</v>
      </c>
    </row>
    <row r="85" spans="1:26" x14ac:dyDescent="0.25">
      <c r="A85" s="220">
        <v>72362</v>
      </c>
      <c r="B85" s="221">
        <v>1846</v>
      </c>
      <c r="C85" s="109" t="s">
        <v>73</v>
      </c>
      <c r="D85" s="229">
        <v>45981</v>
      </c>
      <c r="E85" s="65"/>
      <c r="F85" s="227" t="s">
        <v>12</v>
      </c>
      <c r="G85" s="65" t="str">
        <f t="shared" si="0"/>
        <v>Ormanjhi</v>
      </c>
      <c r="H85" s="65">
        <v>1687</v>
      </c>
      <c r="I85" s="65">
        <v>4.25</v>
      </c>
      <c r="J85" s="65">
        <v>8.44</v>
      </c>
      <c r="K85" s="176">
        <f t="shared" si="114"/>
        <v>71.697500000000005</v>
      </c>
      <c r="L85" s="177">
        <f t="shared" si="115"/>
        <v>142.38279999999997</v>
      </c>
      <c r="M85" s="209">
        <f>$R$85*H85/SUM($H$85:$H$87)</f>
        <v>1679.0349386213409</v>
      </c>
      <c r="N85" s="211">
        <f t="shared" si="185"/>
        <v>4.2182491663837602</v>
      </c>
      <c r="O85" s="211">
        <f t="shared" si="186"/>
        <v>8.4119224737104386</v>
      </c>
      <c r="P85" s="176">
        <f>$U$85*K85/SUM($K$85:$K$87)</f>
        <v>70.825877301686802</v>
      </c>
      <c r="Q85" s="212">
        <f>$V$85*L85/SUM($L$85:$L$87)</f>
        <v>141.23911734333885</v>
      </c>
      <c r="R85" s="347">
        <v>5270</v>
      </c>
      <c r="S85" s="347">
        <v>4.5</v>
      </c>
      <c r="T85" s="347">
        <v>8.43</v>
      </c>
      <c r="U85" s="328">
        <f>R85*S85%</f>
        <v>237.14999999999998</v>
      </c>
      <c r="V85" s="328">
        <f>R85*T85%</f>
        <v>444.26100000000002</v>
      </c>
      <c r="X85" s="176">
        <f t="shared" si="74"/>
        <v>1679</v>
      </c>
      <c r="Y85" s="210">
        <f t="shared" si="155"/>
        <v>4.22</v>
      </c>
      <c r="Z85" s="210">
        <f t="shared" si="155"/>
        <v>8.41</v>
      </c>
    </row>
    <row r="86" spans="1:26" x14ac:dyDescent="0.25">
      <c r="A86" s="220">
        <v>72362</v>
      </c>
      <c r="B86" s="221">
        <v>1846</v>
      </c>
      <c r="C86" s="109" t="s">
        <v>73</v>
      </c>
      <c r="D86" s="229">
        <v>45981</v>
      </c>
      <c r="E86" s="65"/>
      <c r="F86" s="227" t="s">
        <v>14</v>
      </c>
      <c r="G86" s="65" t="str">
        <f t="shared" si="0"/>
        <v>Piragutu</v>
      </c>
      <c r="H86" s="65">
        <v>2405</v>
      </c>
      <c r="I86" s="65">
        <v>4.9000000000000004</v>
      </c>
      <c r="J86" s="65">
        <v>8.64</v>
      </c>
      <c r="K86" s="176">
        <f t="shared" si="114"/>
        <v>117.845</v>
      </c>
      <c r="L86" s="177">
        <f t="shared" si="115"/>
        <v>207.792</v>
      </c>
      <c r="M86" s="209">
        <f t="shared" ref="M86:M87" si="187">$R$85*H86/SUM($H$85:$H$87)</f>
        <v>2393.6449480642113</v>
      </c>
      <c r="N86" s="211">
        <f t="shared" ref="N86:N88" si="188">P86/M86*100</f>
        <v>4.8633931565365707</v>
      </c>
      <c r="O86" s="211">
        <f t="shared" ref="O86:O88" si="189">Q86/M86*100</f>
        <v>8.6112571294855691</v>
      </c>
      <c r="P86" s="176">
        <f t="shared" ref="P86:P87" si="190">$U$85*K86/SUM($K$85:$K$87)</f>
        <v>116.41236459593821</v>
      </c>
      <c r="Q86" s="212">
        <f t="shared" ref="Q86:Q87" si="191">$V$85*L86/SUM($L$85:$L$87)</f>
        <v>206.12292124475056</v>
      </c>
      <c r="R86" s="349"/>
      <c r="S86" s="349"/>
      <c r="T86" s="349"/>
      <c r="U86" s="329"/>
      <c r="V86" s="329"/>
      <c r="X86" s="176">
        <f t="shared" si="74"/>
        <v>2394</v>
      </c>
      <c r="Y86" s="210">
        <f t="shared" si="155"/>
        <v>4.8600000000000003</v>
      </c>
      <c r="Z86" s="210">
        <f t="shared" si="155"/>
        <v>8.61</v>
      </c>
    </row>
    <row r="87" spans="1:26" x14ac:dyDescent="0.25">
      <c r="A87" s="220">
        <v>72362</v>
      </c>
      <c r="B87" s="221">
        <v>1846</v>
      </c>
      <c r="C87" s="109" t="s">
        <v>73</v>
      </c>
      <c r="D87" s="229">
        <v>45981</v>
      </c>
      <c r="E87" s="65"/>
      <c r="F87" s="227" t="s">
        <v>6</v>
      </c>
      <c r="G87" s="65" t="str">
        <f t="shared" si="0"/>
        <v>Hisri</v>
      </c>
      <c r="H87" s="65">
        <v>1203</v>
      </c>
      <c r="I87" s="65">
        <v>4.2</v>
      </c>
      <c r="J87" s="65">
        <v>8.1199999999999992</v>
      </c>
      <c r="K87" s="176">
        <f t="shared" si="114"/>
        <v>50.526000000000003</v>
      </c>
      <c r="L87" s="177">
        <f t="shared" si="115"/>
        <v>97.683599999999998</v>
      </c>
      <c r="M87" s="209">
        <f t="shared" si="187"/>
        <v>1197.3201133144476</v>
      </c>
      <c r="N87" s="211">
        <f t="shared" si="188"/>
        <v>4.1686227056027754</v>
      </c>
      <c r="O87" s="211">
        <f t="shared" si="189"/>
        <v>8.0929870244702364</v>
      </c>
      <c r="P87" s="176">
        <f t="shared" si="190"/>
        <v>49.911758102374939</v>
      </c>
      <c r="Q87" s="212">
        <f t="shared" si="191"/>
        <v>96.898961411910562</v>
      </c>
      <c r="R87" s="348"/>
      <c r="S87" s="348"/>
      <c r="T87" s="348"/>
      <c r="U87" s="330"/>
      <c r="V87" s="330"/>
      <c r="X87" s="176">
        <f t="shared" si="74"/>
        <v>1197</v>
      </c>
      <c r="Y87" s="210">
        <f t="shared" si="155"/>
        <v>4.17</v>
      </c>
      <c r="Z87" s="210">
        <f t="shared" si="155"/>
        <v>8.09</v>
      </c>
    </row>
    <row r="88" spans="1:26" x14ac:dyDescent="0.25">
      <c r="A88" s="220">
        <v>72361</v>
      </c>
      <c r="B88" s="221">
        <v>1846</v>
      </c>
      <c r="C88" s="109" t="s">
        <v>73</v>
      </c>
      <c r="D88" s="229">
        <v>45980</v>
      </c>
      <c r="E88" s="65"/>
      <c r="F88" s="227" t="s">
        <v>4</v>
      </c>
      <c r="G88" s="65" t="str">
        <f t="shared" si="0"/>
        <v>Pali</v>
      </c>
      <c r="H88" s="65">
        <v>2950</v>
      </c>
      <c r="I88" s="65">
        <v>4.05</v>
      </c>
      <c r="J88" s="65">
        <v>8.15</v>
      </c>
      <c r="K88" s="176">
        <f t="shared" si="114"/>
        <v>119.47500000000001</v>
      </c>
      <c r="L88" s="177">
        <f t="shared" si="115"/>
        <v>240.42500000000001</v>
      </c>
      <c r="M88" s="209">
        <f>$R$88*H88/SUM($H$88:$H$89)</f>
        <v>2935.0661993769472</v>
      </c>
      <c r="N88" s="211">
        <f t="shared" si="188"/>
        <v>4.0437582270357373</v>
      </c>
      <c r="O88" s="211">
        <f t="shared" si="189"/>
        <v>8.0594924303288256</v>
      </c>
      <c r="P88" s="176">
        <f>$U$88*K88/SUM($K$88:$K$89)</f>
        <v>118.68698090625044</v>
      </c>
      <c r="Q88" s="212">
        <f>$V$88*L88/SUM($L$88:$L$89)</f>
        <v>236.55143816392501</v>
      </c>
      <c r="R88" s="347">
        <v>5110</v>
      </c>
      <c r="S88" s="347">
        <v>4.1500000000000004</v>
      </c>
      <c r="T88" s="347">
        <v>8.11</v>
      </c>
      <c r="U88" s="345">
        <f>R88*S88%</f>
        <v>212.065</v>
      </c>
      <c r="V88" s="345">
        <f t="shared" ref="V88" si="192">R88*T88%</f>
        <v>414.42099999999994</v>
      </c>
      <c r="X88" s="176">
        <f t="shared" si="74"/>
        <v>2935</v>
      </c>
      <c r="Y88" s="210">
        <f t="shared" si="155"/>
        <v>4.04</v>
      </c>
      <c r="Z88" s="210">
        <f t="shared" si="155"/>
        <v>8.06</v>
      </c>
    </row>
    <row r="89" spans="1:26" x14ac:dyDescent="0.25">
      <c r="A89" s="220">
        <v>72361</v>
      </c>
      <c r="B89" s="221">
        <v>1846</v>
      </c>
      <c r="C89" s="109" t="s">
        <v>73</v>
      </c>
      <c r="D89" s="229">
        <v>45980</v>
      </c>
      <c r="E89" s="65"/>
      <c r="F89" s="227" t="s">
        <v>6</v>
      </c>
      <c r="G89" s="65" t="str">
        <f t="shared" si="0"/>
        <v>Hisri</v>
      </c>
      <c r="H89" s="65">
        <v>2186</v>
      </c>
      <c r="I89" s="65">
        <v>4.3</v>
      </c>
      <c r="J89" s="65">
        <v>8.27</v>
      </c>
      <c r="K89" s="176">
        <f t="shared" si="114"/>
        <v>93.99799999999999</v>
      </c>
      <c r="L89" s="177">
        <f t="shared" si="115"/>
        <v>180.78219999999999</v>
      </c>
      <c r="M89" s="209">
        <f>$R$88*H89/SUM($H$88:$H$89)</f>
        <v>2174.9338006230528</v>
      </c>
      <c r="N89" s="211">
        <f t="shared" ref="N89:N90" si="193">P89/M89*100</f>
        <v>4.293372932408313</v>
      </c>
      <c r="O89" s="211">
        <f t="shared" ref="O89:O90" si="194">Q89/M89*100</f>
        <v>8.1781598035361203</v>
      </c>
      <c r="P89" s="176">
        <f>$U$88*K89/SUM($K$88:$K$89)</f>
        <v>93.378019093749543</v>
      </c>
      <c r="Q89" s="212">
        <f>$V$88*L89/SUM($L$88:$L$89)</f>
        <v>177.86956183607492</v>
      </c>
      <c r="R89" s="348"/>
      <c r="S89" s="348"/>
      <c r="T89" s="348"/>
      <c r="U89" s="345"/>
      <c r="V89" s="345"/>
      <c r="X89" s="176">
        <f t="shared" si="74"/>
        <v>2175</v>
      </c>
      <c r="Y89" s="210">
        <f t="shared" si="155"/>
        <v>4.29</v>
      </c>
      <c r="Z89" s="210">
        <f t="shared" si="155"/>
        <v>8.18</v>
      </c>
    </row>
    <row r="90" spans="1:26" x14ac:dyDescent="0.25">
      <c r="A90" s="220">
        <v>72293</v>
      </c>
      <c r="B90" s="221">
        <v>9944</v>
      </c>
      <c r="C90" s="109" t="s">
        <v>73</v>
      </c>
      <c r="D90" s="229">
        <v>45982</v>
      </c>
      <c r="E90" s="65"/>
      <c r="F90" s="227" t="s">
        <v>89</v>
      </c>
      <c r="G90" s="65" t="str">
        <f t="shared" si="0"/>
        <v>Chanho</v>
      </c>
      <c r="H90" s="65">
        <v>3458</v>
      </c>
      <c r="I90" s="65">
        <v>4.3</v>
      </c>
      <c r="J90" s="65">
        <v>8.33</v>
      </c>
      <c r="K90" s="176">
        <f t="shared" si="114"/>
        <v>148.69399999999999</v>
      </c>
      <c r="L90" s="177">
        <f t="shared" si="115"/>
        <v>288.0514</v>
      </c>
      <c r="M90" s="209">
        <f>$R$90*H90/SUM($H$90:$H$92)</f>
        <v>3458</v>
      </c>
      <c r="N90" s="211">
        <f t="shared" si="193"/>
        <v>4.31726312159799</v>
      </c>
      <c r="O90" s="211">
        <f t="shared" si="194"/>
        <v>8.1250478218278825</v>
      </c>
      <c r="P90" s="176">
        <f>$U$90*K90/SUM($K$90:$K$92)</f>
        <v>149.29095874485847</v>
      </c>
      <c r="Q90" s="212">
        <f>$V$90*L90/SUM($L$90:$L$92)</f>
        <v>280.9641536788082</v>
      </c>
      <c r="R90" s="347">
        <v>9480</v>
      </c>
      <c r="S90" s="347">
        <v>4.3</v>
      </c>
      <c r="T90" s="347">
        <v>8.1999999999999993</v>
      </c>
      <c r="U90" s="328">
        <f>R90*S90%</f>
        <v>407.64</v>
      </c>
      <c r="V90" s="328">
        <f>R90*T90%</f>
        <v>777.3599999999999</v>
      </c>
      <c r="X90" s="176">
        <f t="shared" si="74"/>
        <v>3458</v>
      </c>
      <c r="Y90" s="210">
        <f t="shared" si="155"/>
        <v>4.32</v>
      </c>
      <c r="Z90" s="210">
        <f t="shared" si="155"/>
        <v>8.1300000000000008</v>
      </c>
    </row>
    <row r="91" spans="1:26" x14ac:dyDescent="0.25">
      <c r="A91" s="220">
        <v>72293</v>
      </c>
      <c r="B91" s="221">
        <v>9944</v>
      </c>
      <c r="C91" s="109" t="s">
        <v>73</v>
      </c>
      <c r="D91" s="229">
        <v>45982</v>
      </c>
      <c r="E91" s="65"/>
      <c r="F91" s="227" t="s">
        <v>14</v>
      </c>
      <c r="G91" s="65" t="str">
        <f t="shared" si="0"/>
        <v>Piragutu</v>
      </c>
      <c r="H91" s="65">
        <v>549</v>
      </c>
      <c r="I91" s="65">
        <v>5</v>
      </c>
      <c r="J91" s="65">
        <v>8.66</v>
      </c>
      <c r="K91" s="176">
        <f t="shared" si="114"/>
        <v>27.450000000000003</v>
      </c>
      <c r="L91" s="177">
        <f t="shared" si="115"/>
        <v>47.543399999999998</v>
      </c>
      <c r="M91" s="209">
        <f t="shared" ref="M91:M92" si="195">$R$90*H91/SUM($H$90:$H$92)</f>
        <v>549</v>
      </c>
      <c r="N91" s="211">
        <f t="shared" ref="N91:N92" si="196">P91/M91*100</f>
        <v>5.020073397206966</v>
      </c>
      <c r="O91" s="211">
        <f t="shared" ref="O91:O92" si="197">Q91/M91*100</f>
        <v>8.4469284678306682</v>
      </c>
      <c r="P91" s="176">
        <f t="shared" ref="P91:P92" si="198">$U$90*K91/SUM($K$90:$K$92)</f>
        <v>27.560202950666241</v>
      </c>
      <c r="Q91" s="212">
        <f t="shared" ref="Q91:Q92" si="199">$V$90*L91/SUM($L$90:$L$92)</f>
        <v>46.37363728839037</v>
      </c>
      <c r="R91" s="349"/>
      <c r="S91" s="349"/>
      <c r="T91" s="349"/>
      <c r="U91" s="329"/>
      <c r="V91" s="329"/>
      <c r="X91" s="176">
        <f t="shared" si="74"/>
        <v>549</v>
      </c>
      <c r="Y91" s="210">
        <f t="shared" si="155"/>
        <v>5.0199999999999996</v>
      </c>
      <c r="Z91" s="210">
        <f t="shared" si="155"/>
        <v>8.4499999999999993</v>
      </c>
    </row>
    <row r="92" spans="1:26" x14ac:dyDescent="0.25">
      <c r="A92" s="220">
        <v>72293</v>
      </c>
      <c r="B92" s="221">
        <v>9944</v>
      </c>
      <c r="C92" s="109" t="s">
        <v>73</v>
      </c>
      <c r="D92" s="229">
        <v>45982</v>
      </c>
      <c r="E92" s="65"/>
      <c r="F92" s="227" t="s">
        <v>4</v>
      </c>
      <c r="G92" s="65" t="str">
        <f t="shared" si="0"/>
        <v>Pali</v>
      </c>
      <c r="H92" s="65">
        <v>5473</v>
      </c>
      <c r="I92" s="65">
        <v>4.2</v>
      </c>
      <c r="J92" s="65">
        <v>8.43</v>
      </c>
      <c r="K92" s="176">
        <f t="shared" si="114"/>
        <v>229.86600000000001</v>
      </c>
      <c r="L92" s="177">
        <f t="shared" si="115"/>
        <v>461.37389999999999</v>
      </c>
      <c r="M92" s="209">
        <f t="shared" si="195"/>
        <v>5473</v>
      </c>
      <c r="N92" s="211">
        <f t="shared" si="196"/>
        <v>4.2168616536538517</v>
      </c>
      <c r="O92" s="211">
        <f t="shared" si="197"/>
        <v>8.2225874115256961</v>
      </c>
      <c r="P92" s="176">
        <f t="shared" si="198"/>
        <v>230.78883830447529</v>
      </c>
      <c r="Q92" s="212">
        <f t="shared" si="199"/>
        <v>450.02220903280136</v>
      </c>
      <c r="R92" s="348"/>
      <c r="S92" s="348"/>
      <c r="T92" s="348"/>
      <c r="U92" s="330"/>
      <c r="V92" s="330"/>
      <c r="X92" s="176">
        <f t="shared" si="74"/>
        <v>5473</v>
      </c>
      <c r="Y92" s="210">
        <f t="shared" si="155"/>
        <v>4.22</v>
      </c>
      <c r="Z92" s="210">
        <f t="shared" si="155"/>
        <v>8.2200000000000006</v>
      </c>
    </row>
    <row r="93" spans="1:26" x14ac:dyDescent="0.25">
      <c r="A93" s="220">
        <v>72748</v>
      </c>
      <c r="B93" s="221">
        <v>9944</v>
      </c>
      <c r="C93" s="109" t="s">
        <v>73</v>
      </c>
      <c r="D93" s="229">
        <v>45983</v>
      </c>
      <c r="E93" s="65"/>
      <c r="F93" s="227" t="s">
        <v>12</v>
      </c>
      <c r="G93" s="65" t="str">
        <f t="shared" si="0"/>
        <v>Ormanjhi</v>
      </c>
      <c r="H93" s="65">
        <v>2714</v>
      </c>
      <c r="I93" s="65">
        <v>4.2</v>
      </c>
      <c r="J93" s="65">
        <v>8.3699999999999992</v>
      </c>
      <c r="K93" s="176">
        <f t="shared" si="114"/>
        <v>113.98800000000001</v>
      </c>
      <c r="L93" s="177">
        <f t="shared" si="115"/>
        <v>227.1618</v>
      </c>
      <c r="M93" s="209">
        <f>$R$93*H93/SUM($H$93:$H$96)</f>
        <v>2707.9822616407982</v>
      </c>
      <c r="N93" s="211">
        <f t="shared" ref="N93" si="200">P93/M93*100</f>
        <v>4.1138572648356346</v>
      </c>
      <c r="O93" s="211">
        <f t="shared" ref="O93" si="201">Q93/M93*100</f>
        <v>8.1239994639985706</v>
      </c>
      <c r="P93" s="176">
        <f>$U$93*K93/SUM($K$93:$K$96)</f>
        <v>111.4025250009703</v>
      </c>
      <c r="Q93" s="212">
        <f>$V$93*L93/SUM($L$93:$L$96)</f>
        <v>219.99646442087482</v>
      </c>
      <c r="R93" s="347">
        <v>7650</v>
      </c>
      <c r="S93" s="347">
        <v>3.95</v>
      </c>
      <c r="T93" s="347">
        <v>7.95</v>
      </c>
      <c r="U93" s="347">
        <f>R93*S93%</f>
        <v>302.17500000000001</v>
      </c>
      <c r="V93" s="347">
        <f>R93*T93%</f>
        <v>608.17499999999995</v>
      </c>
      <c r="X93" s="176">
        <f t="shared" si="74"/>
        <v>2708</v>
      </c>
      <c r="Y93" s="210">
        <f t="shared" si="155"/>
        <v>4.1100000000000003</v>
      </c>
      <c r="Z93" s="210">
        <f t="shared" si="155"/>
        <v>8.1199999999999992</v>
      </c>
    </row>
    <row r="94" spans="1:26" x14ac:dyDescent="0.25">
      <c r="A94" s="220">
        <v>72748</v>
      </c>
      <c r="B94" s="221">
        <v>9944</v>
      </c>
      <c r="C94" s="109" t="s">
        <v>73</v>
      </c>
      <c r="D94" s="229">
        <v>45983</v>
      </c>
      <c r="E94" s="65"/>
      <c r="F94" s="227" t="s">
        <v>89</v>
      </c>
      <c r="G94" s="65" t="str">
        <f t="shared" si="0"/>
        <v>Chanho</v>
      </c>
      <c r="H94" s="65">
        <v>1670</v>
      </c>
      <c r="I94" s="65">
        <v>4.3</v>
      </c>
      <c r="J94" s="65">
        <v>8.33</v>
      </c>
      <c r="K94" s="176">
        <f t="shared" si="114"/>
        <v>71.809999999999988</v>
      </c>
      <c r="L94" s="177">
        <f t="shared" si="115"/>
        <v>139.11099999999999</v>
      </c>
      <c r="M94" s="209">
        <f t="shared" ref="M94:M96" si="202">$R$93*H94/SUM($H$93:$H$96)</f>
        <v>1666.2971175166297</v>
      </c>
      <c r="N94" s="211">
        <f t="shared" ref="N94:N96" si="203">P94/M94*100</f>
        <v>4.2118062473317206</v>
      </c>
      <c r="O94" s="211">
        <f t="shared" ref="O94:O96" si="204">Q94/M94*100</f>
        <v>8.0851750938002489</v>
      </c>
      <c r="P94" s="176">
        <f t="shared" ref="P94:P96" si="205">$U$93*K94/SUM($K$93:$K$96)</f>
        <v>70.181206094673783</v>
      </c>
      <c r="Q94" s="212">
        <f t="shared" ref="Q94:Q96" si="206">$V$93*L94/SUM($L$93:$L$96)</f>
        <v>134.72303953416602</v>
      </c>
      <c r="R94" s="349"/>
      <c r="S94" s="349"/>
      <c r="T94" s="349"/>
      <c r="U94" s="349"/>
      <c r="V94" s="349"/>
      <c r="X94" s="176">
        <f t="shared" si="74"/>
        <v>1666</v>
      </c>
      <c r="Y94" s="210">
        <f t="shared" si="155"/>
        <v>4.21</v>
      </c>
      <c r="Z94" s="210">
        <f t="shared" si="155"/>
        <v>8.09</v>
      </c>
    </row>
    <row r="95" spans="1:26" x14ac:dyDescent="0.25">
      <c r="A95" s="220">
        <v>72748</v>
      </c>
      <c r="B95" s="221">
        <v>9944</v>
      </c>
      <c r="C95" s="109" t="s">
        <v>73</v>
      </c>
      <c r="D95" s="229">
        <v>45983</v>
      </c>
      <c r="E95" s="65"/>
      <c r="F95" s="227" t="s">
        <v>8</v>
      </c>
      <c r="G95" s="65" t="str">
        <f t="shared" si="0"/>
        <v>Chorya</v>
      </c>
      <c r="H95" s="65">
        <v>1208</v>
      </c>
      <c r="I95" s="65">
        <v>3</v>
      </c>
      <c r="J95" s="65">
        <v>7.82</v>
      </c>
      <c r="K95" s="176">
        <f t="shared" si="114"/>
        <v>36.24</v>
      </c>
      <c r="L95" s="177">
        <f t="shared" si="115"/>
        <v>94.465600000000009</v>
      </c>
      <c r="M95" s="209">
        <f t="shared" si="202"/>
        <v>1205.3215077605321</v>
      </c>
      <c r="N95" s="211">
        <f t="shared" si="203"/>
        <v>2.9384694748825959</v>
      </c>
      <c r="O95" s="211">
        <f t="shared" si="204"/>
        <v>7.590164373771664</v>
      </c>
      <c r="P95" s="176">
        <f t="shared" si="205"/>
        <v>35.418004579737897</v>
      </c>
      <c r="Q95" s="212">
        <f t="shared" si="206"/>
        <v>91.485883671447368</v>
      </c>
      <c r="R95" s="349"/>
      <c r="S95" s="349"/>
      <c r="T95" s="349"/>
      <c r="U95" s="349"/>
      <c r="V95" s="349"/>
      <c r="X95" s="176">
        <f t="shared" si="74"/>
        <v>1205</v>
      </c>
      <c r="Y95" s="210">
        <f t="shared" si="155"/>
        <v>2.94</v>
      </c>
      <c r="Z95" s="210">
        <f t="shared" si="155"/>
        <v>7.59</v>
      </c>
    </row>
    <row r="96" spans="1:26" x14ac:dyDescent="0.25">
      <c r="A96" s="220">
        <v>72748</v>
      </c>
      <c r="B96" s="221">
        <v>9944</v>
      </c>
      <c r="C96" s="109" t="s">
        <v>73</v>
      </c>
      <c r="D96" s="229">
        <v>45983</v>
      </c>
      <c r="E96" s="65"/>
      <c r="F96" s="227" t="s">
        <v>6</v>
      </c>
      <c r="G96" s="65" t="str">
        <f t="shared" si="0"/>
        <v>Hisri</v>
      </c>
      <c r="H96" s="65">
        <v>2075</v>
      </c>
      <c r="I96" s="65">
        <v>4.2</v>
      </c>
      <c r="J96" s="65">
        <v>8.06</v>
      </c>
      <c r="K96" s="176">
        <f t="shared" si="114"/>
        <v>87.15</v>
      </c>
      <c r="L96" s="177">
        <f t="shared" si="115"/>
        <v>167.245</v>
      </c>
      <c r="M96" s="209">
        <f t="shared" si="202"/>
        <v>2070.39911308204</v>
      </c>
      <c r="N96" s="211">
        <f t="shared" si="203"/>
        <v>4.1138572648356346</v>
      </c>
      <c r="O96" s="211">
        <f t="shared" si="204"/>
        <v>7.8231105949615856</v>
      </c>
      <c r="P96" s="176">
        <f t="shared" si="205"/>
        <v>85.173264324618046</v>
      </c>
      <c r="Q96" s="212">
        <f t="shared" si="206"/>
        <v>161.96961237351178</v>
      </c>
      <c r="R96" s="348"/>
      <c r="S96" s="348"/>
      <c r="T96" s="348"/>
      <c r="U96" s="348"/>
      <c r="V96" s="348"/>
      <c r="X96" s="176">
        <f t="shared" si="74"/>
        <v>2070</v>
      </c>
      <c r="Y96" s="210">
        <f t="shared" si="155"/>
        <v>4.1100000000000003</v>
      </c>
      <c r="Z96" s="210">
        <f t="shared" si="155"/>
        <v>7.82</v>
      </c>
    </row>
    <row r="97" spans="1:26" x14ac:dyDescent="0.25">
      <c r="A97" s="220">
        <v>72296</v>
      </c>
      <c r="B97" s="221">
        <v>9944</v>
      </c>
      <c r="C97" s="109" t="s">
        <v>73</v>
      </c>
      <c r="D97" s="229">
        <v>45984</v>
      </c>
      <c r="E97" s="65"/>
      <c r="F97" s="227" t="s">
        <v>4</v>
      </c>
      <c r="G97" s="65" t="str">
        <f t="shared" si="0"/>
        <v>Pali</v>
      </c>
      <c r="H97" s="65">
        <v>3430</v>
      </c>
      <c r="I97" s="65">
        <v>4.1500000000000004</v>
      </c>
      <c r="J97" s="65">
        <v>8.36</v>
      </c>
      <c r="K97" s="176">
        <f t="shared" si="114"/>
        <v>142.345</v>
      </c>
      <c r="L97" s="177">
        <f t="shared" si="115"/>
        <v>286.74799999999999</v>
      </c>
      <c r="M97" s="209">
        <f>$R$97*H97/SUM($H$97:$H$100)</f>
        <v>3426.3894736842103</v>
      </c>
      <c r="N97" s="211">
        <f t="shared" ref="N97" si="207">P97/M97*100</f>
        <v>4.1149449002378757</v>
      </c>
      <c r="O97" s="211">
        <f t="shared" ref="O97" si="208">Q97/M97*100</f>
        <v>8.2855799922656939</v>
      </c>
      <c r="P97" s="176">
        <f>$U$97*K97/SUM($K$97:$K$100)</f>
        <v>140.99403890965581</v>
      </c>
      <c r="Q97" s="212">
        <f>$V$97*L97/SUM($L$97:$L$100)</f>
        <v>283.8962406886767</v>
      </c>
      <c r="R97" s="347">
        <v>9490</v>
      </c>
      <c r="S97" s="347">
        <v>4.3</v>
      </c>
      <c r="T97" s="347">
        <v>8.39</v>
      </c>
      <c r="U97" s="347">
        <f>R97*S97%</f>
        <v>408.07</v>
      </c>
      <c r="V97" s="347">
        <f>R97*T97%</f>
        <v>796.21100000000001</v>
      </c>
      <c r="X97" s="176">
        <f t="shared" si="74"/>
        <v>3426</v>
      </c>
      <c r="Y97" s="210">
        <f t="shared" si="155"/>
        <v>4.1100000000000003</v>
      </c>
      <c r="Z97" s="210">
        <f t="shared" si="155"/>
        <v>8.2899999999999991</v>
      </c>
    </row>
    <row r="98" spans="1:26" x14ac:dyDescent="0.25">
      <c r="A98" s="220">
        <v>72296</v>
      </c>
      <c r="B98" s="221">
        <v>9944</v>
      </c>
      <c r="C98" s="109" t="s">
        <v>73</v>
      </c>
      <c r="D98" s="229">
        <v>45984</v>
      </c>
      <c r="E98" s="65"/>
      <c r="F98" s="227" t="s">
        <v>89</v>
      </c>
      <c r="G98" s="65" t="str">
        <f t="shared" si="0"/>
        <v>Chanho</v>
      </c>
      <c r="H98" s="65">
        <v>1660</v>
      </c>
      <c r="I98" s="65">
        <v>4.3</v>
      </c>
      <c r="J98" s="65">
        <v>8.52</v>
      </c>
      <c r="K98" s="176">
        <f t="shared" si="114"/>
        <v>71.38</v>
      </c>
      <c r="L98" s="177">
        <f t="shared" si="115"/>
        <v>141.43199999999999</v>
      </c>
      <c r="M98" s="209">
        <f t="shared" ref="M98:M100" si="209">$R$97*H98/SUM($H$97:$H$100)</f>
        <v>1658.2526315789473</v>
      </c>
      <c r="N98" s="211">
        <f t="shared" ref="N98:N100" si="210">P98/M98*100</f>
        <v>4.2636778484392446</v>
      </c>
      <c r="O98" s="211">
        <f t="shared" ref="O98:O100" si="211">Q98/M98*100</f>
        <v>8.4441556858975719</v>
      </c>
      <c r="P98" s="176">
        <f t="shared" ref="P98:P100" si="212">$U$97*K98/SUM($K$97:$K$100)</f>
        <v>70.702550123792406</v>
      </c>
      <c r="Q98" s="212">
        <f t="shared" ref="Q98:Q100" si="213">$V$97*L98/SUM($L$97:$L$100)</f>
        <v>140.02543387601978</v>
      </c>
      <c r="R98" s="349"/>
      <c r="S98" s="349"/>
      <c r="T98" s="349"/>
      <c r="U98" s="349"/>
      <c r="V98" s="349"/>
      <c r="X98" s="176">
        <f t="shared" si="74"/>
        <v>1658</v>
      </c>
      <c r="Y98" s="210">
        <f t="shared" si="155"/>
        <v>4.26</v>
      </c>
      <c r="Z98" s="210">
        <f t="shared" si="155"/>
        <v>8.44</v>
      </c>
    </row>
    <row r="99" spans="1:26" x14ac:dyDescent="0.25">
      <c r="A99" s="220">
        <v>72296</v>
      </c>
      <c r="B99" s="221">
        <v>9944</v>
      </c>
      <c r="C99" s="109" t="s">
        <v>73</v>
      </c>
      <c r="D99" s="229">
        <v>45984</v>
      </c>
      <c r="E99" s="65"/>
      <c r="F99" s="227" t="s">
        <v>14</v>
      </c>
      <c r="G99" s="65" t="str">
        <f t="shared" si="0"/>
        <v>Piragutu</v>
      </c>
      <c r="H99" s="65">
        <v>2370</v>
      </c>
      <c r="I99" s="65">
        <v>4.75</v>
      </c>
      <c r="J99" s="65">
        <v>8.61</v>
      </c>
      <c r="K99" s="176">
        <f t="shared" si="114"/>
        <v>112.575</v>
      </c>
      <c r="L99" s="177">
        <f t="shared" si="115"/>
        <v>204.05699999999999</v>
      </c>
      <c r="M99" s="209">
        <f t="shared" si="209"/>
        <v>2367.5052631578947</v>
      </c>
      <c r="N99" s="211">
        <f t="shared" si="210"/>
        <v>4.7098766930433511</v>
      </c>
      <c r="O99" s="211">
        <f t="shared" si="211"/>
        <v>8.533354513565504</v>
      </c>
      <c r="P99" s="176">
        <f t="shared" si="212"/>
        <v>111.50657859604834</v>
      </c>
      <c r="Q99" s="212">
        <f t="shared" si="213"/>
        <v>202.02761723258507</v>
      </c>
      <c r="R99" s="349"/>
      <c r="S99" s="349"/>
      <c r="T99" s="349"/>
      <c r="U99" s="349"/>
      <c r="V99" s="349"/>
      <c r="X99" s="176">
        <f t="shared" si="74"/>
        <v>2368</v>
      </c>
      <c r="Y99" s="210">
        <f t="shared" si="155"/>
        <v>4.71</v>
      </c>
      <c r="Z99" s="210">
        <f t="shared" si="155"/>
        <v>8.5299999999999994</v>
      </c>
    </row>
    <row r="100" spans="1:26" x14ac:dyDescent="0.25">
      <c r="A100" s="220">
        <v>72296</v>
      </c>
      <c r="B100" s="221">
        <v>9944</v>
      </c>
      <c r="C100" s="109" t="s">
        <v>73</v>
      </c>
      <c r="D100" s="229">
        <v>45984</v>
      </c>
      <c r="E100" s="65"/>
      <c r="F100" s="227" t="s">
        <v>12</v>
      </c>
      <c r="G100" s="65" t="str">
        <f t="shared" si="0"/>
        <v>Ormanjhi</v>
      </c>
      <c r="H100" s="65">
        <v>2040</v>
      </c>
      <c r="I100" s="65">
        <v>4.2</v>
      </c>
      <c r="J100" s="65">
        <v>8.43</v>
      </c>
      <c r="K100" s="176">
        <f t="shared" si="114"/>
        <v>85.68</v>
      </c>
      <c r="L100" s="177">
        <f t="shared" si="115"/>
        <v>171.97200000000001</v>
      </c>
      <c r="M100" s="209">
        <f t="shared" si="209"/>
        <v>2037.8526315789475</v>
      </c>
      <c r="N100" s="211">
        <f t="shared" si="210"/>
        <v>4.164522549638332</v>
      </c>
      <c r="O100" s="211">
        <f t="shared" si="211"/>
        <v>8.3549568582296381</v>
      </c>
      <c r="P100" s="176">
        <f t="shared" si="212"/>
        <v>84.866832370503431</v>
      </c>
      <c r="Q100" s="212">
        <f t="shared" si="213"/>
        <v>170.26170820271844</v>
      </c>
      <c r="R100" s="348"/>
      <c r="S100" s="348"/>
      <c r="T100" s="348"/>
      <c r="U100" s="348"/>
      <c r="V100" s="348"/>
      <c r="X100" s="176">
        <f t="shared" ref="X100:X105" si="214">ROUND(M100,0)</f>
        <v>2038</v>
      </c>
      <c r="Y100" s="210">
        <f t="shared" si="155"/>
        <v>4.16</v>
      </c>
      <c r="Z100" s="210">
        <f t="shared" si="155"/>
        <v>8.35</v>
      </c>
    </row>
    <row r="101" spans="1:26" x14ac:dyDescent="0.25">
      <c r="A101" s="220">
        <v>72298</v>
      </c>
      <c r="B101" s="221">
        <v>9944</v>
      </c>
      <c r="C101" s="109" t="s">
        <v>73</v>
      </c>
      <c r="D101" s="229">
        <v>45985</v>
      </c>
      <c r="E101" s="65"/>
      <c r="F101" s="227" t="s">
        <v>6</v>
      </c>
      <c r="G101" s="65" t="str">
        <f t="shared" si="0"/>
        <v>Hisri</v>
      </c>
      <c r="H101" s="65">
        <v>1316</v>
      </c>
      <c r="I101" s="65">
        <v>4.2</v>
      </c>
      <c r="J101" s="65">
        <v>8.25</v>
      </c>
      <c r="K101" s="176">
        <f t="shared" si="114"/>
        <v>55.272000000000006</v>
      </c>
      <c r="L101" s="177">
        <f t="shared" si="115"/>
        <v>108.57000000000001</v>
      </c>
      <c r="M101" s="209">
        <f>$R$101*H101/SUM($H$101:$H$104)</f>
        <v>1314.034241066299</v>
      </c>
      <c r="N101" s="211">
        <f t="shared" ref="N101" si="215">P101/M101*100</f>
        <v>4.1257862784566557</v>
      </c>
      <c r="O101" s="211">
        <f t="shared" ref="O101" si="216">Q101/M101*100</f>
        <v>8.0795682592827909</v>
      </c>
      <c r="P101" s="176">
        <f>$U$101*K101/SUM($K$101:$K$104)</f>
        <v>54.214244412135422</v>
      </c>
      <c r="Q101" s="212">
        <f>$V$101*L101/SUM($L$101:$L$104)</f>
        <v>106.16829345730021</v>
      </c>
      <c r="R101" s="347">
        <v>8690</v>
      </c>
      <c r="S101" s="347">
        <v>4.2</v>
      </c>
      <c r="T101" s="347">
        <v>8.1199999999999992</v>
      </c>
      <c r="U101" s="347">
        <f>R101*S101%</f>
        <v>364.98</v>
      </c>
      <c r="V101" s="347">
        <f>R101*T101%</f>
        <v>705.62799999999993</v>
      </c>
      <c r="X101" s="176">
        <f t="shared" si="214"/>
        <v>1314</v>
      </c>
      <c r="Y101" s="210">
        <f t="shared" si="155"/>
        <v>4.13</v>
      </c>
      <c r="Z101" s="210">
        <f t="shared" si="155"/>
        <v>8.08</v>
      </c>
    </row>
    <row r="102" spans="1:26" x14ac:dyDescent="0.25">
      <c r="A102" s="220">
        <v>72298</v>
      </c>
      <c r="B102" s="221">
        <v>9944</v>
      </c>
      <c r="C102" s="109" t="s">
        <v>73</v>
      </c>
      <c r="D102" s="229">
        <v>45985</v>
      </c>
      <c r="E102" s="65"/>
      <c r="F102" s="227" t="s">
        <v>89</v>
      </c>
      <c r="G102" s="65" t="str">
        <f t="shared" si="0"/>
        <v>Chanho</v>
      </c>
      <c r="H102" s="65">
        <v>1694</v>
      </c>
      <c r="I102" s="65">
        <v>4.2</v>
      </c>
      <c r="J102" s="65">
        <v>8.4</v>
      </c>
      <c r="K102" s="176">
        <f t="shared" si="114"/>
        <v>71.14800000000001</v>
      </c>
      <c r="L102" s="177">
        <f t="shared" si="115"/>
        <v>142.29600000000002</v>
      </c>
      <c r="M102" s="209">
        <f t="shared" ref="M102:M104" si="217">$R$101*H102/SUM($H$101:$H$104)</f>
        <v>1691.4696081810869</v>
      </c>
      <c r="N102" s="211">
        <f t="shared" ref="N102:N104" si="218">P102/M102*100</f>
        <v>4.1257862784566566</v>
      </c>
      <c r="O102" s="211">
        <f t="shared" ref="O102:O104" si="219">Q102/M102*100</f>
        <v>8.2264695003606629</v>
      </c>
      <c r="P102" s="176">
        <f t="shared" ref="P102:P104" si="220">$U$101*K102/SUM($K$101:$K$104)</f>
        <v>69.786420998599851</v>
      </c>
      <c r="Q102" s="212">
        <f t="shared" ref="Q102:Q104" si="221">$V$101*L102/SUM($L$101:$L$104)</f>
        <v>139.14823142488711</v>
      </c>
      <c r="R102" s="349"/>
      <c r="S102" s="349"/>
      <c r="T102" s="349"/>
      <c r="U102" s="349"/>
      <c r="V102" s="349"/>
      <c r="X102" s="176">
        <f t="shared" si="214"/>
        <v>1691</v>
      </c>
      <c r="Y102" s="210">
        <f t="shared" si="155"/>
        <v>4.13</v>
      </c>
      <c r="Z102" s="210">
        <f t="shared" si="155"/>
        <v>8.23</v>
      </c>
    </row>
    <row r="103" spans="1:26" x14ac:dyDescent="0.25">
      <c r="A103" s="220">
        <v>72298</v>
      </c>
      <c r="B103" s="221">
        <v>9944</v>
      </c>
      <c r="C103" s="109" t="s">
        <v>73</v>
      </c>
      <c r="D103" s="229">
        <v>45985</v>
      </c>
      <c r="E103" s="65"/>
      <c r="F103" s="227" t="s">
        <v>14</v>
      </c>
      <c r="G103" s="65" t="str">
        <f t="shared" si="0"/>
        <v>Piragutu</v>
      </c>
      <c r="H103" s="65">
        <v>1315</v>
      </c>
      <c r="I103" s="65">
        <v>4.7</v>
      </c>
      <c r="J103" s="65">
        <v>8.33</v>
      </c>
      <c r="K103" s="176">
        <f t="shared" si="114"/>
        <v>61.805</v>
      </c>
      <c r="L103" s="177">
        <f t="shared" si="115"/>
        <v>109.5395</v>
      </c>
      <c r="M103" s="209">
        <f t="shared" si="217"/>
        <v>1313.0357348040905</v>
      </c>
      <c r="N103" s="211">
        <f t="shared" si="218"/>
        <v>4.6169513116062584</v>
      </c>
      <c r="O103" s="211">
        <f t="shared" si="219"/>
        <v>8.157915587857655</v>
      </c>
      <c r="P103" s="176">
        <f t="shared" si="220"/>
        <v>60.622220579896329</v>
      </c>
      <c r="Q103" s="212">
        <f t="shared" si="221"/>
        <v>107.1163468837242</v>
      </c>
      <c r="R103" s="349"/>
      <c r="S103" s="349"/>
      <c r="T103" s="349"/>
      <c r="U103" s="349"/>
      <c r="V103" s="349"/>
      <c r="X103" s="176">
        <f t="shared" si="214"/>
        <v>1313</v>
      </c>
      <c r="Y103" s="210">
        <f t="shared" si="155"/>
        <v>4.62</v>
      </c>
      <c r="Z103" s="210">
        <f t="shared" si="155"/>
        <v>8.16</v>
      </c>
    </row>
    <row r="104" spans="1:26" x14ac:dyDescent="0.25">
      <c r="A104" s="220">
        <v>72298</v>
      </c>
      <c r="B104" s="221">
        <v>9944</v>
      </c>
      <c r="C104" s="109" t="s">
        <v>73</v>
      </c>
      <c r="D104" s="229">
        <v>45985</v>
      </c>
      <c r="E104" s="65"/>
      <c r="F104" s="227" t="s">
        <v>4</v>
      </c>
      <c r="G104" s="65" t="str">
        <f t="shared" si="0"/>
        <v>Pali</v>
      </c>
      <c r="H104" s="65">
        <v>4378</v>
      </c>
      <c r="I104" s="65">
        <v>4.2</v>
      </c>
      <c r="J104" s="65">
        <v>8.25</v>
      </c>
      <c r="K104" s="176">
        <f t="shared" si="114"/>
        <v>183.876</v>
      </c>
      <c r="L104" s="177">
        <f t="shared" si="115"/>
        <v>361.185</v>
      </c>
      <c r="M104" s="209">
        <f t="shared" si="217"/>
        <v>4371.4604159485234</v>
      </c>
      <c r="N104" s="211">
        <f t="shared" si="218"/>
        <v>4.1257862784566566</v>
      </c>
      <c r="O104" s="211">
        <f t="shared" si="219"/>
        <v>8.0795682592827927</v>
      </c>
      <c r="P104" s="176">
        <f t="shared" si="220"/>
        <v>180.35711400936844</v>
      </c>
      <c r="Q104" s="212">
        <f t="shared" si="221"/>
        <v>353.19512823408843</v>
      </c>
      <c r="R104" s="348"/>
      <c r="S104" s="348"/>
      <c r="T104" s="348"/>
      <c r="U104" s="348"/>
      <c r="V104" s="348"/>
      <c r="X104" s="176">
        <f t="shared" si="214"/>
        <v>4371</v>
      </c>
      <c r="Y104" s="210">
        <f t="shared" si="155"/>
        <v>4.13</v>
      </c>
      <c r="Z104" s="210">
        <f t="shared" si="155"/>
        <v>8.08</v>
      </c>
    </row>
    <row r="105" spans="1:26" x14ac:dyDescent="0.25">
      <c r="A105" s="220">
        <v>72753</v>
      </c>
      <c r="B105" s="221">
        <v>4413</v>
      </c>
      <c r="C105" s="109" t="s">
        <v>73</v>
      </c>
      <c r="D105" s="229">
        <v>45988</v>
      </c>
      <c r="E105" s="65"/>
      <c r="F105" s="227" t="s">
        <v>89</v>
      </c>
      <c r="G105" s="65" t="str">
        <f t="shared" si="0"/>
        <v>Chanho</v>
      </c>
      <c r="H105" s="65">
        <v>1595</v>
      </c>
      <c r="I105" s="65">
        <v>4.3</v>
      </c>
      <c r="J105" s="65">
        <v>8.4</v>
      </c>
      <c r="K105" s="176">
        <f t="shared" si="114"/>
        <v>68.584999999999994</v>
      </c>
      <c r="L105" s="177">
        <f t="shared" si="115"/>
        <v>133.98000000000002</v>
      </c>
      <c r="M105" s="209">
        <f>$R$105*H105/SUM($H$105:$H$107)</f>
        <v>1617.2507655665192</v>
      </c>
      <c r="N105" s="211">
        <f t="shared" ref="N105" si="222">P105/M105*100</f>
        <v>4.3681064574082997</v>
      </c>
      <c r="O105" s="211">
        <f t="shared" ref="O105" si="223">Q105/M105*100</f>
        <v>8.3918854110321295</v>
      </c>
      <c r="P105" s="176">
        <f>$U$105*K105/SUM($K$105:$K$107)</f>
        <v>70.643235123196291</v>
      </c>
      <c r="Q105" s="212">
        <f>$V$105*L105/SUM($L$105:$L$107)</f>
        <v>135.71783105538216</v>
      </c>
      <c r="R105" s="347">
        <v>5960</v>
      </c>
      <c r="S105" s="347">
        <v>4.55</v>
      </c>
      <c r="T105" s="347">
        <v>8.3800000000000008</v>
      </c>
      <c r="U105" s="328">
        <f>R105*S105%</f>
        <v>271.18</v>
      </c>
      <c r="V105" s="328">
        <f>R105*T105%</f>
        <v>499.44800000000009</v>
      </c>
      <c r="X105" s="176">
        <f t="shared" si="214"/>
        <v>1617</v>
      </c>
      <c r="Y105" s="210">
        <f t="shared" si="155"/>
        <v>4.37</v>
      </c>
      <c r="Z105" s="210">
        <f t="shared" si="155"/>
        <v>8.39</v>
      </c>
    </row>
    <row r="106" spans="1:26" x14ac:dyDescent="0.25">
      <c r="A106" s="220">
        <v>72753</v>
      </c>
      <c r="B106" s="221">
        <v>4413</v>
      </c>
      <c r="C106" s="109" t="s">
        <v>73</v>
      </c>
      <c r="D106" s="229">
        <v>45988</v>
      </c>
      <c r="E106" s="65"/>
      <c r="F106" s="227" t="s">
        <v>14</v>
      </c>
      <c r="G106" s="65" t="str">
        <f t="shared" si="0"/>
        <v>Piragutu</v>
      </c>
      <c r="H106" s="65">
        <v>2303</v>
      </c>
      <c r="I106" s="65">
        <v>4.8</v>
      </c>
      <c r="J106" s="65">
        <v>8.49</v>
      </c>
      <c r="K106" s="176">
        <f t="shared" ref="K106:K143" si="224">H106*I106%</f>
        <v>110.544</v>
      </c>
      <c r="L106" s="177">
        <f t="shared" ref="L106:L143" si="225">H106*J106%</f>
        <v>195.5247</v>
      </c>
      <c r="M106" s="209">
        <f t="shared" ref="M106:M107" si="226">$R$105*H106/SUM($H$105:$H$107)</f>
        <v>2335.1275944198705</v>
      </c>
      <c r="N106" s="211">
        <f t="shared" ref="N106:N107" si="227">P106/M106*100</f>
        <v>4.8760258129208935</v>
      </c>
      <c r="O106" s="211">
        <f t="shared" ref="O106:O107" si="228">Q106/M106*100</f>
        <v>8.4817984690074741</v>
      </c>
      <c r="P106" s="176">
        <f t="shared" ref="P106:P107" si="229">$U$105*K106/SUM($K$105:$K$107)</f>
        <v>113.8614242685516</v>
      </c>
      <c r="Q106" s="212">
        <f t="shared" ref="Q106:Q107" si="230">$V$105*L106/SUM($L$105:$L$107)</f>
        <v>198.06081655287565</v>
      </c>
      <c r="R106" s="349"/>
      <c r="S106" s="349"/>
      <c r="T106" s="349"/>
      <c r="U106" s="329"/>
      <c r="V106" s="329"/>
      <c r="X106" s="176">
        <f t="shared" ref="X106:X143" si="231">ROUND(M106,0)</f>
        <v>2335</v>
      </c>
      <c r="Y106" s="210">
        <f t="shared" ref="Y106:Y143" si="232">ROUND(N106,2)</f>
        <v>4.88</v>
      </c>
      <c r="Z106" s="210">
        <f t="shared" ref="Z106:Z143" si="233">ROUND(O106,2)</f>
        <v>8.48</v>
      </c>
    </row>
    <row r="107" spans="1:26" x14ac:dyDescent="0.25">
      <c r="A107" s="220">
        <v>72753</v>
      </c>
      <c r="B107" s="221">
        <v>4413</v>
      </c>
      <c r="C107" s="109" t="s">
        <v>73</v>
      </c>
      <c r="D107" s="229">
        <v>45988</v>
      </c>
      <c r="E107" s="65"/>
      <c r="F107" s="227" t="s">
        <v>6</v>
      </c>
      <c r="G107" s="65" t="str">
        <f t="shared" si="0"/>
        <v>Hisri</v>
      </c>
      <c r="H107" s="65">
        <v>1980</v>
      </c>
      <c r="I107" s="65">
        <v>4.25</v>
      </c>
      <c r="J107" s="65">
        <v>8.26</v>
      </c>
      <c r="K107" s="176">
        <f t="shared" si="224"/>
        <v>84.15</v>
      </c>
      <c r="L107" s="177">
        <f t="shared" si="225"/>
        <v>163.54799999999997</v>
      </c>
      <c r="M107" s="209">
        <f t="shared" si="226"/>
        <v>2007.62164001361</v>
      </c>
      <c r="N107" s="211">
        <f t="shared" si="227"/>
        <v>4.3173145218570417</v>
      </c>
      <c r="O107" s="211">
        <f t="shared" si="228"/>
        <v>8.2520206541815924</v>
      </c>
      <c r="P107" s="176">
        <f t="shared" si="229"/>
        <v>86.675340608252085</v>
      </c>
      <c r="Q107" s="212">
        <f t="shared" si="230"/>
        <v>165.66935239174231</v>
      </c>
      <c r="R107" s="348"/>
      <c r="S107" s="348"/>
      <c r="T107" s="348"/>
      <c r="U107" s="330"/>
      <c r="V107" s="330"/>
      <c r="X107" s="176">
        <f t="shared" si="231"/>
        <v>2008</v>
      </c>
      <c r="Y107" s="210">
        <f t="shared" si="232"/>
        <v>4.32</v>
      </c>
      <c r="Z107" s="210">
        <f t="shared" si="233"/>
        <v>8.25</v>
      </c>
    </row>
    <row r="108" spans="1:26" x14ac:dyDescent="0.25">
      <c r="A108" s="220">
        <v>72364</v>
      </c>
      <c r="B108" s="221">
        <v>9944</v>
      </c>
      <c r="C108" s="109" t="s">
        <v>73</v>
      </c>
      <c r="D108" s="229">
        <v>45987</v>
      </c>
      <c r="E108" s="65"/>
      <c r="F108" s="227" t="s">
        <v>12</v>
      </c>
      <c r="G108" s="65" t="str">
        <f t="shared" si="0"/>
        <v>Ormanjhi</v>
      </c>
      <c r="H108" s="65">
        <v>2163</v>
      </c>
      <c r="I108" s="65">
        <v>4.05</v>
      </c>
      <c r="J108" s="65">
        <v>8.25</v>
      </c>
      <c r="K108" s="176">
        <f t="shared" si="224"/>
        <v>87.601500000000001</v>
      </c>
      <c r="L108" s="177">
        <f t="shared" si="225"/>
        <v>178.44750000000002</v>
      </c>
      <c r="M108" s="209">
        <f>$R$108*H108/SUM($H$108:$H$110)</f>
        <v>2163</v>
      </c>
      <c r="N108" s="211">
        <f t="shared" ref="N108" si="234">P108/M108*100</f>
        <v>4.0360477681416418</v>
      </c>
      <c r="O108" s="211">
        <f t="shared" ref="O108" si="235">Q108/M108*100</f>
        <v>8.1815830069259725</v>
      </c>
      <c r="P108" s="176">
        <f>$U$108*K108/SUM($K$108:$K$110)</f>
        <v>87.299713224903726</v>
      </c>
      <c r="Q108" s="212">
        <f>$V$108*L108/SUM($L$108:$L$110)</f>
        <v>176.9676404398088</v>
      </c>
      <c r="R108" s="347">
        <v>9100</v>
      </c>
      <c r="S108" s="347">
        <v>4.1500000000000004</v>
      </c>
      <c r="T108" s="347">
        <v>8.24</v>
      </c>
      <c r="U108" s="328">
        <f>R108*S108%</f>
        <v>377.65000000000003</v>
      </c>
      <c r="V108" s="328">
        <f>R108*T108%</f>
        <v>749.84</v>
      </c>
      <c r="X108" s="176">
        <f t="shared" si="231"/>
        <v>2163</v>
      </c>
      <c r="Y108" s="210">
        <f t="shared" si="232"/>
        <v>4.04</v>
      </c>
      <c r="Z108" s="210">
        <f t="shared" si="233"/>
        <v>8.18</v>
      </c>
    </row>
    <row r="109" spans="1:26" x14ac:dyDescent="0.25">
      <c r="A109" s="220">
        <v>72364</v>
      </c>
      <c r="B109" s="221">
        <v>9944</v>
      </c>
      <c r="C109" s="109" t="s">
        <v>73</v>
      </c>
      <c r="D109" s="229">
        <v>45987</v>
      </c>
      <c r="E109" s="65"/>
      <c r="F109" s="227" t="s">
        <v>4</v>
      </c>
      <c r="G109" s="65" t="str">
        <f t="shared" si="0"/>
        <v>Pali</v>
      </c>
      <c r="H109" s="65">
        <v>4940</v>
      </c>
      <c r="I109" s="65">
        <v>4.2</v>
      </c>
      <c r="J109" s="65">
        <v>8.31</v>
      </c>
      <c r="K109" s="176">
        <f t="shared" si="224"/>
        <v>207.48000000000002</v>
      </c>
      <c r="L109" s="177">
        <f t="shared" si="225"/>
        <v>410.51400000000001</v>
      </c>
      <c r="M109" s="209">
        <f t="shared" ref="M109:M110" si="236">$R$108*H109/SUM($H$108:$H$110)</f>
        <v>4940</v>
      </c>
      <c r="N109" s="211">
        <f t="shared" ref="N109:N110" si="237">P109/M109*100</f>
        <v>4.1855310188135553</v>
      </c>
      <c r="O109" s="211">
        <f t="shared" ref="O109:O110" si="238">Q109/M109*100</f>
        <v>8.2410854287945234</v>
      </c>
      <c r="P109" s="176">
        <f t="shared" ref="P109:P110" si="239">$U$108*K109/SUM($K$108:$K$110)</f>
        <v>206.76523232938962</v>
      </c>
      <c r="Q109" s="212">
        <f t="shared" ref="Q109:Q110" si="240">$V$108*L109/SUM($L$108:$L$110)</f>
        <v>407.10962018244953</v>
      </c>
      <c r="R109" s="349"/>
      <c r="S109" s="349"/>
      <c r="T109" s="349"/>
      <c r="U109" s="329"/>
      <c r="V109" s="329"/>
      <c r="X109" s="176">
        <f t="shared" si="231"/>
        <v>4940</v>
      </c>
      <c r="Y109" s="210">
        <f t="shared" si="232"/>
        <v>4.1900000000000004</v>
      </c>
      <c r="Z109" s="210">
        <f t="shared" si="233"/>
        <v>8.24</v>
      </c>
    </row>
    <row r="110" spans="1:26" x14ac:dyDescent="0.25">
      <c r="A110" s="220">
        <v>72364</v>
      </c>
      <c r="B110" s="221">
        <v>9944</v>
      </c>
      <c r="C110" s="109" t="s">
        <v>73</v>
      </c>
      <c r="D110" s="229">
        <v>45987</v>
      </c>
      <c r="E110" s="65"/>
      <c r="F110" s="227" t="s">
        <v>89</v>
      </c>
      <c r="G110" s="65" t="str">
        <f t="shared" si="0"/>
        <v>Chanho</v>
      </c>
      <c r="H110" s="65">
        <v>1997</v>
      </c>
      <c r="I110" s="65">
        <v>4.2</v>
      </c>
      <c r="J110" s="65">
        <v>8.3699999999999992</v>
      </c>
      <c r="K110" s="176">
        <f t="shared" si="224"/>
        <v>83.874000000000009</v>
      </c>
      <c r="L110" s="177">
        <f t="shared" si="225"/>
        <v>167.1489</v>
      </c>
      <c r="M110" s="209">
        <f t="shared" si="236"/>
        <v>1997</v>
      </c>
      <c r="N110" s="211">
        <f t="shared" si="237"/>
        <v>4.1855310188135553</v>
      </c>
      <c r="O110" s="211">
        <f t="shared" si="238"/>
        <v>8.3005878506630779</v>
      </c>
      <c r="P110" s="176">
        <f t="shared" si="239"/>
        <v>83.585054445706703</v>
      </c>
      <c r="Q110" s="212">
        <f t="shared" si="240"/>
        <v>165.76273937774167</v>
      </c>
      <c r="R110" s="348"/>
      <c r="S110" s="348"/>
      <c r="T110" s="348"/>
      <c r="U110" s="330"/>
      <c r="V110" s="330"/>
      <c r="X110" s="176">
        <f t="shared" si="231"/>
        <v>1997</v>
      </c>
      <c r="Y110" s="210">
        <f t="shared" si="232"/>
        <v>4.1900000000000004</v>
      </c>
      <c r="Z110" s="210">
        <f t="shared" si="233"/>
        <v>8.3000000000000007</v>
      </c>
    </row>
    <row r="111" spans="1:26" x14ac:dyDescent="0.25">
      <c r="A111" s="220">
        <v>72751</v>
      </c>
      <c r="B111" s="221">
        <v>9944</v>
      </c>
      <c r="C111" s="109" t="s">
        <v>73</v>
      </c>
      <c r="D111" s="229">
        <v>45986</v>
      </c>
      <c r="E111" s="65"/>
      <c r="F111" s="227" t="s">
        <v>12</v>
      </c>
      <c r="G111" s="65" t="str">
        <f t="shared" si="0"/>
        <v>Ormanjhi</v>
      </c>
      <c r="H111" s="65">
        <v>1982</v>
      </c>
      <c r="I111" s="65">
        <v>4.25</v>
      </c>
      <c r="J111" s="65">
        <v>8.3800000000000008</v>
      </c>
      <c r="K111" s="176">
        <f t="shared" si="224"/>
        <v>84.234999999999999</v>
      </c>
      <c r="L111" s="177">
        <f t="shared" si="225"/>
        <v>166.09160000000003</v>
      </c>
      <c r="M111" s="209">
        <f>$R$111*H111/SUM($H$111:$H$115)</f>
        <v>1999.3947341874307</v>
      </c>
      <c r="N111" s="211">
        <f t="shared" ref="N111" si="241">P111/M111*100</f>
        <v>4.2202715149915946</v>
      </c>
      <c r="O111" s="211">
        <f t="shared" ref="O111" si="242">Q111/M111*100</f>
        <v>8.1881714243575008</v>
      </c>
      <c r="P111" s="176">
        <f>$U$111*K111/SUM($K$111:$K$115)</f>
        <v>84.379886439154049</v>
      </c>
      <c r="Q111" s="212">
        <f>$V$111*L111/SUM($L$111:$L$115)</f>
        <v>163.71386828484378</v>
      </c>
      <c r="R111" s="347">
        <v>10000</v>
      </c>
      <c r="S111" s="347">
        <v>4.0999999999999996</v>
      </c>
      <c r="T111" s="347">
        <v>8.1</v>
      </c>
      <c r="U111" s="347">
        <f>R111*S111%</f>
        <v>409.99999999999994</v>
      </c>
      <c r="V111" s="347">
        <f>R111*T111%</f>
        <v>810</v>
      </c>
      <c r="X111" s="176">
        <f t="shared" si="231"/>
        <v>1999</v>
      </c>
      <c r="Y111" s="210">
        <f t="shared" si="232"/>
        <v>4.22</v>
      </c>
      <c r="Z111" s="210">
        <f t="shared" si="233"/>
        <v>8.19</v>
      </c>
    </row>
    <row r="112" spans="1:26" x14ac:dyDescent="0.25">
      <c r="A112" s="220">
        <v>72751</v>
      </c>
      <c r="B112" s="221">
        <v>9944</v>
      </c>
      <c r="C112" s="109" t="s">
        <v>73</v>
      </c>
      <c r="D112" s="229">
        <v>45986</v>
      </c>
      <c r="E112" s="65"/>
      <c r="F112" s="227" t="s">
        <v>89</v>
      </c>
      <c r="G112" s="65" t="str">
        <f t="shared" si="0"/>
        <v>Chanho</v>
      </c>
      <c r="H112" s="65">
        <v>2473</v>
      </c>
      <c r="I112" s="65">
        <v>4.3</v>
      </c>
      <c r="J112" s="65">
        <v>8.58</v>
      </c>
      <c r="K112" s="176">
        <f t="shared" si="224"/>
        <v>106.33899999999998</v>
      </c>
      <c r="L112" s="177">
        <f t="shared" si="225"/>
        <v>212.18340000000001</v>
      </c>
      <c r="M112" s="209">
        <f t="shared" ref="M112:M115" si="243">$R$111*H112/SUM($H$111:$H$115)</f>
        <v>2494.703924140018</v>
      </c>
      <c r="N112" s="211">
        <f t="shared" ref="N112:N116" si="244">P112/M112*100</f>
        <v>4.2699217681091426</v>
      </c>
      <c r="O112" s="211">
        <f t="shared" ref="O112:O116" si="245">Q112/M112*100</f>
        <v>8.3835931767287999</v>
      </c>
      <c r="P112" s="176">
        <f t="shared" ref="P112:P115" si="246">$U$111*K112/SUM($K$111:$K$115)</f>
        <v>106.52190590672761</v>
      </c>
      <c r="Q112" s="212">
        <f t="shared" ref="Q112:Q115" si="247">$V$111*L112/SUM($L$111:$L$115)</f>
        <v>209.14582796378818</v>
      </c>
      <c r="R112" s="349"/>
      <c r="S112" s="349"/>
      <c r="T112" s="349"/>
      <c r="U112" s="349"/>
      <c r="V112" s="349"/>
      <c r="X112" s="176">
        <f t="shared" si="231"/>
        <v>2495</v>
      </c>
      <c r="Y112" s="210">
        <f t="shared" si="232"/>
        <v>4.2699999999999996</v>
      </c>
      <c r="Z112" s="210">
        <f t="shared" si="233"/>
        <v>8.3800000000000008</v>
      </c>
    </row>
    <row r="113" spans="1:26" x14ac:dyDescent="0.25">
      <c r="A113" s="220">
        <v>72751</v>
      </c>
      <c r="B113" s="221">
        <v>9944</v>
      </c>
      <c r="C113" s="109" t="s">
        <v>73</v>
      </c>
      <c r="D113" s="229">
        <v>45986</v>
      </c>
      <c r="E113" s="65"/>
      <c r="F113" s="227" t="s">
        <v>8</v>
      </c>
      <c r="G113" s="65" t="str">
        <f t="shared" si="0"/>
        <v>Chorya</v>
      </c>
      <c r="H113" s="65">
        <v>1235</v>
      </c>
      <c r="I113" s="65">
        <v>2.8</v>
      </c>
      <c r="J113" s="65">
        <v>7.59</v>
      </c>
      <c r="K113" s="176">
        <f t="shared" si="224"/>
        <v>34.58</v>
      </c>
      <c r="L113" s="177">
        <f t="shared" si="225"/>
        <v>93.736499999999992</v>
      </c>
      <c r="M113" s="209">
        <f t="shared" si="243"/>
        <v>1245.8387975385856</v>
      </c>
      <c r="N113" s="211">
        <f t="shared" si="244"/>
        <v>2.7804141745826976</v>
      </c>
      <c r="O113" s="211">
        <f t="shared" si="245"/>
        <v>7.416255502490861</v>
      </c>
      <c r="P113" s="176">
        <f t="shared" si="246"/>
        <v>34.639478519213469</v>
      </c>
      <c r="Q113" s="212">
        <f t="shared" si="247"/>
        <v>92.394588374621321</v>
      </c>
      <c r="R113" s="349"/>
      <c r="S113" s="349"/>
      <c r="T113" s="349"/>
      <c r="U113" s="349"/>
      <c r="V113" s="349"/>
      <c r="X113" s="176">
        <f t="shared" si="231"/>
        <v>1246</v>
      </c>
      <c r="Y113" s="210">
        <f t="shared" si="232"/>
        <v>2.78</v>
      </c>
      <c r="Z113" s="210">
        <f t="shared" si="233"/>
        <v>7.42</v>
      </c>
    </row>
    <row r="114" spans="1:26" x14ac:dyDescent="0.25">
      <c r="A114" s="220">
        <v>72751</v>
      </c>
      <c r="B114" s="221">
        <v>9944</v>
      </c>
      <c r="C114" s="109" t="s">
        <v>73</v>
      </c>
      <c r="D114" s="229">
        <v>45986</v>
      </c>
      <c r="E114" s="65"/>
      <c r="F114" s="227" t="s">
        <v>14</v>
      </c>
      <c r="G114" s="65" t="str">
        <f t="shared" si="0"/>
        <v>Piragutu</v>
      </c>
      <c r="H114" s="65">
        <v>1975</v>
      </c>
      <c r="I114" s="65">
        <v>4.5999999999999996</v>
      </c>
      <c r="J114" s="65">
        <v>8.33</v>
      </c>
      <c r="K114" s="176">
        <f t="shared" si="224"/>
        <v>90.85</v>
      </c>
      <c r="L114" s="177">
        <f t="shared" si="225"/>
        <v>164.51749999999998</v>
      </c>
      <c r="M114" s="209">
        <f t="shared" si="243"/>
        <v>1992.3332997074549</v>
      </c>
      <c r="N114" s="211">
        <f t="shared" si="244"/>
        <v>4.5678232868144306</v>
      </c>
      <c r="O114" s="211">
        <f t="shared" si="245"/>
        <v>8.1393159862646733</v>
      </c>
      <c r="P114" s="176">
        <f t="shared" si="246"/>
        <v>91.006264414995471</v>
      </c>
      <c r="Q114" s="212">
        <f t="shared" si="247"/>
        <v>162.16230276276332</v>
      </c>
      <c r="R114" s="349"/>
      <c r="S114" s="349"/>
      <c r="T114" s="349"/>
      <c r="U114" s="349"/>
      <c r="V114" s="349"/>
      <c r="X114" s="176">
        <f t="shared" si="231"/>
        <v>1992</v>
      </c>
      <c r="Y114" s="210">
        <f t="shared" si="232"/>
        <v>4.57</v>
      </c>
      <c r="Z114" s="210">
        <f t="shared" si="233"/>
        <v>8.14</v>
      </c>
    </row>
    <row r="115" spans="1:26" x14ac:dyDescent="0.25">
      <c r="A115" s="220">
        <v>72751</v>
      </c>
      <c r="B115" s="221">
        <v>9944</v>
      </c>
      <c r="C115" s="109" t="s">
        <v>73</v>
      </c>
      <c r="D115" s="229">
        <v>45986</v>
      </c>
      <c r="E115" s="65"/>
      <c r="F115" s="227" t="s">
        <v>6</v>
      </c>
      <c r="G115" s="65" t="str">
        <f t="shared" si="0"/>
        <v>Hisri</v>
      </c>
      <c r="H115" s="65">
        <v>2248</v>
      </c>
      <c r="I115" s="65">
        <v>4.1500000000000004</v>
      </c>
      <c r="J115" s="65">
        <v>8.24</v>
      </c>
      <c r="K115" s="176">
        <f t="shared" si="224"/>
        <v>93.292000000000002</v>
      </c>
      <c r="L115" s="177">
        <f t="shared" si="225"/>
        <v>185.23519999999999</v>
      </c>
      <c r="M115" s="209">
        <f t="shared" si="243"/>
        <v>2267.7292444265108</v>
      </c>
      <c r="N115" s="211">
        <f t="shared" si="244"/>
        <v>4.1209710087564977</v>
      </c>
      <c r="O115" s="211">
        <f t="shared" si="245"/>
        <v>8.0513761976975857</v>
      </c>
      <c r="P115" s="176">
        <f t="shared" si="246"/>
        <v>93.452464719909287</v>
      </c>
      <c r="Q115" s="212">
        <f t="shared" si="247"/>
        <v>182.58341261398343</v>
      </c>
      <c r="R115" s="348"/>
      <c r="S115" s="348"/>
      <c r="T115" s="348"/>
      <c r="U115" s="348"/>
      <c r="V115" s="348"/>
      <c r="X115" s="176">
        <f t="shared" si="231"/>
        <v>2268</v>
      </c>
      <c r="Y115" s="210">
        <f t="shared" si="232"/>
        <v>4.12</v>
      </c>
      <c r="Z115" s="210">
        <f t="shared" si="233"/>
        <v>8.0500000000000007</v>
      </c>
    </row>
    <row r="116" spans="1:26" x14ac:dyDescent="0.25">
      <c r="A116" s="220">
        <v>72754</v>
      </c>
      <c r="B116" s="221">
        <v>4413</v>
      </c>
      <c r="C116" s="109" t="s">
        <v>73</v>
      </c>
      <c r="D116" s="229">
        <v>45989</v>
      </c>
      <c r="E116" s="65"/>
      <c r="F116" s="227" t="s">
        <v>8</v>
      </c>
      <c r="G116" s="65" t="str">
        <f t="shared" si="0"/>
        <v>Chorya</v>
      </c>
      <c r="H116" s="65">
        <v>1337</v>
      </c>
      <c r="I116" s="65">
        <v>2.7</v>
      </c>
      <c r="J116" s="65">
        <v>7.51</v>
      </c>
      <c r="K116" s="176">
        <f t="shared" si="224"/>
        <v>36.099000000000004</v>
      </c>
      <c r="L116" s="177">
        <f t="shared" si="225"/>
        <v>100.4087</v>
      </c>
      <c r="M116" s="209">
        <f>$R$116*H116/SUM($H$116:$H$117)</f>
        <v>1330</v>
      </c>
      <c r="N116" s="211">
        <f t="shared" si="244"/>
        <v>2.7000000000000006</v>
      </c>
      <c r="O116" s="211">
        <f t="shared" si="245"/>
        <v>7.4511587628865978</v>
      </c>
      <c r="P116" s="176">
        <f>$U$116*K116/SUM($K$116:$K$117)</f>
        <v>35.910000000000011</v>
      </c>
      <c r="Q116" s="212">
        <f>$V$116*L116/SUM($L$116:$L$117)</f>
        <v>99.100411546391754</v>
      </c>
      <c r="R116" s="347">
        <v>3990</v>
      </c>
      <c r="S116" s="347">
        <v>3.7</v>
      </c>
      <c r="T116" s="347">
        <v>8.02</v>
      </c>
      <c r="U116" s="345">
        <f>R116*S116%</f>
        <v>147.63000000000002</v>
      </c>
      <c r="V116" s="345">
        <f t="shared" ref="V116" si="248">R116*T116%</f>
        <v>319.99799999999999</v>
      </c>
      <c r="X116" s="176">
        <f t="shared" si="231"/>
        <v>1330</v>
      </c>
      <c r="Y116" s="210">
        <f t="shared" si="232"/>
        <v>2.7</v>
      </c>
      <c r="Z116" s="210">
        <f t="shared" si="233"/>
        <v>7.45</v>
      </c>
    </row>
    <row r="117" spans="1:26" x14ac:dyDescent="0.25">
      <c r="A117" s="220">
        <v>72754</v>
      </c>
      <c r="B117" s="221">
        <v>4413</v>
      </c>
      <c r="C117" s="109" t="s">
        <v>73</v>
      </c>
      <c r="D117" s="229">
        <v>45989</v>
      </c>
      <c r="E117" s="65"/>
      <c r="F117" s="227" t="s">
        <v>12</v>
      </c>
      <c r="G117" s="65" t="str">
        <f t="shared" si="0"/>
        <v>Ormanjhi</v>
      </c>
      <c r="H117" s="65">
        <v>2674</v>
      </c>
      <c r="I117" s="65">
        <v>4.2</v>
      </c>
      <c r="J117" s="65">
        <v>8.3699999999999992</v>
      </c>
      <c r="K117" s="176">
        <f t="shared" si="224"/>
        <v>112.30800000000001</v>
      </c>
      <c r="L117" s="177">
        <f t="shared" si="225"/>
        <v>223.81379999999999</v>
      </c>
      <c r="M117" s="209">
        <f>$R$116*H117/SUM($H$116:$H$117)</f>
        <v>2660</v>
      </c>
      <c r="N117" s="211">
        <f t="shared" ref="N117:N118" si="249">P117/M117*100</f>
        <v>4.2000000000000011</v>
      </c>
      <c r="O117" s="211">
        <f t="shared" ref="O117:O118" si="250">Q117/M117*100</f>
        <v>8.3044206185567013</v>
      </c>
      <c r="P117" s="176">
        <f>$U$116*K117/SUM($K$116:$K$117)</f>
        <v>111.72000000000003</v>
      </c>
      <c r="Q117" s="212">
        <f>$V$116*L117/SUM($L$116:$L$117)</f>
        <v>220.89758845360825</v>
      </c>
      <c r="R117" s="348"/>
      <c r="S117" s="348"/>
      <c r="T117" s="348"/>
      <c r="U117" s="345"/>
      <c r="V117" s="345"/>
      <c r="X117" s="176">
        <f t="shared" si="231"/>
        <v>2660</v>
      </c>
      <c r="Y117" s="210">
        <f t="shared" si="232"/>
        <v>4.2</v>
      </c>
      <c r="Z117" s="210">
        <f t="shared" si="233"/>
        <v>8.3000000000000007</v>
      </c>
    </row>
    <row r="118" spans="1:26" x14ac:dyDescent="0.25">
      <c r="A118" s="220">
        <v>72372</v>
      </c>
      <c r="B118" s="221">
        <v>4413</v>
      </c>
      <c r="C118" s="109" t="s">
        <v>73</v>
      </c>
      <c r="D118" s="229">
        <v>45991</v>
      </c>
      <c r="E118" s="65"/>
      <c r="F118" s="227" t="s">
        <v>12</v>
      </c>
      <c r="G118" s="65" t="str">
        <f t="shared" si="0"/>
        <v>Ormanjhi</v>
      </c>
      <c r="H118" s="65">
        <v>1782</v>
      </c>
      <c r="I118" s="65">
        <v>4.2</v>
      </c>
      <c r="J118" s="65">
        <v>8.31</v>
      </c>
      <c r="K118" s="176">
        <f t="shared" si="224"/>
        <v>74.844000000000008</v>
      </c>
      <c r="L118" s="177">
        <f t="shared" si="225"/>
        <v>148.08420000000001</v>
      </c>
      <c r="M118" s="209">
        <f>$R$118*H118/SUM($H$118:$H$120)</f>
        <v>1781.2729498164015</v>
      </c>
      <c r="N118" s="211">
        <f t="shared" si="249"/>
        <v>4.2245325089257619</v>
      </c>
      <c r="O118" s="211">
        <f t="shared" si="250"/>
        <v>8.3114964123222688</v>
      </c>
      <c r="P118" s="176">
        <f>$U$118*K118/SUM($K$118:$K$120)</f>
        <v>75.250454837694761</v>
      </c>
      <c r="Q118" s="212">
        <f>$V$118*L118/SUM($L$118:$L$120)</f>
        <v>148.05043731765724</v>
      </c>
      <c r="R118" s="347">
        <v>4900</v>
      </c>
      <c r="S118" s="347">
        <v>4.5</v>
      </c>
      <c r="T118" s="347">
        <v>8.43</v>
      </c>
      <c r="U118" s="328">
        <f>R118*S118%</f>
        <v>220.5</v>
      </c>
      <c r="V118" s="328">
        <f>R118*T118%</f>
        <v>413.07</v>
      </c>
      <c r="X118" s="176">
        <f t="shared" si="231"/>
        <v>1781</v>
      </c>
      <c r="Y118" s="210">
        <f t="shared" si="232"/>
        <v>4.22</v>
      </c>
      <c r="Z118" s="210">
        <f t="shared" si="233"/>
        <v>8.31</v>
      </c>
    </row>
    <row r="119" spans="1:26" x14ac:dyDescent="0.25">
      <c r="A119" s="220">
        <v>72372</v>
      </c>
      <c r="B119" s="221">
        <v>4413</v>
      </c>
      <c r="C119" s="109" t="s">
        <v>73</v>
      </c>
      <c r="D119" s="229">
        <v>45991</v>
      </c>
      <c r="E119" s="65"/>
      <c r="F119" s="227" t="s">
        <v>14</v>
      </c>
      <c r="G119" s="65" t="str">
        <f t="shared" si="0"/>
        <v>Piragutu</v>
      </c>
      <c r="H119" s="65">
        <v>1998</v>
      </c>
      <c r="I119" s="65">
        <v>4.9000000000000004</v>
      </c>
      <c r="J119" s="65">
        <v>8.64</v>
      </c>
      <c r="K119" s="176">
        <f t="shared" si="224"/>
        <v>97.902000000000001</v>
      </c>
      <c r="L119" s="177">
        <f t="shared" si="225"/>
        <v>172.62720000000002</v>
      </c>
      <c r="M119" s="209">
        <f t="shared" ref="M119:M120" si="251">$R$118*H119/SUM($H$118:$H$120)</f>
        <v>1997.1848225214198</v>
      </c>
      <c r="N119" s="211">
        <f t="shared" ref="N119:N120" si="252">P119/M119*100</f>
        <v>4.9286212604133883</v>
      </c>
      <c r="O119" s="211">
        <f t="shared" ref="O119:O120" si="253">Q119/M119*100</f>
        <v>8.6415558366383145</v>
      </c>
      <c r="P119" s="176">
        <f t="shared" ref="P119:P120" si="254">$U$118*K119/SUM($K$118:$K$120)</f>
        <v>98.433675772540099</v>
      </c>
      <c r="Q119" s="212">
        <f t="shared" ref="Q119:Q120" si="255">$V$118*L119/SUM($L$118:$L$120)</f>
        <v>172.58784159905431</v>
      </c>
      <c r="R119" s="349"/>
      <c r="S119" s="349"/>
      <c r="T119" s="349"/>
      <c r="U119" s="329"/>
      <c r="V119" s="329"/>
      <c r="X119" s="176">
        <f t="shared" si="231"/>
        <v>1997</v>
      </c>
      <c r="Y119" s="210">
        <f t="shared" si="232"/>
        <v>4.93</v>
      </c>
      <c r="Z119" s="210">
        <f t="shared" si="233"/>
        <v>8.64</v>
      </c>
    </row>
    <row r="120" spans="1:26" x14ac:dyDescent="0.25">
      <c r="A120" s="220">
        <v>72372</v>
      </c>
      <c r="B120" s="221">
        <v>4413</v>
      </c>
      <c r="C120" s="109" t="s">
        <v>73</v>
      </c>
      <c r="D120" s="229">
        <v>45991</v>
      </c>
      <c r="E120" s="65"/>
      <c r="F120" s="227" t="s">
        <v>6</v>
      </c>
      <c r="G120" s="65" t="str">
        <f t="shared" si="0"/>
        <v>Hisri</v>
      </c>
      <c r="H120" s="65">
        <v>1122</v>
      </c>
      <c r="I120" s="65">
        <v>4.1500000000000004</v>
      </c>
      <c r="J120" s="65">
        <v>8.24</v>
      </c>
      <c r="K120" s="176">
        <f t="shared" si="224"/>
        <v>46.563000000000002</v>
      </c>
      <c r="L120" s="177">
        <f t="shared" si="225"/>
        <v>92.452799999999996</v>
      </c>
      <c r="M120" s="209">
        <f t="shared" si="251"/>
        <v>1121.5422276621787</v>
      </c>
      <c r="N120" s="211">
        <f t="shared" si="252"/>
        <v>4.1742404552480741</v>
      </c>
      <c r="O120" s="211">
        <f t="shared" si="253"/>
        <v>8.2414838071643182</v>
      </c>
      <c r="P120" s="176">
        <f t="shared" si="254"/>
        <v>46.815869389765119</v>
      </c>
      <c r="Q120" s="212">
        <f t="shared" si="255"/>
        <v>92.431721083288423</v>
      </c>
      <c r="R120" s="348"/>
      <c r="S120" s="348"/>
      <c r="T120" s="348"/>
      <c r="U120" s="330"/>
      <c r="V120" s="330"/>
      <c r="X120" s="176">
        <f t="shared" si="231"/>
        <v>1122</v>
      </c>
      <c r="Y120" s="210">
        <f t="shared" si="232"/>
        <v>4.17</v>
      </c>
      <c r="Z120" s="210">
        <f t="shared" si="233"/>
        <v>8.24</v>
      </c>
    </row>
    <row r="121" spans="1:26" x14ac:dyDescent="0.25">
      <c r="A121" s="220">
        <v>72370</v>
      </c>
      <c r="B121" s="221">
        <v>9944</v>
      </c>
      <c r="C121" s="109" t="s">
        <v>73</v>
      </c>
      <c r="D121" s="229">
        <v>45990</v>
      </c>
      <c r="E121" s="65"/>
      <c r="F121" s="227" t="s">
        <v>89</v>
      </c>
      <c r="G121" s="65" t="str">
        <f t="shared" si="0"/>
        <v>Chanho</v>
      </c>
      <c r="H121" s="65">
        <v>2150</v>
      </c>
      <c r="I121" s="65">
        <v>4.3</v>
      </c>
      <c r="J121" s="65">
        <v>8.39</v>
      </c>
      <c r="K121" s="176">
        <f t="shared" si="224"/>
        <v>92.449999999999989</v>
      </c>
      <c r="L121" s="177">
        <f t="shared" si="225"/>
        <v>180.38499999999999</v>
      </c>
      <c r="M121" s="209">
        <f>$R$121*H121/SUM($H$121:$H$124)</f>
        <v>2151.8436849197601</v>
      </c>
      <c r="N121" s="211">
        <f t="shared" ref="N121" si="256">P121/M121*100</f>
        <v>4.2773101218292222</v>
      </c>
      <c r="O121" s="211">
        <f t="shared" ref="O121" si="257">Q121/M121*100</f>
        <v>8.3331598750248297</v>
      </c>
      <c r="P121" s="176">
        <f>$U$121*K121/SUM($K$121:$K$124)</f>
        <v>92.041027741015824</v>
      </c>
      <c r="Q121" s="212">
        <f>$V$121*L121/SUM($L$121:$L$124)</f>
        <v>179.31657452498919</v>
      </c>
      <c r="R121" s="347">
        <v>8170</v>
      </c>
      <c r="S121" s="347">
        <v>4.3</v>
      </c>
      <c r="T121" s="347">
        <v>8.33</v>
      </c>
      <c r="U121" s="347">
        <f>R121*S121%</f>
        <v>351.30999999999995</v>
      </c>
      <c r="V121" s="347">
        <f>R121*T121%</f>
        <v>680.56100000000004</v>
      </c>
      <c r="X121" s="176">
        <f t="shared" si="231"/>
        <v>2152</v>
      </c>
      <c r="Y121" s="210">
        <f t="shared" si="232"/>
        <v>4.28</v>
      </c>
      <c r="Z121" s="210">
        <f t="shared" si="233"/>
        <v>8.33</v>
      </c>
    </row>
    <row r="122" spans="1:26" x14ac:dyDescent="0.25">
      <c r="A122" s="220">
        <v>72370</v>
      </c>
      <c r="B122" s="221">
        <v>9944</v>
      </c>
      <c r="C122" s="109" t="s">
        <v>73</v>
      </c>
      <c r="D122" s="229">
        <v>45990</v>
      </c>
      <c r="E122" s="65"/>
      <c r="F122" s="227" t="s">
        <v>14</v>
      </c>
      <c r="G122" s="65" t="str">
        <f t="shared" si="0"/>
        <v>Piragutu</v>
      </c>
      <c r="H122" s="65">
        <v>1491</v>
      </c>
      <c r="I122" s="65">
        <v>4.8</v>
      </c>
      <c r="J122" s="65">
        <v>8.6199999999999992</v>
      </c>
      <c r="K122" s="176">
        <f t="shared" si="224"/>
        <v>71.567999999999998</v>
      </c>
      <c r="L122" s="177">
        <f t="shared" si="225"/>
        <v>128.52420000000001</v>
      </c>
      <c r="M122" s="209">
        <f t="shared" ref="M122:M124" si="258">$R$121*H122/SUM($H$121:$H$124)</f>
        <v>1492.2785740536567</v>
      </c>
      <c r="N122" s="211">
        <f t="shared" ref="N122:N125" si="259">P122/M122*100</f>
        <v>4.7746717639023881</v>
      </c>
      <c r="O122" s="211">
        <f t="shared" ref="O122:O125" si="260">Q122/M122*100</f>
        <v>8.5616016832793864</v>
      </c>
      <c r="P122" s="176">
        <f t="shared" ref="P122:P124" si="261">$U$121*K122/SUM($K$121:$K$124)</f>
        <v>71.251403714105138</v>
      </c>
      <c r="Q122" s="212">
        <f t="shared" ref="Q122:Q124" si="262">$V$121*L122/SUM($L$121:$L$124)</f>
        <v>127.7629475153955</v>
      </c>
      <c r="R122" s="349"/>
      <c r="S122" s="349"/>
      <c r="T122" s="349"/>
      <c r="U122" s="349"/>
      <c r="V122" s="349"/>
      <c r="X122" s="176">
        <f t="shared" si="231"/>
        <v>1492</v>
      </c>
      <c r="Y122" s="210">
        <f t="shared" si="232"/>
        <v>4.7699999999999996</v>
      </c>
      <c r="Z122" s="210">
        <f t="shared" si="233"/>
        <v>8.56</v>
      </c>
    </row>
    <row r="123" spans="1:26" x14ac:dyDescent="0.25">
      <c r="A123" s="220">
        <v>72370</v>
      </c>
      <c r="B123" s="221">
        <v>9944</v>
      </c>
      <c r="C123" s="109" t="s">
        <v>73</v>
      </c>
      <c r="D123" s="229">
        <v>45990</v>
      </c>
      <c r="E123" s="65"/>
      <c r="F123" s="227" t="s">
        <v>6</v>
      </c>
      <c r="G123" s="65" t="str">
        <f t="shared" si="0"/>
        <v>Hisri</v>
      </c>
      <c r="H123" s="65">
        <v>2142</v>
      </c>
      <c r="I123" s="65">
        <v>4.1500000000000004</v>
      </c>
      <c r="J123" s="65">
        <v>8.24</v>
      </c>
      <c r="K123" s="176">
        <f t="shared" si="224"/>
        <v>88.893000000000001</v>
      </c>
      <c r="L123" s="177">
        <f t="shared" si="225"/>
        <v>176.5008</v>
      </c>
      <c r="M123" s="209">
        <f t="shared" si="258"/>
        <v>2143.8368246968025</v>
      </c>
      <c r="N123" s="211">
        <f t="shared" si="259"/>
        <v>4.1281016292072747</v>
      </c>
      <c r="O123" s="211">
        <f t="shared" si="260"/>
        <v>8.184176087032732</v>
      </c>
      <c r="P123" s="176">
        <f t="shared" si="261"/>
        <v>88.499762887854203</v>
      </c>
      <c r="Q123" s="212">
        <f t="shared" si="262"/>
        <v>175.45538075183754</v>
      </c>
      <c r="R123" s="349"/>
      <c r="S123" s="349"/>
      <c r="T123" s="349"/>
      <c r="U123" s="349"/>
      <c r="V123" s="349"/>
      <c r="X123" s="176">
        <f t="shared" si="231"/>
        <v>2144</v>
      </c>
      <c r="Y123" s="210">
        <f t="shared" si="232"/>
        <v>4.13</v>
      </c>
      <c r="Z123" s="210">
        <f t="shared" si="233"/>
        <v>8.18</v>
      </c>
    </row>
    <row r="124" spans="1:26" x14ac:dyDescent="0.25">
      <c r="A124" s="220">
        <v>72370</v>
      </c>
      <c r="B124" s="221">
        <v>9944</v>
      </c>
      <c r="C124" s="109" t="s">
        <v>73</v>
      </c>
      <c r="D124" s="229">
        <v>45990</v>
      </c>
      <c r="E124" s="65"/>
      <c r="F124" s="227" t="s">
        <v>4</v>
      </c>
      <c r="G124" s="65" t="str">
        <f t="shared" si="0"/>
        <v>Pali</v>
      </c>
      <c r="H124" s="65">
        <v>2380</v>
      </c>
      <c r="I124" s="65">
        <v>4.2</v>
      </c>
      <c r="J124" s="65">
        <v>8.3699999999999992</v>
      </c>
      <c r="K124" s="176">
        <f t="shared" si="224"/>
        <v>99.960000000000008</v>
      </c>
      <c r="L124" s="177">
        <f t="shared" si="225"/>
        <v>199.20599999999999</v>
      </c>
      <c r="M124" s="209">
        <f t="shared" si="258"/>
        <v>2382.0409163297809</v>
      </c>
      <c r="N124" s="211">
        <f t="shared" si="259"/>
        <v>4.1778377934145903</v>
      </c>
      <c r="O124" s="211">
        <f t="shared" si="260"/>
        <v>8.3132953699592189</v>
      </c>
      <c r="P124" s="176">
        <f t="shared" si="261"/>
        <v>99.517805657024809</v>
      </c>
      <c r="Q124" s="212">
        <f t="shared" si="262"/>
        <v>198.02609720777781</v>
      </c>
      <c r="R124" s="348"/>
      <c r="S124" s="348"/>
      <c r="T124" s="348"/>
      <c r="U124" s="348"/>
      <c r="V124" s="348"/>
      <c r="X124" s="176">
        <f t="shared" si="231"/>
        <v>2382</v>
      </c>
      <c r="Y124" s="210">
        <f t="shared" si="232"/>
        <v>4.18</v>
      </c>
      <c r="Z124" s="210">
        <f t="shared" si="233"/>
        <v>8.31</v>
      </c>
    </row>
    <row r="125" spans="1:26" x14ac:dyDescent="0.25">
      <c r="A125" s="220">
        <v>72754</v>
      </c>
      <c r="B125" s="221">
        <v>4413</v>
      </c>
      <c r="C125" s="109" t="s">
        <v>73</v>
      </c>
      <c r="D125" s="229">
        <v>45989</v>
      </c>
      <c r="E125" s="65"/>
      <c r="F125" s="227" t="s">
        <v>8</v>
      </c>
      <c r="G125" s="65" t="str">
        <f t="shared" si="0"/>
        <v>Chorya</v>
      </c>
      <c r="H125" s="65">
        <v>1337</v>
      </c>
      <c r="I125" s="65">
        <v>2.7</v>
      </c>
      <c r="J125" s="65">
        <v>7.51</v>
      </c>
      <c r="K125" s="176">
        <f t="shared" si="224"/>
        <v>36.099000000000004</v>
      </c>
      <c r="L125" s="177">
        <f t="shared" si="225"/>
        <v>100.4087</v>
      </c>
      <c r="M125" s="209">
        <f>$R$125*H125/SUM($H$125:$H$126)</f>
        <v>1330</v>
      </c>
      <c r="N125" s="211">
        <f t="shared" si="259"/>
        <v>2.7000000000000006</v>
      </c>
      <c r="O125" s="211">
        <f t="shared" si="260"/>
        <v>7.4511587628865978</v>
      </c>
      <c r="P125" s="176">
        <f>$U$125*K125/SUM($K$125:$K$126)</f>
        <v>35.910000000000011</v>
      </c>
      <c r="Q125" s="212">
        <f>$V$125*L125/SUM($L$125:$L$126)</f>
        <v>99.100411546391754</v>
      </c>
      <c r="R125" s="347">
        <v>3990</v>
      </c>
      <c r="S125" s="347">
        <v>3.7</v>
      </c>
      <c r="T125" s="347">
        <v>8.02</v>
      </c>
      <c r="U125" s="345">
        <f>R125*S125%</f>
        <v>147.63000000000002</v>
      </c>
      <c r="V125" s="345">
        <f t="shared" ref="V125" si="263">R125*T125%</f>
        <v>319.99799999999999</v>
      </c>
      <c r="X125" s="176">
        <f t="shared" si="231"/>
        <v>1330</v>
      </c>
      <c r="Y125" s="210">
        <f t="shared" si="232"/>
        <v>2.7</v>
      </c>
      <c r="Z125" s="210">
        <f t="shared" si="233"/>
        <v>7.45</v>
      </c>
    </row>
    <row r="126" spans="1:26" x14ac:dyDescent="0.25">
      <c r="A126" s="220">
        <v>72754</v>
      </c>
      <c r="B126" s="221">
        <v>4413</v>
      </c>
      <c r="C126" s="109" t="s">
        <v>73</v>
      </c>
      <c r="D126" s="229">
        <v>45989</v>
      </c>
      <c r="E126" s="65"/>
      <c r="F126" s="227" t="s">
        <v>12</v>
      </c>
      <c r="G126" s="65" t="str">
        <f t="shared" si="0"/>
        <v>Ormanjhi</v>
      </c>
      <c r="H126" s="65">
        <v>2674</v>
      </c>
      <c r="I126" s="65">
        <v>4.2</v>
      </c>
      <c r="J126" s="65">
        <v>8.3699999999999992</v>
      </c>
      <c r="K126" s="176">
        <f t="shared" si="224"/>
        <v>112.30800000000001</v>
      </c>
      <c r="L126" s="177">
        <f t="shared" si="225"/>
        <v>223.81379999999999</v>
      </c>
      <c r="M126" s="209">
        <f>$R$125*H126/SUM($H$125:$H$126)</f>
        <v>2660</v>
      </c>
      <c r="N126" s="211">
        <f t="shared" ref="N126:N127" si="264">P126/M126*100</f>
        <v>4.2000000000000011</v>
      </c>
      <c r="O126" s="211">
        <f t="shared" ref="O126:O127" si="265">Q126/M126*100</f>
        <v>8.3044206185567013</v>
      </c>
      <c r="P126" s="176">
        <f>$U$125*K126/SUM($K$125:$K$126)</f>
        <v>111.72000000000003</v>
      </c>
      <c r="Q126" s="212">
        <f>$V$125*L126/SUM($L$125:$L$126)</f>
        <v>220.89758845360825</v>
      </c>
      <c r="R126" s="348"/>
      <c r="S126" s="348"/>
      <c r="T126" s="348"/>
      <c r="U126" s="345"/>
      <c r="V126" s="345"/>
      <c r="X126" s="176">
        <f t="shared" si="231"/>
        <v>2660</v>
      </c>
      <c r="Y126" s="210">
        <f t="shared" si="232"/>
        <v>4.2</v>
      </c>
      <c r="Z126" s="210">
        <f t="shared" si="233"/>
        <v>8.3000000000000007</v>
      </c>
    </row>
    <row r="127" spans="1:26" x14ac:dyDescent="0.25">
      <c r="A127" s="220">
        <v>72373</v>
      </c>
      <c r="B127" s="221">
        <v>1846</v>
      </c>
      <c r="C127" s="109" t="s">
        <v>73</v>
      </c>
      <c r="D127" s="229">
        <v>45991</v>
      </c>
      <c r="E127" s="65"/>
      <c r="F127" s="227" t="s">
        <v>89</v>
      </c>
      <c r="G127" s="65" t="str">
        <f t="shared" si="0"/>
        <v>Chanho</v>
      </c>
      <c r="H127" s="65">
        <v>2860</v>
      </c>
      <c r="I127" s="65">
        <v>4.2</v>
      </c>
      <c r="J127" s="65">
        <v>8.5</v>
      </c>
      <c r="K127" s="176">
        <f t="shared" si="224"/>
        <v>120.12</v>
      </c>
      <c r="L127" s="177">
        <f t="shared" si="225"/>
        <v>243.10000000000002</v>
      </c>
      <c r="M127" s="209">
        <f>$R$127*H127/SUM($H$127:$H$128)</f>
        <v>2860</v>
      </c>
      <c r="N127" s="211">
        <f t="shared" si="264"/>
        <v>4.1768078809029472</v>
      </c>
      <c r="O127" s="211">
        <f t="shared" si="265"/>
        <v>8.3558508055616869</v>
      </c>
      <c r="P127" s="176">
        <f>$U$127*K127/SUM($K$127:$K$128)</f>
        <v>119.45670539382428</v>
      </c>
      <c r="Q127" s="212">
        <f>$V$127*L127/SUM($L$127:$L$128)</f>
        <v>238.97733303906426</v>
      </c>
      <c r="R127" s="347">
        <v>5360</v>
      </c>
      <c r="S127" s="347">
        <v>4.2</v>
      </c>
      <c r="T127" s="347">
        <v>8.31</v>
      </c>
      <c r="U127" s="345">
        <f>R127*S127%</f>
        <v>225.12</v>
      </c>
      <c r="V127" s="345">
        <f t="shared" ref="V127" si="266">R127*T127%</f>
        <v>445.41600000000005</v>
      </c>
      <c r="X127" s="176">
        <f t="shared" si="231"/>
        <v>2860</v>
      </c>
      <c r="Y127" s="210">
        <f t="shared" si="232"/>
        <v>4.18</v>
      </c>
      <c r="Z127" s="210">
        <f t="shared" si="233"/>
        <v>8.36</v>
      </c>
    </row>
    <row r="128" spans="1:26" x14ac:dyDescent="0.25">
      <c r="A128" s="220">
        <v>72373</v>
      </c>
      <c r="B128" s="221">
        <v>1846</v>
      </c>
      <c r="C128" s="109" t="s">
        <v>73</v>
      </c>
      <c r="D128" s="229">
        <v>45991</v>
      </c>
      <c r="E128" s="65"/>
      <c r="F128" s="227" t="s">
        <v>4</v>
      </c>
      <c r="G128" s="65" t="str">
        <f t="shared" si="0"/>
        <v>Pali</v>
      </c>
      <c r="H128" s="65">
        <v>2500</v>
      </c>
      <c r="I128" s="65">
        <v>4.25</v>
      </c>
      <c r="J128" s="65">
        <v>8.4</v>
      </c>
      <c r="K128" s="176">
        <f t="shared" si="224"/>
        <v>106.25000000000001</v>
      </c>
      <c r="L128" s="177">
        <f t="shared" si="225"/>
        <v>210</v>
      </c>
      <c r="M128" s="209">
        <f>$R$127*H128/SUM($H$127:$H$128)</f>
        <v>2500</v>
      </c>
      <c r="N128" s="211">
        <f t="shared" ref="N128" si="267">P128/M128*100</f>
        <v>4.2265317842470296</v>
      </c>
      <c r="O128" s="211">
        <f t="shared" ref="O128" si="268">Q128/M128*100</f>
        <v>8.2575466784374321</v>
      </c>
      <c r="P128" s="176">
        <f>$U$127*K128/SUM($K$127:$K$128)</f>
        <v>105.66329460617574</v>
      </c>
      <c r="Q128" s="212">
        <f>$V$127*L128/SUM($L$127:$L$128)</f>
        <v>206.43866696093579</v>
      </c>
      <c r="R128" s="348"/>
      <c r="S128" s="348"/>
      <c r="T128" s="348"/>
      <c r="U128" s="345"/>
      <c r="V128" s="345"/>
      <c r="X128" s="176">
        <f t="shared" si="231"/>
        <v>2500</v>
      </c>
      <c r="Y128" s="210">
        <f t="shared" si="232"/>
        <v>4.2300000000000004</v>
      </c>
      <c r="Z128" s="210">
        <f t="shared" si="233"/>
        <v>8.26</v>
      </c>
    </row>
    <row r="129" spans="1:26" x14ac:dyDescent="0.25">
      <c r="A129" s="220">
        <v>72562</v>
      </c>
      <c r="B129" s="221">
        <v>1846</v>
      </c>
      <c r="C129" s="109" t="s">
        <v>73</v>
      </c>
      <c r="D129" s="229">
        <v>45992</v>
      </c>
      <c r="E129" s="65"/>
      <c r="F129" s="227" t="s">
        <v>8</v>
      </c>
      <c r="G129" s="65" t="str">
        <f t="shared" si="0"/>
        <v>Chorya</v>
      </c>
      <c r="H129" s="65">
        <v>1095</v>
      </c>
      <c r="I129" s="65">
        <v>3</v>
      </c>
      <c r="J129" s="65">
        <v>8.26</v>
      </c>
      <c r="K129" s="176">
        <f t="shared" si="224"/>
        <v>32.85</v>
      </c>
      <c r="L129" s="177">
        <f t="shared" si="225"/>
        <v>90.446999999999989</v>
      </c>
      <c r="M129" s="209">
        <f>$R$129*H129/SUM($H$129:$H$130)</f>
        <v>1107.032967032967</v>
      </c>
      <c r="N129" s="211">
        <f t="shared" ref="N129" si="269">P129/M129*100</f>
        <v>2.9848026531579142</v>
      </c>
      <c r="O129" s="211">
        <f t="shared" ref="O129" si="270">Q129/M129*100</f>
        <v>8.116940043976399</v>
      </c>
      <c r="P129" s="176">
        <f>$U$129*K129/SUM($K$129:$K$130)</f>
        <v>33.042749371332775</v>
      </c>
      <c r="Q129" s="212">
        <f>$V$129*L129/SUM($L$129:$L$130)</f>
        <v>89.857202201118952</v>
      </c>
      <c r="R129" s="347">
        <v>3680</v>
      </c>
      <c r="S129" s="347">
        <v>3.75</v>
      </c>
      <c r="T129" s="347">
        <v>8.2200000000000006</v>
      </c>
      <c r="U129" s="345">
        <f>R129*S129%</f>
        <v>138</v>
      </c>
      <c r="V129" s="345">
        <f t="shared" ref="V129" si="271">R129*T129%</f>
        <v>302.49600000000004</v>
      </c>
      <c r="X129" s="176">
        <f t="shared" si="231"/>
        <v>1107</v>
      </c>
      <c r="Y129" s="210">
        <f t="shared" si="232"/>
        <v>2.98</v>
      </c>
      <c r="Z129" s="210">
        <f t="shared" si="233"/>
        <v>8.1199999999999992</v>
      </c>
    </row>
    <row r="130" spans="1:26" x14ac:dyDescent="0.25">
      <c r="A130" s="220">
        <v>72562</v>
      </c>
      <c r="B130" s="221">
        <v>1846</v>
      </c>
      <c r="C130" s="109" t="s">
        <v>73</v>
      </c>
      <c r="D130" s="229">
        <v>45992</v>
      </c>
      <c r="E130" s="65"/>
      <c r="F130" s="227" t="s">
        <v>12</v>
      </c>
      <c r="G130" s="65" t="str">
        <f t="shared" si="0"/>
        <v>Ormanjhi</v>
      </c>
      <c r="H130" s="65">
        <v>2545</v>
      </c>
      <c r="I130" s="65">
        <v>4.0999999999999996</v>
      </c>
      <c r="J130" s="65">
        <v>8.41</v>
      </c>
      <c r="K130" s="176">
        <f t="shared" si="224"/>
        <v>104.34499999999998</v>
      </c>
      <c r="L130" s="177">
        <f t="shared" si="225"/>
        <v>214.03450000000001</v>
      </c>
      <c r="M130" s="209">
        <f>$R$129*H130/SUM($H$129:$H$130)</f>
        <v>2572.967032967033</v>
      </c>
      <c r="N130" s="211">
        <f t="shared" ref="N130" si="272">P130/M130*100</f>
        <v>4.0792302926491493</v>
      </c>
      <c r="O130" s="211">
        <f t="shared" ref="O130" si="273">Q130/M130*100</f>
        <v>8.264342102886383</v>
      </c>
      <c r="P130" s="176">
        <f>$U$129*K130/SUM($K$129:$K$130)</f>
        <v>104.95725062866723</v>
      </c>
      <c r="Q130" s="212">
        <f>$V$129*L130/SUM($L$129:$L$130)</f>
        <v>212.63879779888109</v>
      </c>
      <c r="R130" s="348"/>
      <c r="S130" s="348"/>
      <c r="T130" s="348"/>
      <c r="U130" s="345"/>
      <c r="V130" s="345"/>
      <c r="X130" s="176">
        <f t="shared" si="231"/>
        <v>2573</v>
      </c>
      <c r="Y130" s="210">
        <f t="shared" si="232"/>
        <v>4.08</v>
      </c>
      <c r="Z130" s="210">
        <f t="shared" si="233"/>
        <v>8.26</v>
      </c>
    </row>
    <row r="131" spans="1:26" x14ac:dyDescent="0.25">
      <c r="A131" s="220"/>
      <c r="B131" s="221"/>
      <c r="C131" s="109"/>
      <c r="D131" s="229"/>
      <c r="E131" s="65"/>
      <c r="F131" s="227"/>
      <c r="G131" s="65"/>
      <c r="H131" s="65"/>
      <c r="I131" s="65"/>
      <c r="J131" s="65"/>
      <c r="K131" s="176">
        <f t="shared" si="224"/>
        <v>0</v>
      </c>
      <c r="L131" s="177">
        <f t="shared" si="225"/>
        <v>0</v>
      </c>
      <c r="M131" s="209">
        <f t="shared" ref="M131:M143" si="274">$R$4*H131/SUM($H$4:$H$9)</f>
        <v>0</v>
      </c>
      <c r="N131" s="211" t="e">
        <f t="shared" ref="N131:N143" si="275">P131/M131*100</f>
        <v>#DIV/0!</v>
      </c>
      <c r="O131" s="211" t="e">
        <f t="shared" ref="O131:O143" si="276">Q131/M131*100</f>
        <v>#DIV/0!</v>
      </c>
      <c r="P131" s="176">
        <f t="shared" ref="P131:P143" si="277">$U$4*K131/SUM($K$4:$K$9)</f>
        <v>0</v>
      </c>
      <c r="Q131" s="212">
        <f t="shared" ref="Q131:Q143" si="278">$V$4*L131/SUM($L$4:$L$9)</f>
        <v>0</v>
      </c>
      <c r="R131" s="249"/>
      <c r="S131" s="249"/>
      <c r="T131" s="249"/>
      <c r="U131" s="249"/>
      <c r="V131" s="249"/>
      <c r="X131" s="176">
        <f t="shared" si="231"/>
        <v>0</v>
      </c>
      <c r="Y131" s="210" t="e">
        <f t="shared" si="232"/>
        <v>#DIV/0!</v>
      </c>
      <c r="Z131" s="210" t="e">
        <f t="shared" si="233"/>
        <v>#DIV/0!</v>
      </c>
    </row>
    <row r="132" spans="1:26" x14ac:dyDescent="0.25">
      <c r="A132" s="220"/>
      <c r="B132" s="221"/>
      <c r="C132" s="109"/>
      <c r="D132" s="229"/>
      <c r="E132" s="65"/>
      <c r="F132" s="227"/>
      <c r="G132" s="65"/>
      <c r="H132" s="65"/>
      <c r="I132" s="65"/>
      <c r="J132" s="65"/>
      <c r="K132" s="176">
        <f t="shared" si="224"/>
        <v>0</v>
      </c>
      <c r="L132" s="177">
        <f t="shared" si="225"/>
        <v>0</v>
      </c>
      <c r="M132" s="209">
        <f t="shared" si="274"/>
        <v>0</v>
      </c>
      <c r="N132" s="211" t="e">
        <f t="shared" si="275"/>
        <v>#DIV/0!</v>
      </c>
      <c r="O132" s="211" t="e">
        <f t="shared" si="276"/>
        <v>#DIV/0!</v>
      </c>
      <c r="P132" s="176">
        <f t="shared" si="277"/>
        <v>0</v>
      </c>
      <c r="Q132" s="212">
        <f t="shared" si="278"/>
        <v>0</v>
      </c>
      <c r="R132" s="249"/>
      <c r="S132" s="249"/>
      <c r="T132" s="249"/>
      <c r="U132" s="249"/>
      <c r="V132" s="249"/>
      <c r="X132" s="176">
        <f t="shared" si="231"/>
        <v>0</v>
      </c>
      <c r="Y132" s="210" t="e">
        <f t="shared" si="232"/>
        <v>#DIV/0!</v>
      </c>
      <c r="Z132" s="210" t="e">
        <f t="shared" si="233"/>
        <v>#DIV/0!</v>
      </c>
    </row>
    <row r="133" spans="1:26" x14ac:dyDescent="0.25">
      <c r="A133" s="220"/>
      <c r="B133" s="221"/>
      <c r="C133" s="109"/>
      <c r="D133" s="229"/>
      <c r="E133" s="65"/>
      <c r="F133" s="227"/>
      <c r="G133" s="65"/>
      <c r="H133" s="65"/>
      <c r="I133" s="65"/>
      <c r="J133" s="65"/>
      <c r="K133" s="176">
        <f t="shared" si="224"/>
        <v>0</v>
      </c>
      <c r="L133" s="177">
        <f t="shared" si="225"/>
        <v>0</v>
      </c>
      <c r="M133" s="209">
        <f t="shared" si="274"/>
        <v>0</v>
      </c>
      <c r="N133" s="211" t="e">
        <f t="shared" si="275"/>
        <v>#DIV/0!</v>
      </c>
      <c r="O133" s="211" t="e">
        <f t="shared" si="276"/>
        <v>#DIV/0!</v>
      </c>
      <c r="P133" s="176">
        <f t="shared" si="277"/>
        <v>0</v>
      </c>
      <c r="Q133" s="212">
        <f t="shared" si="278"/>
        <v>0</v>
      </c>
      <c r="R133" s="249"/>
      <c r="S133" s="249"/>
      <c r="T133" s="249"/>
      <c r="U133" s="249"/>
      <c r="V133" s="249"/>
      <c r="X133" s="176">
        <f t="shared" si="231"/>
        <v>0</v>
      </c>
      <c r="Y133" s="210" t="e">
        <f t="shared" si="232"/>
        <v>#DIV/0!</v>
      </c>
      <c r="Z133" s="210" t="e">
        <f t="shared" si="233"/>
        <v>#DIV/0!</v>
      </c>
    </row>
    <row r="134" spans="1:26" x14ac:dyDescent="0.25">
      <c r="A134" s="220"/>
      <c r="B134" s="221"/>
      <c r="C134" s="109"/>
      <c r="D134" s="229"/>
      <c r="E134" s="65"/>
      <c r="F134" s="227"/>
      <c r="G134" s="65"/>
      <c r="H134" s="65"/>
      <c r="I134" s="65"/>
      <c r="J134" s="65"/>
      <c r="K134" s="176">
        <f t="shared" si="224"/>
        <v>0</v>
      </c>
      <c r="L134" s="177">
        <f t="shared" si="225"/>
        <v>0</v>
      </c>
      <c r="M134" s="209">
        <f t="shared" si="274"/>
        <v>0</v>
      </c>
      <c r="N134" s="211" t="e">
        <f t="shared" si="275"/>
        <v>#DIV/0!</v>
      </c>
      <c r="O134" s="211" t="e">
        <f t="shared" si="276"/>
        <v>#DIV/0!</v>
      </c>
      <c r="P134" s="176">
        <f t="shared" si="277"/>
        <v>0</v>
      </c>
      <c r="Q134" s="212">
        <f t="shared" si="278"/>
        <v>0</v>
      </c>
      <c r="R134" s="249"/>
      <c r="S134" s="249"/>
      <c r="T134" s="249"/>
      <c r="U134" s="249"/>
      <c r="V134" s="249"/>
      <c r="X134" s="176">
        <f t="shared" si="231"/>
        <v>0</v>
      </c>
      <c r="Y134" s="210" t="e">
        <f t="shared" si="232"/>
        <v>#DIV/0!</v>
      </c>
      <c r="Z134" s="210" t="e">
        <f t="shared" si="233"/>
        <v>#DIV/0!</v>
      </c>
    </row>
    <row r="135" spans="1:26" x14ac:dyDescent="0.25">
      <c r="A135" s="220"/>
      <c r="B135" s="221"/>
      <c r="C135" s="109"/>
      <c r="D135" s="229"/>
      <c r="E135" s="65"/>
      <c r="F135" s="227"/>
      <c r="G135" s="65"/>
      <c r="H135" s="65"/>
      <c r="I135" s="65"/>
      <c r="J135" s="65"/>
      <c r="K135" s="176">
        <f t="shared" si="224"/>
        <v>0</v>
      </c>
      <c r="L135" s="177">
        <f t="shared" si="225"/>
        <v>0</v>
      </c>
      <c r="M135" s="209">
        <f t="shared" si="274"/>
        <v>0</v>
      </c>
      <c r="N135" s="211" t="e">
        <f t="shared" si="275"/>
        <v>#DIV/0!</v>
      </c>
      <c r="O135" s="211" t="e">
        <f t="shared" si="276"/>
        <v>#DIV/0!</v>
      </c>
      <c r="P135" s="176">
        <f t="shared" si="277"/>
        <v>0</v>
      </c>
      <c r="Q135" s="212">
        <f t="shared" si="278"/>
        <v>0</v>
      </c>
      <c r="R135" s="249"/>
      <c r="S135" s="249"/>
      <c r="T135" s="249"/>
      <c r="U135" s="249"/>
      <c r="V135" s="249"/>
      <c r="X135" s="176">
        <f t="shared" si="231"/>
        <v>0</v>
      </c>
      <c r="Y135" s="210" t="e">
        <f t="shared" si="232"/>
        <v>#DIV/0!</v>
      </c>
      <c r="Z135" s="210" t="e">
        <f t="shared" si="233"/>
        <v>#DIV/0!</v>
      </c>
    </row>
    <row r="136" spans="1:26" x14ac:dyDescent="0.25">
      <c r="A136" s="220"/>
      <c r="B136" s="221"/>
      <c r="C136" s="109"/>
      <c r="D136" s="229"/>
      <c r="E136" s="65"/>
      <c r="F136" s="227"/>
      <c r="G136" s="65"/>
      <c r="H136" s="65"/>
      <c r="I136" s="65"/>
      <c r="J136" s="65"/>
      <c r="K136" s="176">
        <f t="shared" si="224"/>
        <v>0</v>
      </c>
      <c r="L136" s="177">
        <f t="shared" si="225"/>
        <v>0</v>
      </c>
      <c r="M136" s="209">
        <f t="shared" si="274"/>
        <v>0</v>
      </c>
      <c r="N136" s="211" t="e">
        <f t="shared" si="275"/>
        <v>#DIV/0!</v>
      </c>
      <c r="O136" s="211" t="e">
        <f t="shared" si="276"/>
        <v>#DIV/0!</v>
      </c>
      <c r="P136" s="176">
        <f t="shared" si="277"/>
        <v>0</v>
      </c>
      <c r="Q136" s="212">
        <f t="shared" si="278"/>
        <v>0</v>
      </c>
      <c r="R136" s="249"/>
      <c r="S136" s="249"/>
      <c r="T136" s="249"/>
      <c r="U136" s="249"/>
      <c r="V136" s="249"/>
      <c r="X136" s="176">
        <f t="shared" si="231"/>
        <v>0</v>
      </c>
      <c r="Y136" s="210" t="e">
        <f t="shared" si="232"/>
        <v>#DIV/0!</v>
      </c>
      <c r="Z136" s="210" t="e">
        <f t="shared" si="233"/>
        <v>#DIV/0!</v>
      </c>
    </row>
    <row r="137" spans="1:26" x14ac:dyDescent="0.25">
      <c r="A137" s="220"/>
      <c r="B137" s="221"/>
      <c r="C137" s="109"/>
      <c r="D137" s="229"/>
      <c r="E137" s="65"/>
      <c r="F137" s="227"/>
      <c r="G137" s="65"/>
      <c r="H137" s="65"/>
      <c r="I137" s="65"/>
      <c r="J137" s="65"/>
      <c r="K137" s="176">
        <f t="shared" si="224"/>
        <v>0</v>
      </c>
      <c r="L137" s="177">
        <f t="shared" si="225"/>
        <v>0</v>
      </c>
      <c r="M137" s="209">
        <f t="shared" si="274"/>
        <v>0</v>
      </c>
      <c r="N137" s="211" t="e">
        <f t="shared" si="275"/>
        <v>#DIV/0!</v>
      </c>
      <c r="O137" s="211" t="e">
        <f t="shared" si="276"/>
        <v>#DIV/0!</v>
      </c>
      <c r="P137" s="176">
        <f t="shared" si="277"/>
        <v>0</v>
      </c>
      <c r="Q137" s="212">
        <f t="shared" si="278"/>
        <v>0</v>
      </c>
      <c r="R137" s="249"/>
      <c r="S137" s="249"/>
      <c r="T137" s="249"/>
      <c r="U137" s="249"/>
      <c r="V137" s="249"/>
      <c r="X137" s="176">
        <f t="shared" si="231"/>
        <v>0</v>
      </c>
      <c r="Y137" s="210" t="e">
        <f t="shared" si="232"/>
        <v>#DIV/0!</v>
      </c>
      <c r="Z137" s="210" t="e">
        <f t="shared" si="233"/>
        <v>#DIV/0!</v>
      </c>
    </row>
    <row r="138" spans="1:26" x14ac:dyDescent="0.25">
      <c r="A138" s="220"/>
      <c r="B138" s="221"/>
      <c r="C138" s="109"/>
      <c r="D138" s="229"/>
      <c r="E138" s="65"/>
      <c r="F138" s="227"/>
      <c r="G138" s="65"/>
      <c r="H138" s="65"/>
      <c r="I138" s="65"/>
      <c r="J138" s="65"/>
      <c r="K138" s="176">
        <f t="shared" si="224"/>
        <v>0</v>
      </c>
      <c r="L138" s="177">
        <f t="shared" si="225"/>
        <v>0</v>
      </c>
      <c r="M138" s="209">
        <f t="shared" si="274"/>
        <v>0</v>
      </c>
      <c r="N138" s="211" t="e">
        <f t="shared" si="275"/>
        <v>#DIV/0!</v>
      </c>
      <c r="O138" s="211" t="e">
        <f t="shared" si="276"/>
        <v>#DIV/0!</v>
      </c>
      <c r="P138" s="176">
        <f t="shared" si="277"/>
        <v>0</v>
      </c>
      <c r="Q138" s="212">
        <f t="shared" si="278"/>
        <v>0</v>
      </c>
      <c r="R138" s="249"/>
      <c r="S138" s="249"/>
      <c r="T138" s="249"/>
      <c r="U138" s="249"/>
      <c r="V138" s="249"/>
      <c r="X138" s="176">
        <f t="shared" si="231"/>
        <v>0</v>
      </c>
      <c r="Y138" s="210" t="e">
        <f t="shared" si="232"/>
        <v>#DIV/0!</v>
      </c>
      <c r="Z138" s="210" t="e">
        <f t="shared" si="233"/>
        <v>#DIV/0!</v>
      </c>
    </row>
    <row r="139" spans="1:26" x14ac:dyDescent="0.25">
      <c r="A139" s="220"/>
      <c r="B139" s="221"/>
      <c r="C139" s="109"/>
      <c r="D139" s="229"/>
      <c r="E139" s="65"/>
      <c r="F139" s="227"/>
      <c r="G139" s="65"/>
      <c r="H139" s="65"/>
      <c r="I139" s="65"/>
      <c r="J139" s="65"/>
      <c r="K139" s="176">
        <f t="shared" si="224"/>
        <v>0</v>
      </c>
      <c r="L139" s="177">
        <f t="shared" si="225"/>
        <v>0</v>
      </c>
      <c r="M139" s="209">
        <f t="shared" si="274"/>
        <v>0</v>
      </c>
      <c r="N139" s="211" t="e">
        <f t="shared" si="275"/>
        <v>#DIV/0!</v>
      </c>
      <c r="O139" s="211" t="e">
        <f t="shared" si="276"/>
        <v>#DIV/0!</v>
      </c>
      <c r="P139" s="176">
        <f t="shared" si="277"/>
        <v>0</v>
      </c>
      <c r="Q139" s="212">
        <f t="shared" si="278"/>
        <v>0</v>
      </c>
      <c r="R139" s="249"/>
      <c r="S139" s="249"/>
      <c r="T139" s="249"/>
      <c r="U139" s="249"/>
      <c r="V139" s="249"/>
      <c r="X139" s="176">
        <f t="shared" si="231"/>
        <v>0</v>
      </c>
      <c r="Y139" s="210" t="e">
        <f t="shared" si="232"/>
        <v>#DIV/0!</v>
      </c>
      <c r="Z139" s="210" t="e">
        <f t="shared" si="233"/>
        <v>#DIV/0!</v>
      </c>
    </row>
    <row r="140" spans="1:26" x14ac:dyDescent="0.25">
      <c r="A140" s="220"/>
      <c r="B140" s="221"/>
      <c r="C140" s="109"/>
      <c r="D140" s="229"/>
      <c r="E140" s="65"/>
      <c r="F140" s="227"/>
      <c r="G140" s="65"/>
      <c r="H140" s="65"/>
      <c r="I140" s="65"/>
      <c r="J140" s="65"/>
      <c r="K140" s="176">
        <f t="shared" si="224"/>
        <v>0</v>
      </c>
      <c r="L140" s="177">
        <f t="shared" si="225"/>
        <v>0</v>
      </c>
      <c r="M140" s="209">
        <f t="shared" si="274"/>
        <v>0</v>
      </c>
      <c r="N140" s="211" t="e">
        <f t="shared" si="275"/>
        <v>#DIV/0!</v>
      </c>
      <c r="O140" s="211" t="e">
        <f t="shared" si="276"/>
        <v>#DIV/0!</v>
      </c>
      <c r="P140" s="176">
        <f t="shared" si="277"/>
        <v>0</v>
      </c>
      <c r="Q140" s="212">
        <f t="shared" si="278"/>
        <v>0</v>
      </c>
      <c r="R140" s="249"/>
      <c r="S140" s="249"/>
      <c r="T140" s="249"/>
      <c r="U140" s="249"/>
      <c r="V140" s="249"/>
      <c r="X140" s="176">
        <f t="shared" si="231"/>
        <v>0</v>
      </c>
      <c r="Y140" s="210" t="e">
        <f t="shared" si="232"/>
        <v>#DIV/0!</v>
      </c>
      <c r="Z140" s="210" t="e">
        <f t="shared" si="233"/>
        <v>#DIV/0!</v>
      </c>
    </row>
    <row r="141" spans="1:26" x14ac:dyDescent="0.25">
      <c r="A141" s="220"/>
      <c r="B141" s="221"/>
      <c r="C141" s="109"/>
      <c r="D141" s="229"/>
      <c r="E141" s="65"/>
      <c r="F141" s="227"/>
      <c r="G141" s="65"/>
      <c r="H141" s="65"/>
      <c r="I141" s="65"/>
      <c r="J141" s="65"/>
      <c r="K141" s="176">
        <f t="shared" si="224"/>
        <v>0</v>
      </c>
      <c r="L141" s="177">
        <f t="shared" si="225"/>
        <v>0</v>
      </c>
      <c r="M141" s="209">
        <f t="shared" si="274"/>
        <v>0</v>
      </c>
      <c r="N141" s="211" t="e">
        <f t="shared" si="275"/>
        <v>#DIV/0!</v>
      </c>
      <c r="O141" s="211" t="e">
        <f t="shared" si="276"/>
        <v>#DIV/0!</v>
      </c>
      <c r="P141" s="176">
        <f t="shared" si="277"/>
        <v>0</v>
      </c>
      <c r="Q141" s="212">
        <f t="shared" si="278"/>
        <v>0</v>
      </c>
      <c r="R141" s="249"/>
      <c r="S141" s="249"/>
      <c r="T141" s="249"/>
      <c r="U141" s="249"/>
      <c r="V141" s="249"/>
      <c r="X141" s="176">
        <f t="shared" si="231"/>
        <v>0</v>
      </c>
      <c r="Y141" s="210" t="e">
        <f t="shared" si="232"/>
        <v>#DIV/0!</v>
      </c>
      <c r="Z141" s="210" t="e">
        <f t="shared" si="233"/>
        <v>#DIV/0!</v>
      </c>
    </row>
    <row r="142" spans="1:26" x14ac:dyDescent="0.25">
      <c r="A142" s="220"/>
      <c r="B142" s="221"/>
      <c r="C142" s="109"/>
      <c r="D142" s="229"/>
      <c r="E142" s="65"/>
      <c r="F142" s="227"/>
      <c r="G142" s="65"/>
      <c r="H142" s="65"/>
      <c r="I142" s="65"/>
      <c r="J142" s="65"/>
      <c r="K142" s="176">
        <f t="shared" si="224"/>
        <v>0</v>
      </c>
      <c r="L142" s="177">
        <f t="shared" si="225"/>
        <v>0</v>
      </c>
      <c r="M142" s="209">
        <f t="shared" si="274"/>
        <v>0</v>
      </c>
      <c r="N142" s="211" t="e">
        <f t="shared" si="275"/>
        <v>#DIV/0!</v>
      </c>
      <c r="O142" s="211" t="e">
        <f t="shared" si="276"/>
        <v>#DIV/0!</v>
      </c>
      <c r="P142" s="176">
        <f t="shared" si="277"/>
        <v>0</v>
      </c>
      <c r="Q142" s="212">
        <f t="shared" si="278"/>
        <v>0</v>
      </c>
      <c r="R142" s="249"/>
      <c r="S142" s="249"/>
      <c r="T142" s="249"/>
      <c r="U142" s="249"/>
      <c r="V142" s="249"/>
      <c r="X142" s="176">
        <f t="shared" si="231"/>
        <v>0</v>
      </c>
      <c r="Y142" s="210" t="e">
        <f t="shared" si="232"/>
        <v>#DIV/0!</v>
      </c>
      <c r="Z142" s="210" t="e">
        <f t="shared" si="233"/>
        <v>#DIV/0!</v>
      </c>
    </row>
    <row r="143" spans="1:26" x14ac:dyDescent="0.25">
      <c r="A143" s="220"/>
      <c r="B143" s="221"/>
      <c r="C143" s="109"/>
      <c r="D143" s="229"/>
      <c r="E143" s="65"/>
      <c r="F143" s="227"/>
      <c r="G143" s="65"/>
      <c r="H143" s="65"/>
      <c r="I143" s="65"/>
      <c r="J143" s="65"/>
      <c r="K143" s="176">
        <f t="shared" si="224"/>
        <v>0</v>
      </c>
      <c r="L143" s="177">
        <f t="shared" si="225"/>
        <v>0</v>
      </c>
      <c r="M143" s="209">
        <f t="shared" si="274"/>
        <v>0</v>
      </c>
      <c r="N143" s="211" t="e">
        <f t="shared" si="275"/>
        <v>#DIV/0!</v>
      </c>
      <c r="O143" s="211" t="e">
        <f t="shared" si="276"/>
        <v>#DIV/0!</v>
      </c>
      <c r="P143" s="176">
        <f t="shared" si="277"/>
        <v>0</v>
      </c>
      <c r="Q143" s="212">
        <f t="shared" si="278"/>
        <v>0</v>
      </c>
      <c r="R143" s="249"/>
      <c r="S143" s="249"/>
      <c r="T143" s="249"/>
      <c r="U143" s="249"/>
      <c r="V143" s="249"/>
      <c r="X143" s="176">
        <f t="shared" si="231"/>
        <v>0</v>
      </c>
      <c r="Y143" s="210" t="e">
        <f t="shared" si="232"/>
        <v>#DIV/0!</v>
      </c>
      <c r="Z143" s="210" t="e">
        <f t="shared" si="233"/>
        <v>#DIV/0!</v>
      </c>
    </row>
    <row r="144" spans="1:26" x14ac:dyDescent="0.25">
      <c r="A144" s="220"/>
      <c r="B144" s="221"/>
      <c r="C144" s="109"/>
      <c r="D144" s="229"/>
      <c r="E144" s="65"/>
      <c r="F144" s="227"/>
      <c r="G144" s="65"/>
      <c r="H144" s="65"/>
      <c r="I144" s="65"/>
      <c r="J144" s="65"/>
      <c r="K144" s="176">
        <f t="shared" ref="K144:K149" si="279">H144*I144%</f>
        <v>0</v>
      </c>
      <c r="L144" s="177">
        <f t="shared" ref="L144:L149" si="280">H144*J144%</f>
        <v>0</v>
      </c>
      <c r="M144" s="209">
        <f t="shared" ref="M144:M149" si="281">$R$4*H144/SUM($H$4:$H$9)</f>
        <v>0</v>
      </c>
      <c r="N144" s="211" t="e">
        <f t="shared" ref="N144:N149" si="282">P144/M144*100</f>
        <v>#DIV/0!</v>
      </c>
      <c r="O144" s="211" t="e">
        <f t="shared" ref="O144:O149" si="283">Q144/M144*100</f>
        <v>#DIV/0!</v>
      </c>
      <c r="P144" s="176">
        <f t="shared" ref="P144:P149" si="284">$U$4*K144/SUM($K$4:$K$9)</f>
        <v>0</v>
      </c>
      <c r="Q144" s="212">
        <f t="shared" ref="Q144:Q149" si="285">$V$4*L144/SUM($L$4:$L$9)</f>
        <v>0</v>
      </c>
      <c r="R144" s="249"/>
      <c r="S144" s="249"/>
      <c r="T144" s="249"/>
      <c r="U144" s="249"/>
      <c r="V144" s="249"/>
      <c r="X144" s="176">
        <f t="shared" ref="X144:X149" si="286">ROUND(M144,0)</f>
        <v>0</v>
      </c>
      <c r="Y144" s="210" t="e">
        <f t="shared" ref="Y144:Y149" si="287">ROUND(N144,2)</f>
        <v>#DIV/0!</v>
      </c>
      <c r="Z144" s="210" t="e">
        <f t="shared" ref="Z144:Z149" si="288">ROUND(O144,2)</f>
        <v>#DIV/0!</v>
      </c>
    </row>
    <row r="145" spans="1:26" x14ac:dyDescent="0.25">
      <c r="A145" s="220"/>
      <c r="B145" s="221"/>
      <c r="C145" s="109"/>
      <c r="D145" s="229"/>
      <c r="E145" s="65"/>
      <c r="F145" s="227"/>
      <c r="G145" s="65"/>
      <c r="H145" s="65"/>
      <c r="I145" s="65"/>
      <c r="J145" s="65"/>
      <c r="K145" s="176">
        <f t="shared" si="279"/>
        <v>0</v>
      </c>
      <c r="L145" s="177">
        <f t="shared" si="280"/>
        <v>0</v>
      </c>
      <c r="M145" s="209">
        <f t="shared" si="281"/>
        <v>0</v>
      </c>
      <c r="N145" s="211" t="e">
        <f t="shared" si="282"/>
        <v>#DIV/0!</v>
      </c>
      <c r="O145" s="211" t="e">
        <f t="shared" si="283"/>
        <v>#DIV/0!</v>
      </c>
      <c r="P145" s="176">
        <f t="shared" si="284"/>
        <v>0</v>
      </c>
      <c r="Q145" s="212">
        <f t="shared" si="285"/>
        <v>0</v>
      </c>
      <c r="R145" s="249"/>
      <c r="S145" s="249"/>
      <c r="T145" s="249"/>
      <c r="U145" s="249"/>
      <c r="V145" s="249"/>
      <c r="X145" s="176">
        <f t="shared" si="286"/>
        <v>0</v>
      </c>
      <c r="Y145" s="210" t="e">
        <f t="shared" si="287"/>
        <v>#DIV/0!</v>
      </c>
      <c r="Z145" s="210" t="e">
        <f t="shared" si="288"/>
        <v>#DIV/0!</v>
      </c>
    </row>
    <row r="146" spans="1:26" x14ac:dyDescent="0.25">
      <c r="A146" s="220"/>
      <c r="B146" s="221"/>
      <c r="C146" s="109"/>
      <c r="D146" s="229"/>
      <c r="E146" s="65"/>
      <c r="F146" s="227"/>
      <c r="G146" s="65"/>
      <c r="H146" s="65"/>
      <c r="I146" s="65"/>
      <c r="J146" s="65"/>
      <c r="K146" s="176">
        <f t="shared" si="279"/>
        <v>0</v>
      </c>
      <c r="L146" s="177">
        <f t="shared" si="280"/>
        <v>0</v>
      </c>
      <c r="M146" s="209">
        <f t="shared" si="281"/>
        <v>0</v>
      </c>
      <c r="N146" s="211" t="e">
        <f t="shared" si="282"/>
        <v>#DIV/0!</v>
      </c>
      <c r="O146" s="211" t="e">
        <f t="shared" si="283"/>
        <v>#DIV/0!</v>
      </c>
      <c r="P146" s="176">
        <f t="shared" si="284"/>
        <v>0</v>
      </c>
      <c r="Q146" s="212">
        <f t="shared" si="285"/>
        <v>0</v>
      </c>
      <c r="R146" s="249"/>
      <c r="S146" s="249"/>
      <c r="T146" s="249"/>
      <c r="U146" s="249"/>
      <c r="V146" s="249"/>
      <c r="X146" s="176">
        <f t="shared" si="286"/>
        <v>0</v>
      </c>
      <c r="Y146" s="210" t="e">
        <f t="shared" si="287"/>
        <v>#DIV/0!</v>
      </c>
      <c r="Z146" s="210" t="e">
        <f t="shared" si="288"/>
        <v>#DIV/0!</v>
      </c>
    </row>
    <row r="147" spans="1:26" x14ac:dyDescent="0.25">
      <c r="A147" s="220"/>
      <c r="B147" s="221"/>
      <c r="C147" s="109"/>
      <c r="D147" s="229"/>
      <c r="E147" s="65"/>
      <c r="F147" s="227"/>
      <c r="G147" s="65"/>
      <c r="H147" s="65"/>
      <c r="I147" s="65"/>
      <c r="J147" s="65"/>
      <c r="K147" s="176">
        <f t="shared" si="279"/>
        <v>0</v>
      </c>
      <c r="L147" s="177">
        <f t="shared" si="280"/>
        <v>0</v>
      </c>
      <c r="M147" s="209">
        <f t="shared" si="281"/>
        <v>0</v>
      </c>
      <c r="N147" s="211" t="e">
        <f t="shared" si="282"/>
        <v>#DIV/0!</v>
      </c>
      <c r="O147" s="211" t="e">
        <f t="shared" si="283"/>
        <v>#DIV/0!</v>
      </c>
      <c r="P147" s="176">
        <f t="shared" si="284"/>
        <v>0</v>
      </c>
      <c r="Q147" s="212">
        <f t="shared" si="285"/>
        <v>0</v>
      </c>
      <c r="R147" s="249"/>
      <c r="S147" s="249"/>
      <c r="T147" s="249"/>
      <c r="U147" s="249"/>
      <c r="V147" s="249"/>
      <c r="X147" s="176">
        <f t="shared" si="286"/>
        <v>0</v>
      </c>
      <c r="Y147" s="210" t="e">
        <f t="shared" si="287"/>
        <v>#DIV/0!</v>
      </c>
      <c r="Z147" s="210" t="e">
        <f t="shared" si="288"/>
        <v>#DIV/0!</v>
      </c>
    </row>
    <row r="148" spans="1:26" x14ac:dyDescent="0.25">
      <c r="A148" s="220"/>
      <c r="B148" s="221"/>
      <c r="C148" s="109"/>
      <c r="D148" s="229"/>
      <c r="E148" s="65"/>
      <c r="F148" s="227"/>
      <c r="G148" s="65"/>
      <c r="H148" s="65"/>
      <c r="I148" s="65"/>
      <c r="J148" s="65"/>
      <c r="K148" s="176">
        <f t="shared" si="279"/>
        <v>0</v>
      </c>
      <c r="L148" s="177">
        <f t="shared" si="280"/>
        <v>0</v>
      </c>
      <c r="M148" s="209">
        <f t="shared" si="281"/>
        <v>0</v>
      </c>
      <c r="N148" s="211" t="e">
        <f t="shared" si="282"/>
        <v>#DIV/0!</v>
      </c>
      <c r="O148" s="211" t="e">
        <f t="shared" si="283"/>
        <v>#DIV/0!</v>
      </c>
      <c r="P148" s="176">
        <f t="shared" si="284"/>
        <v>0</v>
      </c>
      <c r="Q148" s="212">
        <f t="shared" si="285"/>
        <v>0</v>
      </c>
      <c r="R148" s="249"/>
      <c r="S148" s="249"/>
      <c r="T148" s="249"/>
      <c r="U148" s="249"/>
      <c r="V148" s="249"/>
      <c r="X148" s="176">
        <f t="shared" si="286"/>
        <v>0</v>
      </c>
      <c r="Y148" s="210" t="e">
        <f t="shared" si="287"/>
        <v>#DIV/0!</v>
      </c>
      <c r="Z148" s="210" t="e">
        <f t="shared" si="288"/>
        <v>#DIV/0!</v>
      </c>
    </row>
    <row r="149" spans="1:26" x14ac:dyDescent="0.25">
      <c r="A149" s="220"/>
      <c r="B149" s="221"/>
      <c r="C149" s="109"/>
      <c r="D149" s="229"/>
      <c r="E149" s="65"/>
      <c r="F149" s="227"/>
      <c r="G149" s="65"/>
      <c r="H149" s="65"/>
      <c r="I149" s="65"/>
      <c r="J149" s="65"/>
      <c r="K149" s="176">
        <f t="shared" si="279"/>
        <v>0</v>
      </c>
      <c r="L149" s="177">
        <f t="shared" si="280"/>
        <v>0</v>
      </c>
      <c r="M149" s="209">
        <f t="shared" si="281"/>
        <v>0</v>
      </c>
      <c r="N149" s="211" t="e">
        <f t="shared" si="282"/>
        <v>#DIV/0!</v>
      </c>
      <c r="O149" s="211" t="e">
        <f t="shared" si="283"/>
        <v>#DIV/0!</v>
      </c>
      <c r="P149" s="176">
        <f t="shared" si="284"/>
        <v>0</v>
      </c>
      <c r="Q149" s="212">
        <f t="shared" si="285"/>
        <v>0</v>
      </c>
      <c r="R149" s="249"/>
      <c r="S149" s="249"/>
      <c r="T149" s="249"/>
      <c r="U149" s="249"/>
      <c r="V149" s="249"/>
      <c r="X149" s="176">
        <f t="shared" si="286"/>
        <v>0</v>
      </c>
      <c r="Y149" s="210" t="e">
        <f t="shared" si="287"/>
        <v>#DIV/0!</v>
      </c>
      <c r="Z149" s="210" t="e">
        <f t="shared" si="288"/>
        <v>#DIV/0!</v>
      </c>
    </row>
    <row r="150" spans="1:26" x14ac:dyDescent="0.25">
      <c r="A150" s="230"/>
      <c r="B150" s="231"/>
      <c r="C150" s="15"/>
      <c r="D150"/>
      <c r="E150"/>
      <c r="F150" s="15"/>
      <c r="G150"/>
      <c r="H150"/>
      <c r="I150"/>
      <c r="J150"/>
    </row>
    <row r="151" spans="1:26" x14ac:dyDescent="0.25">
      <c r="A151" s="230"/>
      <c r="B151" s="231"/>
      <c r="C151" s="15"/>
      <c r="D151"/>
      <c r="E151"/>
      <c r="F151" s="15"/>
      <c r="G151"/>
      <c r="H151"/>
      <c r="I151"/>
      <c r="J151"/>
    </row>
    <row r="152" spans="1:26" x14ac:dyDescent="0.25">
      <c r="A152" s="230"/>
      <c r="B152" s="231"/>
      <c r="C152" s="15"/>
      <c r="D152"/>
      <c r="E152"/>
      <c r="F152" s="15"/>
      <c r="G152"/>
      <c r="H152"/>
      <c r="I152"/>
      <c r="J152"/>
    </row>
    <row r="153" spans="1:26" x14ac:dyDescent="0.25">
      <c r="A153" s="230"/>
      <c r="B153" s="231"/>
      <c r="C153" s="15"/>
      <c r="D153"/>
      <c r="E153"/>
      <c r="F153" s="15"/>
      <c r="G153"/>
      <c r="H153"/>
      <c r="I153"/>
      <c r="J153"/>
    </row>
    <row r="154" spans="1:26" x14ac:dyDescent="0.25">
      <c r="A154" s="230"/>
      <c r="B154" s="231"/>
      <c r="C154" s="15"/>
      <c r="D154"/>
      <c r="E154"/>
      <c r="F154" s="15"/>
      <c r="G154"/>
      <c r="H154"/>
      <c r="I154"/>
      <c r="J154"/>
    </row>
    <row r="155" spans="1:26" x14ac:dyDescent="0.25">
      <c r="A155" s="230"/>
      <c r="B155" s="231"/>
      <c r="C155" s="15"/>
      <c r="D155"/>
      <c r="E155"/>
      <c r="F155" s="15"/>
      <c r="G155"/>
      <c r="H155"/>
      <c r="I155"/>
      <c r="J155"/>
    </row>
    <row r="156" spans="1:26" x14ac:dyDescent="0.25">
      <c r="A156" s="230"/>
      <c r="B156" s="231"/>
      <c r="C156" s="15"/>
      <c r="D156"/>
      <c r="E156"/>
      <c r="F156" s="15"/>
      <c r="G156"/>
      <c r="H156"/>
      <c r="I156"/>
      <c r="J156"/>
    </row>
    <row r="157" spans="1:26" x14ac:dyDescent="0.25">
      <c r="A157" s="230"/>
      <c r="B157" s="231"/>
      <c r="C157" s="15"/>
      <c r="D157"/>
      <c r="E157"/>
      <c r="F157" s="15"/>
      <c r="G157"/>
      <c r="H157"/>
      <c r="I157"/>
      <c r="J157"/>
    </row>
    <row r="158" spans="1:26" x14ac:dyDescent="0.25">
      <c r="A158" s="230"/>
      <c r="B158" s="231"/>
      <c r="C158" s="15"/>
      <c r="D158"/>
      <c r="E158"/>
      <c r="F158" s="15"/>
      <c r="G158"/>
      <c r="H158"/>
      <c r="I158"/>
      <c r="J158"/>
    </row>
    <row r="159" spans="1:26" x14ac:dyDescent="0.25">
      <c r="A159" s="230"/>
      <c r="B159" s="231"/>
      <c r="C159" s="15"/>
      <c r="D159"/>
      <c r="E159"/>
      <c r="F159" s="15"/>
      <c r="G159"/>
      <c r="H159"/>
      <c r="I159"/>
      <c r="J159"/>
    </row>
    <row r="160" spans="1:26" x14ac:dyDescent="0.25">
      <c r="A160" s="230"/>
      <c r="B160" s="231"/>
      <c r="C160" s="15"/>
      <c r="D160"/>
      <c r="E160"/>
      <c r="F160" s="15"/>
      <c r="G160"/>
      <c r="H160"/>
      <c r="I160"/>
      <c r="J160"/>
    </row>
    <row r="161" spans="1:10" x14ac:dyDescent="0.25">
      <c r="A161" s="230"/>
      <c r="B161" s="231"/>
      <c r="C161" s="15"/>
      <c r="D161"/>
      <c r="E161"/>
      <c r="F161" s="15"/>
      <c r="G161"/>
      <c r="H161"/>
      <c r="I161"/>
      <c r="J161"/>
    </row>
    <row r="162" spans="1:10" x14ac:dyDescent="0.25">
      <c r="A162" s="230"/>
      <c r="B162" s="231"/>
      <c r="C162" s="15"/>
      <c r="D162"/>
      <c r="E162"/>
      <c r="F162" s="15"/>
      <c r="G162"/>
      <c r="H162"/>
      <c r="I162"/>
      <c r="J162"/>
    </row>
    <row r="163" spans="1:10" x14ac:dyDescent="0.25">
      <c r="A163" s="230"/>
      <c r="B163" s="231"/>
      <c r="C163" s="15"/>
      <c r="D163"/>
      <c r="E163"/>
      <c r="F163" s="15"/>
      <c r="G163"/>
      <c r="H163"/>
      <c r="I163"/>
      <c r="J163"/>
    </row>
    <row r="164" spans="1:10" x14ac:dyDescent="0.25">
      <c r="A164" s="230"/>
      <c r="B164" s="231"/>
      <c r="C164" s="15"/>
      <c r="D164"/>
      <c r="E164"/>
      <c r="F164" s="15"/>
      <c r="G164"/>
      <c r="H164"/>
      <c r="I164"/>
      <c r="J164"/>
    </row>
    <row r="165" spans="1:10" x14ac:dyDescent="0.25">
      <c r="A165" s="230"/>
      <c r="B165" s="231"/>
      <c r="C165" s="15"/>
      <c r="D165"/>
      <c r="E165"/>
      <c r="F165" s="15"/>
      <c r="G165"/>
      <c r="H165"/>
      <c r="I165"/>
      <c r="J165"/>
    </row>
    <row r="166" spans="1:10" x14ac:dyDescent="0.25">
      <c r="A166" s="230"/>
      <c r="B166" s="231"/>
      <c r="C166" s="15"/>
      <c r="D166"/>
      <c r="E166"/>
      <c r="F166" s="15"/>
      <c r="G166"/>
      <c r="H166"/>
      <c r="I166"/>
      <c r="J166"/>
    </row>
    <row r="167" spans="1:10" x14ac:dyDescent="0.25">
      <c r="A167" s="230"/>
      <c r="B167" s="231"/>
      <c r="C167" s="15"/>
      <c r="D167"/>
      <c r="E167"/>
      <c r="F167" s="15"/>
      <c r="G167"/>
      <c r="H167"/>
      <c r="I167"/>
      <c r="J167"/>
    </row>
    <row r="168" spans="1:10" x14ac:dyDescent="0.25">
      <c r="A168" s="230"/>
      <c r="B168" s="231"/>
      <c r="C168" s="15"/>
      <c r="D168"/>
      <c r="E168"/>
      <c r="F168" s="15"/>
      <c r="G168"/>
      <c r="H168"/>
      <c r="I168"/>
      <c r="J168"/>
    </row>
    <row r="169" spans="1:10" x14ac:dyDescent="0.25">
      <c r="A169" s="230"/>
      <c r="B169" s="231"/>
      <c r="C169" s="15"/>
      <c r="D169"/>
      <c r="E169"/>
      <c r="F169" s="15"/>
      <c r="G169"/>
      <c r="H169"/>
      <c r="I169"/>
      <c r="J169"/>
    </row>
    <row r="170" spans="1:10" x14ac:dyDescent="0.25">
      <c r="A170" s="230"/>
      <c r="B170" s="231"/>
      <c r="C170" s="15"/>
      <c r="D170"/>
      <c r="E170"/>
      <c r="F170" s="15"/>
      <c r="G170"/>
      <c r="H170"/>
      <c r="I170"/>
      <c r="J170"/>
    </row>
    <row r="171" spans="1:10" x14ac:dyDescent="0.25">
      <c r="A171" s="230"/>
      <c r="B171" s="231"/>
      <c r="C171" s="15"/>
      <c r="D171"/>
      <c r="E171"/>
      <c r="F171" s="15"/>
      <c r="G171"/>
      <c r="H171"/>
      <c r="I171"/>
      <c r="J171"/>
    </row>
    <row r="172" spans="1:10" x14ac:dyDescent="0.25">
      <c r="A172" s="230"/>
      <c r="B172" s="231"/>
      <c r="C172" s="15"/>
      <c r="D172"/>
      <c r="E172"/>
      <c r="F172" s="15"/>
      <c r="G172"/>
      <c r="H172"/>
      <c r="I172"/>
      <c r="J172"/>
    </row>
    <row r="173" spans="1:10" x14ac:dyDescent="0.25">
      <c r="A173" s="230"/>
      <c r="B173" s="231"/>
      <c r="C173" s="15"/>
      <c r="D173"/>
      <c r="E173"/>
      <c r="F173" s="15"/>
      <c r="G173"/>
      <c r="H173"/>
      <c r="I173"/>
      <c r="J173"/>
    </row>
    <row r="174" spans="1:10" x14ac:dyDescent="0.25">
      <c r="A174" s="230"/>
      <c r="B174" s="231"/>
      <c r="C174" s="15"/>
      <c r="D174"/>
      <c r="E174"/>
      <c r="F174" s="15"/>
      <c r="G174"/>
      <c r="H174"/>
      <c r="I174"/>
      <c r="J174"/>
    </row>
    <row r="175" spans="1:10" x14ac:dyDescent="0.25">
      <c r="A175" s="230"/>
      <c r="B175" s="231"/>
      <c r="C175" s="15"/>
      <c r="D175"/>
      <c r="E175"/>
      <c r="F175" s="15"/>
      <c r="G175"/>
      <c r="H175"/>
      <c r="I175"/>
      <c r="J175"/>
    </row>
    <row r="176" spans="1:10" x14ac:dyDescent="0.25">
      <c r="A176" s="230"/>
      <c r="B176" s="231"/>
      <c r="C176" s="15"/>
      <c r="D176"/>
      <c r="E176"/>
      <c r="F176" s="15"/>
      <c r="G176"/>
      <c r="H176"/>
      <c r="I176"/>
      <c r="J176"/>
    </row>
    <row r="177" spans="1:10" x14ac:dyDescent="0.25">
      <c r="A177" s="230"/>
      <c r="B177" s="231"/>
      <c r="C177" s="15"/>
      <c r="D177"/>
      <c r="E177"/>
      <c r="F177" s="15"/>
      <c r="G177"/>
      <c r="H177"/>
      <c r="I177"/>
      <c r="J177"/>
    </row>
    <row r="178" spans="1:10" x14ac:dyDescent="0.25">
      <c r="A178" s="230"/>
      <c r="B178" s="231"/>
      <c r="C178" s="15"/>
      <c r="D178"/>
      <c r="E178"/>
      <c r="F178" s="15"/>
      <c r="G178"/>
      <c r="H178"/>
      <c r="I178"/>
      <c r="J178"/>
    </row>
    <row r="179" spans="1:10" x14ac:dyDescent="0.25">
      <c r="A179" s="230"/>
      <c r="B179" s="231"/>
      <c r="C179" s="15"/>
      <c r="D179"/>
      <c r="E179"/>
      <c r="F179" s="15"/>
      <c r="G179"/>
      <c r="H179"/>
      <c r="I179"/>
      <c r="J179"/>
    </row>
    <row r="180" spans="1:10" x14ac:dyDescent="0.25">
      <c r="A180" s="230"/>
      <c r="B180" s="231"/>
      <c r="C180" s="15"/>
      <c r="D180"/>
      <c r="E180"/>
      <c r="F180" s="15"/>
      <c r="G180"/>
      <c r="H180"/>
      <c r="I180"/>
      <c r="J180"/>
    </row>
    <row r="181" spans="1:10" x14ac:dyDescent="0.25">
      <c r="A181" s="230"/>
      <c r="B181" s="231"/>
      <c r="C181" s="15"/>
      <c r="D181"/>
      <c r="E181"/>
      <c r="F181" s="15"/>
      <c r="G181"/>
      <c r="H181"/>
      <c r="I181"/>
      <c r="J181"/>
    </row>
    <row r="182" spans="1:10" x14ac:dyDescent="0.25">
      <c r="A182" s="230"/>
      <c r="B182" s="231"/>
      <c r="C182" s="15"/>
      <c r="D182"/>
      <c r="E182"/>
      <c r="F182" s="15"/>
      <c r="G182"/>
      <c r="H182"/>
      <c r="I182"/>
      <c r="J182"/>
    </row>
    <row r="183" spans="1:10" x14ac:dyDescent="0.25">
      <c r="A183" s="230"/>
      <c r="B183" s="231"/>
      <c r="C183" s="15"/>
      <c r="D183"/>
      <c r="E183"/>
      <c r="F183" s="15"/>
      <c r="G183"/>
      <c r="H183"/>
      <c r="I183"/>
      <c r="J183"/>
    </row>
    <row r="184" spans="1:10" x14ac:dyDescent="0.25">
      <c r="A184" s="230"/>
      <c r="B184" s="231"/>
      <c r="C184" s="15"/>
      <c r="D184"/>
      <c r="E184"/>
      <c r="F184" s="15"/>
      <c r="G184"/>
      <c r="H184"/>
      <c r="I184"/>
      <c r="J184"/>
    </row>
    <row r="185" spans="1:10" x14ac:dyDescent="0.25">
      <c r="A185" s="230"/>
      <c r="B185" s="231"/>
      <c r="C185" s="15"/>
      <c r="D185"/>
      <c r="E185"/>
      <c r="F185" s="15"/>
      <c r="G185"/>
      <c r="H185"/>
      <c r="I185"/>
      <c r="J185"/>
    </row>
    <row r="186" spans="1:10" x14ac:dyDescent="0.25">
      <c r="A186" s="230"/>
      <c r="B186" s="231"/>
      <c r="C186" s="15"/>
      <c r="D186"/>
      <c r="E186"/>
      <c r="F186" s="15"/>
      <c r="G186"/>
      <c r="H186"/>
      <c r="I186"/>
      <c r="J186"/>
    </row>
    <row r="187" spans="1:10" x14ac:dyDescent="0.25">
      <c r="A187" s="230"/>
      <c r="B187" s="231"/>
      <c r="C187" s="15"/>
      <c r="D187"/>
      <c r="E187"/>
      <c r="F187" s="15"/>
      <c r="G187"/>
      <c r="H187"/>
      <c r="I187"/>
      <c r="J187"/>
    </row>
    <row r="188" spans="1:10" x14ac:dyDescent="0.25">
      <c r="A188" s="230"/>
      <c r="B188" s="231"/>
      <c r="C188" s="15"/>
      <c r="D188"/>
      <c r="E188"/>
      <c r="F188" s="15"/>
      <c r="G188"/>
      <c r="H188"/>
      <c r="I188"/>
      <c r="J188"/>
    </row>
    <row r="189" spans="1:10" x14ac:dyDescent="0.25">
      <c r="A189" s="230"/>
      <c r="B189" s="231"/>
      <c r="C189" s="15"/>
      <c r="D189"/>
      <c r="E189"/>
      <c r="F189" s="15"/>
      <c r="G189"/>
      <c r="H189"/>
      <c r="I189"/>
      <c r="J189"/>
    </row>
    <row r="190" spans="1:10" x14ac:dyDescent="0.25">
      <c r="A190" s="230"/>
      <c r="B190" s="231"/>
      <c r="C190" s="15"/>
      <c r="D190"/>
      <c r="E190"/>
      <c r="F190" s="15"/>
      <c r="G190"/>
      <c r="H190"/>
      <c r="I190"/>
      <c r="J190"/>
    </row>
    <row r="191" spans="1:10" x14ac:dyDescent="0.25">
      <c r="A191" s="230"/>
      <c r="B191" s="231"/>
      <c r="C191" s="15"/>
      <c r="D191"/>
      <c r="E191"/>
      <c r="F191" s="15"/>
      <c r="G191"/>
      <c r="H191"/>
      <c r="I191"/>
      <c r="J191"/>
    </row>
    <row r="192" spans="1:10" x14ac:dyDescent="0.25">
      <c r="A192" s="230"/>
      <c r="B192" s="231"/>
      <c r="C192" s="15"/>
      <c r="D192"/>
      <c r="E192"/>
      <c r="F192" s="15"/>
      <c r="G192"/>
      <c r="H192"/>
      <c r="I192"/>
      <c r="J192"/>
    </row>
    <row r="193" spans="1:10" x14ac:dyDescent="0.25">
      <c r="A193" s="230"/>
      <c r="B193" s="231"/>
      <c r="C193" s="15"/>
      <c r="D193"/>
      <c r="E193"/>
      <c r="F193" s="15"/>
      <c r="G193"/>
      <c r="H193"/>
      <c r="I193"/>
      <c r="J193"/>
    </row>
    <row r="194" spans="1:10" x14ac:dyDescent="0.25">
      <c r="A194" s="230"/>
      <c r="B194" s="231"/>
      <c r="C194" s="15"/>
      <c r="D194"/>
      <c r="E194"/>
      <c r="F194" s="15"/>
      <c r="G194"/>
      <c r="H194"/>
      <c r="I194"/>
      <c r="J194"/>
    </row>
    <row r="195" spans="1:10" x14ac:dyDescent="0.25">
      <c r="A195" s="230"/>
      <c r="B195" s="231"/>
      <c r="C195" s="15"/>
      <c r="D195"/>
      <c r="E195"/>
      <c r="F195" s="15"/>
      <c r="G195"/>
      <c r="H195"/>
      <c r="I195"/>
      <c r="J195"/>
    </row>
    <row r="196" spans="1:10" x14ac:dyDescent="0.25">
      <c r="A196" s="230"/>
      <c r="B196" s="231"/>
      <c r="C196" s="15"/>
      <c r="D196"/>
      <c r="E196"/>
      <c r="F196" s="15"/>
      <c r="G196"/>
      <c r="H196"/>
      <c r="I196"/>
      <c r="J196"/>
    </row>
    <row r="197" spans="1:10" x14ac:dyDescent="0.25">
      <c r="A197" s="230"/>
      <c r="B197" s="231"/>
      <c r="C197" s="15"/>
      <c r="D197"/>
      <c r="E197"/>
      <c r="F197" s="15"/>
      <c r="G197"/>
      <c r="H197"/>
      <c r="I197"/>
      <c r="J197"/>
    </row>
    <row r="198" spans="1:10" x14ac:dyDescent="0.25">
      <c r="A198" s="230"/>
      <c r="B198" s="231"/>
      <c r="C198" s="15"/>
      <c r="D198"/>
      <c r="E198"/>
      <c r="F198" s="15"/>
      <c r="G198"/>
      <c r="H198"/>
      <c r="I198"/>
      <c r="J198"/>
    </row>
    <row r="199" spans="1:10" x14ac:dyDescent="0.25">
      <c r="A199" s="230"/>
      <c r="B199" s="231"/>
      <c r="C199" s="15"/>
      <c r="D199"/>
      <c r="E199"/>
      <c r="F199" s="15"/>
      <c r="G199"/>
      <c r="H199"/>
      <c r="I199"/>
      <c r="J199"/>
    </row>
    <row r="200" spans="1:10" x14ac:dyDescent="0.25">
      <c r="A200" s="230"/>
      <c r="B200" s="231"/>
      <c r="C200" s="15"/>
      <c r="D200"/>
      <c r="E200"/>
      <c r="F200" s="15"/>
      <c r="G200"/>
      <c r="H200"/>
      <c r="I200"/>
      <c r="J200"/>
    </row>
    <row r="201" spans="1:10" x14ac:dyDescent="0.25">
      <c r="A201" s="230"/>
      <c r="B201" s="231"/>
      <c r="C201" s="15"/>
      <c r="D201"/>
      <c r="E201"/>
      <c r="F201" s="15"/>
      <c r="G201"/>
      <c r="H201"/>
      <c r="I201"/>
      <c r="J201"/>
    </row>
    <row r="202" spans="1:10" x14ac:dyDescent="0.25">
      <c r="A202" s="230"/>
      <c r="B202" s="231"/>
      <c r="C202" s="15"/>
      <c r="D202"/>
      <c r="E202"/>
      <c r="F202" s="15"/>
      <c r="G202"/>
      <c r="H202"/>
      <c r="I202"/>
      <c r="J202"/>
    </row>
    <row r="203" spans="1:10" x14ac:dyDescent="0.25">
      <c r="A203" s="230"/>
      <c r="B203" s="231"/>
      <c r="C203" s="15"/>
      <c r="D203"/>
      <c r="E203"/>
      <c r="F203" s="15"/>
      <c r="G203"/>
      <c r="H203"/>
      <c r="I203"/>
      <c r="J203"/>
    </row>
    <row r="204" spans="1:10" x14ac:dyDescent="0.25">
      <c r="A204" s="230"/>
      <c r="B204" s="231"/>
      <c r="C204" s="15"/>
      <c r="D204"/>
      <c r="E204"/>
      <c r="F204" s="15"/>
      <c r="G204"/>
      <c r="H204"/>
      <c r="I204"/>
      <c r="J204"/>
    </row>
    <row r="205" spans="1:10" x14ac:dyDescent="0.25">
      <c r="A205" s="230"/>
      <c r="B205" s="231"/>
      <c r="C205" s="15"/>
      <c r="D205"/>
      <c r="E205"/>
      <c r="F205" s="15"/>
      <c r="G205"/>
      <c r="H205"/>
      <c r="I205"/>
      <c r="J205"/>
    </row>
    <row r="206" spans="1:10" x14ac:dyDescent="0.25">
      <c r="A206" s="230"/>
      <c r="B206" s="231"/>
      <c r="C206" s="15"/>
      <c r="D206"/>
      <c r="E206"/>
      <c r="F206" s="15"/>
      <c r="G206"/>
      <c r="H206"/>
      <c r="I206"/>
      <c r="J206"/>
    </row>
    <row r="207" spans="1:10" x14ac:dyDescent="0.25">
      <c r="A207" s="230"/>
      <c r="B207" s="231"/>
      <c r="C207" s="15"/>
      <c r="D207"/>
      <c r="E207"/>
      <c r="F207" s="15"/>
      <c r="G207"/>
      <c r="H207"/>
      <c r="I207"/>
      <c r="J207"/>
    </row>
    <row r="208" spans="1:10" x14ac:dyDescent="0.25">
      <c r="A208" s="230"/>
      <c r="B208" s="231"/>
      <c r="C208" s="15"/>
      <c r="D208"/>
      <c r="E208"/>
      <c r="F208" s="15"/>
      <c r="G208"/>
      <c r="H208"/>
      <c r="I208"/>
      <c r="J208"/>
    </row>
    <row r="209" spans="1:10" x14ac:dyDescent="0.25">
      <c r="A209" s="230"/>
      <c r="B209" s="231"/>
      <c r="C209" s="15"/>
      <c r="D209"/>
      <c r="E209"/>
      <c r="F209" s="15"/>
      <c r="G209"/>
      <c r="H209"/>
      <c r="I209"/>
      <c r="J209"/>
    </row>
    <row r="210" spans="1:10" x14ac:dyDescent="0.25">
      <c r="A210" s="230"/>
      <c r="B210" s="231"/>
      <c r="C210" s="15"/>
      <c r="D210"/>
      <c r="E210"/>
      <c r="F210" s="15"/>
      <c r="G210"/>
      <c r="H210"/>
      <c r="I210"/>
      <c r="J210"/>
    </row>
    <row r="211" spans="1:10" x14ac:dyDescent="0.25">
      <c r="A211" s="230"/>
      <c r="B211" s="231"/>
      <c r="C211" s="15"/>
      <c r="D211"/>
      <c r="E211"/>
      <c r="F211" s="15"/>
      <c r="G211"/>
      <c r="H211"/>
      <c r="I211"/>
      <c r="J211"/>
    </row>
    <row r="212" spans="1:10" x14ac:dyDescent="0.25">
      <c r="A212" s="230"/>
      <c r="B212" s="231"/>
      <c r="C212" s="15"/>
      <c r="D212"/>
      <c r="E212"/>
      <c r="F212" s="15"/>
      <c r="G212"/>
      <c r="H212"/>
      <c r="I212"/>
      <c r="J212"/>
    </row>
    <row r="213" spans="1:10" x14ac:dyDescent="0.25">
      <c r="A213" s="230"/>
      <c r="B213" s="231"/>
      <c r="C213" s="15"/>
      <c r="D213"/>
      <c r="E213"/>
      <c r="F213" s="15"/>
      <c r="G213"/>
      <c r="H213"/>
      <c r="I213"/>
      <c r="J213"/>
    </row>
    <row r="214" spans="1:10" x14ac:dyDescent="0.25">
      <c r="A214" s="230"/>
      <c r="B214" s="231"/>
      <c r="C214" s="15"/>
      <c r="D214"/>
      <c r="E214"/>
      <c r="F214" s="15"/>
      <c r="G214"/>
      <c r="H214"/>
      <c r="I214"/>
      <c r="J214"/>
    </row>
    <row r="215" spans="1:10" x14ac:dyDescent="0.25">
      <c r="A215" s="230"/>
      <c r="B215" s="231"/>
      <c r="C215" s="15"/>
      <c r="D215"/>
      <c r="E215"/>
      <c r="F215" s="15"/>
      <c r="G215"/>
      <c r="H215"/>
      <c r="I215"/>
      <c r="J215"/>
    </row>
    <row r="216" spans="1:10" x14ac:dyDescent="0.25">
      <c r="A216" s="230"/>
      <c r="B216" s="231"/>
      <c r="C216" s="15"/>
      <c r="D216"/>
      <c r="E216"/>
      <c r="F216" s="15"/>
      <c r="G216"/>
      <c r="H216"/>
      <c r="I216"/>
      <c r="J216"/>
    </row>
    <row r="217" spans="1:10" x14ac:dyDescent="0.25">
      <c r="A217" s="230"/>
      <c r="B217" s="231"/>
      <c r="C217" s="15"/>
      <c r="D217"/>
      <c r="E217"/>
      <c r="F217" s="15"/>
      <c r="G217"/>
      <c r="H217"/>
      <c r="I217"/>
      <c r="J217"/>
    </row>
    <row r="218" spans="1:10" x14ac:dyDescent="0.25">
      <c r="A218" s="230"/>
      <c r="B218" s="231"/>
      <c r="C218" s="15"/>
      <c r="D218"/>
      <c r="E218"/>
      <c r="F218" s="15"/>
      <c r="G218"/>
      <c r="H218"/>
      <c r="I218"/>
      <c r="J218"/>
    </row>
    <row r="219" spans="1:10" x14ac:dyDescent="0.25">
      <c r="A219" s="230"/>
      <c r="B219" s="231"/>
      <c r="C219" s="15"/>
      <c r="D219"/>
      <c r="E219"/>
      <c r="F219" s="15"/>
      <c r="G219"/>
      <c r="H219"/>
      <c r="I219"/>
      <c r="J219"/>
    </row>
    <row r="220" spans="1:10" x14ac:dyDescent="0.25">
      <c r="A220" s="230"/>
      <c r="B220" s="231"/>
      <c r="C220" s="15"/>
      <c r="D220"/>
      <c r="E220"/>
      <c r="F220" s="15"/>
      <c r="G220"/>
      <c r="H220"/>
      <c r="I220"/>
      <c r="J220"/>
    </row>
    <row r="221" spans="1:10" x14ac:dyDescent="0.25">
      <c r="A221" s="230"/>
      <c r="B221" s="231"/>
      <c r="C221" s="15"/>
      <c r="D221"/>
      <c r="E221"/>
      <c r="F221" s="15"/>
      <c r="G221"/>
      <c r="H221"/>
      <c r="I221"/>
      <c r="J221"/>
    </row>
    <row r="222" spans="1:10" x14ac:dyDescent="0.25">
      <c r="A222" s="230"/>
      <c r="B222" s="231"/>
      <c r="C222" s="15"/>
      <c r="D222"/>
      <c r="E222"/>
      <c r="F222" s="15"/>
      <c r="G222"/>
      <c r="H222"/>
      <c r="I222"/>
      <c r="J222"/>
    </row>
    <row r="223" spans="1:10" x14ac:dyDescent="0.25">
      <c r="A223" s="230"/>
      <c r="B223" s="231"/>
      <c r="C223" s="15"/>
      <c r="D223"/>
      <c r="E223"/>
      <c r="F223" s="15"/>
      <c r="G223"/>
      <c r="H223"/>
      <c r="I223"/>
      <c r="J223"/>
    </row>
    <row r="224" spans="1:10" x14ac:dyDescent="0.25">
      <c r="A224" s="230"/>
      <c r="B224" s="231"/>
      <c r="C224" s="15"/>
      <c r="D224"/>
      <c r="E224"/>
      <c r="F224" s="15"/>
      <c r="G224"/>
      <c r="H224"/>
      <c r="I224"/>
      <c r="J224"/>
    </row>
    <row r="225" spans="1:10" x14ac:dyDescent="0.25">
      <c r="A225" s="230"/>
      <c r="B225" s="231"/>
      <c r="C225" s="15"/>
      <c r="D225"/>
      <c r="E225"/>
      <c r="F225" s="15"/>
      <c r="G225"/>
      <c r="H225"/>
      <c r="I225"/>
      <c r="J225"/>
    </row>
    <row r="226" spans="1:10" x14ac:dyDescent="0.25">
      <c r="A226" s="230"/>
      <c r="B226" s="231"/>
      <c r="C226" s="15"/>
      <c r="D226"/>
      <c r="E226"/>
      <c r="F226" s="15"/>
      <c r="G226"/>
      <c r="H226"/>
      <c r="I226"/>
      <c r="J226"/>
    </row>
    <row r="227" spans="1:10" x14ac:dyDescent="0.25">
      <c r="A227" s="230"/>
      <c r="B227" s="231"/>
      <c r="C227" s="15"/>
      <c r="D227"/>
      <c r="E227"/>
      <c r="F227" s="15"/>
      <c r="G227"/>
      <c r="H227"/>
      <c r="I227"/>
      <c r="J227"/>
    </row>
    <row r="228" spans="1:10" x14ac:dyDescent="0.25">
      <c r="A228" s="230"/>
      <c r="B228" s="231"/>
      <c r="C228" s="15"/>
      <c r="D228"/>
      <c r="E228"/>
      <c r="F228" s="15"/>
      <c r="G228"/>
      <c r="H228"/>
      <c r="I228"/>
      <c r="J228"/>
    </row>
    <row r="229" spans="1:10" x14ac:dyDescent="0.25">
      <c r="A229" s="230"/>
      <c r="B229" s="231"/>
      <c r="C229" s="15"/>
      <c r="D229"/>
      <c r="E229"/>
      <c r="F229" s="15"/>
      <c r="G229"/>
      <c r="H229"/>
      <c r="I229"/>
      <c r="J229"/>
    </row>
    <row r="230" spans="1:10" x14ac:dyDescent="0.25">
      <c r="A230" s="230"/>
      <c r="B230" s="231"/>
      <c r="C230" s="15"/>
      <c r="D230"/>
      <c r="E230"/>
      <c r="F230" s="15"/>
      <c r="G230"/>
      <c r="H230"/>
      <c r="I230"/>
      <c r="J230"/>
    </row>
    <row r="231" spans="1:10" x14ac:dyDescent="0.25">
      <c r="A231" s="230"/>
      <c r="B231" s="231"/>
      <c r="C231" s="15"/>
      <c r="D231"/>
      <c r="E231"/>
      <c r="F231" s="15"/>
      <c r="G231"/>
      <c r="H231"/>
      <c r="I231"/>
      <c r="J231"/>
    </row>
    <row r="232" spans="1:10" x14ac:dyDescent="0.25">
      <c r="A232" s="230"/>
      <c r="B232" s="231"/>
      <c r="C232" s="15"/>
      <c r="D232"/>
      <c r="E232"/>
      <c r="F232" s="15"/>
      <c r="G232"/>
      <c r="H232"/>
      <c r="I232"/>
      <c r="J232"/>
    </row>
    <row r="233" spans="1:10" x14ac:dyDescent="0.25">
      <c r="A233" s="230"/>
      <c r="B233" s="231"/>
      <c r="C233" s="15"/>
      <c r="D233"/>
      <c r="E233"/>
      <c r="F233" s="15"/>
      <c r="G233"/>
      <c r="H233"/>
      <c r="I233"/>
      <c r="J233"/>
    </row>
    <row r="234" spans="1:10" x14ac:dyDescent="0.25">
      <c r="A234" s="230"/>
      <c r="B234" s="231"/>
      <c r="C234" s="15"/>
      <c r="D234"/>
      <c r="E234"/>
      <c r="F234" s="15"/>
      <c r="G234"/>
      <c r="H234"/>
      <c r="I234"/>
      <c r="J234"/>
    </row>
    <row r="235" spans="1:10" x14ac:dyDescent="0.25">
      <c r="A235" s="230"/>
      <c r="B235" s="231"/>
      <c r="C235" s="15"/>
      <c r="D235"/>
      <c r="E235"/>
      <c r="F235" s="15"/>
      <c r="G235"/>
      <c r="H235"/>
      <c r="I235"/>
      <c r="J235"/>
    </row>
    <row r="236" spans="1:10" x14ac:dyDescent="0.25">
      <c r="A236" s="230"/>
      <c r="B236" s="231"/>
      <c r="C236" s="15"/>
      <c r="D236"/>
      <c r="E236"/>
      <c r="F236" s="15"/>
      <c r="G236"/>
      <c r="H236"/>
      <c r="I236"/>
      <c r="J236"/>
    </row>
    <row r="237" spans="1:10" x14ac:dyDescent="0.25">
      <c r="A237" s="230"/>
      <c r="B237" s="231"/>
      <c r="C237" s="15"/>
      <c r="D237"/>
      <c r="E237"/>
      <c r="F237" s="15"/>
      <c r="G237"/>
      <c r="H237"/>
      <c r="I237"/>
      <c r="J237"/>
    </row>
    <row r="238" spans="1:10" x14ac:dyDescent="0.25">
      <c r="A238" s="230"/>
      <c r="B238" s="231"/>
      <c r="C238" s="15"/>
      <c r="D238"/>
      <c r="E238"/>
      <c r="F238" s="15"/>
      <c r="G238"/>
      <c r="H238"/>
      <c r="I238"/>
      <c r="J238"/>
    </row>
    <row r="239" spans="1:10" x14ac:dyDescent="0.25">
      <c r="A239" s="230"/>
      <c r="B239" s="231"/>
      <c r="C239" s="15"/>
      <c r="D239"/>
      <c r="E239"/>
      <c r="F239" s="15"/>
      <c r="G239"/>
      <c r="H239"/>
      <c r="I239"/>
      <c r="J239"/>
    </row>
    <row r="240" spans="1:10" x14ac:dyDescent="0.25">
      <c r="A240" s="230"/>
      <c r="B240" s="231"/>
      <c r="C240" s="15"/>
      <c r="D240"/>
      <c r="E240"/>
      <c r="F240" s="15"/>
      <c r="G240"/>
      <c r="H240"/>
      <c r="I240"/>
      <c r="J240"/>
    </row>
    <row r="241" spans="1:10" x14ac:dyDescent="0.25">
      <c r="A241" s="230"/>
      <c r="B241" s="231"/>
      <c r="C241" s="15"/>
      <c r="D241"/>
      <c r="E241"/>
      <c r="F241" s="15"/>
      <c r="G241"/>
      <c r="H241"/>
      <c r="I241"/>
      <c r="J241"/>
    </row>
    <row r="242" spans="1:10" x14ac:dyDescent="0.25">
      <c r="A242" s="230"/>
      <c r="B242" s="231"/>
      <c r="C242" s="15"/>
      <c r="D242"/>
      <c r="E242"/>
      <c r="F242" s="15"/>
      <c r="G242"/>
      <c r="H242"/>
      <c r="I242"/>
      <c r="J242"/>
    </row>
    <row r="243" spans="1:10" x14ac:dyDescent="0.25">
      <c r="A243" s="230"/>
      <c r="B243" s="231"/>
      <c r="C243" s="15"/>
      <c r="D243"/>
      <c r="E243"/>
      <c r="F243" s="15"/>
      <c r="G243"/>
      <c r="H243"/>
      <c r="I243"/>
      <c r="J243"/>
    </row>
    <row r="244" spans="1:10" x14ac:dyDescent="0.25">
      <c r="A244" s="230"/>
      <c r="B244" s="231"/>
      <c r="C244" s="15"/>
      <c r="D244"/>
      <c r="E244"/>
      <c r="F244" s="15"/>
      <c r="G244"/>
      <c r="H244"/>
      <c r="I244"/>
      <c r="J244"/>
    </row>
    <row r="245" spans="1:10" x14ac:dyDescent="0.25">
      <c r="A245" s="230"/>
      <c r="B245" s="231"/>
      <c r="C245" s="15"/>
      <c r="D245"/>
      <c r="E245"/>
      <c r="F245" s="15"/>
      <c r="G245"/>
      <c r="H245"/>
      <c r="I245"/>
      <c r="J245"/>
    </row>
    <row r="246" spans="1:10" x14ac:dyDescent="0.25">
      <c r="A246" s="230"/>
      <c r="B246" s="231"/>
      <c r="C246" s="15"/>
      <c r="D246"/>
      <c r="E246"/>
      <c r="F246" s="15"/>
      <c r="G246"/>
      <c r="H246"/>
      <c r="I246"/>
      <c r="J246"/>
    </row>
    <row r="247" spans="1:10" x14ac:dyDescent="0.25">
      <c r="A247" s="230"/>
      <c r="B247" s="231"/>
      <c r="C247" s="15"/>
      <c r="D247"/>
      <c r="E247"/>
      <c r="F247" s="15"/>
      <c r="G247"/>
      <c r="H247"/>
      <c r="I247"/>
      <c r="J247"/>
    </row>
    <row r="248" spans="1:10" x14ac:dyDescent="0.25">
      <c r="A248" s="230"/>
      <c r="B248" s="231"/>
      <c r="C248" s="15"/>
      <c r="D248"/>
      <c r="E248"/>
      <c r="F248" s="15"/>
      <c r="G248"/>
      <c r="H248"/>
      <c r="I248"/>
      <c r="J248"/>
    </row>
    <row r="249" spans="1:10" x14ac:dyDescent="0.25">
      <c r="A249" s="230"/>
      <c r="B249" s="231"/>
      <c r="C249" s="15"/>
      <c r="D249"/>
      <c r="E249"/>
      <c r="F249" s="15"/>
      <c r="G249"/>
      <c r="H249"/>
      <c r="I249"/>
      <c r="J249"/>
    </row>
    <row r="250" spans="1:10" x14ac:dyDescent="0.25">
      <c r="A250" s="230"/>
      <c r="B250" s="231"/>
      <c r="C250" s="15"/>
      <c r="D250"/>
      <c r="E250"/>
      <c r="F250" s="15"/>
      <c r="G250"/>
      <c r="H250"/>
      <c r="I250"/>
      <c r="J250"/>
    </row>
    <row r="251" spans="1:10" x14ac:dyDescent="0.25">
      <c r="A251" s="230"/>
      <c r="B251" s="231"/>
      <c r="C251" s="15"/>
      <c r="D251"/>
      <c r="E251"/>
      <c r="F251" s="15"/>
      <c r="G251"/>
      <c r="H251"/>
      <c r="I251"/>
      <c r="J251"/>
    </row>
    <row r="252" spans="1:10" x14ac:dyDescent="0.25">
      <c r="A252" s="230"/>
      <c r="B252" s="231"/>
      <c r="C252" s="15"/>
      <c r="D252"/>
      <c r="E252"/>
      <c r="F252" s="15"/>
      <c r="G252"/>
      <c r="H252"/>
      <c r="I252"/>
      <c r="J252"/>
    </row>
    <row r="253" spans="1:10" x14ac:dyDescent="0.25">
      <c r="A253" s="230"/>
      <c r="B253" s="231"/>
      <c r="C253" s="15"/>
      <c r="D253"/>
      <c r="E253"/>
      <c r="F253" s="15"/>
      <c r="G253"/>
      <c r="H253"/>
      <c r="I253"/>
      <c r="J253"/>
    </row>
    <row r="254" spans="1:10" x14ac:dyDescent="0.25">
      <c r="A254" s="230"/>
      <c r="B254" s="231"/>
      <c r="C254" s="15"/>
      <c r="D254"/>
      <c r="E254"/>
      <c r="F254" s="15"/>
      <c r="G254"/>
      <c r="H254"/>
      <c r="I254"/>
      <c r="J254"/>
    </row>
    <row r="255" spans="1:10" x14ac:dyDescent="0.25">
      <c r="A255" s="230"/>
      <c r="B255" s="231"/>
      <c r="C255" s="15"/>
      <c r="D255"/>
      <c r="E255"/>
      <c r="F255" s="15"/>
      <c r="G255"/>
      <c r="H255"/>
      <c r="I255"/>
      <c r="J255"/>
    </row>
    <row r="256" spans="1:10" x14ac:dyDescent="0.25">
      <c r="A256" s="230"/>
      <c r="B256" s="231"/>
      <c r="C256" s="15"/>
      <c r="D256"/>
      <c r="E256"/>
      <c r="F256" s="15"/>
      <c r="G256"/>
      <c r="H256"/>
      <c r="I256"/>
      <c r="J256"/>
    </row>
    <row r="257" spans="1:10" x14ac:dyDescent="0.25">
      <c r="A257" s="230"/>
      <c r="B257" s="231"/>
      <c r="C257" s="15"/>
      <c r="D257"/>
      <c r="E257"/>
      <c r="F257" s="15"/>
      <c r="G257"/>
      <c r="H257"/>
      <c r="I257"/>
      <c r="J257"/>
    </row>
    <row r="258" spans="1:10" x14ac:dyDescent="0.25">
      <c r="A258" s="230"/>
      <c r="B258" s="231"/>
      <c r="C258" s="15"/>
      <c r="D258"/>
      <c r="E258"/>
      <c r="F258" s="15"/>
      <c r="G258"/>
      <c r="H258"/>
      <c r="I258"/>
      <c r="J258"/>
    </row>
    <row r="259" spans="1:10" x14ac:dyDescent="0.25">
      <c r="A259" s="230"/>
      <c r="B259" s="231"/>
      <c r="C259" s="15"/>
      <c r="D259"/>
      <c r="E259"/>
      <c r="F259" s="15"/>
      <c r="G259"/>
      <c r="H259"/>
      <c r="I259"/>
      <c r="J259"/>
    </row>
    <row r="260" spans="1:10" x14ac:dyDescent="0.25">
      <c r="A260" s="230"/>
      <c r="B260" s="231"/>
      <c r="C260" s="15"/>
      <c r="D260"/>
      <c r="E260"/>
      <c r="F260" s="15"/>
      <c r="G260"/>
      <c r="H260"/>
      <c r="I260"/>
      <c r="J260"/>
    </row>
    <row r="261" spans="1:10" x14ac:dyDescent="0.25">
      <c r="A261" s="230"/>
      <c r="B261" s="231"/>
      <c r="C261" s="15"/>
      <c r="D261"/>
      <c r="E261"/>
      <c r="F261" s="15"/>
      <c r="G261"/>
      <c r="H261"/>
      <c r="I261"/>
      <c r="J261"/>
    </row>
    <row r="262" spans="1:10" x14ac:dyDescent="0.25">
      <c r="A262" s="230"/>
      <c r="B262" s="231"/>
      <c r="C262" s="15"/>
      <c r="D262"/>
      <c r="E262"/>
      <c r="F262" s="15"/>
      <c r="G262"/>
      <c r="H262"/>
      <c r="I262"/>
      <c r="J262"/>
    </row>
    <row r="263" spans="1:10" x14ac:dyDescent="0.25">
      <c r="A263" s="230"/>
      <c r="B263" s="231"/>
      <c r="C263" s="15"/>
      <c r="D263"/>
      <c r="E263"/>
      <c r="F263" s="15"/>
      <c r="G263"/>
      <c r="H263"/>
      <c r="I263"/>
      <c r="J263"/>
    </row>
    <row r="264" spans="1:10" x14ac:dyDescent="0.25">
      <c r="A264" s="230"/>
      <c r="B264" s="231"/>
      <c r="C264" s="15"/>
      <c r="D264"/>
      <c r="E264"/>
      <c r="F264" s="15"/>
      <c r="G264"/>
      <c r="H264"/>
      <c r="I264"/>
      <c r="J264"/>
    </row>
    <row r="265" spans="1:10" x14ac:dyDescent="0.25">
      <c r="A265" s="230"/>
      <c r="B265" s="231"/>
      <c r="C265" s="15"/>
      <c r="D265"/>
      <c r="E265"/>
      <c r="F265" s="15"/>
      <c r="G265"/>
      <c r="H265"/>
      <c r="I265"/>
      <c r="J265"/>
    </row>
    <row r="266" spans="1:10" x14ac:dyDescent="0.25">
      <c r="A266" s="230"/>
      <c r="B266" s="231"/>
      <c r="C266" s="15"/>
      <c r="D266"/>
      <c r="E266"/>
      <c r="F266" s="15"/>
      <c r="G266"/>
      <c r="H266"/>
      <c r="I266"/>
      <c r="J266"/>
    </row>
    <row r="267" spans="1:10" x14ac:dyDescent="0.25">
      <c r="A267" s="230"/>
      <c r="B267" s="231"/>
      <c r="C267" s="15"/>
      <c r="D267"/>
      <c r="E267"/>
      <c r="F267" s="15"/>
      <c r="G267"/>
      <c r="H267"/>
      <c r="I267"/>
      <c r="J267"/>
    </row>
    <row r="268" spans="1:10" x14ac:dyDescent="0.25">
      <c r="A268" s="230"/>
      <c r="B268" s="231"/>
      <c r="C268" s="15"/>
      <c r="D268"/>
      <c r="E268"/>
      <c r="F268" s="15"/>
      <c r="G268"/>
      <c r="H268"/>
      <c r="I268"/>
      <c r="J268"/>
    </row>
    <row r="269" spans="1:10" x14ac:dyDescent="0.25">
      <c r="A269" s="230"/>
      <c r="B269" s="231"/>
      <c r="C269" s="15"/>
      <c r="D269"/>
      <c r="E269"/>
      <c r="F269" s="15"/>
      <c r="G269"/>
      <c r="H269"/>
      <c r="I269"/>
      <c r="J269"/>
    </row>
    <row r="270" spans="1:10" x14ac:dyDescent="0.25">
      <c r="A270" s="230"/>
      <c r="B270" s="231"/>
      <c r="C270" s="15"/>
      <c r="D270"/>
      <c r="E270"/>
      <c r="F270" s="15"/>
      <c r="G270"/>
      <c r="H270"/>
      <c r="I270"/>
      <c r="J270"/>
    </row>
    <row r="271" spans="1:10" x14ac:dyDescent="0.25">
      <c r="A271" s="230"/>
      <c r="B271" s="231"/>
      <c r="C271" s="15"/>
      <c r="D271"/>
      <c r="E271"/>
      <c r="F271" s="15"/>
      <c r="G271"/>
      <c r="H271"/>
      <c r="I271"/>
      <c r="J271"/>
    </row>
    <row r="272" spans="1:10" x14ac:dyDescent="0.25">
      <c r="A272" s="230"/>
      <c r="B272" s="231"/>
      <c r="C272" s="15"/>
      <c r="D272"/>
      <c r="E272"/>
      <c r="F272" s="15"/>
      <c r="G272"/>
      <c r="H272"/>
      <c r="I272"/>
      <c r="J272"/>
    </row>
    <row r="273" spans="1:10" x14ac:dyDescent="0.25">
      <c r="A273" s="230"/>
      <c r="B273" s="231"/>
      <c r="C273" s="15"/>
      <c r="D273"/>
      <c r="E273"/>
      <c r="F273" s="15"/>
      <c r="G273"/>
      <c r="H273"/>
      <c r="I273"/>
      <c r="J273"/>
    </row>
    <row r="274" spans="1:10" x14ac:dyDescent="0.25">
      <c r="A274" s="230"/>
      <c r="B274" s="231"/>
      <c r="C274" s="15"/>
      <c r="D274"/>
      <c r="E274"/>
      <c r="F274" s="15"/>
      <c r="G274"/>
      <c r="H274"/>
      <c r="I274"/>
      <c r="J274"/>
    </row>
    <row r="275" spans="1:10" x14ac:dyDescent="0.25">
      <c r="A275" s="230"/>
      <c r="B275" s="231"/>
      <c r="C275" s="15"/>
      <c r="D275"/>
      <c r="E275"/>
      <c r="F275" s="15"/>
      <c r="G275"/>
      <c r="H275"/>
      <c r="I275"/>
      <c r="J275"/>
    </row>
    <row r="276" spans="1:10" x14ac:dyDescent="0.25">
      <c r="A276" s="230"/>
      <c r="B276" s="231"/>
      <c r="C276" s="15"/>
      <c r="D276"/>
      <c r="E276"/>
      <c r="F276" s="15"/>
      <c r="G276"/>
      <c r="H276"/>
      <c r="I276"/>
      <c r="J276"/>
    </row>
    <row r="277" spans="1:10" x14ac:dyDescent="0.25">
      <c r="A277" s="230"/>
      <c r="B277" s="231"/>
      <c r="C277" s="15"/>
      <c r="D277"/>
      <c r="E277"/>
      <c r="F277" s="15"/>
      <c r="G277"/>
      <c r="H277"/>
      <c r="I277"/>
      <c r="J277"/>
    </row>
    <row r="278" spans="1:10" x14ac:dyDescent="0.25">
      <c r="A278" s="230"/>
      <c r="B278" s="231"/>
      <c r="C278" s="15"/>
      <c r="D278"/>
      <c r="E278"/>
      <c r="F278" s="15"/>
      <c r="G278"/>
      <c r="H278"/>
      <c r="I278"/>
      <c r="J278"/>
    </row>
    <row r="279" spans="1:10" x14ac:dyDescent="0.25">
      <c r="A279" s="230"/>
      <c r="B279" s="231"/>
      <c r="C279" s="15"/>
      <c r="D279"/>
      <c r="E279"/>
      <c r="F279" s="15"/>
      <c r="G279"/>
      <c r="H279"/>
      <c r="I279"/>
      <c r="J279"/>
    </row>
    <row r="280" spans="1:10" x14ac:dyDescent="0.25">
      <c r="A280" s="230"/>
      <c r="B280" s="231"/>
      <c r="C280" s="15"/>
      <c r="D280"/>
      <c r="E280"/>
      <c r="F280" s="15"/>
      <c r="G280"/>
      <c r="H280"/>
      <c r="I280"/>
      <c r="J280"/>
    </row>
    <row r="281" spans="1:10" x14ac:dyDescent="0.25">
      <c r="A281" s="230"/>
      <c r="B281" s="231"/>
      <c r="C281" s="15"/>
      <c r="D281"/>
      <c r="E281"/>
      <c r="F281" s="15"/>
      <c r="G281"/>
      <c r="H281"/>
      <c r="I281"/>
      <c r="J281"/>
    </row>
    <row r="282" spans="1:10" x14ac:dyDescent="0.25">
      <c r="A282" s="230"/>
      <c r="B282" s="231"/>
      <c r="C282" s="15"/>
      <c r="D282"/>
      <c r="E282"/>
      <c r="F282" s="15"/>
      <c r="G282"/>
      <c r="H282"/>
      <c r="I282"/>
      <c r="J282"/>
    </row>
    <row r="283" spans="1:10" x14ac:dyDescent="0.25">
      <c r="A283" s="230"/>
      <c r="B283" s="231"/>
      <c r="C283" s="15"/>
      <c r="D283"/>
      <c r="E283"/>
      <c r="F283" s="15"/>
      <c r="G283"/>
      <c r="H283"/>
      <c r="I283"/>
      <c r="J283"/>
    </row>
    <row r="284" spans="1:10" x14ac:dyDescent="0.25">
      <c r="A284" s="230"/>
      <c r="B284" s="231"/>
      <c r="C284" s="15"/>
      <c r="D284"/>
      <c r="E284"/>
      <c r="F284" s="15"/>
      <c r="G284"/>
      <c r="H284"/>
      <c r="I284"/>
      <c r="J284"/>
    </row>
    <row r="285" spans="1:10" x14ac:dyDescent="0.25">
      <c r="A285" s="230"/>
      <c r="B285" s="231"/>
      <c r="C285" s="15"/>
      <c r="D285"/>
      <c r="E285"/>
      <c r="F285" s="15"/>
      <c r="G285"/>
      <c r="H285"/>
      <c r="I285"/>
      <c r="J285"/>
    </row>
    <row r="286" spans="1:10" x14ac:dyDescent="0.25">
      <c r="A286" s="230"/>
      <c r="B286" s="231"/>
      <c r="C286" s="15"/>
      <c r="D286"/>
      <c r="E286"/>
      <c r="F286" s="15"/>
      <c r="G286"/>
      <c r="H286"/>
      <c r="I286"/>
      <c r="J286"/>
    </row>
    <row r="287" spans="1:10" x14ac:dyDescent="0.25">
      <c r="A287" s="230"/>
      <c r="B287" s="231"/>
      <c r="C287" s="15"/>
      <c r="D287"/>
      <c r="E287"/>
      <c r="F287" s="15"/>
      <c r="G287"/>
      <c r="H287"/>
      <c r="I287"/>
      <c r="J287"/>
    </row>
    <row r="288" spans="1:10" x14ac:dyDescent="0.25">
      <c r="A288" s="230"/>
      <c r="B288" s="231"/>
      <c r="C288" s="15"/>
      <c r="D288"/>
      <c r="E288"/>
      <c r="F288" s="15"/>
      <c r="G288"/>
      <c r="H288"/>
      <c r="I288"/>
      <c r="J288"/>
    </row>
    <row r="289" spans="1:10" x14ac:dyDescent="0.25">
      <c r="A289" s="230"/>
      <c r="B289" s="231"/>
      <c r="C289" s="15"/>
      <c r="D289"/>
      <c r="E289"/>
      <c r="F289" s="15"/>
      <c r="G289"/>
      <c r="H289"/>
      <c r="I289"/>
      <c r="J289"/>
    </row>
    <row r="290" spans="1:10" x14ac:dyDescent="0.25">
      <c r="A290" s="230"/>
      <c r="B290" s="231"/>
      <c r="C290" s="15"/>
      <c r="D290"/>
      <c r="E290"/>
      <c r="F290" s="15"/>
      <c r="G290"/>
      <c r="H290"/>
      <c r="I290"/>
      <c r="J290"/>
    </row>
    <row r="291" spans="1:10" x14ac:dyDescent="0.25">
      <c r="A291" s="230"/>
      <c r="B291" s="231"/>
      <c r="C291" s="15"/>
      <c r="D291"/>
      <c r="E291"/>
      <c r="F291" s="15"/>
      <c r="G291"/>
      <c r="H291"/>
      <c r="I291"/>
      <c r="J291"/>
    </row>
    <row r="292" spans="1:10" x14ac:dyDescent="0.25">
      <c r="A292" s="230"/>
      <c r="B292" s="231"/>
      <c r="C292" s="15"/>
      <c r="D292"/>
      <c r="E292"/>
      <c r="F292" s="15"/>
      <c r="G292"/>
      <c r="H292"/>
      <c r="I292"/>
      <c r="J292"/>
    </row>
    <row r="293" spans="1:10" x14ac:dyDescent="0.25">
      <c r="A293" s="230"/>
      <c r="B293" s="231"/>
      <c r="C293" s="15"/>
      <c r="D293"/>
      <c r="E293"/>
      <c r="F293" s="15"/>
      <c r="G293"/>
      <c r="H293"/>
      <c r="I293"/>
      <c r="J293"/>
    </row>
    <row r="294" spans="1:10" x14ac:dyDescent="0.25">
      <c r="A294" s="230"/>
      <c r="B294" s="231"/>
      <c r="C294" s="15"/>
      <c r="D294"/>
      <c r="E294"/>
      <c r="F294" s="15"/>
      <c r="G294"/>
      <c r="H294"/>
      <c r="I294"/>
      <c r="J294"/>
    </row>
    <row r="295" spans="1:10" x14ac:dyDescent="0.25">
      <c r="A295" s="230"/>
      <c r="B295" s="231"/>
      <c r="C295" s="15"/>
      <c r="D295"/>
      <c r="E295"/>
      <c r="F295" s="15"/>
      <c r="G295"/>
      <c r="H295"/>
      <c r="I295"/>
      <c r="J295"/>
    </row>
    <row r="296" spans="1:10" x14ac:dyDescent="0.25">
      <c r="A296" s="230"/>
      <c r="B296" s="231"/>
      <c r="C296" s="15"/>
      <c r="D296"/>
      <c r="E296"/>
      <c r="F296" s="15"/>
      <c r="G296"/>
      <c r="H296"/>
      <c r="I296"/>
      <c r="J296"/>
    </row>
    <row r="297" spans="1:10" x14ac:dyDescent="0.25">
      <c r="A297" s="230"/>
      <c r="B297" s="231"/>
      <c r="C297" s="15"/>
      <c r="D297"/>
      <c r="E297"/>
      <c r="F297" s="15"/>
      <c r="G297"/>
      <c r="H297"/>
      <c r="I297"/>
      <c r="J297"/>
    </row>
    <row r="298" spans="1:10" x14ac:dyDescent="0.25">
      <c r="A298" s="230"/>
      <c r="B298" s="231"/>
      <c r="C298" s="15"/>
      <c r="D298"/>
      <c r="E298"/>
      <c r="F298" s="15"/>
      <c r="G298"/>
      <c r="H298"/>
      <c r="I298"/>
      <c r="J298"/>
    </row>
    <row r="299" spans="1:10" x14ac:dyDescent="0.25">
      <c r="A299" s="230"/>
      <c r="B299" s="231"/>
      <c r="C299" s="15"/>
      <c r="D299"/>
      <c r="E299"/>
      <c r="F299" s="15"/>
      <c r="G299"/>
      <c r="H299"/>
      <c r="I299"/>
      <c r="J299"/>
    </row>
    <row r="300" spans="1:10" x14ac:dyDescent="0.25">
      <c r="A300" s="230"/>
      <c r="B300" s="231"/>
      <c r="C300" s="15"/>
      <c r="D300"/>
      <c r="E300"/>
      <c r="F300" s="15"/>
      <c r="G300"/>
      <c r="H300"/>
      <c r="I300"/>
      <c r="J300"/>
    </row>
    <row r="301" spans="1:10" x14ac:dyDescent="0.25">
      <c r="A301" s="230"/>
      <c r="B301" s="231"/>
      <c r="C301" s="15"/>
      <c r="D301"/>
      <c r="E301"/>
      <c r="F301" s="15"/>
      <c r="G301"/>
      <c r="H301"/>
      <c r="I301"/>
      <c r="J301"/>
    </row>
    <row r="302" spans="1:10" x14ac:dyDescent="0.25">
      <c r="A302" s="230"/>
      <c r="B302" s="231"/>
      <c r="C302" s="15"/>
      <c r="D302"/>
      <c r="E302"/>
      <c r="F302" s="15"/>
      <c r="G302"/>
      <c r="H302"/>
      <c r="I302"/>
      <c r="J302"/>
    </row>
    <row r="303" spans="1:10" x14ac:dyDescent="0.25">
      <c r="A303" s="230"/>
      <c r="B303" s="231"/>
      <c r="C303" s="15"/>
      <c r="D303"/>
      <c r="E303"/>
      <c r="F303" s="15"/>
      <c r="G303"/>
      <c r="H303"/>
      <c r="I303"/>
      <c r="J303"/>
    </row>
    <row r="304" spans="1:10" x14ac:dyDescent="0.25">
      <c r="A304" s="230"/>
      <c r="B304" s="231"/>
      <c r="C304" s="15"/>
      <c r="D304"/>
      <c r="E304"/>
      <c r="F304" s="15"/>
      <c r="G304"/>
      <c r="H304"/>
      <c r="I304"/>
      <c r="J304"/>
    </row>
    <row r="305" spans="1:10" x14ac:dyDescent="0.25">
      <c r="A305" s="230"/>
      <c r="B305" s="231"/>
      <c r="C305" s="15"/>
      <c r="D305"/>
      <c r="E305"/>
      <c r="F305" s="15"/>
      <c r="G305"/>
      <c r="H305"/>
      <c r="I305"/>
      <c r="J305"/>
    </row>
    <row r="306" spans="1:10" x14ac:dyDescent="0.25">
      <c r="A306" s="230"/>
      <c r="B306" s="231"/>
      <c r="C306" s="15"/>
      <c r="D306"/>
      <c r="E306"/>
      <c r="F306" s="15"/>
      <c r="G306"/>
      <c r="H306"/>
      <c r="I306"/>
      <c r="J306"/>
    </row>
    <row r="307" spans="1:10" x14ac:dyDescent="0.25">
      <c r="A307" s="230"/>
      <c r="B307" s="231"/>
      <c r="C307" s="15"/>
      <c r="D307"/>
      <c r="E307"/>
      <c r="F307" s="15"/>
      <c r="G307"/>
      <c r="H307"/>
      <c r="I307"/>
      <c r="J307"/>
    </row>
    <row r="308" spans="1:10" x14ac:dyDescent="0.25">
      <c r="A308" s="230"/>
      <c r="B308" s="231"/>
      <c r="C308" s="15"/>
      <c r="D308"/>
      <c r="E308"/>
      <c r="F308" s="15"/>
      <c r="G308"/>
      <c r="H308"/>
      <c r="I308"/>
      <c r="J308"/>
    </row>
    <row r="309" spans="1:10" x14ac:dyDescent="0.25">
      <c r="A309" s="230"/>
      <c r="B309" s="231"/>
      <c r="C309" s="15"/>
      <c r="D309"/>
      <c r="E309"/>
      <c r="F309" s="15"/>
      <c r="G309"/>
      <c r="H309"/>
      <c r="I309"/>
      <c r="J309"/>
    </row>
    <row r="310" spans="1:10" x14ac:dyDescent="0.25">
      <c r="A310" s="230"/>
      <c r="B310" s="231"/>
      <c r="C310" s="15"/>
      <c r="D310"/>
      <c r="E310"/>
      <c r="F310" s="15"/>
      <c r="G310"/>
      <c r="H310"/>
      <c r="I310"/>
      <c r="J310"/>
    </row>
    <row r="311" spans="1:10" x14ac:dyDescent="0.25">
      <c r="A311" s="230"/>
      <c r="B311" s="231"/>
      <c r="C311" s="15"/>
      <c r="D311"/>
      <c r="E311"/>
      <c r="F311" s="15"/>
      <c r="G311"/>
      <c r="H311"/>
      <c r="I311"/>
      <c r="J311"/>
    </row>
    <row r="312" spans="1:10" x14ac:dyDescent="0.25">
      <c r="A312" s="230"/>
      <c r="B312" s="231"/>
      <c r="C312" s="15"/>
      <c r="D312"/>
      <c r="E312"/>
      <c r="F312" s="15"/>
      <c r="G312"/>
      <c r="H312"/>
      <c r="I312"/>
      <c r="J312"/>
    </row>
    <row r="313" spans="1:10" x14ac:dyDescent="0.25">
      <c r="A313" s="230"/>
      <c r="B313" s="231"/>
      <c r="C313" s="15"/>
      <c r="D313"/>
      <c r="E313"/>
      <c r="F313" s="15"/>
      <c r="G313"/>
      <c r="H313"/>
      <c r="I313"/>
      <c r="J313"/>
    </row>
    <row r="314" spans="1:10" x14ac:dyDescent="0.25">
      <c r="A314" s="230"/>
      <c r="B314" s="231"/>
      <c r="C314" s="15"/>
      <c r="D314"/>
      <c r="E314"/>
      <c r="F314" s="15"/>
      <c r="G314"/>
      <c r="H314"/>
      <c r="I314"/>
      <c r="J314"/>
    </row>
    <row r="315" spans="1:10" x14ac:dyDescent="0.25">
      <c r="A315" s="230"/>
      <c r="B315" s="231"/>
      <c r="C315" s="15"/>
      <c r="D315"/>
      <c r="E315"/>
      <c r="F315" s="15"/>
      <c r="G315"/>
      <c r="H315"/>
      <c r="I315"/>
      <c r="J315"/>
    </row>
    <row r="316" spans="1:10" x14ac:dyDescent="0.25">
      <c r="A316" s="230"/>
      <c r="B316" s="231"/>
      <c r="C316" s="15"/>
      <c r="D316"/>
      <c r="E316"/>
      <c r="F316" s="15"/>
      <c r="G316"/>
      <c r="H316"/>
      <c r="I316"/>
      <c r="J316"/>
    </row>
    <row r="317" spans="1:10" x14ac:dyDescent="0.25">
      <c r="A317" s="230"/>
      <c r="B317" s="231"/>
      <c r="C317" s="15"/>
      <c r="D317"/>
      <c r="E317"/>
      <c r="F317" s="15"/>
      <c r="G317"/>
      <c r="H317"/>
      <c r="I317"/>
      <c r="J317"/>
    </row>
    <row r="318" spans="1:10" x14ac:dyDescent="0.25">
      <c r="A318" s="230"/>
      <c r="B318" s="231"/>
      <c r="C318" s="15"/>
      <c r="D318"/>
      <c r="E318"/>
      <c r="F318" s="15"/>
      <c r="G318"/>
      <c r="H318"/>
      <c r="I318"/>
      <c r="J318"/>
    </row>
    <row r="319" spans="1:10" x14ac:dyDescent="0.25">
      <c r="A319" s="230"/>
      <c r="B319" s="231"/>
      <c r="C319" s="15"/>
      <c r="D319"/>
      <c r="E319"/>
      <c r="F319" s="15"/>
      <c r="G319"/>
      <c r="H319"/>
      <c r="I319"/>
      <c r="J319"/>
    </row>
    <row r="320" spans="1:10" x14ac:dyDescent="0.25">
      <c r="A320" s="230"/>
      <c r="B320" s="231"/>
      <c r="C320" s="15"/>
      <c r="D320"/>
      <c r="E320"/>
      <c r="F320" s="15"/>
      <c r="G320"/>
      <c r="H320"/>
      <c r="I320"/>
      <c r="J320"/>
    </row>
    <row r="321" spans="1:10" x14ac:dyDescent="0.25">
      <c r="A321" s="230"/>
      <c r="B321" s="231"/>
      <c r="C321" s="15"/>
      <c r="D321"/>
      <c r="E321"/>
      <c r="F321" s="15"/>
      <c r="G321"/>
      <c r="H321"/>
      <c r="I321"/>
      <c r="J321"/>
    </row>
    <row r="322" spans="1:10" x14ac:dyDescent="0.25">
      <c r="A322" s="230"/>
      <c r="B322" s="231"/>
      <c r="C322" s="15"/>
      <c r="D322"/>
      <c r="E322"/>
      <c r="F322" s="15"/>
      <c r="G322"/>
      <c r="H322"/>
      <c r="I322"/>
      <c r="J322"/>
    </row>
    <row r="323" spans="1:10" x14ac:dyDescent="0.25">
      <c r="A323" s="230"/>
      <c r="B323" s="231"/>
      <c r="C323" s="15"/>
      <c r="D323"/>
      <c r="E323"/>
      <c r="F323" s="15"/>
      <c r="G323"/>
      <c r="H323"/>
      <c r="I323"/>
      <c r="J323"/>
    </row>
    <row r="324" spans="1:10" x14ac:dyDescent="0.25">
      <c r="A324" s="230"/>
      <c r="B324" s="231"/>
      <c r="C324" s="15"/>
      <c r="D324"/>
      <c r="E324"/>
      <c r="F324" s="15"/>
      <c r="G324"/>
      <c r="H324"/>
      <c r="I324"/>
      <c r="J324"/>
    </row>
    <row r="325" spans="1:10" x14ac:dyDescent="0.25">
      <c r="A325" s="230"/>
      <c r="B325" s="231"/>
      <c r="C325" s="15"/>
      <c r="D325"/>
      <c r="E325"/>
      <c r="F325" s="15"/>
      <c r="G325"/>
      <c r="H325"/>
      <c r="I325"/>
      <c r="J325"/>
    </row>
    <row r="326" spans="1:10" x14ac:dyDescent="0.25">
      <c r="A326" s="230"/>
      <c r="B326" s="231"/>
      <c r="C326" s="15"/>
      <c r="D326"/>
      <c r="E326"/>
      <c r="F326" s="15"/>
      <c r="G326"/>
      <c r="H326"/>
      <c r="I326"/>
      <c r="J326"/>
    </row>
    <row r="327" spans="1:10" x14ac:dyDescent="0.25">
      <c r="A327" s="230"/>
      <c r="B327" s="231"/>
      <c r="C327" s="15"/>
      <c r="D327"/>
      <c r="E327"/>
      <c r="F327" s="15"/>
      <c r="G327"/>
      <c r="H327"/>
      <c r="I327"/>
      <c r="J327"/>
    </row>
    <row r="328" spans="1:10" x14ac:dyDescent="0.25">
      <c r="A328" s="230"/>
      <c r="B328" s="231"/>
      <c r="C328" s="15"/>
      <c r="D328"/>
      <c r="E328"/>
      <c r="F328" s="15"/>
      <c r="G328"/>
      <c r="H328"/>
      <c r="I328"/>
      <c r="J328"/>
    </row>
    <row r="329" spans="1:10" x14ac:dyDescent="0.25">
      <c r="A329" s="230"/>
      <c r="B329" s="231"/>
      <c r="C329" s="15"/>
      <c r="D329"/>
      <c r="E329"/>
      <c r="F329" s="15"/>
      <c r="G329"/>
      <c r="H329"/>
      <c r="I329"/>
      <c r="J329"/>
    </row>
    <row r="330" spans="1:10" x14ac:dyDescent="0.25">
      <c r="A330" s="230"/>
      <c r="B330" s="231"/>
      <c r="C330" s="15"/>
      <c r="D330"/>
      <c r="E330"/>
      <c r="F330" s="15"/>
      <c r="G330"/>
      <c r="H330"/>
      <c r="I330"/>
      <c r="J330"/>
    </row>
    <row r="331" spans="1:10" x14ac:dyDescent="0.25">
      <c r="A331" s="230"/>
      <c r="B331" s="231"/>
      <c r="C331" s="15"/>
      <c r="D331"/>
      <c r="E331"/>
      <c r="F331" s="15"/>
      <c r="G331"/>
      <c r="H331"/>
      <c r="I331"/>
      <c r="J331"/>
    </row>
    <row r="332" spans="1:10" x14ac:dyDescent="0.25">
      <c r="A332" s="230"/>
      <c r="B332" s="231"/>
      <c r="C332" s="15"/>
      <c r="D332"/>
      <c r="E332"/>
      <c r="F332" s="15"/>
      <c r="G332"/>
      <c r="H332"/>
      <c r="I332"/>
      <c r="J332"/>
    </row>
    <row r="333" spans="1:10" x14ac:dyDescent="0.25">
      <c r="A333" s="230"/>
      <c r="B333" s="231"/>
      <c r="C333" s="15"/>
      <c r="D333"/>
      <c r="E333"/>
      <c r="F333" s="15"/>
      <c r="G333"/>
      <c r="H333"/>
      <c r="I333"/>
      <c r="J333"/>
    </row>
    <row r="334" spans="1:10" x14ac:dyDescent="0.25">
      <c r="A334" s="230"/>
      <c r="B334" s="231"/>
      <c r="C334" s="15"/>
      <c r="D334"/>
      <c r="E334"/>
      <c r="F334" s="15"/>
      <c r="G334"/>
      <c r="H334"/>
      <c r="I334"/>
      <c r="J334"/>
    </row>
    <row r="335" spans="1:10" x14ac:dyDescent="0.25">
      <c r="A335" s="230"/>
      <c r="B335" s="231"/>
      <c r="C335" s="15"/>
      <c r="D335"/>
      <c r="E335"/>
      <c r="F335" s="15"/>
      <c r="G335"/>
      <c r="H335"/>
      <c r="I335"/>
      <c r="J335"/>
    </row>
    <row r="336" spans="1:10" x14ac:dyDescent="0.25">
      <c r="A336" s="230"/>
      <c r="B336" s="231"/>
      <c r="C336" s="15"/>
      <c r="D336"/>
      <c r="E336"/>
      <c r="F336" s="15"/>
      <c r="G336"/>
      <c r="H336"/>
      <c r="I336"/>
      <c r="J336"/>
    </row>
    <row r="337" spans="1:10" x14ac:dyDescent="0.25">
      <c r="A337" s="230"/>
      <c r="B337" s="231"/>
      <c r="C337" s="15"/>
      <c r="D337"/>
      <c r="E337"/>
      <c r="F337" s="15"/>
      <c r="G337"/>
      <c r="H337"/>
      <c r="I337"/>
      <c r="J337"/>
    </row>
    <row r="338" spans="1:10" x14ac:dyDescent="0.25">
      <c r="A338" s="230"/>
      <c r="B338" s="231"/>
      <c r="C338" s="15"/>
      <c r="D338"/>
      <c r="E338"/>
      <c r="F338" s="15"/>
      <c r="G338"/>
      <c r="H338"/>
      <c r="I338"/>
      <c r="J338"/>
    </row>
    <row r="339" spans="1:10" x14ac:dyDescent="0.25">
      <c r="A339" s="230"/>
      <c r="B339" s="231"/>
      <c r="C339" s="15"/>
      <c r="D339"/>
      <c r="E339"/>
      <c r="F339" s="15"/>
      <c r="G339"/>
      <c r="H339"/>
      <c r="I339"/>
      <c r="J339"/>
    </row>
    <row r="340" spans="1:10" x14ac:dyDescent="0.25">
      <c r="A340" s="230"/>
      <c r="B340" s="231"/>
      <c r="C340" s="15"/>
      <c r="D340"/>
      <c r="E340"/>
      <c r="F340" s="15"/>
      <c r="G340"/>
      <c r="H340"/>
      <c r="I340"/>
      <c r="J340"/>
    </row>
    <row r="341" spans="1:10" x14ac:dyDescent="0.25">
      <c r="A341" s="230"/>
      <c r="B341" s="231"/>
      <c r="C341" s="15"/>
      <c r="D341"/>
      <c r="E341"/>
      <c r="F341" s="15"/>
      <c r="G341"/>
      <c r="H341"/>
      <c r="I341"/>
      <c r="J341"/>
    </row>
    <row r="342" spans="1:10" x14ac:dyDescent="0.25">
      <c r="A342" s="230"/>
      <c r="B342" s="231"/>
      <c r="C342" s="15"/>
      <c r="D342"/>
      <c r="E342"/>
      <c r="F342" s="15"/>
      <c r="G342"/>
      <c r="H342"/>
      <c r="I342"/>
      <c r="J342"/>
    </row>
    <row r="343" spans="1:10" x14ac:dyDescent="0.25">
      <c r="A343" s="230"/>
      <c r="B343" s="231"/>
      <c r="C343" s="15"/>
      <c r="D343"/>
      <c r="E343"/>
      <c r="F343" s="15"/>
      <c r="G343"/>
      <c r="H343"/>
      <c r="I343"/>
      <c r="J343"/>
    </row>
    <row r="344" spans="1:10" x14ac:dyDescent="0.25">
      <c r="A344" s="230"/>
      <c r="B344" s="231"/>
      <c r="C344" s="15"/>
      <c r="D344"/>
      <c r="E344"/>
      <c r="F344" s="15"/>
      <c r="G344"/>
      <c r="H344"/>
      <c r="I344"/>
      <c r="J344"/>
    </row>
    <row r="345" spans="1:10" x14ac:dyDescent="0.25">
      <c r="A345" s="230"/>
      <c r="B345" s="231"/>
      <c r="C345" s="15"/>
      <c r="D345"/>
      <c r="E345"/>
      <c r="F345" s="15"/>
      <c r="G345"/>
      <c r="H345"/>
      <c r="I345"/>
      <c r="J345"/>
    </row>
    <row r="346" spans="1:10" x14ac:dyDescent="0.25">
      <c r="A346" s="230"/>
      <c r="B346" s="231"/>
      <c r="C346" s="15"/>
      <c r="D346"/>
      <c r="E346"/>
      <c r="F346" s="15"/>
      <c r="G346"/>
      <c r="H346"/>
      <c r="I346"/>
      <c r="J346"/>
    </row>
    <row r="347" spans="1:10" x14ac:dyDescent="0.25">
      <c r="A347" s="230"/>
      <c r="B347" s="231"/>
      <c r="C347" s="15"/>
      <c r="D347"/>
      <c r="E347"/>
      <c r="F347" s="15"/>
      <c r="G347"/>
      <c r="H347"/>
      <c r="I347"/>
      <c r="J347"/>
    </row>
    <row r="348" spans="1:10" x14ac:dyDescent="0.25">
      <c r="A348" s="230"/>
      <c r="B348" s="231"/>
      <c r="C348" s="15"/>
      <c r="D348"/>
      <c r="E348"/>
      <c r="F348" s="15"/>
      <c r="G348"/>
      <c r="H348"/>
      <c r="I348"/>
      <c r="J348"/>
    </row>
    <row r="349" spans="1:10" x14ac:dyDescent="0.25">
      <c r="A349" s="230"/>
      <c r="B349" s="231"/>
      <c r="C349" s="15"/>
      <c r="D349"/>
      <c r="E349"/>
      <c r="F349" s="15"/>
      <c r="G349"/>
      <c r="H349"/>
      <c r="I349"/>
      <c r="J349"/>
    </row>
    <row r="350" spans="1:10" x14ac:dyDescent="0.25">
      <c r="A350" s="230"/>
      <c r="B350" s="231"/>
      <c r="C350" s="15"/>
      <c r="D350"/>
      <c r="E350"/>
      <c r="F350" s="15"/>
      <c r="G350"/>
      <c r="H350"/>
      <c r="I350"/>
      <c r="J350"/>
    </row>
    <row r="351" spans="1:10" x14ac:dyDescent="0.25">
      <c r="A351" s="230"/>
      <c r="B351" s="231"/>
      <c r="C351" s="15"/>
      <c r="D351"/>
      <c r="E351"/>
      <c r="F351" s="15"/>
      <c r="G351"/>
      <c r="H351"/>
      <c r="I351"/>
      <c r="J351"/>
    </row>
    <row r="352" spans="1:10" x14ac:dyDescent="0.25">
      <c r="A352" s="230"/>
      <c r="B352" s="231"/>
      <c r="C352" s="15"/>
      <c r="D352"/>
      <c r="E352"/>
      <c r="F352" s="15"/>
      <c r="G352"/>
      <c r="H352"/>
      <c r="I352"/>
      <c r="J352"/>
    </row>
    <row r="353" spans="1:10" x14ac:dyDescent="0.25">
      <c r="A353" s="230"/>
      <c r="B353" s="231"/>
      <c r="C353" s="15"/>
      <c r="D353"/>
      <c r="E353"/>
      <c r="F353" s="15"/>
      <c r="G353"/>
      <c r="H353"/>
      <c r="I353"/>
      <c r="J353"/>
    </row>
    <row r="354" spans="1:10" x14ac:dyDescent="0.25">
      <c r="A354" s="230"/>
      <c r="B354" s="231"/>
      <c r="C354" s="15"/>
      <c r="D354"/>
      <c r="E354"/>
      <c r="F354" s="15"/>
      <c r="G354"/>
      <c r="H354"/>
      <c r="I354"/>
      <c r="J354"/>
    </row>
    <row r="355" spans="1:10" x14ac:dyDescent="0.25">
      <c r="A355" s="230"/>
      <c r="B355" s="231"/>
      <c r="C355" s="15"/>
      <c r="D355"/>
      <c r="E355"/>
      <c r="F355" s="15"/>
      <c r="G355"/>
      <c r="H355"/>
      <c r="I355"/>
      <c r="J355"/>
    </row>
    <row r="356" spans="1:10" x14ac:dyDescent="0.25">
      <c r="A356" s="230"/>
      <c r="B356" s="231"/>
      <c r="C356" s="15"/>
      <c r="D356"/>
      <c r="E356"/>
      <c r="F356" s="15"/>
      <c r="G356"/>
      <c r="H356"/>
      <c r="I356"/>
      <c r="J356"/>
    </row>
    <row r="357" spans="1:10" x14ac:dyDescent="0.25">
      <c r="A357" s="230"/>
      <c r="B357" s="231"/>
      <c r="C357" s="15"/>
      <c r="D357"/>
      <c r="E357"/>
      <c r="F357" s="15"/>
      <c r="G357"/>
      <c r="H357"/>
      <c r="I357"/>
      <c r="J357"/>
    </row>
    <row r="358" spans="1:10" x14ac:dyDescent="0.25">
      <c r="A358" s="230"/>
      <c r="B358" s="231"/>
      <c r="C358" s="15"/>
      <c r="D358"/>
      <c r="E358"/>
      <c r="F358" s="15"/>
      <c r="G358"/>
      <c r="H358"/>
      <c r="I358"/>
      <c r="J358"/>
    </row>
    <row r="359" spans="1:10" x14ac:dyDescent="0.25">
      <c r="A359" s="230"/>
      <c r="B359" s="231"/>
      <c r="C359" s="15"/>
      <c r="D359"/>
      <c r="E359"/>
      <c r="F359" s="15"/>
      <c r="G359"/>
      <c r="H359"/>
      <c r="I359"/>
      <c r="J359"/>
    </row>
    <row r="360" spans="1:10" x14ac:dyDescent="0.25">
      <c r="A360" s="230"/>
      <c r="B360" s="231"/>
      <c r="C360" s="15"/>
      <c r="D360"/>
      <c r="E360"/>
      <c r="F360" s="15"/>
      <c r="G360"/>
      <c r="H360"/>
      <c r="I360"/>
      <c r="J360"/>
    </row>
    <row r="361" spans="1:10" x14ac:dyDescent="0.25">
      <c r="A361" s="230"/>
      <c r="B361" s="231"/>
      <c r="C361" s="15"/>
      <c r="D361"/>
      <c r="E361"/>
      <c r="F361" s="15"/>
      <c r="G361"/>
      <c r="H361"/>
      <c r="I361"/>
      <c r="J361"/>
    </row>
    <row r="362" spans="1:10" x14ac:dyDescent="0.25">
      <c r="A362" s="230"/>
      <c r="B362" s="231"/>
      <c r="C362" s="15"/>
      <c r="D362"/>
      <c r="E362"/>
      <c r="F362" s="15"/>
      <c r="G362"/>
      <c r="H362"/>
      <c r="I362"/>
      <c r="J362"/>
    </row>
    <row r="363" spans="1:10" x14ac:dyDescent="0.25">
      <c r="A363" s="230"/>
      <c r="B363" s="231"/>
      <c r="C363" s="15"/>
      <c r="D363"/>
      <c r="E363"/>
      <c r="F363" s="15"/>
      <c r="G363"/>
      <c r="H363"/>
      <c r="I363"/>
      <c r="J363"/>
    </row>
    <row r="364" spans="1:10" x14ac:dyDescent="0.25">
      <c r="A364" s="230"/>
      <c r="B364" s="231"/>
      <c r="C364" s="15"/>
      <c r="D364"/>
      <c r="E364"/>
      <c r="F364" s="15"/>
      <c r="G364"/>
      <c r="H364"/>
      <c r="I364"/>
      <c r="J364"/>
    </row>
    <row r="365" spans="1:10" x14ac:dyDescent="0.25">
      <c r="A365" s="230"/>
      <c r="B365" s="231"/>
      <c r="C365" s="15"/>
      <c r="D365"/>
      <c r="E365"/>
      <c r="F365" s="15"/>
      <c r="G365"/>
      <c r="H365"/>
      <c r="I365"/>
      <c r="J365"/>
    </row>
    <row r="366" spans="1:10" x14ac:dyDescent="0.25">
      <c r="A366" s="230"/>
      <c r="B366" s="231"/>
      <c r="C366" s="15"/>
      <c r="D366"/>
      <c r="E366"/>
      <c r="F366" s="15"/>
      <c r="G366"/>
      <c r="H366"/>
      <c r="I366"/>
      <c r="J366"/>
    </row>
    <row r="367" spans="1:10" x14ac:dyDescent="0.25">
      <c r="A367" s="230"/>
      <c r="B367" s="231"/>
      <c r="C367" s="15"/>
      <c r="D367"/>
      <c r="E367"/>
      <c r="F367" s="15"/>
      <c r="G367"/>
      <c r="H367"/>
      <c r="I367"/>
      <c r="J367"/>
    </row>
    <row r="368" spans="1:10" x14ac:dyDescent="0.25">
      <c r="A368" s="230"/>
      <c r="B368" s="231"/>
      <c r="C368" s="15"/>
      <c r="D368"/>
      <c r="E368"/>
      <c r="F368" s="15"/>
      <c r="G368"/>
      <c r="H368"/>
      <c r="I368"/>
      <c r="J368"/>
    </row>
    <row r="369" spans="1:10" x14ac:dyDescent="0.25">
      <c r="A369" s="230"/>
      <c r="B369" s="231"/>
      <c r="C369" s="15"/>
      <c r="D369"/>
      <c r="E369"/>
      <c r="F369" s="15"/>
      <c r="G369"/>
      <c r="H369"/>
      <c r="I369"/>
      <c r="J369"/>
    </row>
    <row r="370" spans="1:10" x14ac:dyDescent="0.25">
      <c r="A370" s="230"/>
      <c r="B370" s="231"/>
      <c r="C370" s="15"/>
      <c r="D370"/>
      <c r="E370"/>
      <c r="F370" s="15"/>
      <c r="G370"/>
      <c r="H370"/>
      <c r="I370"/>
      <c r="J370"/>
    </row>
    <row r="371" spans="1:10" x14ac:dyDescent="0.25">
      <c r="A371" s="230"/>
      <c r="B371" s="231"/>
      <c r="C371" s="15"/>
      <c r="D371"/>
      <c r="E371"/>
      <c r="F371" s="15"/>
      <c r="G371"/>
      <c r="H371"/>
      <c r="I371"/>
      <c r="J371"/>
    </row>
    <row r="372" spans="1:10" x14ac:dyDescent="0.25">
      <c r="A372" s="230"/>
      <c r="B372" s="231"/>
      <c r="C372" s="15"/>
      <c r="D372"/>
      <c r="E372"/>
      <c r="F372" s="15"/>
      <c r="G372"/>
      <c r="H372"/>
      <c r="I372"/>
      <c r="J372"/>
    </row>
    <row r="373" spans="1:10" x14ac:dyDescent="0.25">
      <c r="A373" s="230"/>
      <c r="B373" s="231"/>
      <c r="C373" s="15"/>
      <c r="D373"/>
      <c r="E373"/>
      <c r="F373" s="15"/>
      <c r="G373"/>
      <c r="H373"/>
      <c r="I373"/>
      <c r="J373"/>
    </row>
    <row r="374" spans="1:10" x14ac:dyDescent="0.25">
      <c r="A374" s="230"/>
      <c r="B374" s="231"/>
      <c r="C374" s="15"/>
      <c r="D374"/>
      <c r="E374"/>
      <c r="F374" s="15"/>
      <c r="G374"/>
      <c r="H374"/>
      <c r="I374"/>
      <c r="J374"/>
    </row>
    <row r="375" spans="1:10" x14ac:dyDescent="0.25">
      <c r="A375" s="230"/>
      <c r="B375" s="231"/>
      <c r="C375" s="15"/>
      <c r="D375"/>
      <c r="E375"/>
      <c r="F375" s="15"/>
      <c r="G375"/>
      <c r="H375"/>
      <c r="I375"/>
      <c r="J375"/>
    </row>
    <row r="376" spans="1:10" x14ac:dyDescent="0.25">
      <c r="A376" s="230"/>
      <c r="B376" s="231"/>
      <c r="C376" s="15"/>
      <c r="D376"/>
      <c r="E376"/>
      <c r="F376" s="15"/>
      <c r="G376"/>
      <c r="H376"/>
      <c r="I376"/>
      <c r="J376"/>
    </row>
    <row r="377" spans="1:10" x14ac:dyDescent="0.25">
      <c r="A377" s="230"/>
      <c r="B377" s="231"/>
      <c r="C377" s="15"/>
      <c r="D377"/>
      <c r="E377"/>
      <c r="F377" s="15"/>
      <c r="G377"/>
      <c r="H377"/>
      <c r="I377"/>
      <c r="J377"/>
    </row>
    <row r="378" spans="1:10" x14ac:dyDescent="0.25">
      <c r="A378" s="230"/>
      <c r="B378" s="231"/>
      <c r="C378" s="15"/>
      <c r="D378"/>
      <c r="E378"/>
      <c r="F378" s="15"/>
      <c r="G378"/>
      <c r="H378"/>
      <c r="I378"/>
      <c r="J378"/>
    </row>
    <row r="379" spans="1:10" x14ac:dyDescent="0.25">
      <c r="A379" s="230"/>
      <c r="B379" s="231"/>
      <c r="C379" s="15"/>
      <c r="D379"/>
      <c r="E379"/>
      <c r="F379" s="15"/>
      <c r="G379"/>
      <c r="H379"/>
      <c r="I379"/>
      <c r="J379"/>
    </row>
    <row r="380" spans="1:10" x14ac:dyDescent="0.25">
      <c r="A380" s="230"/>
      <c r="B380" s="231"/>
      <c r="C380" s="15"/>
      <c r="D380"/>
      <c r="E380"/>
      <c r="F380" s="15"/>
      <c r="G380"/>
      <c r="H380"/>
      <c r="I380"/>
      <c r="J380"/>
    </row>
    <row r="381" spans="1:10" x14ac:dyDescent="0.25">
      <c r="A381" s="230"/>
      <c r="B381" s="231"/>
      <c r="C381" s="15"/>
      <c r="D381"/>
      <c r="E381"/>
      <c r="F381" s="15"/>
      <c r="G381"/>
      <c r="H381"/>
      <c r="I381"/>
      <c r="J381"/>
    </row>
    <row r="382" spans="1:10" x14ac:dyDescent="0.25">
      <c r="A382" s="230"/>
      <c r="B382" s="231"/>
      <c r="C382" s="15"/>
      <c r="D382"/>
      <c r="E382"/>
      <c r="F382" s="15"/>
      <c r="G382"/>
      <c r="H382"/>
      <c r="I382"/>
      <c r="J382"/>
    </row>
    <row r="383" spans="1:10" x14ac:dyDescent="0.25">
      <c r="A383" s="230"/>
      <c r="B383" s="231"/>
      <c r="C383" s="15"/>
      <c r="D383"/>
      <c r="E383"/>
      <c r="F383" s="15"/>
      <c r="G383"/>
      <c r="H383"/>
      <c r="I383"/>
      <c r="J383"/>
    </row>
    <row r="384" spans="1:10" x14ac:dyDescent="0.25">
      <c r="A384" s="230"/>
      <c r="B384" s="231"/>
      <c r="C384" s="15"/>
      <c r="D384"/>
      <c r="E384"/>
      <c r="F384" s="15"/>
      <c r="G384"/>
      <c r="H384"/>
      <c r="I384"/>
      <c r="J384"/>
    </row>
    <row r="385" spans="1:10" x14ac:dyDescent="0.25">
      <c r="A385" s="230"/>
      <c r="B385" s="231"/>
      <c r="C385" s="15"/>
      <c r="D385"/>
      <c r="E385"/>
      <c r="F385" s="15"/>
      <c r="G385"/>
      <c r="H385"/>
      <c r="I385"/>
      <c r="J385"/>
    </row>
    <row r="386" spans="1:10" x14ac:dyDescent="0.25">
      <c r="A386" s="230"/>
      <c r="B386" s="231"/>
      <c r="C386" s="15"/>
      <c r="D386"/>
      <c r="E386"/>
      <c r="F386" s="15"/>
      <c r="G386"/>
      <c r="H386"/>
      <c r="I386"/>
      <c r="J386"/>
    </row>
    <row r="387" spans="1:10" x14ac:dyDescent="0.25">
      <c r="A387" s="230"/>
      <c r="B387" s="231"/>
      <c r="C387" s="15"/>
      <c r="D387"/>
      <c r="E387"/>
      <c r="F387" s="15"/>
      <c r="G387"/>
      <c r="H387"/>
      <c r="I387"/>
      <c r="J387"/>
    </row>
    <row r="388" spans="1:10" x14ac:dyDescent="0.25">
      <c r="A388" s="230"/>
      <c r="B388" s="231"/>
      <c r="C388" s="15"/>
      <c r="D388"/>
      <c r="E388"/>
      <c r="F388" s="15"/>
      <c r="G388"/>
      <c r="H388"/>
      <c r="I388"/>
      <c r="J388"/>
    </row>
    <row r="389" spans="1:10" x14ac:dyDescent="0.25">
      <c r="A389" s="230"/>
      <c r="B389" s="231"/>
      <c r="C389" s="15"/>
      <c r="D389"/>
      <c r="E389"/>
      <c r="F389" s="15"/>
      <c r="G389"/>
      <c r="H389"/>
      <c r="I389"/>
      <c r="J389"/>
    </row>
    <row r="390" spans="1:10" x14ac:dyDescent="0.25">
      <c r="A390" s="230"/>
      <c r="B390" s="231"/>
      <c r="C390" s="15"/>
      <c r="D390"/>
      <c r="E390"/>
      <c r="F390" s="15"/>
      <c r="G390"/>
      <c r="H390"/>
      <c r="I390"/>
      <c r="J390"/>
    </row>
    <row r="391" spans="1:10" x14ac:dyDescent="0.25">
      <c r="A391" s="230"/>
      <c r="B391" s="231"/>
      <c r="C391" s="15"/>
      <c r="D391"/>
      <c r="E391"/>
      <c r="F391" s="15"/>
      <c r="G391"/>
      <c r="H391"/>
      <c r="I391"/>
      <c r="J391"/>
    </row>
    <row r="392" spans="1:10" x14ac:dyDescent="0.25">
      <c r="A392" s="230"/>
      <c r="B392" s="231"/>
      <c r="C392" s="15"/>
      <c r="D392"/>
      <c r="E392"/>
      <c r="F392" s="15"/>
      <c r="G392"/>
      <c r="H392"/>
      <c r="I392"/>
      <c r="J392"/>
    </row>
    <row r="393" spans="1:10" x14ac:dyDescent="0.25">
      <c r="A393" s="230"/>
      <c r="B393" s="231"/>
      <c r="C393" s="15"/>
      <c r="D393"/>
      <c r="E393"/>
      <c r="F393" s="15"/>
      <c r="G393"/>
      <c r="H393"/>
      <c r="I393"/>
      <c r="J393"/>
    </row>
    <row r="394" spans="1:10" x14ac:dyDescent="0.25">
      <c r="A394" s="230"/>
      <c r="B394" s="231"/>
      <c r="C394" s="15"/>
      <c r="D394"/>
      <c r="E394"/>
      <c r="F394" s="15"/>
      <c r="G394"/>
      <c r="H394"/>
      <c r="I394"/>
      <c r="J394"/>
    </row>
    <row r="395" spans="1:10" x14ac:dyDescent="0.25">
      <c r="A395" s="230"/>
      <c r="B395" s="231"/>
      <c r="C395" s="15"/>
      <c r="D395"/>
      <c r="E395"/>
      <c r="F395" s="15"/>
      <c r="G395"/>
      <c r="H395"/>
      <c r="I395"/>
      <c r="J395"/>
    </row>
    <row r="396" spans="1:10" x14ac:dyDescent="0.25">
      <c r="A396" s="230"/>
      <c r="B396" s="231"/>
      <c r="C396" s="15"/>
      <c r="D396"/>
      <c r="E396"/>
      <c r="F396" s="15"/>
      <c r="G396"/>
      <c r="H396"/>
      <c r="I396"/>
      <c r="J396"/>
    </row>
    <row r="397" spans="1:10" x14ac:dyDescent="0.25">
      <c r="A397" s="230"/>
      <c r="B397" s="231"/>
      <c r="C397" s="15"/>
      <c r="D397"/>
      <c r="E397"/>
      <c r="F397" s="15"/>
      <c r="G397"/>
      <c r="H397"/>
      <c r="I397"/>
      <c r="J397"/>
    </row>
    <row r="398" spans="1:10" x14ac:dyDescent="0.25">
      <c r="A398" s="230"/>
      <c r="B398" s="231"/>
      <c r="C398" s="15"/>
      <c r="D398"/>
      <c r="E398"/>
      <c r="F398" s="15"/>
      <c r="G398"/>
      <c r="H398"/>
      <c r="I398"/>
      <c r="J398"/>
    </row>
    <row r="399" spans="1:10" x14ac:dyDescent="0.25">
      <c r="A399" s="230"/>
      <c r="B399" s="231"/>
      <c r="C399" s="15"/>
      <c r="D399"/>
      <c r="E399"/>
      <c r="F399" s="15"/>
      <c r="G399"/>
      <c r="H399"/>
      <c r="I399"/>
      <c r="J399"/>
    </row>
    <row r="400" spans="1:10" x14ac:dyDescent="0.25">
      <c r="A400" s="230"/>
      <c r="B400" s="231"/>
      <c r="C400" s="15"/>
      <c r="D400"/>
      <c r="E400"/>
      <c r="F400" s="15"/>
      <c r="G400"/>
      <c r="H400"/>
      <c r="I400"/>
      <c r="J400"/>
    </row>
    <row r="401" spans="1:10" x14ac:dyDescent="0.25">
      <c r="A401" s="230"/>
      <c r="B401" s="231"/>
      <c r="C401" s="15"/>
      <c r="D401"/>
      <c r="E401"/>
      <c r="F401" s="15"/>
      <c r="G401"/>
      <c r="H401"/>
      <c r="I401"/>
      <c r="J401"/>
    </row>
    <row r="402" spans="1:10" x14ac:dyDescent="0.25">
      <c r="A402" s="230"/>
      <c r="B402" s="231"/>
      <c r="C402" s="15"/>
      <c r="D402"/>
      <c r="E402"/>
      <c r="F402" s="15"/>
      <c r="G402"/>
      <c r="H402"/>
      <c r="I402"/>
      <c r="J402"/>
    </row>
    <row r="403" spans="1:10" x14ac:dyDescent="0.25">
      <c r="A403" s="230"/>
      <c r="B403" s="231"/>
      <c r="C403" s="15"/>
      <c r="D403"/>
      <c r="E403"/>
      <c r="F403" s="15"/>
      <c r="G403"/>
      <c r="H403"/>
      <c r="I403"/>
      <c r="J403"/>
    </row>
    <row r="404" spans="1:10" x14ac:dyDescent="0.25">
      <c r="A404" s="230"/>
      <c r="B404" s="231"/>
      <c r="C404" s="15"/>
      <c r="D404"/>
      <c r="E404"/>
      <c r="F404" s="15"/>
      <c r="G404"/>
      <c r="H404"/>
      <c r="I404"/>
      <c r="J404"/>
    </row>
    <row r="405" spans="1:10" x14ac:dyDescent="0.25">
      <c r="A405" s="230"/>
      <c r="B405" s="231"/>
      <c r="C405" s="15"/>
      <c r="D405"/>
      <c r="E405"/>
      <c r="F405" s="15"/>
      <c r="G405"/>
      <c r="H405"/>
      <c r="I405"/>
      <c r="J405"/>
    </row>
    <row r="406" spans="1:10" x14ac:dyDescent="0.25">
      <c r="A406" s="230"/>
      <c r="B406" s="231"/>
      <c r="C406" s="15"/>
      <c r="D406"/>
      <c r="E406"/>
      <c r="F406" s="15"/>
      <c r="G406"/>
      <c r="H406"/>
      <c r="I406"/>
      <c r="J406"/>
    </row>
    <row r="407" spans="1:10" x14ac:dyDescent="0.25">
      <c r="A407" s="230"/>
      <c r="B407" s="231"/>
      <c r="C407" s="15"/>
      <c r="D407"/>
      <c r="E407"/>
      <c r="F407" s="15"/>
      <c r="G407"/>
      <c r="H407"/>
      <c r="I407"/>
      <c r="J407"/>
    </row>
    <row r="408" spans="1:10" x14ac:dyDescent="0.25">
      <c r="A408" s="230"/>
      <c r="B408" s="231"/>
      <c r="C408" s="15"/>
      <c r="D408"/>
      <c r="E408"/>
      <c r="F408" s="15"/>
      <c r="G408"/>
      <c r="H408"/>
      <c r="I408"/>
      <c r="J408"/>
    </row>
    <row r="409" spans="1:10" x14ac:dyDescent="0.25">
      <c r="A409" s="230"/>
      <c r="B409" s="231"/>
      <c r="C409" s="15"/>
      <c r="D409"/>
      <c r="E409"/>
      <c r="F409" s="15"/>
      <c r="G409"/>
      <c r="H409"/>
      <c r="I409"/>
      <c r="J409"/>
    </row>
    <row r="410" spans="1:10" x14ac:dyDescent="0.25">
      <c r="A410" s="230"/>
      <c r="B410" s="231"/>
      <c r="C410" s="15"/>
      <c r="D410"/>
      <c r="E410"/>
      <c r="F410" s="15"/>
      <c r="G410"/>
      <c r="H410"/>
      <c r="I410"/>
      <c r="J410"/>
    </row>
    <row r="411" spans="1:10" x14ac:dyDescent="0.25">
      <c r="A411" s="230"/>
      <c r="B411" s="231"/>
      <c r="C411" s="15"/>
      <c r="D411"/>
      <c r="E411"/>
      <c r="F411" s="15"/>
      <c r="G411"/>
      <c r="H411"/>
      <c r="I411"/>
      <c r="J411"/>
    </row>
    <row r="412" spans="1:10" x14ac:dyDescent="0.25">
      <c r="A412" s="230"/>
      <c r="B412" s="231"/>
      <c r="C412" s="15"/>
      <c r="D412"/>
      <c r="E412"/>
      <c r="F412" s="15"/>
      <c r="G412"/>
      <c r="H412"/>
      <c r="I412"/>
      <c r="J412"/>
    </row>
    <row r="413" spans="1:10" x14ac:dyDescent="0.25">
      <c r="A413" s="230"/>
      <c r="B413" s="231"/>
      <c r="C413" s="15"/>
      <c r="D413"/>
      <c r="E413"/>
      <c r="F413" s="15"/>
      <c r="G413"/>
      <c r="H413"/>
      <c r="I413"/>
      <c r="J413"/>
    </row>
    <row r="414" spans="1:10" x14ac:dyDescent="0.25">
      <c r="A414" s="230"/>
      <c r="B414" s="231"/>
      <c r="C414" s="15"/>
      <c r="D414"/>
      <c r="E414"/>
      <c r="F414" s="15"/>
      <c r="G414"/>
      <c r="H414"/>
      <c r="I414"/>
      <c r="J414"/>
    </row>
    <row r="415" spans="1:10" x14ac:dyDescent="0.25">
      <c r="A415" s="230"/>
      <c r="B415" s="231"/>
      <c r="C415" s="15"/>
      <c r="D415"/>
      <c r="E415"/>
      <c r="F415" s="15"/>
      <c r="G415"/>
      <c r="H415"/>
      <c r="I415"/>
      <c r="J415"/>
    </row>
    <row r="416" spans="1:10" x14ac:dyDescent="0.25">
      <c r="A416" s="230"/>
      <c r="B416" s="231"/>
      <c r="C416" s="15"/>
      <c r="D416"/>
      <c r="E416"/>
      <c r="F416" s="15"/>
      <c r="G416"/>
      <c r="H416"/>
      <c r="I416"/>
      <c r="J416"/>
    </row>
    <row r="417" spans="1:10" x14ac:dyDescent="0.25">
      <c r="A417" s="230"/>
      <c r="B417" s="231"/>
      <c r="C417" s="15"/>
      <c r="D417"/>
      <c r="E417"/>
      <c r="F417" s="15"/>
      <c r="G417"/>
      <c r="H417"/>
      <c r="I417"/>
      <c r="J417"/>
    </row>
    <row r="418" spans="1:10" x14ac:dyDescent="0.25">
      <c r="A418" s="230"/>
      <c r="B418" s="231"/>
      <c r="C418" s="15"/>
      <c r="D418"/>
      <c r="E418"/>
      <c r="F418" s="15"/>
      <c r="G418"/>
      <c r="H418"/>
      <c r="I418"/>
      <c r="J418"/>
    </row>
    <row r="419" spans="1:10" x14ac:dyDescent="0.25">
      <c r="A419" s="230"/>
      <c r="B419" s="231"/>
      <c r="C419" s="15"/>
      <c r="D419"/>
      <c r="E419"/>
      <c r="F419" s="15"/>
      <c r="G419"/>
      <c r="H419"/>
      <c r="I419"/>
      <c r="J419"/>
    </row>
    <row r="420" spans="1:10" x14ac:dyDescent="0.25">
      <c r="A420" s="230"/>
      <c r="B420" s="231"/>
      <c r="C420" s="15"/>
      <c r="D420"/>
      <c r="E420"/>
      <c r="F420" s="15"/>
      <c r="G420"/>
      <c r="H420"/>
      <c r="I420"/>
      <c r="J420"/>
    </row>
    <row r="421" spans="1:10" x14ac:dyDescent="0.25">
      <c r="A421" s="230"/>
      <c r="B421" s="231"/>
      <c r="C421" s="15"/>
      <c r="D421"/>
      <c r="E421"/>
      <c r="F421" s="15"/>
      <c r="G421"/>
      <c r="H421"/>
      <c r="I421"/>
      <c r="J421"/>
    </row>
    <row r="422" spans="1:10" x14ac:dyDescent="0.25">
      <c r="A422" s="230"/>
      <c r="B422" s="231"/>
      <c r="C422" s="15"/>
      <c r="D422"/>
      <c r="E422"/>
      <c r="F422" s="15"/>
      <c r="G422"/>
      <c r="H422"/>
      <c r="I422"/>
      <c r="J422"/>
    </row>
    <row r="423" spans="1:10" x14ac:dyDescent="0.25">
      <c r="A423" s="230"/>
      <c r="B423" s="231"/>
      <c r="C423" s="15"/>
      <c r="D423"/>
      <c r="E423"/>
      <c r="F423" s="15"/>
      <c r="G423"/>
      <c r="H423"/>
      <c r="I423"/>
      <c r="J423"/>
    </row>
    <row r="424" spans="1:10" x14ac:dyDescent="0.25">
      <c r="A424" s="230"/>
      <c r="B424" s="231"/>
      <c r="C424" s="15"/>
      <c r="D424"/>
      <c r="E424"/>
      <c r="F424" s="15"/>
      <c r="G424"/>
      <c r="H424"/>
      <c r="I424"/>
      <c r="J424"/>
    </row>
    <row r="425" spans="1:10" x14ac:dyDescent="0.25">
      <c r="A425" s="230"/>
      <c r="B425" s="231"/>
      <c r="C425" s="15"/>
      <c r="D425"/>
      <c r="E425"/>
      <c r="F425" s="15"/>
      <c r="G425"/>
      <c r="H425"/>
      <c r="I425"/>
      <c r="J425"/>
    </row>
    <row r="426" spans="1:10" x14ac:dyDescent="0.25">
      <c r="A426" s="230"/>
      <c r="B426" s="231"/>
      <c r="C426" s="15"/>
      <c r="D426"/>
      <c r="E426"/>
      <c r="F426" s="15"/>
      <c r="G426"/>
      <c r="H426"/>
      <c r="I426"/>
      <c r="J426"/>
    </row>
    <row r="427" spans="1:10" x14ac:dyDescent="0.25">
      <c r="A427" s="230"/>
      <c r="B427" s="231"/>
      <c r="C427" s="15"/>
      <c r="D427"/>
      <c r="E427"/>
      <c r="F427" s="15"/>
      <c r="G427"/>
      <c r="H427"/>
      <c r="I427"/>
      <c r="J427"/>
    </row>
    <row r="428" spans="1:10" x14ac:dyDescent="0.25">
      <c r="A428" s="230"/>
      <c r="B428" s="231"/>
      <c r="C428" s="15"/>
      <c r="D428"/>
      <c r="E428"/>
      <c r="F428" s="15"/>
      <c r="G428"/>
      <c r="H428"/>
      <c r="I428"/>
      <c r="J428"/>
    </row>
    <row r="429" spans="1:10" x14ac:dyDescent="0.25">
      <c r="A429" s="230"/>
      <c r="B429" s="231"/>
      <c r="C429" s="15"/>
      <c r="D429"/>
      <c r="E429"/>
      <c r="F429" s="15"/>
      <c r="G429"/>
      <c r="H429"/>
      <c r="I429"/>
      <c r="J429"/>
    </row>
    <row r="430" spans="1:10" x14ac:dyDescent="0.25">
      <c r="A430" s="230"/>
      <c r="B430" s="231"/>
      <c r="C430" s="15"/>
      <c r="D430"/>
      <c r="E430"/>
      <c r="F430" s="15"/>
      <c r="G430"/>
      <c r="H430"/>
      <c r="I430"/>
      <c r="J430"/>
    </row>
    <row r="431" spans="1:10" x14ac:dyDescent="0.25">
      <c r="A431" s="230"/>
      <c r="B431" s="231"/>
      <c r="C431" s="15"/>
      <c r="D431"/>
      <c r="E431"/>
      <c r="F431" s="15"/>
      <c r="G431"/>
      <c r="H431"/>
      <c r="I431"/>
      <c r="J431"/>
    </row>
    <row r="432" spans="1:10" x14ac:dyDescent="0.25">
      <c r="A432" s="230"/>
      <c r="B432" s="231"/>
      <c r="C432" s="15"/>
      <c r="D432"/>
      <c r="E432"/>
      <c r="F432" s="15"/>
      <c r="G432"/>
      <c r="H432"/>
      <c r="I432"/>
      <c r="J432"/>
    </row>
    <row r="433" spans="1:10" x14ac:dyDescent="0.25">
      <c r="A433" s="230"/>
      <c r="B433" s="231"/>
      <c r="C433" s="15"/>
      <c r="D433"/>
      <c r="E433"/>
      <c r="F433" s="15"/>
      <c r="G433"/>
      <c r="H433"/>
      <c r="I433"/>
      <c r="J433"/>
    </row>
    <row r="434" spans="1:10" x14ac:dyDescent="0.25">
      <c r="A434" s="230"/>
      <c r="B434" s="231"/>
      <c r="C434" s="15"/>
      <c r="D434"/>
      <c r="E434"/>
      <c r="F434" s="15"/>
      <c r="G434"/>
      <c r="H434"/>
      <c r="I434"/>
      <c r="J434"/>
    </row>
    <row r="435" spans="1:10" x14ac:dyDescent="0.25">
      <c r="A435" s="230"/>
      <c r="B435" s="231"/>
      <c r="C435" s="15"/>
      <c r="D435"/>
      <c r="E435"/>
      <c r="F435" s="15"/>
      <c r="G435"/>
      <c r="H435"/>
      <c r="I435"/>
      <c r="J435"/>
    </row>
    <row r="436" spans="1:10" x14ac:dyDescent="0.25">
      <c r="A436" s="230"/>
      <c r="B436" s="231"/>
      <c r="C436" s="15"/>
      <c r="D436"/>
      <c r="E436"/>
      <c r="F436" s="15"/>
      <c r="G436"/>
      <c r="H436"/>
      <c r="I436"/>
      <c r="J436"/>
    </row>
    <row r="437" spans="1:10" x14ac:dyDescent="0.25">
      <c r="A437" s="230"/>
      <c r="B437" s="231"/>
      <c r="C437" s="15"/>
      <c r="D437"/>
      <c r="E437"/>
      <c r="F437" s="15"/>
      <c r="G437"/>
      <c r="H437"/>
      <c r="I437"/>
      <c r="J437"/>
    </row>
    <row r="438" spans="1:10" x14ac:dyDescent="0.25">
      <c r="A438" s="230"/>
      <c r="B438" s="231"/>
      <c r="C438" s="15"/>
      <c r="D438"/>
      <c r="E438"/>
      <c r="F438" s="15"/>
      <c r="G438"/>
      <c r="H438"/>
      <c r="I438"/>
      <c r="J438"/>
    </row>
    <row r="439" spans="1:10" x14ac:dyDescent="0.25">
      <c r="A439" s="230"/>
      <c r="B439" s="231"/>
      <c r="C439" s="15"/>
      <c r="D439"/>
      <c r="E439"/>
      <c r="F439" s="15"/>
      <c r="G439"/>
      <c r="H439"/>
      <c r="I439"/>
      <c r="J439"/>
    </row>
    <row r="440" spans="1:10" x14ac:dyDescent="0.25">
      <c r="A440" s="230"/>
      <c r="B440" s="231"/>
      <c r="C440" s="15"/>
      <c r="D440"/>
      <c r="E440"/>
      <c r="F440" s="15"/>
      <c r="G440"/>
      <c r="H440"/>
      <c r="I440"/>
      <c r="J440"/>
    </row>
    <row r="441" spans="1:10" x14ac:dyDescent="0.25">
      <c r="A441" s="230"/>
      <c r="B441" s="231"/>
      <c r="C441" s="15"/>
      <c r="D441"/>
      <c r="E441"/>
      <c r="F441" s="15"/>
      <c r="G441"/>
      <c r="H441"/>
      <c r="I441"/>
      <c r="J441"/>
    </row>
    <row r="442" spans="1:10" x14ac:dyDescent="0.25">
      <c r="A442" s="230"/>
      <c r="B442" s="231"/>
      <c r="C442" s="15"/>
      <c r="D442"/>
      <c r="E442"/>
      <c r="F442" s="15"/>
      <c r="G442"/>
      <c r="H442"/>
      <c r="I442"/>
      <c r="J442"/>
    </row>
    <row r="443" spans="1:10" x14ac:dyDescent="0.25">
      <c r="A443" s="230"/>
      <c r="B443" s="231"/>
      <c r="C443" s="15"/>
      <c r="D443"/>
      <c r="E443"/>
      <c r="F443" s="15"/>
      <c r="G443"/>
      <c r="H443"/>
      <c r="I443"/>
      <c r="J443"/>
    </row>
    <row r="444" spans="1:10" x14ac:dyDescent="0.25">
      <c r="A444" s="230"/>
      <c r="B444" s="231"/>
      <c r="C444" s="15"/>
      <c r="D444"/>
      <c r="E444"/>
      <c r="F444" s="15"/>
      <c r="G444"/>
      <c r="H444"/>
      <c r="I444"/>
      <c r="J444"/>
    </row>
    <row r="445" spans="1:10" x14ac:dyDescent="0.25">
      <c r="A445" s="230"/>
      <c r="B445" s="231"/>
      <c r="C445" s="15"/>
      <c r="D445"/>
      <c r="E445"/>
      <c r="F445" s="15"/>
      <c r="G445"/>
      <c r="H445"/>
      <c r="I445"/>
      <c r="J445"/>
    </row>
    <row r="446" spans="1:10" x14ac:dyDescent="0.25">
      <c r="A446" s="230"/>
      <c r="B446" s="231"/>
      <c r="C446" s="15"/>
      <c r="D446"/>
      <c r="E446"/>
      <c r="F446" s="15"/>
      <c r="G446"/>
      <c r="H446"/>
      <c r="I446"/>
      <c r="J446"/>
    </row>
    <row r="447" spans="1:10" x14ac:dyDescent="0.25">
      <c r="A447" s="230"/>
      <c r="B447" s="231"/>
      <c r="C447" s="15"/>
      <c r="D447"/>
      <c r="E447"/>
      <c r="F447" s="15"/>
      <c r="G447"/>
      <c r="H447"/>
      <c r="I447"/>
      <c r="J447"/>
    </row>
    <row r="448" spans="1:10" x14ac:dyDescent="0.25">
      <c r="A448" s="230"/>
      <c r="B448" s="231"/>
      <c r="C448" s="15"/>
      <c r="D448"/>
      <c r="E448"/>
      <c r="F448" s="15"/>
      <c r="G448"/>
      <c r="H448"/>
      <c r="I448"/>
      <c r="J448"/>
    </row>
    <row r="449" spans="1:10" x14ac:dyDescent="0.25">
      <c r="A449" s="230"/>
      <c r="B449" s="231"/>
      <c r="C449" s="15"/>
      <c r="D449"/>
      <c r="E449"/>
      <c r="F449" s="15"/>
      <c r="G449"/>
      <c r="H449"/>
      <c r="I449"/>
      <c r="J449"/>
    </row>
    <row r="450" spans="1:10" x14ac:dyDescent="0.25">
      <c r="A450" s="230"/>
      <c r="B450" s="231"/>
      <c r="C450" s="15"/>
      <c r="D450"/>
      <c r="E450"/>
      <c r="F450" s="15"/>
      <c r="G450"/>
      <c r="H450"/>
      <c r="I450"/>
      <c r="J450"/>
    </row>
    <row r="451" spans="1:10" x14ac:dyDescent="0.25">
      <c r="A451" s="230"/>
      <c r="B451" s="231"/>
      <c r="C451" s="15"/>
      <c r="D451"/>
      <c r="E451"/>
      <c r="F451" s="15"/>
      <c r="G451"/>
      <c r="H451"/>
      <c r="I451"/>
      <c r="J451"/>
    </row>
    <row r="452" spans="1:10" x14ac:dyDescent="0.25">
      <c r="A452" s="230"/>
      <c r="B452" s="231"/>
      <c r="C452" s="15"/>
      <c r="D452"/>
      <c r="E452"/>
      <c r="F452" s="15"/>
      <c r="G452"/>
      <c r="H452"/>
      <c r="I452"/>
      <c r="J452"/>
    </row>
    <row r="453" spans="1:10" x14ac:dyDescent="0.25">
      <c r="A453" s="230"/>
      <c r="B453" s="231"/>
      <c r="C453" s="15"/>
      <c r="D453"/>
      <c r="E453"/>
      <c r="F453" s="15"/>
      <c r="G453"/>
      <c r="H453"/>
      <c r="I453"/>
      <c r="J453"/>
    </row>
    <row r="454" spans="1:10" x14ac:dyDescent="0.25">
      <c r="A454" s="230"/>
      <c r="B454" s="231"/>
      <c r="C454" s="15"/>
      <c r="D454"/>
      <c r="E454"/>
      <c r="F454" s="15"/>
      <c r="G454"/>
      <c r="H454"/>
      <c r="I454"/>
      <c r="J454"/>
    </row>
    <row r="455" spans="1:10" x14ac:dyDescent="0.25">
      <c r="A455" s="230"/>
      <c r="B455" s="231"/>
      <c r="C455" s="15"/>
      <c r="D455"/>
      <c r="E455"/>
      <c r="F455" s="15"/>
      <c r="G455"/>
      <c r="H455"/>
      <c r="I455"/>
      <c r="J455"/>
    </row>
    <row r="456" spans="1:10" x14ac:dyDescent="0.25">
      <c r="A456" s="230"/>
      <c r="B456" s="231"/>
      <c r="C456" s="15"/>
      <c r="D456"/>
      <c r="E456"/>
      <c r="F456" s="15"/>
      <c r="G456"/>
      <c r="H456"/>
      <c r="I456"/>
      <c r="J456"/>
    </row>
    <row r="457" spans="1:10" x14ac:dyDescent="0.25">
      <c r="A457" s="230"/>
      <c r="B457" s="231"/>
      <c r="C457" s="15"/>
      <c r="D457"/>
      <c r="E457"/>
      <c r="F457" s="15"/>
      <c r="G457"/>
      <c r="H457"/>
      <c r="I457"/>
      <c r="J457"/>
    </row>
    <row r="458" spans="1:10" x14ac:dyDescent="0.25">
      <c r="A458" s="230"/>
      <c r="B458" s="231"/>
      <c r="C458" s="15"/>
      <c r="D458"/>
      <c r="E458"/>
      <c r="F458" s="15"/>
      <c r="G458"/>
      <c r="H458"/>
      <c r="I458"/>
      <c r="J458"/>
    </row>
    <row r="459" spans="1:10" x14ac:dyDescent="0.25">
      <c r="A459" s="230"/>
      <c r="B459" s="231"/>
      <c r="C459" s="15"/>
      <c r="D459"/>
      <c r="E459"/>
      <c r="F459" s="15"/>
      <c r="G459"/>
      <c r="H459"/>
      <c r="I459"/>
      <c r="J459"/>
    </row>
    <row r="460" spans="1:10" x14ac:dyDescent="0.25">
      <c r="A460" s="230"/>
      <c r="B460" s="231"/>
      <c r="C460" s="15"/>
      <c r="D460"/>
      <c r="E460"/>
      <c r="F460" s="15"/>
      <c r="G460"/>
      <c r="H460"/>
      <c r="I460"/>
      <c r="J460"/>
    </row>
    <row r="461" spans="1:10" x14ac:dyDescent="0.25">
      <c r="A461" s="230"/>
      <c r="B461" s="231"/>
      <c r="C461" s="15"/>
      <c r="D461"/>
      <c r="E461"/>
      <c r="F461" s="15"/>
      <c r="G461"/>
      <c r="H461"/>
      <c r="I461"/>
      <c r="J461"/>
    </row>
    <row r="462" spans="1:10" x14ac:dyDescent="0.25">
      <c r="A462" s="230"/>
      <c r="B462" s="231"/>
      <c r="C462" s="15"/>
      <c r="D462"/>
      <c r="E462"/>
      <c r="F462" s="15"/>
      <c r="G462"/>
      <c r="H462"/>
      <c r="I462"/>
      <c r="J462"/>
    </row>
    <row r="463" spans="1:10" x14ac:dyDescent="0.25">
      <c r="A463" s="230"/>
      <c r="B463" s="231"/>
      <c r="C463" s="15"/>
      <c r="D463"/>
      <c r="E463"/>
      <c r="F463" s="15"/>
      <c r="G463"/>
      <c r="H463"/>
      <c r="I463"/>
      <c r="J463"/>
    </row>
    <row r="464" spans="1:10" x14ac:dyDescent="0.25">
      <c r="A464" s="230"/>
      <c r="B464" s="231"/>
      <c r="C464" s="15"/>
      <c r="D464"/>
      <c r="E464"/>
      <c r="F464" s="15"/>
      <c r="G464"/>
      <c r="H464"/>
      <c r="I464"/>
      <c r="J464"/>
    </row>
    <row r="465" spans="1:10" x14ac:dyDescent="0.25">
      <c r="A465" s="230"/>
      <c r="B465" s="231"/>
      <c r="C465" s="15"/>
      <c r="D465"/>
      <c r="E465"/>
      <c r="F465" s="15"/>
      <c r="G465"/>
      <c r="H465"/>
      <c r="I465"/>
      <c r="J465"/>
    </row>
    <row r="466" spans="1:10" x14ac:dyDescent="0.25">
      <c r="A466" s="230"/>
      <c r="B466" s="231"/>
      <c r="C466" s="15"/>
      <c r="D466"/>
      <c r="E466"/>
      <c r="F466" s="15"/>
      <c r="G466"/>
      <c r="H466"/>
      <c r="I466"/>
      <c r="J466"/>
    </row>
    <row r="467" spans="1:10" x14ac:dyDescent="0.25">
      <c r="A467" s="230"/>
      <c r="B467" s="231"/>
      <c r="C467" s="15"/>
      <c r="D467"/>
      <c r="E467"/>
      <c r="F467" s="15"/>
      <c r="G467"/>
      <c r="H467"/>
      <c r="I467"/>
      <c r="J467"/>
    </row>
    <row r="468" spans="1:10" x14ac:dyDescent="0.25">
      <c r="A468" s="230"/>
      <c r="B468" s="231"/>
      <c r="C468" s="15"/>
      <c r="D468"/>
      <c r="E468"/>
      <c r="F468" s="15"/>
      <c r="G468"/>
      <c r="H468"/>
      <c r="I468"/>
      <c r="J468"/>
    </row>
    <row r="469" spans="1:10" x14ac:dyDescent="0.25">
      <c r="A469" s="230"/>
      <c r="B469" s="231"/>
      <c r="C469" s="15"/>
      <c r="D469"/>
      <c r="E469"/>
      <c r="F469" s="15"/>
      <c r="G469"/>
      <c r="H469"/>
      <c r="I469"/>
      <c r="J469"/>
    </row>
    <row r="470" spans="1:10" x14ac:dyDescent="0.25">
      <c r="A470" s="230"/>
      <c r="B470" s="231"/>
      <c r="C470" s="15"/>
      <c r="D470"/>
      <c r="E470"/>
      <c r="F470" s="15"/>
      <c r="G470"/>
      <c r="H470"/>
      <c r="I470"/>
      <c r="J470"/>
    </row>
    <row r="471" spans="1:10" x14ac:dyDescent="0.25">
      <c r="A471" s="230"/>
      <c r="B471" s="231"/>
      <c r="C471" s="15"/>
      <c r="D471"/>
      <c r="E471"/>
      <c r="F471" s="15"/>
      <c r="G471"/>
      <c r="H471"/>
      <c r="I471"/>
      <c r="J471"/>
    </row>
    <row r="472" spans="1:10" x14ac:dyDescent="0.25">
      <c r="A472" s="230"/>
      <c r="B472" s="231"/>
      <c r="C472" s="15"/>
      <c r="D472"/>
      <c r="E472"/>
      <c r="F472" s="15"/>
      <c r="G472"/>
      <c r="H472"/>
      <c r="I472"/>
      <c r="J472"/>
    </row>
    <row r="473" spans="1:10" x14ac:dyDescent="0.25">
      <c r="A473" s="230"/>
      <c r="B473" s="231"/>
      <c r="C473" s="15"/>
      <c r="D473"/>
      <c r="E473"/>
      <c r="F473" s="15"/>
      <c r="G473"/>
      <c r="H473"/>
      <c r="I473"/>
      <c r="J473"/>
    </row>
    <row r="474" spans="1:10" x14ac:dyDescent="0.25">
      <c r="A474" s="230"/>
      <c r="B474" s="231"/>
      <c r="C474" s="15"/>
      <c r="D474"/>
      <c r="E474"/>
      <c r="F474" s="15"/>
      <c r="G474"/>
      <c r="H474"/>
      <c r="I474"/>
      <c r="J474"/>
    </row>
    <row r="475" spans="1:10" x14ac:dyDescent="0.25">
      <c r="A475" s="230"/>
      <c r="B475" s="231"/>
      <c r="C475" s="15"/>
      <c r="D475"/>
      <c r="E475"/>
      <c r="F475" s="15"/>
      <c r="G475"/>
      <c r="H475"/>
      <c r="I475"/>
      <c r="J475"/>
    </row>
    <row r="476" spans="1:10" x14ac:dyDescent="0.25">
      <c r="A476" s="230"/>
      <c r="B476" s="231"/>
      <c r="C476" s="15"/>
      <c r="D476"/>
      <c r="E476"/>
      <c r="F476" s="15"/>
      <c r="G476"/>
      <c r="H476"/>
      <c r="I476"/>
      <c r="J476"/>
    </row>
    <row r="477" spans="1:10" x14ac:dyDescent="0.25">
      <c r="A477" s="230"/>
      <c r="B477" s="231"/>
      <c r="C477" s="15"/>
      <c r="D477"/>
      <c r="E477"/>
      <c r="F477" s="15"/>
      <c r="G477"/>
      <c r="H477"/>
      <c r="I477"/>
      <c r="J477"/>
    </row>
    <row r="478" spans="1:10" x14ac:dyDescent="0.25">
      <c r="A478" s="230"/>
      <c r="B478" s="231"/>
      <c r="C478" s="15"/>
      <c r="D478"/>
      <c r="E478"/>
      <c r="F478" s="15"/>
      <c r="G478"/>
      <c r="H478"/>
      <c r="I478"/>
      <c r="J478"/>
    </row>
    <row r="479" spans="1:10" x14ac:dyDescent="0.25">
      <c r="A479" s="230"/>
      <c r="B479" s="231"/>
      <c r="C479" s="15"/>
      <c r="D479"/>
      <c r="E479"/>
      <c r="F479" s="15"/>
      <c r="G479"/>
      <c r="H479"/>
      <c r="I479"/>
      <c r="J479"/>
    </row>
    <row r="480" spans="1:10" x14ac:dyDescent="0.25">
      <c r="A480" s="230"/>
      <c r="B480" s="231"/>
      <c r="C480" s="15"/>
      <c r="D480"/>
      <c r="E480"/>
      <c r="F480" s="15"/>
      <c r="G480"/>
      <c r="H480"/>
      <c r="I480"/>
      <c r="J480"/>
    </row>
    <row r="481" spans="1:10" x14ac:dyDescent="0.25">
      <c r="A481" s="230"/>
      <c r="B481" s="231"/>
      <c r="C481" s="15"/>
      <c r="D481"/>
      <c r="E481"/>
      <c r="F481" s="15"/>
      <c r="G481"/>
      <c r="H481"/>
      <c r="I481"/>
      <c r="J481"/>
    </row>
    <row r="482" spans="1:10" x14ac:dyDescent="0.25">
      <c r="A482" s="230"/>
      <c r="B482" s="231"/>
      <c r="C482" s="15"/>
      <c r="D482"/>
      <c r="E482"/>
      <c r="F482" s="15"/>
      <c r="G482"/>
      <c r="H482"/>
      <c r="I482"/>
      <c r="J482"/>
    </row>
    <row r="483" spans="1:10" x14ac:dyDescent="0.25">
      <c r="A483" s="230"/>
      <c r="B483" s="231"/>
      <c r="C483" s="15"/>
      <c r="D483"/>
      <c r="E483"/>
      <c r="F483" s="15"/>
      <c r="G483"/>
      <c r="H483"/>
      <c r="I483"/>
      <c r="J483"/>
    </row>
    <row r="484" spans="1:10" x14ac:dyDescent="0.25">
      <c r="A484" s="230"/>
      <c r="B484" s="231"/>
      <c r="C484" s="15"/>
      <c r="D484"/>
      <c r="E484"/>
      <c r="F484" s="15"/>
      <c r="G484"/>
      <c r="H484"/>
      <c r="I484"/>
      <c r="J484"/>
    </row>
    <row r="485" spans="1:10" x14ac:dyDescent="0.25">
      <c r="A485" s="230"/>
      <c r="B485" s="231"/>
      <c r="C485" s="15"/>
      <c r="D485"/>
      <c r="E485"/>
      <c r="F485" s="15"/>
      <c r="G485"/>
      <c r="H485"/>
      <c r="I485"/>
      <c r="J485"/>
    </row>
    <row r="486" spans="1:10" x14ac:dyDescent="0.25">
      <c r="A486" s="230"/>
      <c r="B486" s="231"/>
      <c r="C486" s="15"/>
      <c r="D486"/>
      <c r="E486"/>
      <c r="F486" s="15"/>
      <c r="G486"/>
      <c r="H486"/>
      <c r="I486"/>
      <c r="J486"/>
    </row>
    <row r="487" spans="1:10" x14ac:dyDescent="0.25">
      <c r="A487" s="230"/>
      <c r="B487" s="231"/>
      <c r="C487" s="15"/>
      <c r="D487"/>
      <c r="E487"/>
      <c r="F487" s="15"/>
      <c r="G487"/>
      <c r="H487"/>
      <c r="I487"/>
      <c r="J487"/>
    </row>
    <row r="488" spans="1:10" x14ac:dyDescent="0.25">
      <c r="A488" s="230"/>
      <c r="B488" s="231"/>
      <c r="C488" s="15"/>
      <c r="D488"/>
      <c r="E488"/>
      <c r="F488" s="15"/>
      <c r="G488"/>
      <c r="H488"/>
      <c r="I488"/>
      <c r="J488"/>
    </row>
    <row r="489" spans="1:10" x14ac:dyDescent="0.25">
      <c r="A489" s="230"/>
      <c r="B489" s="231"/>
      <c r="C489" s="15"/>
      <c r="D489"/>
      <c r="E489"/>
      <c r="F489" s="15"/>
      <c r="G489"/>
      <c r="H489"/>
      <c r="I489"/>
      <c r="J489"/>
    </row>
    <row r="490" spans="1:10" x14ac:dyDescent="0.25">
      <c r="A490" s="230"/>
      <c r="B490" s="231"/>
      <c r="C490" s="15"/>
      <c r="D490"/>
      <c r="E490"/>
      <c r="F490" s="15"/>
      <c r="G490"/>
      <c r="H490"/>
      <c r="I490"/>
      <c r="J490"/>
    </row>
    <row r="491" spans="1:10" x14ac:dyDescent="0.25">
      <c r="A491" s="230"/>
      <c r="B491" s="231"/>
      <c r="C491" s="15"/>
      <c r="D491"/>
      <c r="E491"/>
      <c r="F491" s="15"/>
      <c r="G491"/>
      <c r="H491"/>
      <c r="I491"/>
      <c r="J491"/>
    </row>
    <row r="492" spans="1:10" x14ac:dyDescent="0.25">
      <c r="A492" s="230"/>
      <c r="B492" s="231"/>
      <c r="C492" s="15"/>
      <c r="D492"/>
      <c r="E492"/>
      <c r="F492" s="15"/>
      <c r="G492"/>
      <c r="H492"/>
      <c r="I492"/>
      <c r="J492"/>
    </row>
    <row r="493" spans="1:10" x14ac:dyDescent="0.25">
      <c r="A493" s="230"/>
      <c r="B493" s="231"/>
      <c r="C493" s="15"/>
      <c r="D493"/>
      <c r="E493"/>
      <c r="F493" s="15"/>
      <c r="G493"/>
      <c r="H493"/>
      <c r="I493"/>
      <c r="J493"/>
    </row>
    <row r="494" spans="1:10" x14ac:dyDescent="0.25">
      <c r="A494" s="230"/>
      <c r="B494" s="231"/>
      <c r="C494" s="15"/>
      <c r="D494"/>
      <c r="E494"/>
      <c r="F494" s="15"/>
      <c r="G494"/>
      <c r="H494"/>
      <c r="I494"/>
      <c r="J494"/>
    </row>
    <row r="495" spans="1:10" x14ac:dyDescent="0.25">
      <c r="A495" s="230"/>
      <c r="B495" s="231"/>
      <c r="C495" s="15"/>
      <c r="D495"/>
      <c r="E495"/>
      <c r="F495" s="15"/>
      <c r="G495"/>
      <c r="H495"/>
      <c r="I495"/>
      <c r="J495"/>
    </row>
    <row r="496" spans="1:10" x14ac:dyDescent="0.25">
      <c r="A496" s="230"/>
      <c r="B496" s="231"/>
      <c r="C496" s="15"/>
      <c r="D496"/>
      <c r="E496"/>
      <c r="F496" s="15"/>
      <c r="G496"/>
      <c r="H496"/>
      <c r="I496"/>
      <c r="J496"/>
    </row>
    <row r="497" spans="1:10" x14ac:dyDescent="0.25">
      <c r="A497" s="230"/>
      <c r="B497" s="231"/>
      <c r="C497" s="15"/>
      <c r="D497"/>
      <c r="E497"/>
      <c r="F497" s="15"/>
      <c r="G497"/>
      <c r="H497"/>
      <c r="I497"/>
      <c r="J497"/>
    </row>
    <row r="498" spans="1:10" x14ac:dyDescent="0.25">
      <c r="A498" s="230"/>
      <c r="B498" s="231"/>
      <c r="C498" s="15"/>
      <c r="D498"/>
      <c r="E498"/>
      <c r="F498" s="15"/>
      <c r="G498"/>
      <c r="H498"/>
      <c r="I498"/>
      <c r="J498"/>
    </row>
    <row r="499" spans="1:10" x14ac:dyDescent="0.25">
      <c r="A499" s="230"/>
      <c r="B499" s="231"/>
      <c r="C499" s="15"/>
      <c r="D499"/>
      <c r="E499"/>
      <c r="F499" s="15"/>
      <c r="G499"/>
      <c r="H499"/>
      <c r="I499"/>
      <c r="J499"/>
    </row>
    <row r="500" spans="1:10" x14ac:dyDescent="0.25">
      <c r="A500" s="230"/>
      <c r="B500" s="231"/>
      <c r="C500" s="15"/>
      <c r="D500"/>
      <c r="E500"/>
      <c r="F500" s="15"/>
      <c r="G500"/>
      <c r="H500"/>
      <c r="I500"/>
      <c r="J500"/>
    </row>
    <row r="501" spans="1:10" x14ac:dyDescent="0.25">
      <c r="A501" s="230"/>
      <c r="B501" s="231"/>
      <c r="C501" s="15"/>
      <c r="D501"/>
      <c r="E501"/>
      <c r="F501" s="15"/>
      <c r="G501"/>
      <c r="H501"/>
      <c r="I501"/>
      <c r="J501"/>
    </row>
    <row r="502" spans="1:10" x14ac:dyDescent="0.25">
      <c r="A502" s="230"/>
      <c r="B502" s="231"/>
      <c r="C502" s="15"/>
      <c r="D502"/>
      <c r="E502"/>
      <c r="F502" s="15"/>
      <c r="G502"/>
      <c r="H502"/>
      <c r="I502"/>
      <c r="J502"/>
    </row>
    <row r="503" spans="1:10" x14ac:dyDescent="0.25">
      <c r="A503" s="230"/>
      <c r="B503" s="231"/>
      <c r="C503" s="15"/>
      <c r="D503"/>
      <c r="E503"/>
      <c r="F503" s="15"/>
      <c r="G503"/>
      <c r="H503"/>
      <c r="I503"/>
      <c r="J503"/>
    </row>
    <row r="504" spans="1:10" x14ac:dyDescent="0.25">
      <c r="A504" s="230"/>
      <c r="B504" s="231"/>
      <c r="C504" s="15"/>
      <c r="D504"/>
      <c r="E504"/>
      <c r="F504" s="15"/>
      <c r="G504"/>
      <c r="H504"/>
      <c r="I504"/>
      <c r="J504"/>
    </row>
    <row r="505" spans="1:10" x14ac:dyDescent="0.25">
      <c r="A505" s="230"/>
      <c r="B505" s="231"/>
      <c r="C505" s="15"/>
      <c r="D505"/>
      <c r="E505"/>
      <c r="F505" s="15"/>
      <c r="G505"/>
      <c r="H505"/>
      <c r="I505"/>
      <c r="J505"/>
    </row>
    <row r="506" spans="1:10" x14ac:dyDescent="0.25">
      <c r="A506" s="230"/>
      <c r="B506" s="231"/>
      <c r="C506" s="15"/>
      <c r="D506"/>
      <c r="E506"/>
      <c r="F506" s="15"/>
      <c r="G506"/>
      <c r="H506"/>
      <c r="I506"/>
      <c r="J506"/>
    </row>
    <row r="507" spans="1:10" x14ac:dyDescent="0.25">
      <c r="A507" s="230"/>
      <c r="B507" s="231"/>
      <c r="C507" s="15"/>
      <c r="D507"/>
      <c r="E507"/>
      <c r="F507" s="15"/>
      <c r="G507"/>
      <c r="H507"/>
      <c r="I507"/>
      <c r="J507"/>
    </row>
    <row r="508" spans="1:10" x14ac:dyDescent="0.25">
      <c r="A508" s="230"/>
      <c r="B508" s="231"/>
      <c r="C508" s="15"/>
      <c r="D508"/>
      <c r="E508"/>
      <c r="F508" s="15"/>
      <c r="G508"/>
      <c r="H508"/>
      <c r="I508"/>
      <c r="J508"/>
    </row>
    <row r="509" spans="1:10" x14ac:dyDescent="0.25">
      <c r="A509" s="230"/>
      <c r="B509" s="231"/>
      <c r="C509" s="15"/>
      <c r="D509"/>
      <c r="E509"/>
      <c r="F509" s="15"/>
      <c r="G509"/>
      <c r="H509"/>
      <c r="I509"/>
      <c r="J509"/>
    </row>
    <row r="510" spans="1:10" x14ac:dyDescent="0.25">
      <c r="A510" s="230"/>
      <c r="B510" s="231"/>
      <c r="C510" s="15"/>
      <c r="D510"/>
      <c r="E510"/>
      <c r="F510" s="15"/>
      <c r="G510"/>
      <c r="H510"/>
      <c r="I510"/>
      <c r="J510"/>
    </row>
    <row r="511" spans="1:10" x14ac:dyDescent="0.25">
      <c r="A511" s="230"/>
      <c r="B511" s="231"/>
      <c r="C511" s="15"/>
      <c r="D511"/>
      <c r="E511"/>
      <c r="F511" s="15"/>
      <c r="G511"/>
      <c r="H511"/>
      <c r="I511"/>
      <c r="J511"/>
    </row>
    <row r="512" spans="1:10" x14ac:dyDescent="0.25">
      <c r="A512" s="230"/>
      <c r="B512" s="231"/>
      <c r="C512" s="15"/>
      <c r="D512"/>
      <c r="E512"/>
      <c r="F512" s="15"/>
      <c r="G512"/>
      <c r="H512"/>
      <c r="I512"/>
      <c r="J512"/>
    </row>
    <row r="513" spans="1:10" x14ac:dyDescent="0.25">
      <c r="A513" s="230"/>
      <c r="B513" s="231"/>
      <c r="C513" s="15"/>
      <c r="D513"/>
      <c r="E513"/>
      <c r="F513" s="15"/>
      <c r="G513"/>
      <c r="H513"/>
      <c r="I513"/>
      <c r="J513"/>
    </row>
    <row r="514" spans="1:10" x14ac:dyDescent="0.25">
      <c r="A514" s="230"/>
      <c r="B514" s="231"/>
      <c r="C514" s="15"/>
      <c r="D514"/>
      <c r="E514"/>
      <c r="F514" s="15"/>
      <c r="G514"/>
      <c r="H514"/>
      <c r="I514"/>
      <c r="J514"/>
    </row>
    <row r="515" spans="1:10" x14ac:dyDescent="0.25">
      <c r="A515" s="230"/>
      <c r="B515" s="231"/>
      <c r="C515" s="15"/>
      <c r="D515"/>
      <c r="E515"/>
      <c r="F515" s="15"/>
      <c r="G515"/>
      <c r="H515"/>
      <c r="I515"/>
      <c r="J515"/>
    </row>
    <row r="516" spans="1:10" x14ac:dyDescent="0.25">
      <c r="A516" s="230"/>
      <c r="B516" s="231"/>
      <c r="C516" s="15"/>
      <c r="D516"/>
      <c r="E516"/>
      <c r="F516" s="15"/>
      <c r="G516"/>
      <c r="H516"/>
      <c r="I516"/>
      <c r="J516"/>
    </row>
    <row r="517" spans="1:10" x14ac:dyDescent="0.25">
      <c r="A517" s="230"/>
      <c r="B517" s="231"/>
      <c r="C517" s="15"/>
      <c r="D517"/>
      <c r="E517"/>
      <c r="F517" s="15"/>
      <c r="G517"/>
      <c r="H517"/>
      <c r="I517"/>
      <c r="J517"/>
    </row>
    <row r="518" spans="1:10" x14ac:dyDescent="0.25">
      <c r="A518" s="230"/>
      <c r="B518" s="231"/>
      <c r="C518" s="15"/>
      <c r="D518"/>
      <c r="E518"/>
      <c r="F518" s="15"/>
      <c r="G518"/>
      <c r="H518"/>
      <c r="I518"/>
      <c r="J518"/>
    </row>
    <row r="519" spans="1:10" x14ac:dyDescent="0.25">
      <c r="A519" s="230"/>
      <c r="B519" s="231"/>
      <c r="C519" s="15"/>
      <c r="D519"/>
      <c r="E519"/>
      <c r="F519" s="15"/>
      <c r="G519"/>
      <c r="H519"/>
      <c r="I519"/>
      <c r="J519"/>
    </row>
    <row r="520" spans="1:10" x14ac:dyDescent="0.25">
      <c r="A520" s="230"/>
      <c r="B520" s="231"/>
      <c r="C520" s="15"/>
      <c r="D520"/>
      <c r="E520"/>
      <c r="F520" s="15"/>
      <c r="G520"/>
      <c r="H520"/>
      <c r="I520"/>
      <c r="J520"/>
    </row>
    <row r="521" spans="1:10" x14ac:dyDescent="0.25">
      <c r="A521" s="230"/>
      <c r="B521" s="231"/>
      <c r="C521" s="15"/>
      <c r="D521"/>
      <c r="E521"/>
      <c r="F521" s="15"/>
      <c r="G521"/>
      <c r="H521"/>
      <c r="I521"/>
      <c r="J521"/>
    </row>
    <row r="522" spans="1:10" x14ac:dyDescent="0.25">
      <c r="A522" s="230"/>
      <c r="B522" s="231"/>
      <c r="C522" s="15"/>
      <c r="D522"/>
      <c r="E522"/>
      <c r="F522" s="15"/>
      <c r="G522"/>
      <c r="H522"/>
      <c r="I522"/>
      <c r="J522"/>
    </row>
    <row r="523" spans="1:10" x14ac:dyDescent="0.25">
      <c r="A523" s="230"/>
      <c r="B523" s="231"/>
      <c r="C523" s="15"/>
      <c r="D523"/>
      <c r="E523"/>
      <c r="F523" s="15"/>
      <c r="G523"/>
      <c r="H523"/>
      <c r="I523"/>
      <c r="J523"/>
    </row>
    <row r="524" spans="1:10" x14ac:dyDescent="0.25">
      <c r="A524" s="230"/>
      <c r="B524" s="231"/>
      <c r="C524" s="15"/>
      <c r="D524"/>
      <c r="E524"/>
      <c r="F524" s="15"/>
      <c r="G524"/>
      <c r="H524"/>
      <c r="I524"/>
      <c r="J524"/>
    </row>
    <row r="525" spans="1:10" x14ac:dyDescent="0.25">
      <c r="A525" s="230"/>
      <c r="B525" s="231"/>
      <c r="C525" s="15"/>
      <c r="D525"/>
      <c r="E525"/>
      <c r="F525" s="15"/>
      <c r="G525"/>
      <c r="H525"/>
      <c r="I525"/>
      <c r="J525"/>
    </row>
    <row r="526" spans="1:10" x14ac:dyDescent="0.25">
      <c r="A526" s="230"/>
      <c r="B526" s="231"/>
      <c r="C526" s="15"/>
      <c r="D526"/>
      <c r="E526"/>
      <c r="F526" s="15"/>
      <c r="G526"/>
      <c r="H526"/>
      <c r="I526"/>
      <c r="J526"/>
    </row>
    <row r="527" spans="1:10" x14ac:dyDescent="0.25">
      <c r="A527" s="230"/>
      <c r="B527" s="231"/>
      <c r="C527" s="15"/>
      <c r="D527"/>
      <c r="E527"/>
      <c r="F527" s="15"/>
      <c r="G527"/>
      <c r="H527"/>
      <c r="I527"/>
      <c r="J527"/>
    </row>
    <row r="528" spans="1:10" x14ac:dyDescent="0.25">
      <c r="A528" s="230"/>
      <c r="B528" s="231"/>
      <c r="C528" s="15"/>
      <c r="D528"/>
      <c r="E528"/>
      <c r="F528" s="15"/>
      <c r="G528"/>
      <c r="H528"/>
      <c r="I528"/>
      <c r="J528"/>
    </row>
    <row r="529" spans="1:10" x14ac:dyDescent="0.25">
      <c r="A529" s="230"/>
      <c r="B529" s="231"/>
      <c r="C529" s="15"/>
      <c r="D529"/>
      <c r="E529"/>
      <c r="F529" s="15"/>
      <c r="G529"/>
      <c r="H529"/>
      <c r="I529"/>
      <c r="J529"/>
    </row>
    <row r="530" spans="1:10" x14ac:dyDescent="0.25">
      <c r="A530" s="230"/>
      <c r="B530" s="231"/>
      <c r="C530" s="15"/>
      <c r="D530"/>
      <c r="E530"/>
      <c r="F530" s="15"/>
      <c r="G530"/>
      <c r="H530"/>
      <c r="I530"/>
      <c r="J530"/>
    </row>
    <row r="531" spans="1:10" x14ac:dyDescent="0.25">
      <c r="A531" s="230"/>
      <c r="B531" s="231"/>
      <c r="C531" s="15"/>
      <c r="D531"/>
      <c r="E531"/>
      <c r="F531" s="15"/>
      <c r="G531"/>
      <c r="H531"/>
      <c r="I531"/>
      <c r="J531"/>
    </row>
    <row r="532" spans="1:10" x14ac:dyDescent="0.25">
      <c r="A532" s="230"/>
      <c r="B532" s="231"/>
      <c r="C532" s="15"/>
      <c r="D532"/>
      <c r="E532"/>
      <c r="F532" s="15"/>
      <c r="G532"/>
      <c r="H532"/>
      <c r="I532"/>
      <c r="J532"/>
    </row>
    <row r="533" spans="1:10" x14ac:dyDescent="0.25">
      <c r="A533" s="230"/>
      <c r="B533" s="231"/>
      <c r="C533" s="15"/>
      <c r="D533"/>
      <c r="E533"/>
      <c r="F533" s="15"/>
      <c r="G533"/>
      <c r="H533"/>
      <c r="I533"/>
      <c r="J533"/>
    </row>
    <row r="534" spans="1:10" x14ac:dyDescent="0.25">
      <c r="A534" s="230"/>
      <c r="B534" s="231"/>
      <c r="C534" s="15"/>
      <c r="D534"/>
      <c r="E534"/>
      <c r="F534" s="15"/>
      <c r="G534"/>
      <c r="H534"/>
      <c r="I534"/>
      <c r="J534"/>
    </row>
    <row r="535" spans="1:10" x14ac:dyDescent="0.25">
      <c r="A535" s="230"/>
      <c r="B535" s="231"/>
      <c r="C535" s="15"/>
      <c r="D535"/>
      <c r="E535"/>
      <c r="F535" s="15"/>
      <c r="G535"/>
      <c r="H535"/>
      <c r="I535"/>
      <c r="J535"/>
    </row>
    <row r="536" spans="1:10" x14ac:dyDescent="0.25">
      <c r="A536" s="230"/>
      <c r="B536" s="231"/>
      <c r="C536" s="15"/>
      <c r="D536"/>
      <c r="E536"/>
      <c r="F536" s="15"/>
      <c r="G536"/>
      <c r="H536"/>
      <c r="I536"/>
      <c r="J536"/>
    </row>
    <row r="537" spans="1:10" x14ac:dyDescent="0.25">
      <c r="A537" s="230"/>
      <c r="B537" s="231"/>
      <c r="C537" s="15"/>
      <c r="D537"/>
      <c r="E537"/>
      <c r="F537" s="15"/>
      <c r="G537"/>
      <c r="H537"/>
      <c r="I537"/>
      <c r="J537"/>
    </row>
    <row r="538" spans="1:10" x14ac:dyDescent="0.25">
      <c r="A538" s="230"/>
      <c r="B538" s="231"/>
      <c r="C538" s="15"/>
      <c r="D538"/>
      <c r="E538"/>
      <c r="F538" s="15"/>
      <c r="G538"/>
      <c r="H538"/>
      <c r="I538"/>
      <c r="J538"/>
    </row>
    <row r="539" spans="1:10" x14ac:dyDescent="0.25">
      <c r="A539" s="230"/>
      <c r="B539" s="231"/>
      <c r="C539" s="15"/>
      <c r="D539"/>
      <c r="E539"/>
      <c r="F539" s="15"/>
      <c r="G539"/>
      <c r="H539"/>
      <c r="I539"/>
      <c r="J539"/>
    </row>
    <row r="540" spans="1:10" x14ac:dyDescent="0.25">
      <c r="A540" s="230"/>
      <c r="B540" s="231"/>
      <c r="C540" s="15"/>
      <c r="D540"/>
      <c r="E540"/>
      <c r="F540" s="15"/>
      <c r="G540"/>
      <c r="H540"/>
      <c r="I540"/>
      <c r="J540"/>
    </row>
    <row r="541" spans="1:10" x14ac:dyDescent="0.25">
      <c r="A541" s="230"/>
      <c r="B541" s="231"/>
      <c r="C541" s="15"/>
      <c r="D541"/>
      <c r="E541"/>
      <c r="F541" s="15"/>
      <c r="G541"/>
      <c r="H541"/>
      <c r="I541"/>
      <c r="J541"/>
    </row>
    <row r="542" spans="1:10" x14ac:dyDescent="0.25">
      <c r="A542" s="230"/>
      <c r="B542" s="231"/>
      <c r="C542" s="15"/>
      <c r="D542"/>
      <c r="E542"/>
      <c r="F542" s="15"/>
      <c r="G542"/>
      <c r="H542"/>
      <c r="I542"/>
      <c r="J542"/>
    </row>
    <row r="543" spans="1:10" x14ac:dyDescent="0.25">
      <c r="A543" s="230"/>
      <c r="B543" s="231"/>
      <c r="C543" s="15"/>
      <c r="D543"/>
      <c r="E543"/>
      <c r="F543" s="15"/>
      <c r="G543"/>
      <c r="H543"/>
      <c r="I543"/>
      <c r="J543"/>
    </row>
    <row r="544" spans="1:10" x14ac:dyDescent="0.25">
      <c r="A544" s="230"/>
      <c r="B544" s="231"/>
      <c r="C544" s="15"/>
      <c r="D544"/>
      <c r="E544"/>
      <c r="F544" s="15"/>
      <c r="G544"/>
      <c r="H544"/>
      <c r="I544"/>
      <c r="J544"/>
    </row>
    <row r="545" spans="1:10" x14ac:dyDescent="0.25">
      <c r="A545" s="230"/>
      <c r="B545" s="231"/>
      <c r="C545" s="15"/>
      <c r="D545"/>
      <c r="E545"/>
      <c r="F545" s="15"/>
      <c r="G545"/>
      <c r="H545"/>
      <c r="I545"/>
      <c r="J545"/>
    </row>
    <row r="546" spans="1:10" x14ac:dyDescent="0.25">
      <c r="A546" s="230"/>
      <c r="B546" s="231"/>
      <c r="C546" s="15"/>
      <c r="D546"/>
      <c r="E546"/>
      <c r="F546" s="15"/>
      <c r="G546"/>
      <c r="H546"/>
      <c r="I546"/>
      <c r="J546"/>
    </row>
    <row r="547" spans="1:10" x14ac:dyDescent="0.25">
      <c r="A547" s="230"/>
      <c r="B547" s="231"/>
      <c r="C547" s="15"/>
      <c r="D547"/>
      <c r="E547"/>
      <c r="F547" s="15"/>
      <c r="G547"/>
      <c r="H547"/>
      <c r="I547"/>
      <c r="J547"/>
    </row>
    <row r="548" spans="1:10" x14ac:dyDescent="0.25">
      <c r="A548" s="230"/>
      <c r="B548" s="231"/>
      <c r="C548" s="15"/>
      <c r="D548"/>
      <c r="E548"/>
      <c r="F548" s="15"/>
      <c r="G548"/>
      <c r="H548"/>
      <c r="I548"/>
      <c r="J548"/>
    </row>
    <row r="549" spans="1:10" x14ac:dyDescent="0.25">
      <c r="A549" s="230"/>
      <c r="B549" s="231"/>
      <c r="C549" s="15"/>
      <c r="D549"/>
      <c r="E549"/>
      <c r="F549" s="15"/>
      <c r="G549"/>
      <c r="H549"/>
      <c r="I549"/>
      <c r="J549"/>
    </row>
    <row r="550" spans="1:10" x14ac:dyDescent="0.25">
      <c r="A550" s="230"/>
      <c r="B550" s="231"/>
      <c r="C550" s="15"/>
      <c r="D550"/>
      <c r="E550"/>
      <c r="F550" s="15"/>
      <c r="G550"/>
      <c r="H550"/>
      <c r="I550"/>
      <c r="J550"/>
    </row>
    <row r="551" spans="1:10" x14ac:dyDescent="0.25">
      <c r="A551" s="230"/>
      <c r="B551" s="231"/>
      <c r="C551" s="15"/>
      <c r="D551"/>
      <c r="E551"/>
      <c r="F551" s="15"/>
      <c r="G551"/>
      <c r="H551"/>
      <c r="I551"/>
      <c r="J551"/>
    </row>
    <row r="552" spans="1:10" x14ac:dyDescent="0.25">
      <c r="A552" s="230"/>
      <c r="B552" s="231"/>
      <c r="C552" s="15"/>
      <c r="D552"/>
      <c r="E552"/>
      <c r="F552" s="15"/>
      <c r="G552"/>
      <c r="H552"/>
      <c r="I552"/>
      <c r="J552"/>
    </row>
    <row r="553" spans="1:10" x14ac:dyDescent="0.25">
      <c r="A553" s="230"/>
      <c r="B553" s="231"/>
      <c r="C553" s="15"/>
      <c r="D553"/>
      <c r="E553"/>
      <c r="F553" s="15"/>
      <c r="G553"/>
      <c r="H553"/>
      <c r="I553"/>
      <c r="J553"/>
    </row>
    <row r="554" spans="1:10" x14ac:dyDescent="0.25">
      <c r="A554" s="230"/>
      <c r="B554" s="231"/>
      <c r="C554" s="15"/>
      <c r="D554"/>
      <c r="E554"/>
      <c r="F554" s="15"/>
      <c r="G554"/>
      <c r="H554"/>
      <c r="I554"/>
      <c r="J554"/>
    </row>
    <row r="555" spans="1:10" x14ac:dyDescent="0.25">
      <c r="A555" s="230"/>
      <c r="B555" s="231"/>
      <c r="C555" s="15"/>
      <c r="D555"/>
      <c r="E555"/>
      <c r="F555" s="15"/>
      <c r="G555"/>
      <c r="H555"/>
      <c r="I555"/>
      <c r="J555"/>
    </row>
    <row r="556" spans="1:10" x14ac:dyDescent="0.25">
      <c r="A556" s="230"/>
      <c r="B556" s="231"/>
      <c r="C556" s="15"/>
      <c r="D556"/>
      <c r="E556"/>
      <c r="F556" s="15"/>
      <c r="G556"/>
      <c r="H556"/>
      <c r="I556"/>
      <c r="J556"/>
    </row>
    <row r="557" spans="1:10" x14ac:dyDescent="0.25">
      <c r="A557" s="230"/>
      <c r="B557" s="231"/>
      <c r="C557" s="15"/>
      <c r="D557"/>
      <c r="E557"/>
      <c r="F557" s="15"/>
      <c r="G557"/>
      <c r="H557"/>
      <c r="I557"/>
      <c r="J557"/>
    </row>
    <row r="558" spans="1:10" x14ac:dyDescent="0.25">
      <c r="A558" s="230"/>
      <c r="B558" s="231"/>
      <c r="C558" s="15"/>
      <c r="D558"/>
      <c r="E558"/>
      <c r="F558" s="15"/>
      <c r="G558"/>
      <c r="H558"/>
      <c r="I558"/>
      <c r="J558"/>
    </row>
    <row r="559" spans="1:10" x14ac:dyDescent="0.25">
      <c r="A559" s="230"/>
      <c r="B559" s="231"/>
      <c r="C559" s="15"/>
      <c r="D559"/>
      <c r="E559"/>
      <c r="F559" s="15"/>
      <c r="G559"/>
      <c r="H559"/>
      <c r="I559"/>
      <c r="J559"/>
    </row>
    <row r="560" spans="1:10" x14ac:dyDescent="0.25">
      <c r="A560" s="230"/>
      <c r="B560" s="231"/>
      <c r="C560" s="15"/>
      <c r="D560"/>
      <c r="E560"/>
      <c r="F560" s="15"/>
      <c r="G560"/>
      <c r="H560"/>
      <c r="I560"/>
      <c r="J560"/>
    </row>
    <row r="561" spans="1:10" x14ac:dyDescent="0.25">
      <c r="A561" s="230"/>
      <c r="B561" s="231"/>
      <c r="C561" s="15"/>
      <c r="D561"/>
      <c r="E561"/>
      <c r="F561" s="15"/>
      <c r="G561"/>
      <c r="H561"/>
      <c r="I561"/>
      <c r="J561"/>
    </row>
    <row r="562" spans="1:10" x14ac:dyDescent="0.25">
      <c r="A562" s="230"/>
      <c r="B562" s="231"/>
      <c r="C562" s="15"/>
      <c r="D562"/>
      <c r="E562"/>
      <c r="F562" s="15"/>
      <c r="G562"/>
      <c r="H562"/>
      <c r="I562"/>
      <c r="J562"/>
    </row>
    <row r="563" spans="1:10" x14ac:dyDescent="0.25">
      <c r="A563" s="230"/>
      <c r="B563" s="231"/>
      <c r="C563" s="15"/>
      <c r="D563"/>
      <c r="E563"/>
      <c r="F563" s="15"/>
      <c r="G563"/>
      <c r="H563"/>
      <c r="I563"/>
      <c r="J563"/>
    </row>
    <row r="564" spans="1:10" x14ac:dyDescent="0.25">
      <c r="A564" s="230"/>
      <c r="B564" s="231"/>
      <c r="C564" s="15"/>
      <c r="D564"/>
      <c r="E564"/>
      <c r="F564" s="15"/>
      <c r="G564"/>
      <c r="H564"/>
      <c r="I564"/>
      <c r="J564"/>
    </row>
    <row r="565" spans="1:10" x14ac:dyDescent="0.25">
      <c r="A565" s="230"/>
      <c r="B565" s="231"/>
      <c r="C565" s="15"/>
      <c r="D565"/>
      <c r="E565"/>
      <c r="F565" s="15"/>
      <c r="G565"/>
      <c r="H565"/>
      <c r="I565"/>
      <c r="J565"/>
    </row>
    <row r="566" spans="1:10" x14ac:dyDescent="0.25">
      <c r="A566" s="230"/>
      <c r="B566" s="231"/>
      <c r="C566" s="15"/>
      <c r="D566"/>
      <c r="E566"/>
      <c r="F566" s="15"/>
      <c r="G566"/>
      <c r="H566"/>
      <c r="I566"/>
      <c r="J566"/>
    </row>
    <row r="567" spans="1:10" x14ac:dyDescent="0.25">
      <c r="A567" s="230"/>
      <c r="B567" s="231"/>
      <c r="C567" s="15"/>
      <c r="D567"/>
      <c r="E567"/>
      <c r="F567" s="15"/>
      <c r="G567"/>
      <c r="H567"/>
      <c r="I567"/>
      <c r="J567"/>
    </row>
    <row r="568" spans="1:10" x14ac:dyDescent="0.25">
      <c r="A568" s="230"/>
      <c r="B568" s="231"/>
      <c r="C568" s="15"/>
      <c r="D568"/>
      <c r="E568"/>
      <c r="F568" s="15"/>
      <c r="G568"/>
      <c r="H568"/>
      <c r="I568"/>
      <c r="J568"/>
    </row>
    <row r="569" spans="1:10" x14ac:dyDescent="0.25">
      <c r="A569" s="230"/>
      <c r="B569" s="231"/>
      <c r="C569" s="15"/>
      <c r="D569"/>
      <c r="E569"/>
      <c r="F569" s="15"/>
      <c r="G569"/>
      <c r="H569"/>
      <c r="I569"/>
      <c r="J569"/>
    </row>
    <row r="570" spans="1:10" x14ac:dyDescent="0.25">
      <c r="A570" s="230"/>
      <c r="B570" s="231"/>
      <c r="C570" s="15"/>
      <c r="D570"/>
      <c r="E570"/>
      <c r="F570" s="15"/>
      <c r="G570"/>
      <c r="H570"/>
      <c r="I570"/>
      <c r="J570"/>
    </row>
    <row r="571" spans="1:10" x14ac:dyDescent="0.25">
      <c r="A571" s="230"/>
      <c r="B571" s="231"/>
      <c r="C571" s="15"/>
      <c r="D571"/>
      <c r="E571"/>
      <c r="F571" s="15"/>
      <c r="G571"/>
      <c r="H571"/>
      <c r="I571"/>
      <c r="J571"/>
    </row>
    <row r="572" spans="1:10" x14ac:dyDescent="0.25">
      <c r="A572" s="230"/>
      <c r="B572" s="231"/>
      <c r="C572" s="15"/>
      <c r="D572"/>
      <c r="E572"/>
      <c r="F572" s="15"/>
      <c r="G572"/>
      <c r="H572"/>
      <c r="I572"/>
      <c r="J572"/>
    </row>
    <row r="573" spans="1:10" x14ac:dyDescent="0.25">
      <c r="A573" s="230"/>
      <c r="B573" s="231"/>
      <c r="C573" s="15"/>
      <c r="D573"/>
      <c r="E573"/>
      <c r="F573" s="15"/>
      <c r="G573"/>
      <c r="H573"/>
      <c r="I573"/>
      <c r="J573"/>
    </row>
    <row r="574" spans="1:10" x14ac:dyDescent="0.25">
      <c r="A574" s="230"/>
      <c r="B574" s="231"/>
      <c r="C574" s="15"/>
      <c r="D574"/>
      <c r="E574"/>
      <c r="F574" s="15"/>
      <c r="G574"/>
      <c r="H574"/>
      <c r="I574"/>
      <c r="J574"/>
    </row>
    <row r="575" spans="1:10" x14ac:dyDescent="0.25">
      <c r="A575" s="230"/>
      <c r="B575" s="231"/>
      <c r="C575" s="15"/>
      <c r="D575"/>
      <c r="E575"/>
      <c r="F575" s="15"/>
      <c r="G575"/>
      <c r="H575"/>
      <c r="I575"/>
      <c r="J575"/>
    </row>
    <row r="576" spans="1:10" x14ac:dyDescent="0.25">
      <c r="A576" s="230"/>
      <c r="B576" s="231"/>
      <c r="C576" s="15"/>
      <c r="D576"/>
      <c r="E576"/>
      <c r="F576" s="15"/>
      <c r="G576"/>
      <c r="H576"/>
      <c r="I576"/>
      <c r="J576"/>
    </row>
    <row r="577" spans="1:10" x14ac:dyDescent="0.25">
      <c r="A577" s="230"/>
      <c r="B577" s="231"/>
      <c r="C577" s="15"/>
      <c r="D577"/>
      <c r="E577"/>
      <c r="F577" s="15"/>
      <c r="G577"/>
      <c r="H577"/>
      <c r="I577"/>
      <c r="J577"/>
    </row>
    <row r="578" spans="1:10" x14ac:dyDescent="0.25">
      <c r="A578" s="230"/>
      <c r="B578" s="231"/>
      <c r="C578" s="15"/>
      <c r="D578"/>
      <c r="E578"/>
      <c r="F578" s="15"/>
      <c r="G578"/>
      <c r="H578"/>
      <c r="I578"/>
      <c r="J578"/>
    </row>
    <row r="579" spans="1:10" x14ac:dyDescent="0.25">
      <c r="A579" s="230"/>
      <c r="B579" s="231"/>
      <c r="C579" s="15"/>
      <c r="D579"/>
      <c r="E579"/>
      <c r="F579" s="15"/>
      <c r="G579"/>
      <c r="H579"/>
      <c r="I579"/>
      <c r="J579"/>
    </row>
    <row r="580" spans="1:10" x14ac:dyDescent="0.25">
      <c r="A580" s="230"/>
      <c r="B580" s="231"/>
      <c r="C580" s="15"/>
      <c r="D580"/>
      <c r="E580"/>
      <c r="F580" s="15"/>
      <c r="G580"/>
      <c r="H580"/>
      <c r="I580"/>
      <c r="J580"/>
    </row>
    <row r="581" spans="1:10" x14ac:dyDescent="0.25">
      <c r="A581" s="230"/>
      <c r="B581" s="231"/>
      <c r="C581" s="15"/>
      <c r="D581"/>
      <c r="E581"/>
      <c r="F581" s="15"/>
      <c r="G581"/>
      <c r="H581"/>
      <c r="I581"/>
      <c r="J581"/>
    </row>
    <row r="582" spans="1:10" x14ac:dyDescent="0.25">
      <c r="A582" s="230"/>
      <c r="B582" s="231"/>
      <c r="C582" s="15"/>
      <c r="D582"/>
      <c r="E582"/>
      <c r="F582" s="15"/>
      <c r="G582"/>
      <c r="H582"/>
      <c r="I582"/>
      <c r="J582"/>
    </row>
    <row r="583" spans="1:10" x14ac:dyDescent="0.25">
      <c r="A583" s="230"/>
      <c r="B583" s="231"/>
      <c r="C583" s="15"/>
      <c r="D583"/>
      <c r="E583"/>
      <c r="F583" s="15"/>
      <c r="G583"/>
      <c r="H583"/>
      <c r="I583"/>
      <c r="J583"/>
    </row>
    <row r="584" spans="1:10" x14ac:dyDescent="0.25">
      <c r="A584" s="230"/>
      <c r="B584" s="231"/>
      <c r="C584" s="15"/>
      <c r="D584"/>
      <c r="E584"/>
      <c r="F584" s="15"/>
      <c r="G584"/>
      <c r="H584"/>
      <c r="I584"/>
      <c r="J584"/>
    </row>
    <row r="585" spans="1:10" x14ac:dyDescent="0.25">
      <c r="A585" s="230"/>
      <c r="B585" s="231"/>
      <c r="C585" s="15"/>
      <c r="D585"/>
      <c r="E585"/>
      <c r="F585" s="15"/>
      <c r="G585"/>
      <c r="H585"/>
      <c r="I585"/>
      <c r="J585"/>
    </row>
    <row r="586" spans="1:10" x14ac:dyDescent="0.25">
      <c r="A586" s="230"/>
      <c r="B586" s="231"/>
      <c r="C586" s="15"/>
      <c r="D586"/>
      <c r="E586"/>
      <c r="F586" s="15"/>
      <c r="G586"/>
      <c r="H586"/>
      <c r="I586"/>
      <c r="J586"/>
    </row>
    <row r="587" spans="1:10" x14ac:dyDescent="0.25">
      <c r="A587" s="230"/>
      <c r="B587" s="231"/>
      <c r="C587" s="15"/>
      <c r="D587"/>
      <c r="E587"/>
      <c r="F587" s="15"/>
      <c r="G587"/>
      <c r="H587"/>
      <c r="I587"/>
      <c r="J587"/>
    </row>
    <row r="588" spans="1:10" x14ac:dyDescent="0.25">
      <c r="A588" s="230"/>
      <c r="B588" s="231"/>
      <c r="C588" s="15"/>
      <c r="D588"/>
      <c r="E588"/>
      <c r="F588" s="15"/>
      <c r="G588"/>
      <c r="H588"/>
      <c r="I588"/>
      <c r="J588"/>
    </row>
    <row r="589" spans="1:10" x14ac:dyDescent="0.25">
      <c r="A589" s="230"/>
      <c r="B589" s="231"/>
      <c r="C589" s="15"/>
      <c r="D589"/>
      <c r="E589"/>
      <c r="F589" s="15"/>
      <c r="G589"/>
      <c r="H589"/>
      <c r="I589"/>
      <c r="J589"/>
    </row>
    <row r="590" spans="1:10" x14ac:dyDescent="0.25">
      <c r="A590" s="230"/>
      <c r="B590" s="231"/>
      <c r="C590" s="15"/>
      <c r="D590"/>
      <c r="E590"/>
      <c r="F590" s="15"/>
      <c r="G590"/>
      <c r="H590"/>
      <c r="I590"/>
      <c r="J590"/>
    </row>
    <row r="591" spans="1:10" x14ac:dyDescent="0.25">
      <c r="A591" s="230"/>
      <c r="B591" s="231"/>
      <c r="C591" s="15"/>
      <c r="D591"/>
      <c r="E591"/>
      <c r="F591" s="15"/>
      <c r="G591"/>
      <c r="H591"/>
      <c r="I591"/>
      <c r="J591"/>
    </row>
    <row r="592" spans="1:10" x14ac:dyDescent="0.25">
      <c r="A592" s="230"/>
      <c r="B592" s="231"/>
      <c r="C592" s="15"/>
      <c r="D592"/>
      <c r="E592"/>
      <c r="F592" s="15"/>
      <c r="G592"/>
      <c r="H592"/>
      <c r="I592"/>
      <c r="J592"/>
    </row>
    <row r="593" spans="1:10" x14ac:dyDescent="0.25">
      <c r="A593" s="230"/>
      <c r="B593" s="231"/>
      <c r="C593" s="15"/>
      <c r="D593"/>
      <c r="E593"/>
      <c r="F593" s="15"/>
      <c r="G593"/>
      <c r="H593"/>
      <c r="I593"/>
      <c r="J593"/>
    </row>
    <row r="594" spans="1:10" x14ac:dyDescent="0.25">
      <c r="A594" s="230"/>
      <c r="B594" s="231"/>
      <c r="C594" s="15"/>
      <c r="D594"/>
      <c r="E594"/>
      <c r="F594" s="15"/>
      <c r="G594"/>
      <c r="H594"/>
      <c r="I594"/>
      <c r="J594"/>
    </row>
    <row r="595" spans="1:10" x14ac:dyDescent="0.25">
      <c r="A595" s="230"/>
      <c r="B595" s="231"/>
      <c r="C595" s="15"/>
      <c r="D595"/>
      <c r="E595"/>
      <c r="F595" s="15"/>
      <c r="G595"/>
      <c r="H595"/>
      <c r="I595"/>
      <c r="J595"/>
    </row>
    <row r="596" spans="1:10" x14ac:dyDescent="0.25">
      <c r="A596" s="230"/>
      <c r="B596" s="231"/>
      <c r="C596" s="15"/>
      <c r="D596"/>
      <c r="E596"/>
      <c r="F596" s="15"/>
      <c r="G596"/>
      <c r="H596"/>
      <c r="I596"/>
      <c r="J596"/>
    </row>
    <row r="597" spans="1:10" x14ac:dyDescent="0.25">
      <c r="A597" s="230"/>
      <c r="B597" s="231"/>
      <c r="C597" s="15"/>
      <c r="D597"/>
      <c r="E597"/>
      <c r="F597" s="15"/>
      <c r="G597"/>
      <c r="H597"/>
      <c r="I597"/>
      <c r="J597"/>
    </row>
    <row r="598" spans="1:10" x14ac:dyDescent="0.25">
      <c r="A598" s="230"/>
      <c r="B598" s="231"/>
      <c r="C598" s="15"/>
      <c r="D598"/>
      <c r="E598"/>
      <c r="F598" s="15"/>
      <c r="G598"/>
      <c r="H598"/>
      <c r="I598"/>
      <c r="J598"/>
    </row>
    <row r="599" spans="1:10" x14ac:dyDescent="0.25">
      <c r="A599" s="230"/>
      <c r="B599" s="231"/>
      <c r="C599" s="15"/>
      <c r="D599"/>
      <c r="E599"/>
      <c r="F599" s="15"/>
      <c r="G599"/>
      <c r="H599"/>
      <c r="I599"/>
      <c r="J599"/>
    </row>
    <row r="600" spans="1:10" x14ac:dyDescent="0.25">
      <c r="A600" s="230"/>
      <c r="B600" s="231"/>
      <c r="C600" s="15"/>
      <c r="D600"/>
      <c r="E600"/>
      <c r="F600" s="15"/>
      <c r="G600"/>
      <c r="H600"/>
      <c r="I600"/>
      <c r="J600"/>
    </row>
    <row r="601" spans="1:10" x14ac:dyDescent="0.25">
      <c r="A601" s="230"/>
      <c r="B601" s="231"/>
      <c r="C601" s="15"/>
      <c r="D601"/>
      <c r="E601"/>
      <c r="F601" s="15"/>
      <c r="G601"/>
      <c r="H601"/>
      <c r="I601"/>
      <c r="J601"/>
    </row>
    <row r="602" spans="1:10" x14ac:dyDescent="0.25">
      <c r="A602" s="230"/>
      <c r="B602" s="231"/>
      <c r="C602" s="15"/>
      <c r="D602"/>
      <c r="E602"/>
      <c r="F602" s="15"/>
      <c r="G602"/>
      <c r="H602"/>
      <c r="I602"/>
      <c r="J602"/>
    </row>
    <row r="603" spans="1:10" x14ac:dyDescent="0.25">
      <c r="A603" s="230"/>
      <c r="B603" s="231"/>
      <c r="C603" s="15"/>
      <c r="D603"/>
      <c r="E603"/>
      <c r="F603" s="15"/>
      <c r="G603"/>
      <c r="H603"/>
      <c r="I603"/>
      <c r="J603"/>
    </row>
    <row r="604" spans="1:10" x14ac:dyDescent="0.25">
      <c r="A604" s="230"/>
      <c r="B604" s="231"/>
      <c r="C604" s="15"/>
      <c r="D604"/>
      <c r="E604"/>
      <c r="F604" s="15"/>
      <c r="G604"/>
      <c r="H604"/>
      <c r="I604"/>
      <c r="J604"/>
    </row>
    <row r="605" spans="1:10" x14ac:dyDescent="0.25">
      <c r="A605" s="230"/>
      <c r="B605" s="231"/>
      <c r="C605" s="15"/>
      <c r="D605"/>
      <c r="E605"/>
      <c r="F605" s="15"/>
      <c r="G605"/>
      <c r="H605"/>
      <c r="I605"/>
      <c r="J605"/>
    </row>
    <row r="606" spans="1:10" x14ac:dyDescent="0.25">
      <c r="A606" s="230"/>
      <c r="B606" s="231"/>
      <c r="C606" s="15"/>
      <c r="D606"/>
      <c r="E606"/>
      <c r="F606" s="15"/>
      <c r="G606"/>
      <c r="H606"/>
      <c r="I606"/>
      <c r="J606"/>
    </row>
    <row r="607" spans="1:10" x14ac:dyDescent="0.25">
      <c r="A607" s="230"/>
      <c r="B607" s="231"/>
      <c r="C607" s="15"/>
      <c r="D607"/>
      <c r="E607"/>
      <c r="F607" s="15"/>
      <c r="G607"/>
      <c r="H607"/>
      <c r="I607"/>
      <c r="J607"/>
    </row>
    <row r="608" spans="1:10" x14ac:dyDescent="0.25">
      <c r="A608" s="230"/>
      <c r="B608" s="231"/>
      <c r="C608" s="15"/>
      <c r="D608"/>
      <c r="E608"/>
      <c r="F608" s="15"/>
      <c r="G608"/>
      <c r="H608"/>
      <c r="I608"/>
      <c r="J608"/>
    </row>
    <row r="609" spans="1:10" x14ac:dyDescent="0.25">
      <c r="A609" s="230"/>
      <c r="B609" s="231"/>
      <c r="C609" s="15"/>
      <c r="D609"/>
      <c r="E609"/>
      <c r="F609" s="15"/>
      <c r="G609"/>
      <c r="H609"/>
      <c r="I609"/>
      <c r="J609"/>
    </row>
    <row r="610" spans="1:10" x14ac:dyDescent="0.25">
      <c r="A610" s="230"/>
      <c r="B610" s="231"/>
      <c r="C610" s="15"/>
      <c r="D610"/>
      <c r="E610"/>
      <c r="F610" s="15"/>
      <c r="G610"/>
      <c r="H610"/>
      <c r="I610"/>
      <c r="J610"/>
    </row>
    <row r="611" spans="1:10" x14ac:dyDescent="0.25">
      <c r="A611" s="230"/>
      <c r="B611" s="231"/>
      <c r="C611" s="15"/>
      <c r="D611"/>
      <c r="E611"/>
      <c r="F611" s="15"/>
      <c r="G611"/>
      <c r="H611"/>
      <c r="I611"/>
      <c r="J611"/>
    </row>
    <row r="612" spans="1:10" x14ac:dyDescent="0.25">
      <c r="A612" s="230"/>
      <c r="B612" s="231"/>
      <c r="C612" s="15"/>
      <c r="D612"/>
      <c r="E612"/>
      <c r="F612" s="15"/>
      <c r="G612"/>
      <c r="H612"/>
      <c r="I612"/>
      <c r="J612"/>
    </row>
    <row r="613" spans="1:10" x14ac:dyDescent="0.25">
      <c r="A613" s="230"/>
      <c r="B613" s="231"/>
      <c r="C613" s="15"/>
      <c r="D613"/>
      <c r="E613"/>
      <c r="F613" s="15"/>
      <c r="G613"/>
      <c r="H613"/>
      <c r="I613"/>
      <c r="J613"/>
    </row>
    <row r="614" spans="1:10" x14ac:dyDescent="0.25">
      <c r="A614" s="230"/>
      <c r="B614" s="231"/>
      <c r="C614" s="15"/>
      <c r="D614"/>
      <c r="E614"/>
      <c r="F614" s="15"/>
      <c r="G614"/>
      <c r="H614"/>
      <c r="I614"/>
      <c r="J614"/>
    </row>
    <row r="615" spans="1:10" x14ac:dyDescent="0.25">
      <c r="A615" s="230"/>
      <c r="B615" s="231"/>
      <c r="C615" s="15"/>
      <c r="D615"/>
      <c r="E615"/>
      <c r="F615" s="15"/>
      <c r="G615"/>
      <c r="H615"/>
      <c r="I615"/>
      <c r="J615"/>
    </row>
    <row r="616" spans="1:10" x14ac:dyDescent="0.25">
      <c r="A616" s="230"/>
      <c r="B616" s="231"/>
      <c r="C616" s="15"/>
      <c r="D616"/>
      <c r="E616"/>
      <c r="F616" s="15"/>
      <c r="G616"/>
      <c r="H616"/>
      <c r="I616"/>
      <c r="J616"/>
    </row>
    <row r="617" spans="1:10" x14ac:dyDescent="0.25">
      <c r="A617" s="230"/>
      <c r="B617" s="231"/>
      <c r="C617" s="15"/>
      <c r="D617"/>
      <c r="E617"/>
      <c r="F617" s="15"/>
      <c r="G617"/>
      <c r="H617"/>
      <c r="I617"/>
      <c r="J617"/>
    </row>
    <row r="618" spans="1:10" x14ac:dyDescent="0.25">
      <c r="A618" s="230"/>
      <c r="B618" s="231"/>
      <c r="C618" s="15"/>
      <c r="D618"/>
      <c r="E618"/>
      <c r="F618" s="15"/>
      <c r="G618"/>
      <c r="H618"/>
      <c r="I618"/>
      <c r="J618"/>
    </row>
    <row r="619" spans="1:10" x14ac:dyDescent="0.25">
      <c r="A619" s="230"/>
      <c r="B619" s="231"/>
      <c r="C619" s="15"/>
      <c r="D619"/>
      <c r="E619"/>
      <c r="F619" s="15"/>
      <c r="G619"/>
      <c r="H619"/>
      <c r="I619"/>
      <c r="J619"/>
    </row>
    <row r="620" spans="1:10" x14ac:dyDescent="0.25">
      <c r="A620" s="230"/>
      <c r="B620" s="231"/>
      <c r="C620" s="15"/>
      <c r="D620"/>
      <c r="E620"/>
      <c r="F620" s="15"/>
      <c r="G620"/>
      <c r="H620"/>
      <c r="I620"/>
      <c r="J620"/>
    </row>
    <row r="621" spans="1:10" x14ac:dyDescent="0.25">
      <c r="A621" s="230"/>
      <c r="B621" s="231"/>
      <c r="C621" s="15"/>
      <c r="D621"/>
      <c r="E621"/>
      <c r="F621" s="15"/>
      <c r="G621"/>
      <c r="H621"/>
      <c r="I621"/>
      <c r="J621"/>
    </row>
    <row r="622" spans="1:10" x14ac:dyDescent="0.25">
      <c r="A622" s="230"/>
      <c r="B622" s="231"/>
      <c r="C622" s="15"/>
      <c r="D622"/>
      <c r="E622"/>
      <c r="F622" s="15"/>
      <c r="G622"/>
      <c r="H622"/>
      <c r="I622"/>
      <c r="J622"/>
    </row>
    <row r="623" spans="1:10" x14ac:dyDescent="0.25">
      <c r="A623" s="230"/>
      <c r="B623" s="231"/>
      <c r="C623" s="15"/>
      <c r="D623"/>
      <c r="E623"/>
      <c r="F623" s="15"/>
      <c r="G623"/>
      <c r="H623"/>
      <c r="I623"/>
      <c r="J623"/>
    </row>
    <row r="624" spans="1:10" x14ac:dyDescent="0.25">
      <c r="A624" s="230"/>
      <c r="B624" s="231"/>
      <c r="C624" s="15"/>
      <c r="D624"/>
      <c r="E624"/>
      <c r="F624" s="15"/>
      <c r="G624"/>
      <c r="H624"/>
      <c r="I624"/>
      <c r="J624"/>
    </row>
    <row r="625" spans="1:10" x14ac:dyDescent="0.25">
      <c r="A625" s="230"/>
      <c r="B625" s="231"/>
      <c r="C625" s="15"/>
      <c r="D625"/>
      <c r="E625"/>
      <c r="F625" s="15"/>
      <c r="G625"/>
      <c r="H625"/>
      <c r="I625"/>
      <c r="J625"/>
    </row>
    <row r="626" spans="1:10" x14ac:dyDescent="0.25">
      <c r="A626" s="230"/>
      <c r="B626" s="231"/>
      <c r="C626" s="15"/>
      <c r="D626"/>
      <c r="E626"/>
      <c r="F626" s="15"/>
      <c r="G626"/>
      <c r="H626"/>
      <c r="I626"/>
      <c r="J626"/>
    </row>
    <row r="627" spans="1:10" x14ac:dyDescent="0.25">
      <c r="A627" s="230"/>
      <c r="B627" s="231"/>
      <c r="C627" s="15"/>
      <c r="D627"/>
      <c r="E627"/>
      <c r="F627" s="15"/>
      <c r="G627"/>
      <c r="H627"/>
      <c r="I627"/>
      <c r="J627"/>
    </row>
    <row r="628" spans="1:10" x14ac:dyDescent="0.25">
      <c r="A628" s="230"/>
      <c r="B628" s="231"/>
      <c r="C628" s="15"/>
      <c r="D628"/>
      <c r="E628"/>
      <c r="F628" s="15"/>
      <c r="G628"/>
      <c r="H628"/>
      <c r="I628"/>
      <c r="J628"/>
    </row>
    <row r="629" spans="1:10" x14ac:dyDescent="0.25">
      <c r="A629" s="230"/>
      <c r="B629" s="231"/>
      <c r="C629" s="15"/>
      <c r="D629"/>
      <c r="E629"/>
      <c r="F629" s="15"/>
      <c r="G629"/>
      <c r="H629"/>
      <c r="I629"/>
      <c r="J629"/>
    </row>
    <row r="630" spans="1:10" x14ac:dyDescent="0.25">
      <c r="A630" s="230"/>
      <c r="B630" s="231"/>
      <c r="C630" s="15"/>
      <c r="D630"/>
      <c r="E630"/>
      <c r="F630" s="15"/>
      <c r="G630"/>
      <c r="H630"/>
      <c r="I630"/>
      <c r="J630"/>
    </row>
    <row r="631" spans="1:10" x14ac:dyDescent="0.25">
      <c r="A631" s="230"/>
      <c r="B631" s="231"/>
      <c r="C631" s="15"/>
      <c r="D631"/>
      <c r="E631"/>
      <c r="F631" s="15"/>
      <c r="G631"/>
      <c r="H631"/>
      <c r="I631"/>
      <c r="J631"/>
    </row>
    <row r="632" spans="1:10" x14ac:dyDescent="0.25">
      <c r="A632" s="230"/>
      <c r="B632" s="231"/>
      <c r="C632" s="15"/>
      <c r="D632"/>
      <c r="E632"/>
      <c r="F632" s="15"/>
      <c r="G632"/>
      <c r="H632"/>
      <c r="I632"/>
      <c r="J632"/>
    </row>
    <row r="633" spans="1:10" x14ac:dyDescent="0.25">
      <c r="A633" s="230"/>
      <c r="B633" s="231"/>
      <c r="C633" s="15"/>
      <c r="D633"/>
      <c r="E633"/>
      <c r="F633" s="15"/>
      <c r="G633"/>
      <c r="H633"/>
      <c r="I633"/>
      <c r="J633"/>
    </row>
    <row r="634" spans="1:10" x14ac:dyDescent="0.25">
      <c r="A634" s="230"/>
      <c r="B634" s="231"/>
      <c r="C634" s="15"/>
      <c r="D634"/>
      <c r="E634"/>
      <c r="F634" s="15"/>
      <c r="G634"/>
      <c r="H634"/>
      <c r="I634"/>
      <c r="J634"/>
    </row>
    <row r="635" spans="1:10" x14ac:dyDescent="0.25">
      <c r="A635" s="230"/>
      <c r="B635" s="231"/>
      <c r="C635" s="15"/>
      <c r="D635"/>
      <c r="E635"/>
      <c r="F635" s="15"/>
      <c r="G635"/>
      <c r="H635"/>
      <c r="I635"/>
      <c r="J635"/>
    </row>
    <row r="636" spans="1:10" x14ac:dyDescent="0.25">
      <c r="A636" s="230"/>
      <c r="B636" s="231"/>
      <c r="C636" s="15"/>
      <c r="D636"/>
      <c r="E636"/>
      <c r="F636" s="15"/>
      <c r="G636"/>
      <c r="H636"/>
      <c r="I636"/>
      <c r="J636"/>
    </row>
    <row r="637" spans="1:10" x14ac:dyDescent="0.25">
      <c r="A637" s="230"/>
      <c r="B637" s="231"/>
      <c r="C637" s="15"/>
      <c r="D637"/>
      <c r="E637"/>
      <c r="F637" s="15"/>
      <c r="G637"/>
      <c r="H637"/>
      <c r="I637"/>
      <c r="J637"/>
    </row>
    <row r="638" spans="1:10" x14ac:dyDescent="0.25">
      <c r="A638" s="230"/>
      <c r="B638" s="231"/>
      <c r="C638" s="15"/>
      <c r="D638"/>
      <c r="E638"/>
      <c r="F638" s="15"/>
      <c r="G638"/>
      <c r="H638"/>
      <c r="I638"/>
      <c r="J638"/>
    </row>
    <row r="639" spans="1:10" x14ac:dyDescent="0.25">
      <c r="A639" s="230"/>
      <c r="B639" s="231"/>
      <c r="C639" s="15"/>
      <c r="D639"/>
      <c r="E639"/>
      <c r="F639" s="15"/>
      <c r="G639"/>
      <c r="H639"/>
      <c r="I639"/>
      <c r="J639"/>
    </row>
    <row r="640" spans="1:10" x14ac:dyDescent="0.25">
      <c r="A640" s="230"/>
      <c r="B640" s="231"/>
      <c r="C640" s="15"/>
      <c r="D640"/>
      <c r="E640"/>
      <c r="F640" s="15"/>
      <c r="G640"/>
      <c r="H640"/>
      <c r="I640"/>
      <c r="J640"/>
    </row>
    <row r="641" spans="1:10" x14ac:dyDescent="0.25">
      <c r="A641" s="230"/>
      <c r="B641" s="231"/>
      <c r="C641" s="15"/>
      <c r="D641"/>
      <c r="E641"/>
      <c r="F641" s="15"/>
      <c r="G641"/>
      <c r="H641"/>
      <c r="I641"/>
      <c r="J641"/>
    </row>
    <row r="642" spans="1:10" x14ac:dyDescent="0.25">
      <c r="A642" s="230"/>
      <c r="B642" s="231"/>
      <c r="C642" s="15"/>
      <c r="D642"/>
      <c r="E642"/>
      <c r="F642" s="15"/>
      <c r="G642"/>
      <c r="H642"/>
      <c r="I642"/>
      <c r="J642"/>
    </row>
    <row r="643" spans="1:10" x14ac:dyDescent="0.25">
      <c r="A643" s="230"/>
      <c r="B643" s="231"/>
      <c r="C643" s="15"/>
      <c r="D643"/>
      <c r="E643"/>
      <c r="F643" s="15"/>
      <c r="G643"/>
      <c r="H643"/>
      <c r="I643"/>
      <c r="J643"/>
    </row>
    <row r="644" spans="1:10" x14ac:dyDescent="0.25">
      <c r="A644" s="230"/>
      <c r="B644" s="231"/>
      <c r="C644" s="15"/>
      <c r="D644"/>
      <c r="E644"/>
      <c r="F644" s="15"/>
      <c r="G644"/>
      <c r="H644"/>
      <c r="I644"/>
      <c r="J644"/>
    </row>
    <row r="645" spans="1:10" x14ac:dyDescent="0.25">
      <c r="A645" s="230"/>
      <c r="B645" s="231"/>
      <c r="C645" s="15"/>
      <c r="D645"/>
      <c r="E645"/>
      <c r="F645" s="15"/>
      <c r="G645"/>
      <c r="H645"/>
      <c r="I645"/>
      <c r="J645"/>
    </row>
    <row r="646" spans="1:10" x14ac:dyDescent="0.25">
      <c r="A646" s="230"/>
      <c r="B646" s="231"/>
      <c r="C646" s="15"/>
      <c r="D646"/>
      <c r="E646"/>
      <c r="F646" s="15"/>
      <c r="G646"/>
      <c r="H646"/>
      <c r="I646"/>
      <c r="J646"/>
    </row>
    <row r="647" spans="1:10" x14ac:dyDescent="0.25">
      <c r="A647" s="230"/>
      <c r="B647" s="231"/>
      <c r="C647" s="15"/>
      <c r="D647"/>
      <c r="E647"/>
      <c r="F647" s="15"/>
      <c r="G647"/>
      <c r="H647"/>
      <c r="I647"/>
      <c r="J647"/>
    </row>
    <row r="648" spans="1:10" x14ac:dyDescent="0.25">
      <c r="A648" s="230"/>
      <c r="B648" s="231"/>
      <c r="C648" s="15"/>
      <c r="D648"/>
      <c r="E648"/>
      <c r="F648" s="15"/>
      <c r="G648"/>
      <c r="H648"/>
      <c r="I648"/>
      <c r="J648"/>
    </row>
    <row r="649" spans="1:10" x14ac:dyDescent="0.25">
      <c r="A649" s="230"/>
      <c r="B649" s="231"/>
      <c r="C649" s="15"/>
      <c r="D649"/>
      <c r="E649"/>
      <c r="F649" s="15"/>
      <c r="G649"/>
      <c r="H649"/>
      <c r="I649"/>
      <c r="J649"/>
    </row>
    <row r="650" spans="1:10" x14ac:dyDescent="0.25">
      <c r="A650" s="230"/>
      <c r="B650" s="231"/>
      <c r="C650" s="15"/>
      <c r="D650"/>
      <c r="E650"/>
      <c r="F650" s="15"/>
      <c r="G650"/>
      <c r="H650"/>
      <c r="I650"/>
      <c r="J650"/>
    </row>
    <row r="651" spans="1:10" x14ac:dyDescent="0.25">
      <c r="A651" s="230"/>
      <c r="B651" s="231"/>
      <c r="C651" s="15"/>
      <c r="D651"/>
      <c r="E651"/>
      <c r="F651" s="15"/>
      <c r="G651"/>
      <c r="H651"/>
      <c r="I651"/>
      <c r="J651"/>
    </row>
    <row r="652" spans="1:10" x14ac:dyDescent="0.25">
      <c r="A652" s="230"/>
      <c r="B652" s="231"/>
      <c r="C652" s="15"/>
      <c r="D652"/>
      <c r="E652"/>
      <c r="F652" s="15"/>
      <c r="G652"/>
      <c r="H652"/>
      <c r="I652"/>
      <c r="J652"/>
    </row>
    <row r="653" spans="1:10" x14ac:dyDescent="0.25">
      <c r="A653" s="230"/>
      <c r="B653" s="231"/>
      <c r="C653" s="15"/>
      <c r="D653"/>
      <c r="E653"/>
      <c r="F653" s="15"/>
      <c r="G653"/>
      <c r="H653"/>
      <c r="I653"/>
      <c r="J653"/>
    </row>
    <row r="654" spans="1:10" x14ac:dyDescent="0.25">
      <c r="A654" s="230"/>
      <c r="B654" s="231"/>
      <c r="C654" s="15"/>
      <c r="D654"/>
      <c r="E654"/>
      <c r="F654" s="15"/>
      <c r="G654"/>
      <c r="H654"/>
      <c r="I654"/>
      <c r="J654"/>
    </row>
    <row r="655" spans="1:10" x14ac:dyDescent="0.25">
      <c r="A655" s="230"/>
      <c r="B655" s="231"/>
      <c r="C655" s="15"/>
      <c r="D655"/>
      <c r="E655"/>
      <c r="F655" s="15"/>
      <c r="G655"/>
      <c r="H655"/>
      <c r="I655"/>
      <c r="J655"/>
    </row>
    <row r="656" spans="1:10" x14ac:dyDescent="0.25">
      <c r="A656" s="230"/>
      <c r="B656" s="231"/>
      <c r="C656" s="15"/>
      <c r="D656"/>
      <c r="E656"/>
      <c r="F656" s="15"/>
      <c r="G656"/>
      <c r="H656"/>
      <c r="I656"/>
      <c r="J656"/>
    </row>
    <row r="657" spans="1:10" x14ac:dyDescent="0.25">
      <c r="A657" s="230"/>
      <c r="B657" s="231"/>
      <c r="C657" s="15"/>
      <c r="D657"/>
      <c r="E657"/>
      <c r="F657" s="15"/>
      <c r="G657"/>
      <c r="H657"/>
      <c r="I657"/>
      <c r="J657"/>
    </row>
    <row r="658" spans="1:10" x14ac:dyDescent="0.25">
      <c r="A658" s="230"/>
      <c r="B658" s="231"/>
      <c r="C658" s="15"/>
      <c r="D658"/>
      <c r="E658"/>
      <c r="F658" s="15"/>
      <c r="G658"/>
      <c r="H658"/>
      <c r="I658"/>
      <c r="J658"/>
    </row>
    <row r="659" spans="1:10" x14ac:dyDescent="0.25">
      <c r="A659" s="230"/>
      <c r="B659" s="231"/>
      <c r="C659" s="15"/>
      <c r="D659"/>
      <c r="E659"/>
      <c r="F659" s="15"/>
      <c r="G659"/>
      <c r="H659"/>
      <c r="I659"/>
      <c r="J659"/>
    </row>
    <row r="660" spans="1:10" x14ac:dyDescent="0.25">
      <c r="A660" s="230"/>
      <c r="B660" s="231"/>
      <c r="C660" s="15"/>
      <c r="D660"/>
      <c r="E660"/>
      <c r="F660" s="15"/>
      <c r="G660"/>
      <c r="H660"/>
      <c r="I660"/>
      <c r="J660"/>
    </row>
    <row r="661" spans="1:10" x14ac:dyDescent="0.25">
      <c r="A661" s="230"/>
      <c r="B661" s="231"/>
      <c r="C661" s="15"/>
      <c r="D661"/>
      <c r="E661"/>
      <c r="F661" s="15"/>
      <c r="G661"/>
      <c r="H661"/>
      <c r="I661"/>
      <c r="J661"/>
    </row>
    <row r="662" spans="1:10" x14ac:dyDescent="0.25">
      <c r="A662" s="230"/>
      <c r="B662" s="231"/>
      <c r="C662" s="15"/>
      <c r="D662"/>
      <c r="E662"/>
      <c r="F662" s="15"/>
      <c r="G662"/>
      <c r="H662"/>
      <c r="I662"/>
      <c r="J662"/>
    </row>
    <row r="663" spans="1:10" x14ac:dyDescent="0.25">
      <c r="A663" s="230"/>
      <c r="B663" s="231"/>
      <c r="C663" s="15"/>
      <c r="D663"/>
      <c r="E663"/>
      <c r="F663" s="15"/>
      <c r="G663"/>
      <c r="H663"/>
      <c r="I663"/>
      <c r="J663"/>
    </row>
    <row r="664" spans="1:10" x14ac:dyDescent="0.25">
      <c r="A664" s="230"/>
      <c r="B664" s="231"/>
      <c r="C664" s="15"/>
      <c r="D664"/>
      <c r="E664"/>
      <c r="F664" s="15"/>
      <c r="G664"/>
      <c r="H664"/>
      <c r="I664"/>
      <c r="J664"/>
    </row>
    <row r="665" spans="1:10" x14ac:dyDescent="0.25">
      <c r="A665" s="230"/>
      <c r="B665" s="231"/>
      <c r="C665" s="15"/>
      <c r="D665"/>
      <c r="E665"/>
      <c r="F665" s="15"/>
      <c r="G665"/>
      <c r="H665"/>
      <c r="I665"/>
      <c r="J665"/>
    </row>
    <row r="666" spans="1:10" x14ac:dyDescent="0.25">
      <c r="A666" s="230"/>
      <c r="B666" s="231"/>
      <c r="C666" s="15"/>
      <c r="D666"/>
      <c r="E666"/>
      <c r="F666" s="15"/>
      <c r="G666"/>
      <c r="H666"/>
      <c r="I666"/>
      <c r="J666"/>
    </row>
    <row r="667" spans="1:10" x14ac:dyDescent="0.25">
      <c r="A667" s="230"/>
      <c r="B667" s="231"/>
      <c r="C667" s="15"/>
      <c r="D667"/>
      <c r="E667"/>
      <c r="F667" s="15"/>
      <c r="G667"/>
      <c r="H667"/>
      <c r="I667"/>
      <c r="J667"/>
    </row>
    <row r="668" spans="1:10" x14ac:dyDescent="0.25">
      <c r="A668" s="230"/>
      <c r="B668" s="231"/>
      <c r="C668" s="15"/>
      <c r="D668"/>
      <c r="E668"/>
      <c r="F668" s="15"/>
      <c r="G668"/>
      <c r="H668"/>
      <c r="I668"/>
      <c r="J668"/>
    </row>
    <row r="669" spans="1:10" x14ac:dyDescent="0.25">
      <c r="A669" s="230"/>
      <c r="B669" s="231"/>
      <c r="C669" s="15"/>
      <c r="D669"/>
      <c r="E669"/>
      <c r="F669" s="15"/>
      <c r="G669"/>
      <c r="H669"/>
      <c r="I669"/>
      <c r="J669"/>
    </row>
    <row r="670" spans="1:10" x14ac:dyDescent="0.25">
      <c r="A670" s="230"/>
      <c r="B670" s="231"/>
      <c r="C670" s="15"/>
      <c r="D670"/>
      <c r="E670"/>
      <c r="F670" s="15"/>
      <c r="G670"/>
      <c r="H670"/>
      <c r="I670"/>
      <c r="J670"/>
    </row>
    <row r="671" spans="1:10" x14ac:dyDescent="0.25">
      <c r="A671" s="230"/>
      <c r="B671" s="231"/>
      <c r="C671" s="15"/>
      <c r="D671"/>
      <c r="E671"/>
      <c r="F671" s="15"/>
      <c r="G671"/>
      <c r="H671"/>
      <c r="I671"/>
      <c r="J671"/>
    </row>
    <row r="672" spans="1:10" x14ac:dyDescent="0.25">
      <c r="A672" s="230"/>
      <c r="B672" s="231"/>
      <c r="C672" s="15"/>
      <c r="D672"/>
      <c r="E672"/>
      <c r="F672" s="15"/>
      <c r="G672"/>
      <c r="H672"/>
      <c r="I672"/>
      <c r="J672"/>
    </row>
    <row r="673" spans="1:10" x14ac:dyDescent="0.25">
      <c r="A673" s="230"/>
      <c r="B673" s="231"/>
      <c r="C673" s="15"/>
      <c r="D673"/>
      <c r="E673"/>
      <c r="F673" s="15"/>
      <c r="G673"/>
      <c r="H673"/>
      <c r="I673"/>
      <c r="J673"/>
    </row>
    <row r="674" spans="1:10" x14ac:dyDescent="0.25">
      <c r="A674" s="230"/>
      <c r="B674" s="231"/>
      <c r="C674" s="15"/>
      <c r="D674"/>
      <c r="E674"/>
      <c r="F674" s="15"/>
      <c r="G674"/>
      <c r="H674"/>
      <c r="I674"/>
      <c r="J674"/>
    </row>
    <row r="675" spans="1:10" x14ac:dyDescent="0.25">
      <c r="A675" s="230"/>
      <c r="B675" s="231"/>
      <c r="C675" s="15"/>
      <c r="D675"/>
      <c r="E675"/>
      <c r="F675" s="15"/>
      <c r="G675"/>
      <c r="H675"/>
      <c r="I675"/>
      <c r="J675"/>
    </row>
    <row r="676" spans="1:10" x14ac:dyDescent="0.25">
      <c r="A676" s="230"/>
      <c r="B676" s="231"/>
      <c r="C676" s="15"/>
      <c r="D676"/>
      <c r="E676"/>
      <c r="F676" s="15"/>
      <c r="G676"/>
      <c r="H676"/>
      <c r="I676"/>
      <c r="J676"/>
    </row>
    <row r="677" spans="1:10" x14ac:dyDescent="0.25">
      <c r="A677" s="230"/>
      <c r="B677" s="231"/>
      <c r="C677" s="15"/>
      <c r="D677"/>
      <c r="E677"/>
      <c r="F677" s="15"/>
      <c r="G677"/>
      <c r="H677"/>
      <c r="I677"/>
      <c r="J677"/>
    </row>
    <row r="678" spans="1:10" x14ac:dyDescent="0.25">
      <c r="A678" s="230"/>
      <c r="B678" s="231"/>
      <c r="C678" s="15"/>
      <c r="D678"/>
      <c r="E678"/>
      <c r="F678" s="15"/>
      <c r="G678"/>
      <c r="H678"/>
      <c r="I678"/>
      <c r="J678"/>
    </row>
    <row r="679" spans="1:10" x14ac:dyDescent="0.25">
      <c r="A679" s="230"/>
      <c r="B679" s="231"/>
      <c r="C679" s="15"/>
      <c r="D679"/>
      <c r="E679"/>
      <c r="F679" s="15"/>
      <c r="G679"/>
      <c r="H679"/>
      <c r="I679"/>
      <c r="J679"/>
    </row>
    <row r="680" spans="1:10" x14ac:dyDescent="0.25">
      <c r="A680" s="230"/>
      <c r="B680" s="231"/>
      <c r="C680" s="15"/>
      <c r="D680"/>
      <c r="E680"/>
      <c r="F680" s="15"/>
      <c r="G680"/>
      <c r="H680"/>
      <c r="I680"/>
      <c r="J680"/>
    </row>
    <row r="681" spans="1:10" x14ac:dyDescent="0.25">
      <c r="A681" s="230"/>
      <c r="B681" s="231"/>
      <c r="C681" s="15"/>
      <c r="D681"/>
      <c r="E681"/>
      <c r="F681" s="15"/>
      <c r="G681"/>
      <c r="H681"/>
      <c r="I681"/>
      <c r="J681"/>
    </row>
    <row r="682" spans="1:10" x14ac:dyDescent="0.25">
      <c r="A682" s="230"/>
      <c r="B682" s="231"/>
      <c r="C682" s="15"/>
      <c r="D682"/>
      <c r="E682"/>
      <c r="F682" s="15"/>
      <c r="G682"/>
      <c r="H682"/>
      <c r="I682"/>
      <c r="J682"/>
    </row>
    <row r="683" spans="1:10" x14ac:dyDescent="0.25">
      <c r="A683" s="230"/>
      <c r="B683" s="231"/>
      <c r="C683" s="15"/>
      <c r="D683"/>
      <c r="E683"/>
      <c r="F683" s="15"/>
      <c r="G683"/>
      <c r="H683"/>
      <c r="I683"/>
      <c r="J683"/>
    </row>
    <row r="684" spans="1:10" x14ac:dyDescent="0.25">
      <c r="A684" s="230"/>
      <c r="B684" s="231"/>
      <c r="C684" s="15"/>
      <c r="D684"/>
      <c r="E684"/>
      <c r="F684" s="15"/>
      <c r="G684"/>
      <c r="H684"/>
      <c r="I684"/>
      <c r="J684"/>
    </row>
    <row r="685" spans="1:10" x14ac:dyDescent="0.25">
      <c r="A685" s="230"/>
      <c r="B685" s="231"/>
      <c r="C685" s="15"/>
      <c r="D685"/>
      <c r="E685"/>
      <c r="F685" s="15"/>
      <c r="G685"/>
      <c r="H685"/>
      <c r="I685"/>
      <c r="J685"/>
    </row>
    <row r="686" spans="1:10" x14ac:dyDescent="0.25">
      <c r="A686" s="230"/>
      <c r="B686" s="231"/>
      <c r="C686" s="15"/>
      <c r="D686"/>
      <c r="E686"/>
      <c r="F686" s="15"/>
      <c r="G686"/>
      <c r="H686"/>
      <c r="I686"/>
      <c r="J686"/>
    </row>
    <row r="687" spans="1:10" x14ac:dyDescent="0.25">
      <c r="A687" s="230"/>
      <c r="B687" s="231"/>
      <c r="C687" s="15"/>
      <c r="D687"/>
      <c r="E687"/>
      <c r="F687" s="15"/>
      <c r="G687"/>
      <c r="H687"/>
      <c r="I687"/>
      <c r="J687"/>
    </row>
    <row r="688" spans="1:10" x14ac:dyDescent="0.25">
      <c r="A688" s="230"/>
      <c r="B688" s="231"/>
      <c r="C688" s="15"/>
      <c r="D688"/>
      <c r="E688"/>
      <c r="F688" s="15"/>
      <c r="G688"/>
      <c r="H688"/>
      <c r="I688"/>
      <c r="J688"/>
    </row>
    <row r="689" spans="1:10" x14ac:dyDescent="0.25">
      <c r="A689" s="230"/>
      <c r="B689" s="231"/>
      <c r="C689" s="15"/>
      <c r="D689"/>
      <c r="E689"/>
      <c r="F689" s="15"/>
      <c r="G689"/>
      <c r="H689"/>
      <c r="I689"/>
      <c r="J689"/>
    </row>
    <row r="690" spans="1:10" x14ac:dyDescent="0.25">
      <c r="A690" s="230"/>
      <c r="B690" s="231"/>
      <c r="C690" s="15"/>
      <c r="D690"/>
      <c r="E690"/>
      <c r="F690" s="15"/>
      <c r="G690"/>
      <c r="H690"/>
      <c r="I690"/>
      <c r="J690"/>
    </row>
    <row r="691" spans="1:10" x14ac:dyDescent="0.25">
      <c r="A691" s="230"/>
      <c r="B691" s="231"/>
      <c r="C691" s="15"/>
      <c r="D691"/>
      <c r="E691"/>
      <c r="F691" s="15"/>
      <c r="G691"/>
      <c r="H691"/>
      <c r="I691"/>
      <c r="J691"/>
    </row>
    <row r="692" spans="1:10" x14ac:dyDescent="0.25">
      <c r="A692" s="230"/>
      <c r="B692" s="231"/>
      <c r="C692" s="15"/>
      <c r="D692"/>
      <c r="E692"/>
      <c r="F692" s="15"/>
      <c r="G692"/>
      <c r="H692"/>
      <c r="I692"/>
      <c r="J692"/>
    </row>
    <row r="693" spans="1:10" x14ac:dyDescent="0.25">
      <c r="A693" s="230"/>
      <c r="B693" s="231"/>
      <c r="C693" s="15"/>
      <c r="D693"/>
      <c r="E693"/>
      <c r="F693" s="15"/>
      <c r="G693"/>
      <c r="H693"/>
      <c r="I693"/>
      <c r="J693"/>
    </row>
    <row r="694" spans="1:10" x14ac:dyDescent="0.25">
      <c r="A694" s="230"/>
      <c r="B694" s="231"/>
      <c r="C694" s="15"/>
      <c r="D694"/>
      <c r="E694"/>
      <c r="F694" s="15"/>
      <c r="G694"/>
      <c r="H694"/>
      <c r="I694"/>
      <c r="J694"/>
    </row>
    <row r="695" spans="1:10" x14ac:dyDescent="0.25">
      <c r="A695" s="230"/>
      <c r="B695" s="231"/>
      <c r="C695" s="15"/>
      <c r="D695"/>
      <c r="E695"/>
      <c r="F695" s="15"/>
      <c r="G695"/>
      <c r="H695"/>
      <c r="I695"/>
      <c r="J695"/>
    </row>
    <row r="696" spans="1:10" x14ac:dyDescent="0.25">
      <c r="A696" s="230"/>
      <c r="B696" s="231"/>
      <c r="C696" s="15"/>
      <c r="D696"/>
      <c r="E696"/>
      <c r="F696" s="15"/>
      <c r="G696"/>
      <c r="H696"/>
      <c r="I696"/>
      <c r="J696"/>
    </row>
    <row r="697" spans="1:10" x14ac:dyDescent="0.25">
      <c r="A697" s="230"/>
      <c r="B697" s="231"/>
      <c r="C697" s="15"/>
      <c r="D697"/>
      <c r="E697"/>
      <c r="F697" s="15"/>
      <c r="G697"/>
      <c r="H697"/>
      <c r="I697"/>
      <c r="J697"/>
    </row>
    <row r="698" spans="1:10" x14ac:dyDescent="0.25">
      <c r="A698" s="230"/>
      <c r="B698" s="231"/>
      <c r="C698" s="15"/>
      <c r="D698"/>
      <c r="E698"/>
      <c r="F698" s="15"/>
      <c r="G698"/>
      <c r="H698"/>
      <c r="I698"/>
      <c r="J698"/>
    </row>
    <row r="699" spans="1:10" x14ac:dyDescent="0.25">
      <c r="A699" s="230"/>
      <c r="B699" s="231"/>
      <c r="C699" s="15"/>
      <c r="D699"/>
      <c r="E699"/>
      <c r="F699" s="15"/>
      <c r="G699"/>
      <c r="H699"/>
      <c r="I699"/>
      <c r="J699"/>
    </row>
    <row r="700" spans="1:10" x14ac:dyDescent="0.25">
      <c r="A700" s="230"/>
      <c r="B700" s="231"/>
      <c r="C700" s="15"/>
      <c r="D700"/>
      <c r="E700"/>
      <c r="F700" s="15"/>
      <c r="G700"/>
      <c r="H700"/>
      <c r="I700"/>
      <c r="J700"/>
    </row>
    <row r="701" spans="1:10" x14ac:dyDescent="0.25">
      <c r="A701" s="230"/>
      <c r="B701" s="231"/>
      <c r="C701" s="15"/>
      <c r="D701"/>
      <c r="E701"/>
      <c r="F701" s="15"/>
      <c r="G701"/>
      <c r="H701"/>
      <c r="I701"/>
      <c r="J701"/>
    </row>
    <row r="702" spans="1:10" x14ac:dyDescent="0.25">
      <c r="A702" s="230"/>
      <c r="B702" s="231"/>
      <c r="C702" s="15"/>
      <c r="D702"/>
      <c r="E702"/>
      <c r="F702" s="15"/>
      <c r="G702"/>
      <c r="H702"/>
      <c r="I702"/>
      <c r="J702"/>
    </row>
    <row r="703" spans="1:10" x14ac:dyDescent="0.25">
      <c r="A703" s="230"/>
      <c r="B703" s="231"/>
      <c r="C703" s="15"/>
      <c r="D703"/>
      <c r="E703"/>
      <c r="F703" s="15"/>
      <c r="G703"/>
      <c r="H703"/>
      <c r="I703"/>
      <c r="J703"/>
    </row>
    <row r="704" spans="1:10" x14ac:dyDescent="0.25">
      <c r="A704" s="230"/>
      <c r="B704" s="231"/>
      <c r="C704" s="15"/>
      <c r="D704"/>
      <c r="E704"/>
      <c r="F704" s="15"/>
      <c r="G704"/>
      <c r="H704"/>
      <c r="I704"/>
      <c r="J704"/>
    </row>
    <row r="705" spans="1:10" x14ac:dyDescent="0.25">
      <c r="A705" s="230"/>
      <c r="B705" s="231"/>
      <c r="C705" s="15"/>
      <c r="D705"/>
      <c r="E705"/>
      <c r="F705" s="15"/>
      <c r="G705"/>
      <c r="H705"/>
      <c r="I705"/>
      <c r="J705"/>
    </row>
    <row r="706" spans="1:10" x14ac:dyDescent="0.25">
      <c r="A706" s="230"/>
      <c r="B706" s="231"/>
      <c r="C706" s="15"/>
      <c r="D706"/>
      <c r="E706"/>
      <c r="F706" s="15"/>
      <c r="G706"/>
      <c r="H706"/>
      <c r="I706"/>
      <c r="J706"/>
    </row>
    <row r="707" spans="1:10" x14ac:dyDescent="0.25">
      <c r="A707" s="230"/>
      <c r="B707" s="231"/>
      <c r="C707" s="15"/>
      <c r="D707"/>
      <c r="E707"/>
      <c r="F707" s="15"/>
      <c r="G707"/>
      <c r="H707"/>
      <c r="I707"/>
      <c r="J707"/>
    </row>
    <row r="708" spans="1:10" x14ac:dyDescent="0.25">
      <c r="A708" s="230"/>
      <c r="B708" s="231"/>
      <c r="C708" s="15"/>
      <c r="D708"/>
      <c r="E708"/>
      <c r="F708" s="15"/>
      <c r="G708"/>
      <c r="H708"/>
      <c r="I708"/>
      <c r="J708"/>
    </row>
    <row r="709" spans="1:10" x14ac:dyDescent="0.25">
      <c r="A709" s="230"/>
      <c r="B709" s="231"/>
      <c r="C709" s="15"/>
      <c r="D709"/>
      <c r="E709"/>
      <c r="F709" s="15"/>
      <c r="G709"/>
      <c r="H709"/>
      <c r="I709"/>
      <c r="J709"/>
    </row>
    <row r="710" spans="1:10" x14ac:dyDescent="0.25">
      <c r="A710" s="230"/>
      <c r="B710" s="231"/>
      <c r="C710" s="15"/>
      <c r="D710"/>
      <c r="E710"/>
      <c r="F710" s="15"/>
      <c r="G710"/>
      <c r="H710"/>
      <c r="I710"/>
      <c r="J710"/>
    </row>
    <row r="711" spans="1:10" x14ac:dyDescent="0.25">
      <c r="A711" s="230"/>
      <c r="B711" s="231"/>
      <c r="C711" s="15"/>
      <c r="D711"/>
      <c r="E711"/>
      <c r="F711" s="15"/>
      <c r="G711"/>
      <c r="H711"/>
      <c r="I711"/>
      <c r="J711"/>
    </row>
    <row r="712" spans="1:10" x14ac:dyDescent="0.25">
      <c r="A712" s="230"/>
      <c r="B712" s="231"/>
      <c r="C712" s="15"/>
      <c r="D712"/>
      <c r="E712"/>
      <c r="F712" s="15"/>
      <c r="G712"/>
      <c r="H712"/>
      <c r="I712"/>
      <c r="J712"/>
    </row>
    <row r="713" spans="1:10" x14ac:dyDescent="0.25">
      <c r="A713" s="230"/>
      <c r="B713" s="231"/>
      <c r="C713" s="15"/>
      <c r="D713"/>
      <c r="E713"/>
      <c r="F713" s="15"/>
      <c r="G713"/>
      <c r="H713"/>
      <c r="I713"/>
      <c r="J713"/>
    </row>
    <row r="714" spans="1:10" x14ac:dyDescent="0.25">
      <c r="A714" s="230"/>
      <c r="B714" s="231"/>
      <c r="C714" s="15"/>
      <c r="D714"/>
      <c r="E714"/>
      <c r="F714" s="15"/>
      <c r="G714"/>
      <c r="H714"/>
      <c r="I714"/>
      <c r="J714"/>
    </row>
    <row r="715" spans="1:10" x14ac:dyDescent="0.25">
      <c r="A715" s="230"/>
      <c r="B715" s="231"/>
      <c r="C715" s="15"/>
      <c r="D715"/>
      <c r="E715"/>
      <c r="F715" s="15"/>
      <c r="G715"/>
      <c r="H715"/>
      <c r="I715"/>
      <c r="J715"/>
    </row>
    <row r="716" spans="1:10" x14ac:dyDescent="0.25">
      <c r="A716" s="230"/>
      <c r="B716" s="231"/>
      <c r="C716" s="15"/>
      <c r="D716"/>
      <c r="E716"/>
      <c r="F716" s="15"/>
      <c r="G716"/>
      <c r="H716"/>
      <c r="I716"/>
      <c r="J716"/>
    </row>
    <row r="717" spans="1:10" x14ac:dyDescent="0.25">
      <c r="A717" s="230"/>
      <c r="B717" s="231"/>
      <c r="C717" s="15"/>
      <c r="D717"/>
      <c r="E717"/>
      <c r="F717" s="15"/>
      <c r="G717"/>
      <c r="H717"/>
      <c r="I717"/>
      <c r="J717"/>
    </row>
    <row r="718" spans="1:10" x14ac:dyDescent="0.25">
      <c r="A718" s="230"/>
      <c r="B718" s="231"/>
      <c r="C718" s="15"/>
      <c r="D718"/>
      <c r="E718"/>
      <c r="F718" s="15"/>
      <c r="G718"/>
      <c r="H718"/>
      <c r="I718"/>
      <c r="J718"/>
    </row>
    <row r="719" spans="1:10" x14ac:dyDescent="0.25">
      <c r="A719" s="230"/>
      <c r="B719" s="231"/>
      <c r="C719" s="15"/>
      <c r="D719"/>
      <c r="E719"/>
      <c r="F719" s="15"/>
      <c r="G719"/>
      <c r="H719"/>
      <c r="I719"/>
      <c r="J719"/>
    </row>
    <row r="720" spans="1:10" x14ac:dyDescent="0.25">
      <c r="A720" s="230"/>
      <c r="B720" s="231"/>
      <c r="C720" s="15"/>
      <c r="D720"/>
      <c r="E720"/>
      <c r="F720" s="15"/>
      <c r="G720"/>
      <c r="H720"/>
      <c r="I720"/>
      <c r="J720"/>
    </row>
    <row r="721" spans="1:10" x14ac:dyDescent="0.25">
      <c r="A721" s="230"/>
      <c r="B721" s="231"/>
      <c r="C721" s="15"/>
      <c r="D721"/>
      <c r="E721"/>
      <c r="F721" s="15"/>
      <c r="G721"/>
      <c r="H721"/>
      <c r="I721"/>
      <c r="J721"/>
    </row>
    <row r="722" spans="1:10" x14ac:dyDescent="0.25">
      <c r="A722" s="230"/>
      <c r="B722" s="231"/>
      <c r="C722" s="15"/>
      <c r="D722"/>
      <c r="E722"/>
      <c r="F722" s="15"/>
      <c r="G722"/>
      <c r="H722"/>
      <c r="I722"/>
      <c r="J722"/>
    </row>
    <row r="723" spans="1:10" x14ac:dyDescent="0.25">
      <c r="A723" s="230"/>
      <c r="B723" s="231"/>
      <c r="C723" s="15"/>
      <c r="D723"/>
      <c r="E723"/>
      <c r="F723" s="15"/>
      <c r="G723"/>
      <c r="H723"/>
      <c r="I723"/>
      <c r="J723"/>
    </row>
    <row r="724" spans="1:10" x14ac:dyDescent="0.25">
      <c r="A724" s="230"/>
      <c r="B724" s="231"/>
      <c r="C724" s="15"/>
      <c r="D724"/>
      <c r="E724"/>
      <c r="F724" s="15"/>
      <c r="G724"/>
      <c r="H724"/>
      <c r="I724"/>
      <c r="J724"/>
    </row>
    <row r="725" spans="1:10" x14ac:dyDescent="0.25">
      <c r="A725" s="230"/>
      <c r="B725" s="231"/>
      <c r="C725" s="15"/>
      <c r="D725"/>
      <c r="E725"/>
      <c r="F725" s="15"/>
      <c r="G725"/>
      <c r="H725"/>
      <c r="I725"/>
      <c r="J725"/>
    </row>
    <row r="726" spans="1:10" x14ac:dyDescent="0.25">
      <c r="A726" s="230"/>
      <c r="B726" s="231"/>
      <c r="C726" s="15"/>
      <c r="D726"/>
      <c r="E726"/>
      <c r="F726" s="15"/>
      <c r="G726"/>
      <c r="H726"/>
      <c r="I726"/>
      <c r="J726"/>
    </row>
    <row r="727" spans="1:10" x14ac:dyDescent="0.25">
      <c r="A727" s="230"/>
      <c r="B727" s="231"/>
      <c r="C727" s="15"/>
      <c r="D727"/>
      <c r="E727"/>
      <c r="F727" s="15"/>
      <c r="G727"/>
      <c r="H727"/>
      <c r="I727"/>
      <c r="J727"/>
    </row>
    <row r="728" spans="1:10" x14ac:dyDescent="0.25">
      <c r="A728" s="230"/>
      <c r="B728" s="231"/>
      <c r="C728" s="15"/>
      <c r="D728"/>
      <c r="E728"/>
      <c r="F728" s="15"/>
      <c r="G728"/>
      <c r="H728"/>
      <c r="I728"/>
      <c r="J728"/>
    </row>
    <row r="729" spans="1:10" x14ac:dyDescent="0.25">
      <c r="A729" s="230"/>
      <c r="B729" s="231"/>
      <c r="C729" s="15"/>
      <c r="D729"/>
      <c r="E729"/>
      <c r="F729" s="15"/>
      <c r="G729"/>
      <c r="H729"/>
      <c r="I729"/>
      <c r="J729"/>
    </row>
    <row r="730" spans="1:10" x14ac:dyDescent="0.25">
      <c r="A730" s="230"/>
      <c r="B730" s="231"/>
      <c r="C730" s="15"/>
      <c r="D730"/>
      <c r="E730"/>
      <c r="F730" s="15"/>
      <c r="G730"/>
      <c r="H730"/>
      <c r="I730"/>
      <c r="J730"/>
    </row>
    <row r="731" spans="1:10" x14ac:dyDescent="0.25">
      <c r="A731" s="230"/>
      <c r="B731" s="231"/>
      <c r="C731" s="15"/>
      <c r="D731"/>
      <c r="E731"/>
      <c r="F731" s="15"/>
      <c r="G731"/>
      <c r="H731"/>
      <c r="I731"/>
      <c r="J731"/>
    </row>
    <row r="732" spans="1:10" x14ac:dyDescent="0.25">
      <c r="A732" s="230"/>
      <c r="B732" s="231"/>
      <c r="C732" s="15"/>
      <c r="D732"/>
      <c r="E732"/>
      <c r="F732" s="15"/>
      <c r="G732"/>
      <c r="H732"/>
      <c r="I732"/>
      <c r="J732"/>
    </row>
    <row r="733" spans="1:10" x14ac:dyDescent="0.25">
      <c r="A733" s="230"/>
      <c r="B733" s="231"/>
      <c r="C733" s="15"/>
      <c r="D733"/>
      <c r="E733"/>
      <c r="F733" s="15"/>
      <c r="G733"/>
      <c r="H733"/>
      <c r="I733"/>
      <c r="J733"/>
    </row>
    <row r="734" spans="1:10" x14ac:dyDescent="0.25">
      <c r="A734" s="230"/>
      <c r="B734" s="231"/>
      <c r="C734" s="15"/>
      <c r="D734"/>
      <c r="E734"/>
      <c r="F734" s="15"/>
      <c r="G734"/>
      <c r="H734"/>
      <c r="I734"/>
      <c r="J734"/>
    </row>
    <row r="735" spans="1:10" x14ac:dyDescent="0.25">
      <c r="A735" s="230"/>
      <c r="B735" s="231"/>
      <c r="C735" s="15"/>
      <c r="D735"/>
      <c r="E735"/>
      <c r="F735" s="15"/>
      <c r="G735"/>
      <c r="H735"/>
      <c r="I735"/>
      <c r="J735"/>
    </row>
    <row r="736" spans="1:10" x14ac:dyDescent="0.25">
      <c r="A736" s="230"/>
      <c r="B736" s="231"/>
      <c r="C736" s="15"/>
      <c r="D736"/>
      <c r="E736"/>
      <c r="F736" s="15"/>
      <c r="G736"/>
      <c r="H736"/>
      <c r="I736"/>
      <c r="J736"/>
    </row>
    <row r="737" spans="1:10" x14ac:dyDescent="0.25">
      <c r="A737" s="230"/>
      <c r="B737" s="231"/>
      <c r="C737" s="15"/>
      <c r="D737"/>
      <c r="E737"/>
      <c r="F737" s="15"/>
      <c r="G737"/>
      <c r="H737"/>
      <c r="I737"/>
      <c r="J737"/>
    </row>
    <row r="738" spans="1:10" x14ac:dyDescent="0.25">
      <c r="A738" s="230"/>
      <c r="B738" s="231"/>
      <c r="C738" s="15"/>
      <c r="D738"/>
      <c r="E738"/>
      <c r="F738" s="15"/>
      <c r="G738"/>
      <c r="H738"/>
      <c r="I738"/>
      <c r="J738"/>
    </row>
    <row r="739" spans="1:10" x14ac:dyDescent="0.25">
      <c r="A739" s="230"/>
      <c r="B739" s="231"/>
      <c r="C739" s="15"/>
      <c r="D739"/>
      <c r="E739"/>
      <c r="F739" s="15"/>
      <c r="G739"/>
      <c r="H739"/>
      <c r="I739"/>
      <c r="J739"/>
    </row>
    <row r="740" spans="1:10" x14ac:dyDescent="0.25">
      <c r="A740" s="230"/>
      <c r="B740" s="231"/>
      <c r="C740" s="15"/>
      <c r="D740"/>
      <c r="E740"/>
      <c r="F740" s="15"/>
      <c r="G740"/>
      <c r="H740"/>
      <c r="I740"/>
      <c r="J740"/>
    </row>
    <row r="741" spans="1:10" x14ac:dyDescent="0.25">
      <c r="A741" s="230"/>
      <c r="B741" s="231"/>
      <c r="C741" s="15"/>
      <c r="D741"/>
      <c r="E741"/>
      <c r="F741" s="15"/>
      <c r="G741"/>
      <c r="H741"/>
      <c r="I741"/>
      <c r="J741"/>
    </row>
    <row r="742" spans="1:10" x14ac:dyDescent="0.25">
      <c r="A742" s="230"/>
      <c r="B742" s="231"/>
      <c r="C742" s="15"/>
      <c r="D742"/>
      <c r="E742"/>
      <c r="F742" s="15"/>
      <c r="G742"/>
      <c r="H742"/>
      <c r="I742"/>
      <c r="J742"/>
    </row>
    <row r="743" spans="1:10" x14ac:dyDescent="0.25">
      <c r="A743" s="230"/>
      <c r="B743" s="231"/>
      <c r="C743" s="15"/>
      <c r="D743"/>
      <c r="E743"/>
      <c r="F743" s="15"/>
      <c r="G743"/>
      <c r="H743"/>
      <c r="I743"/>
      <c r="J743"/>
    </row>
    <row r="744" spans="1:10" x14ac:dyDescent="0.25">
      <c r="A744" s="230"/>
      <c r="B744" s="231"/>
      <c r="C744" s="15"/>
      <c r="D744"/>
      <c r="E744"/>
      <c r="F744" s="15"/>
      <c r="G744"/>
      <c r="H744"/>
      <c r="I744"/>
      <c r="J744"/>
    </row>
    <row r="745" spans="1:10" x14ac:dyDescent="0.25">
      <c r="A745" s="230"/>
      <c r="B745" s="231"/>
      <c r="C745" s="15"/>
      <c r="D745"/>
      <c r="E745"/>
      <c r="F745" s="15"/>
      <c r="G745"/>
      <c r="H745"/>
      <c r="I745"/>
      <c r="J745"/>
    </row>
    <row r="746" spans="1:10" x14ac:dyDescent="0.25">
      <c r="A746" s="230"/>
      <c r="B746" s="231"/>
      <c r="C746" s="15"/>
      <c r="D746"/>
      <c r="E746"/>
      <c r="F746" s="15"/>
      <c r="G746"/>
      <c r="H746"/>
      <c r="I746"/>
      <c r="J746"/>
    </row>
    <row r="747" spans="1:10" x14ac:dyDescent="0.25">
      <c r="A747" s="230"/>
      <c r="B747" s="231"/>
      <c r="C747" s="15"/>
      <c r="D747"/>
      <c r="E747"/>
      <c r="F747" s="15"/>
      <c r="G747"/>
      <c r="H747"/>
      <c r="I747"/>
      <c r="J747"/>
    </row>
    <row r="748" spans="1:10" x14ac:dyDescent="0.25">
      <c r="A748" s="230"/>
      <c r="B748" s="231"/>
      <c r="C748" s="15"/>
      <c r="D748"/>
      <c r="E748"/>
      <c r="F748" s="15"/>
      <c r="G748"/>
      <c r="H748"/>
      <c r="I748"/>
      <c r="J748"/>
    </row>
    <row r="749" spans="1:10" x14ac:dyDescent="0.25">
      <c r="A749" s="230"/>
      <c r="B749" s="231"/>
      <c r="C749" s="15"/>
      <c r="D749"/>
      <c r="E749"/>
      <c r="F749" s="15"/>
      <c r="G749"/>
      <c r="H749"/>
      <c r="I749"/>
      <c r="J749"/>
    </row>
    <row r="750" spans="1:10" x14ac:dyDescent="0.25">
      <c r="A750" s="230"/>
      <c r="B750" s="231"/>
      <c r="C750" s="15"/>
      <c r="D750"/>
      <c r="E750"/>
      <c r="F750" s="15"/>
      <c r="G750"/>
      <c r="H750"/>
      <c r="I750"/>
      <c r="J750"/>
    </row>
    <row r="751" spans="1:10" x14ac:dyDescent="0.25">
      <c r="A751" s="230"/>
      <c r="B751" s="231"/>
      <c r="C751" s="15"/>
      <c r="D751"/>
      <c r="E751"/>
      <c r="F751" s="15"/>
      <c r="G751"/>
      <c r="H751"/>
      <c r="I751"/>
      <c r="J751"/>
    </row>
    <row r="752" spans="1:10" x14ac:dyDescent="0.25">
      <c r="A752" s="230"/>
      <c r="B752" s="231"/>
      <c r="C752" s="15"/>
      <c r="D752"/>
      <c r="E752"/>
      <c r="F752" s="15"/>
      <c r="G752"/>
      <c r="H752"/>
      <c r="I752"/>
      <c r="J752"/>
    </row>
    <row r="753" spans="1:10" x14ac:dyDescent="0.25">
      <c r="A753" s="230"/>
      <c r="B753" s="231"/>
      <c r="C753" s="15"/>
      <c r="D753"/>
      <c r="E753"/>
      <c r="F753" s="15"/>
      <c r="G753"/>
      <c r="H753"/>
      <c r="I753"/>
      <c r="J753"/>
    </row>
    <row r="754" spans="1:10" x14ac:dyDescent="0.25">
      <c r="A754" s="230"/>
      <c r="B754" s="231"/>
      <c r="C754" s="15"/>
      <c r="D754"/>
      <c r="E754"/>
      <c r="F754" s="15"/>
      <c r="G754"/>
      <c r="H754"/>
      <c r="I754"/>
      <c r="J754"/>
    </row>
    <row r="755" spans="1:10" x14ac:dyDescent="0.25">
      <c r="A755" s="230"/>
      <c r="B755" s="231"/>
      <c r="C755" s="15"/>
      <c r="D755"/>
      <c r="E755"/>
      <c r="F755" s="15"/>
      <c r="G755"/>
      <c r="H755"/>
      <c r="I755"/>
      <c r="J755"/>
    </row>
    <row r="756" spans="1:10" x14ac:dyDescent="0.25">
      <c r="A756" s="230"/>
      <c r="B756" s="231"/>
      <c r="C756" s="15"/>
      <c r="D756"/>
      <c r="E756"/>
      <c r="F756" s="15"/>
      <c r="G756"/>
      <c r="H756"/>
      <c r="I756"/>
      <c r="J756"/>
    </row>
    <row r="757" spans="1:10" x14ac:dyDescent="0.25">
      <c r="A757" s="230"/>
      <c r="B757" s="231"/>
      <c r="C757" s="15"/>
      <c r="D757"/>
      <c r="E757"/>
      <c r="F757" s="15"/>
      <c r="G757"/>
      <c r="H757"/>
      <c r="I757"/>
      <c r="J757"/>
    </row>
    <row r="758" spans="1:10" x14ac:dyDescent="0.25">
      <c r="A758" s="230"/>
      <c r="B758" s="231"/>
      <c r="C758" s="15"/>
      <c r="D758"/>
      <c r="E758"/>
      <c r="F758" s="15"/>
      <c r="G758"/>
      <c r="H758"/>
      <c r="I758"/>
      <c r="J758"/>
    </row>
    <row r="759" spans="1:10" x14ac:dyDescent="0.25">
      <c r="A759" s="230"/>
      <c r="B759" s="231"/>
      <c r="C759" s="15"/>
      <c r="D759"/>
      <c r="E759"/>
      <c r="F759" s="15"/>
      <c r="G759"/>
      <c r="H759"/>
      <c r="I759"/>
      <c r="J759"/>
    </row>
    <row r="760" spans="1:10" x14ac:dyDescent="0.25">
      <c r="A760" s="230"/>
      <c r="B760" s="231"/>
      <c r="C760" s="15"/>
      <c r="D760"/>
      <c r="E760"/>
      <c r="F760" s="15"/>
      <c r="G760"/>
      <c r="H760"/>
      <c r="I760"/>
      <c r="J760"/>
    </row>
    <row r="761" spans="1:10" x14ac:dyDescent="0.25">
      <c r="A761" s="230"/>
      <c r="B761" s="231"/>
      <c r="C761" s="15"/>
      <c r="D761"/>
      <c r="E761"/>
      <c r="F761" s="15"/>
      <c r="G761"/>
      <c r="H761"/>
      <c r="I761"/>
      <c r="J761"/>
    </row>
    <row r="762" spans="1:10" x14ac:dyDescent="0.25">
      <c r="A762" s="230"/>
      <c r="B762" s="231"/>
      <c r="C762" s="15"/>
      <c r="D762"/>
      <c r="E762"/>
      <c r="F762" s="15"/>
      <c r="G762"/>
      <c r="H762"/>
      <c r="I762"/>
      <c r="J762"/>
    </row>
    <row r="763" spans="1:10" x14ac:dyDescent="0.25">
      <c r="A763" s="230"/>
      <c r="B763" s="231"/>
      <c r="C763" s="15"/>
      <c r="D763"/>
      <c r="E763"/>
      <c r="F763" s="15"/>
      <c r="G763"/>
      <c r="H763"/>
      <c r="I763"/>
      <c r="J763"/>
    </row>
    <row r="764" spans="1:10" x14ac:dyDescent="0.25">
      <c r="A764" s="230"/>
      <c r="B764" s="231"/>
      <c r="C764" s="15"/>
      <c r="D764"/>
      <c r="E764"/>
      <c r="F764" s="15"/>
      <c r="G764"/>
      <c r="H764"/>
      <c r="I764"/>
      <c r="J764"/>
    </row>
    <row r="765" spans="1:10" x14ac:dyDescent="0.25">
      <c r="A765" s="230"/>
      <c r="B765" s="231"/>
      <c r="C765" s="15"/>
      <c r="D765"/>
      <c r="E765"/>
      <c r="F765" s="15"/>
      <c r="G765"/>
      <c r="H765"/>
      <c r="I765"/>
      <c r="J765"/>
    </row>
    <row r="766" spans="1:10" x14ac:dyDescent="0.25">
      <c r="A766" s="230"/>
      <c r="B766" s="231"/>
      <c r="C766" s="15"/>
      <c r="D766"/>
      <c r="E766"/>
      <c r="F766" s="15"/>
      <c r="G766"/>
      <c r="H766"/>
      <c r="I766"/>
      <c r="J766"/>
    </row>
    <row r="767" spans="1:10" x14ac:dyDescent="0.25">
      <c r="A767" s="230"/>
      <c r="B767" s="231"/>
      <c r="C767" s="15"/>
      <c r="D767"/>
      <c r="E767"/>
      <c r="F767" s="15"/>
      <c r="G767"/>
      <c r="H767"/>
      <c r="I767"/>
      <c r="J767"/>
    </row>
    <row r="768" spans="1:10" x14ac:dyDescent="0.25">
      <c r="A768" s="230"/>
      <c r="B768" s="231"/>
      <c r="C768" s="15"/>
      <c r="D768"/>
      <c r="E768"/>
      <c r="F768" s="15"/>
      <c r="G768"/>
      <c r="H768"/>
      <c r="I768"/>
      <c r="J768"/>
    </row>
    <row r="769" spans="1:10" x14ac:dyDescent="0.25">
      <c r="A769" s="230"/>
      <c r="B769" s="231"/>
      <c r="C769" s="15"/>
      <c r="D769"/>
      <c r="E769"/>
      <c r="F769" s="15"/>
      <c r="G769"/>
      <c r="H769"/>
      <c r="I769"/>
      <c r="J769"/>
    </row>
  </sheetData>
  <autoFilter ref="A3:AD143" xr:uid="{00000000-0009-0000-0000-000003000000}"/>
  <mergeCells count="239">
    <mergeCell ref="R97:R100"/>
    <mergeCell ref="S97:S100"/>
    <mergeCell ref="T97:T100"/>
    <mergeCell ref="U97:U100"/>
    <mergeCell ref="V97:V100"/>
    <mergeCell ref="R101:R104"/>
    <mergeCell ref="S101:S104"/>
    <mergeCell ref="T101:T104"/>
    <mergeCell ref="U101:U104"/>
    <mergeCell ref="V101:V104"/>
    <mergeCell ref="R93:R96"/>
    <mergeCell ref="S93:S96"/>
    <mergeCell ref="T93:T96"/>
    <mergeCell ref="U93:U96"/>
    <mergeCell ref="V93:V96"/>
    <mergeCell ref="U41:U42"/>
    <mergeCell ref="V41:V42"/>
    <mergeCell ref="R43:R45"/>
    <mergeCell ref="S43:S45"/>
    <mergeCell ref="T43:T45"/>
    <mergeCell ref="U43:U45"/>
    <mergeCell ref="R52:R53"/>
    <mergeCell ref="S52:S53"/>
    <mergeCell ref="T52:T53"/>
    <mergeCell ref="U52:U53"/>
    <mergeCell ref="V52:V53"/>
    <mergeCell ref="R50:R51"/>
    <mergeCell ref="S50:S51"/>
    <mergeCell ref="T50:T51"/>
    <mergeCell ref="U50:U51"/>
    <mergeCell ref="V50:V51"/>
    <mergeCell ref="V43:V45"/>
    <mergeCell ref="R46:R47"/>
    <mergeCell ref="S46:S47"/>
    <mergeCell ref="U46:U47"/>
    <mergeCell ref="V46:V47"/>
    <mergeCell ref="V23:V24"/>
    <mergeCell ref="R20:R22"/>
    <mergeCell ref="S20:S22"/>
    <mergeCell ref="T20:T22"/>
    <mergeCell ref="U20:U22"/>
    <mergeCell ref="V20:V22"/>
    <mergeCell ref="R28:R29"/>
    <mergeCell ref="S28:S29"/>
    <mergeCell ref="T28:T29"/>
    <mergeCell ref="U28:U29"/>
    <mergeCell ref="V28:V29"/>
    <mergeCell ref="R48:R49"/>
    <mergeCell ref="S48:S49"/>
    <mergeCell ref="T48:T49"/>
    <mergeCell ref="U48:U49"/>
    <mergeCell ref="V48:V49"/>
    <mergeCell ref="R30:R32"/>
    <mergeCell ref="S30:S32"/>
    <mergeCell ref="T30:T32"/>
    <mergeCell ref="U30:U32"/>
    <mergeCell ref="V30:V32"/>
    <mergeCell ref="R39:R40"/>
    <mergeCell ref="S39:S40"/>
    <mergeCell ref="T39:T40"/>
    <mergeCell ref="U39:U40"/>
    <mergeCell ref="V39:V40"/>
    <mergeCell ref="R41:R42"/>
    <mergeCell ref="S41:S42"/>
    <mergeCell ref="T41:T42"/>
    <mergeCell ref="R37:R38"/>
    <mergeCell ref="S37:S38"/>
    <mergeCell ref="T37:T38"/>
    <mergeCell ref="U37:U38"/>
    <mergeCell ref="V37:V38"/>
    <mergeCell ref="T46:T47"/>
    <mergeCell ref="H2:L2"/>
    <mergeCell ref="M2:Q2"/>
    <mergeCell ref="R2:V2"/>
    <mergeCell ref="X2:Z2"/>
    <mergeCell ref="R4:R5"/>
    <mergeCell ref="S4:S5"/>
    <mergeCell ref="T4:T5"/>
    <mergeCell ref="U4:U5"/>
    <mergeCell ref="V4:V5"/>
    <mergeCell ref="R6:R7"/>
    <mergeCell ref="S6:S7"/>
    <mergeCell ref="T6:T7"/>
    <mergeCell ref="U6:U7"/>
    <mergeCell ref="V6:V7"/>
    <mergeCell ref="R9:R10"/>
    <mergeCell ref="S9:S10"/>
    <mergeCell ref="T9:T10"/>
    <mergeCell ref="U9:U10"/>
    <mergeCell ref="V9:V10"/>
    <mergeCell ref="R12:R14"/>
    <mergeCell ref="S12:S14"/>
    <mergeCell ref="T12:T14"/>
    <mergeCell ref="U12:U14"/>
    <mergeCell ref="V12:V14"/>
    <mergeCell ref="R25:R27"/>
    <mergeCell ref="S25:S27"/>
    <mergeCell ref="T25:T27"/>
    <mergeCell ref="U25:U27"/>
    <mergeCell ref="V25:V27"/>
    <mergeCell ref="R17:R19"/>
    <mergeCell ref="S17:S19"/>
    <mergeCell ref="T17:T19"/>
    <mergeCell ref="U17:U19"/>
    <mergeCell ref="V17:V19"/>
    <mergeCell ref="R15:R16"/>
    <mergeCell ref="S15:S16"/>
    <mergeCell ref="T15:T16"/>
    <mergeCell ref="U15:U16"/>
    <mergeCell ref="V15:V16"/>
    <mergeCell ref="R23:R24"/>
    <mergeCell ref="S23:S24"/>
    <mergeCell ref="T23:T24"/>
    <mergeCell ref="U23:U24"/>
    <mergeCell ref="R54:R55"/>
    <mergeCell ref="S54:S55"/>
    <mergeCell ref="T54:T55"/>
    <mergeCell ref="U54:U55"/>
    <mergeCell ref="V54:V55"/>
    <mergeCell ref="R61:R62"/>
    <mergeCell ref="S61:S62"/>
    <mergeCell ref="T61:T62"/>
    <mergeCell ref="U61:U62"/>
    <mergeCell ref="V61:V62"/>
    <mergeCell ref="R58:R59"/>
    <mergeCell ref="S58:S59"/>
    <mergeCell ref="T58:T59"/>
    <mergeCell ref="U58:U59"/>
    <mergeCell ref="V58:V59"/>
    <mergeCell ref="R56:R57"/>
    <mergeCell ref="S56:S57"/>
    <mergeCell ref="T56:T57"/>
    <mergeCell ref="U56:U57"/>
    <mergeCell ref="V56:V57"/>
    <mergeCell ref="R63:R64"/>
    <mergeCell ref="S63:S64"/>
    <mergeCell ref="T63:T64"/>
    <mergeCell ref="U63:U64"/>
    <mergeCell ref="V63:V64"/>
    <mergeCell ref="R65:R67"/>
    <mergeCell ref="S65:S67"/>
    <mergeCell ref="T65:T67"/>
    <mergeCell ref="U65:U67"/>
    <mergeCell ref="V65:V67"/>
    <mergeCell ref="R68:R70"/>
    <mergeCell ref="S68:S70"/>
    <mergeCell ref="T68:T70"/>
    <mergeCell ref="U68:U70"/>
    <mergeCell ref="V68:V70"/>
    <mergeCell ref="R71:R72"/>
    <mergeCell ref="S71:S72"/>
    <mergeCell ref="T71:T72"/>
    <mergeCell ref="U71:U72"/>
    <mergeCell ref="V71:V72"/>
    <mergeCell ref="R73:R75"/>
    <mergeCell ref="S73:S75"/>
    <mergeCell ref="T73:T75"/>
    <mergeCell ref="U73:U75"/>
    <mergeCell ref="V73:V75"/>
    <mergeCell ref="R76:R77"/>
    <mergeCell ref="S76:S77"/>
    <mergeCell ref="T76:T77"/>
    <mergeCell ref="U76:U77"/>
    <mergeCell ref="V76:V77"/>
    <mergeCell ref="R82:R83"/>
    <mergeCell ref="S82:S83"/>
    <mergeCell ref="T82:T83"/>
    <mergeCell ref="U82:U83"/>
    <mergeCell ref="V82:V83"/>
    <mergeCell ref="R78:R79"/>
    <mergeCell ref="S78:S79"/>
    <mergeCell ref="T78:T79"/>
    <mergeCell ref="U78:U79"/>
    <mergeCell ref="V78:V79"/>
    <mergeCell ref="R80:R81"/>
    <mergeCell ref="S80:S81"/>
    <mergeCell ref="T80:T81"/>
    <mergeCell ref="U80:U81"/>
    <mergeCell ref="V80:V81"/>
    <mergeCell ref="R90:R92"/>
    <mergeCell ref="S90:S92"/>
    <mergeCell ref="T90:T92"/>
    <mergeCell ref="U90:U92"/>
    <mergeCell ref="V90:V92"/>
    <mergeCell ref="R85:R87"/>
    <mergeCell ref="S85:S87"/>
    <mergeCell ref="T85:T87"/>
    <mergeCell ref="U85:U87"/>
    <mergeCell ref="V85:V87"/>
    <mergeCell ref="R88:R89"/>
    <mergeCell ref="S88:S89"/>
    <mergeCell ref="T88:T89"/>
    <mergeCell ref="U88:U89"/>
    <mergeCell ref="V88:V89"/>
    <mergeCell ref="R105:R107"/>
    <mergeCell ref="S105:S107"/>
    <mergeCell ref="T105:T107"/>
    <mergeCell ref="U105:U107"/>
    <mergeCell ref="V105:V107"/>
    <mergeCell ref="R108:R110"/>
    <mergeCell ref="S108:S110"/>
    <mergeCell ref="T108:T110"/>
    <mergeCell ref="U108:U110"/>
    <mergeCell ref="V108:V110"/>
    <mergeCell ref="R116:R117"/>
    <mergeCell ref="S116:S117"/>
    <mergeCell ref="T116:T117"/>
    <mergeCell ref="U116:U117"/>
    <mergeCell ref="V116:V117"/>
    <mergeCell ref="R111:R115"/>
    <mergeCell ref="S111:S115"/>
    <mergeCell ref="T111:T115"/>
    <mergeCell ref="U111:U115"/>
    <mergeCell ref="V111:V115"/>
    <mergeCell ref="R118:R120"/>
    <mergeCell ref="S118:S120"/>
    <mergeCell ref="T118:T120"/>
    <mergeCell ref="U118:U120"/>
    <mergeCell ref="V118:V120"/>
    <mergeCell ref="R121:R124"/>
    <mergeCell ref="S121:S124"/>
    <mergeCell ref="T121:T124"/>
    <mergeCell ref="U121:U124"/>
    <mergeCell ref="V121:V124"/>
    <mergeCell ref="R129:R130"/>
    <mergeCell ref="S129:S130"/>
    <mergeCell ref="T129:T130"/>
    <mergeCell ref="U129:U130"/>
    <mergeCell ref="V129:V130"/>
    <mergeCell ref="R125:R126"/>
    <mergeCell ref="S125:S126"/>
    <mergeCell ref="T125:T126"/>
    <mergeCell ref="U125:U126"/>
    <mergeCell ref="V125:V126"/>
    <mergeCell ref="R127:R128"/>
    <mergeCell ref="S127:S128"/>
    <mergeCell ref="T127:T128"/>
    <mergeCell ref="U127:U128"/>
    <mergeCell ref="V127:V128"/>
  </mergeCells>
  <conditionalFormatting sqref="E4:E13 N4:O149">
    <cfRule type="expression" dxfId="50" priority="1">
      <formula>$E4="M"</formula>
    </cfRule>
    <cfRule type="expression" dxfId="49" priority="2">
      <formula>$E4="C"</formula>
    </cfRule>
  </conditionalFormatting>
  <dataValidations count="1">
    <dataValidation type="textLength" operator="equal" allowBlank="1" showInputMessage="1" showErrorMessage="1" sqref="F1:F1048576" xr:uid="{00000000-0002-0000-0300-000000000000}">
      <formula1>4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AD930"/>
  <sheetViews>
    <sheetView zoomScale="85" zoomScaleNormal="85" workbookViewId="0">
      <pane xSplit="2" ySplit="3" topLeftCell="C157" activePane="bottomRight" state="frozen"/>
      <selection pane="topRight" activeCell="C1" sqref="C1"/>
      <selection pane="bottomLeft" activeCell="A4" sqref="A4"/>
      <selection pane="bottomRight" activeCell="G178" sqref="F178:G178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147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21" width="9.28515625" style="256" customWidth="1"/>
    <col min="22" max="22" width="10.42578125" style="256" customWidth="1"/>
    <col min="23" max="25" width="6.7109375" customWidth="1"/>
    <col min="26" max="26" width="7.7109375" bestFit="1" customWidth="1"/>
    <col min="27" max="27" width="9.5703125" bestFit="1" customWidth="1"/>
    <col min="30" max="30" width="8.5703125" bestFit="1" customWidth="1"/>
  </cols>
  <sheetData>
    <row r="1" spans="1:30" s="166" customFormat="1" ht="13.5" thickBot="1" x14ac:dyDescent="0.25">
      <c r="A1" s="188"/>
      <c r="B1" s="188"/>
      <c r="C1" s="189"/>
      <c r="D1" s="190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12"/>
      <c r="S1" s="112"/>
      <c r="T1" s="112"/>
      <c r="U1" s="112"/>
      <c r="V1" s="189"/>
    </row>
    <row r="2" spans="1:30" s="166" customFormat="1" ht="14.45" customHeight="1" thickBot="1" x14ac:dyDescent="0.25">
      <c r="A2" s="193"/>
      <c r="B2" s="194"/>
      <c r="C2" s="195"/>
      <c r="D2" s="196"/>
      <c r="E2" s="197"/>
      <c r="F2" s="198"/>
      <c r="G2" s="199"/>
      <c r="H2" s="334" t="s">
        <v>93</v>
      </c>
      <c r="I2" s="335"/>
      <c r="J2" s="335"/>
      <c r="K2" s="335"/>
      <c r="L2" s="336"/>
      <c r="M2" s="337" t="s">
        <v>94</v>
      </c>
      <c r="N2" s="338"/>
      <c r="O2" s="338"/>
      <c r="P2" s="338"/>
      <c r="Q2" s="339"/>
      <c r="R2" s="340" t="s">
        <v>95</v>
      </c>
      <c r="S2" s="340"/>
      <c r="T2" s="340"/>
      <c r="U2" s="340"/>
      <c r="V2" s="341"/>
      <c r="X2" s="353" t="s">
        <v>96</v>
      </c>
      <c r="Y2" s="353"/>
      <c r="Z2" s="353"/>
    </row>
    <row r="3" spans="1:30" s="172" customFormat="1" ht="12.75" x14ac:dyDescent="0.2">
      <c r="A3" s="200" t="s">
        <v>69</v>
      </c>
      <c r="B3" s="201" t="s">
        <v>97</v>
      </c>
      <c r="C3" s="201" t="s">
        <v>98</v>
      </c>
      <c r="D3" s="202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181" t="s">
        <v>102</v>
      </c>
      <c r="T3" s="181" t="s">
        <v>103</v>
      </c>
      <c r="U3" s="182" t="s">
        <v>44</v>
      </c>
      <c r="V3" s="183" t="s">
        <v>23</v>
      </c>
      <c r="X3" s="173" t="s">
        <v>60</v>
      </c>
      <c r="Y3" s="173" t="s">
        <v>42</v>
      </c>
      <c r="Z3" s="173" t="s">
        <v>43</v>
      </c>
    </row>
    <row r="4" spans="1:30" s="166" customFormat="1" ht="15" customHeight="1" x14ac:dyDescent="0.2">
      <c r="A4" s="213">
        <v>72210</v>
      </c>
      <c r="B4" s="216">
        <v>9944</v>
      </c>
      <c r="C4" s="118" t="s">
        <v>73</v>
      </c>
      <c r="D4" s="205">
        <v>45932</v>
      </c>
      <c r="E4" s="206"/>
      <c r="F4" s="207" t="s">
        <v>89</v>
      </c>
      <c r="G4" s="208" t="str">
        <f>VLOOKUP(F4,$AC$11:$AD$19,2,0)</f>
        <v>Chanho</v>
      </c>
      <c r="H4" s="209">
        <v>1405</v>
      </c>
      <c r="I4" s="210">
        <v>4.0999999999999996</v>
      </c>
      <c r="J4" s="210">
        <v>8.2899999999999991</v>
      </c>
      <c r="K4" s="176">
        <f t="shared" ref="K4:K19" si="0">H4*I4%</f>
        <v>57.60499999999999</v>
      </c>
      <c r="L4" s="177">
        <f t="shared" ref="L4:L19" si="1">H4*J4%</f>
        <v>116.47449999999998</v>
      </c>
      <c r="M4" s="209">
        <f>$R$4*H4/SUM($H$4:$H$5)</f>
        <v>1402.7004909983634</v>
      </c>
      <c r="N4" s="211">
        <f t="shared" ref="N4:N13" si="2">P4/M4*100</f>
        <v>4.1072362012595596</v>
      </c>
      <c r="O4" s="211">
        <f t="shared" ref="O4:O13" si="3">Q4/M4*100</f>
        <v>8.2742241073710829</v>
      </c>
      <c r="P4" s="176">
        <f>$U$4*K4/SUM($K$4:$K$5)</f>
        <v>57.612222361530378</v>
      </c>
      <c r="Q4" s="212">
        <f>$V$4*L4/SUM($L$4:$L$5)</f>
        <v>116.06258218039912</v>
      </c>
      <c r="R4" s="345">
        <v>4880</v>
      </c>
      <c r="S4" s="346">
        <v>4.25</v>
      </c>
      <c r="T4" s="346">
        <v>8.26</v>
      </c>
      <c r="U4" s="345">
        <f>R4*S4%</f>
        <v>207.4</v>
      </c>
      <c r="V4" s="345">
        <f>R4*T4%</f>
        <v>403.08799999999997</v>
      </c>
      <c r="X4" s="176">
        <f>ROUND(M4,0)</f>
        <v>1403</v>
      </c>
      <c r="Y4" s="210">
        <f>ROUND(N4,2)</f>
        <v>4.1100000000000003</v>
      </c>
      <c r="Z4" s="210">
        <f>ROUND(O4,2)</f>
        <v>8.27</v>
      </c>
    </row>
    <row r="5" spans="1:30" s="166" customFormat="1" ht="12.75" x14ac:dyDescent="0.2">
      <c r="A5" s="213">
        <v>72210</v>
      </c>
      <c r="B5" s="216">
        <v>9944</v>
      </c>
      <c r="C5" s="118" t="s">
        <v>73</v>
      </c>
      <c r="D5" s="205">
        <v>45932</v>
      </c>
      <c r="E5" s="206"/>
      <c r="F5" s="207" t="s">
        <v>78</v>
      </c>
      <c r="G5" s="208" t="str">
        <f>VLOOKUP(F5,$AC$11:$AD$19,2,0)</f>
        <v>Bhandra</v>
      </c>
      <c r="H5" s="209">
        <v>3483</v>
      </c>
      <c r="I5" s="210">
        <v>4.3</v>
      </c>
      <c r="J5" s="210">
        <v>8.27</v>
      </c>
      <c r="K5" s="176">
        <f t="shared" si="0"/>
        <v>149.76899999999998</v>
      </c>
      <c r="L5" s="177">
        <f t="shared" si="1"/>
        <v>288.04409999999996</v>
      </c>
      <c r="M5" s="209">
        <f>$R$4*H5/SUM($H$4:$H$5)</f>
        <v>3477.2995090016366</v>
      </c>
      <c r="N5" s="211">
        <f t="shared" si="2"/>
        <v>4.3075891866868563</v>
      </c>
      <c r="O5" s="211">
        <f t="shared" si="3"/>
        <v>8.2542621674256758</v>
      </c>
      <c r="P5" s="176">
        <f>$U$4*K5/SUM($K$4:$K$5)</f>
        <v>149.78777763846963</v>
      </c>
      <c r="Q5" s="212">
        <f>$V$4*L5/SUM($L$4:$L$5)</f>
        <v>287.02541781960088</v>
      </c>
      <c r="R5" s="345"/>
      <c r="S5" s="346"/>
      <c r="T5" s="346"/>
      <c r="U5" s="345"/>
      <c r="V5" s="345"/>
      <c r="X5" s="176">
        <f t="shared" ref="X5:X25" si="4">ROUND(M5,0)</f>
        <v>3477</v>
      </c>
      <c r="Y5" s="210">
        <f t="shared" ref="Y5:Y25" si="5">ROUND(N5,2)</f>
        <v>4.3099999999999996</v>
      </c>
      <c r="Z5" s="210">
        <f t="shared" ref="Z5:Z25" si="6">ROUND(O5,2)</f>
        <v>8.25</v>
      </c>
    </row>
    <row r="6" spans="1:30" s="166" customFormat="1" ht="12.75" x14ac:dyDescent="0.2">
      <c r="A6" s="213">
        <v>72243</v>
      </c>
      <c r="B6" s="216">
        <v>1023</v>
      </c>
      <c r="C6" s="118" t="s">
        <v>77</v>
      </c>
      <c r="D6" s="205">
        <v>45932</v>
      </c>
      <c r="E6" s="206"/>
      <c r="F6" s="207" t="s">
        <v>8</v>
      </c>
      <c r="G6" s="208" t="str">
        <f t="shared" ref="G6:G45" si="7">VLOOKUP(F6,$AC$11:$AD$19,2,0)</f>
        <v>Choria</v>
      </c>
      <c r="H6" s="209">
        <v>1063</v>
      </c>
      <c r="I6" s="210">
        <v>3</v>
      </c>
      <c r="J6" s="210">
        <v>8</v>
      </c>
      <c r="K6" s="176">
        <f t="shared" si="0"/>
        <v>31.89</v>
      </c>
      <c r="L6" s="177">
        <f t="shared" si="1"/>
        <v>85.04</v>
      </c>
      <c r="M6" s="209">
        <f>$R$6*H6/SUM($H$6:$H$8)</f>
        <v>1065.9203296703297</v>
      </c>
      <c r="N6" s="211">
        <f t="shared" ref="N6" si="8">P6/M6*100</f>
        <v>2.9966542005439125</v>
      </c>
      <c r="O6" s="211">
        <f t="shared" ref="O6" si="9">Q6/M6*100</f>
        <v>7.8656965211614747</v>
      </c>
      <c r="P6" s="176">
        <f>$U$6*K6/SUM($K$6:$K$8)</f>
        <v>31.941946333517457</v>
      </c>
      <c r="Q6" s="212">
        <f>$V$6*L6/SUM($L$6:$L$8)</f>
        <v>83.842058289232043</v>
      </c>
      <c r="R6" s="328">
        <v>3650</v>
      </c>
      <c r="S6" s="331">
        <v>3.9</v>
      </c>
      <c r="T6" s="331">
        <v>8.1199999999999992</v>
      </c>
      <c r="U6" s="328">
        <f>R6*S6%</f>
        <v>142.35</v>
      </c>
      <c r="V6" s="328">
        <f>R6*T6%</f>
        <v>296.38</v>
      </c>
      <c r="X6" s="176">
        <f t="shared" si="4"/>
        <v>1066</v>
      </c>
      <c r="Y6" s="210">
        <f t="shared" si="5"/>
        <v>3</v>
      </c>
      <c r="Z6" s="210">
        <f t="shared" si="6"/>
        <v>7.87</v>
      </c>
    </row>
    <row r="7" spans="1:30" s="166" customFormat="1" ht="12.75" x14ac:dyDescent="0.2">
      <c r="A7" s="213">
        <v>72243</v>
      </c>
      <c r="B7" s="216">
        <v>1023</v>
      </c>
      <c r="C7" s="118" t="s">
        <v>77</v>
      </c>
      <c r="D7" s="205">
        <v>45932</v>
      </c>
      <c r="E7" s="206"/>
      <c r="F7" s="207" t="s">
        <v>14</v>
      </c>
      <c r="G7" s="208" t="str">
        <f t="shared" si="7"/>
        <v>Piragutu</v>
      </c>
      <c r="H7" s="209">
        <v>1412</v>
      </c>
      <c r="I7" s="210">
        <v>4.3</v>
      </c>
      <c r="J7" s="210">
        <v>8.51</v>
      </c>
      <c r="K7" s="176">
        <f t="shared" si="0"/>
        <v>60.715999999999994</v>
      </c>
      <c r="L7" s="177">
        <f t="shared" si="1"/>
        <v>120.16119999999999</v>
      </c>
      <c r="M7" s="209">
        <f t="shared" ref="M7" si="10">$R$6*H7/SUM($H$6:$H$8)</f>
        <v>1415.8791208791208</v>
      </c>
      <c r="N7" s="211">
        <f t="shared" ref="N7:N8" si="11">P7/M7*100</f>
        <v>4.2952043541129408</v>
      </c>
      <c r="O7" s="211">
        <f t="shared" ref="O7:O8" si="12">Q7/M7*100</f>
        <v>8.3671346743855182</v>
      </c>
      <c r="P7" s="176">
        <f t="shared" ref="P7:P8" si="13">$U$6*K7/SUM($K$6:$K$8)</f>
        <v>60.814901648976026</v>
      </c>
      <c r="Q7" s="212">
        <f t="shared" ref="Q7:Q8" si="14">$V$6*L7/SUM($L$6:$L$8)</f>
        <v>118.46851287046177</v>
      </c>
      <c r="R7" s="329"/>
      <c r="S7" s="332"/>
      <c r="T7" s="332"/>
      <c r="U7" s="329"/>
      <c r="V7" s="329"/>
      <c r="X7" s="176">
        <f t="shared" si="4"/>
        <v>1416</v>
      </c>
      <c r="Y7" s="210">
        <f t="shared" si="5"/>
        <v>4.3</v>
      </c>
      <c r="Z7" s="210">
        <f t="shared" si="6"/>
        <v>8.3699999999999992</v>
      </c>
    </row>
    <row r="8" spans="1:30" s="166" customFormat="1" ht="12.75" x14ac:dyDescent="0.2">
      <c r="A8" s="213">
        <v>72243</v>
      </c>
      <c r="B8" s="216">
        <v>1023</v>
      </c>
      <c r="C8" s="118" t="s">
        <v>77</v>
      </c>
      <c r="D8" s="205">
        <v>45932</v>
      </c>
      <c r="E8" s="206"/>
      <c r="F8" s="207" t="s">
        <v>6</v>
      </c>
      <c r="G8" s="208" t="str">
        <f t="shared" si="7"/>
        <v>Hisri</v>
      </c>
      <c r="H8" s="209">
        <v>1165</v>
      </c>
      <c r="I8" s="210">
        <v>4.25</v>
      </c>
      <c r="J8" s="210">
        <v>8.19</v>
      </c>
      <c r="K8" s="176">
        <f t="shared" si="0"/>
        <v>49.512500000000003</v>
      </c>
      <c r="L8" s="177">
        <f t="shared" si="1"/>
        <v>95.413499999999999</v>
      </c>
      <c r="M8" s="209">
        <f>$R$6*H8/SUM($H$6:$H$8)</f>
        <v>1168.2005494505495</v>
      </c>
      <c r="N8" s="211">
        <f t="shared" si="11"/>
        <v>4.2452601174372102</v>
      </c>
      <c r="O8" s="211">
        <f t="shared" si="12"/>
        <v>8.0525068135390576</v>
      </c>
      <c r="P8" s="176">
        <f t="shared" si="13"/>
        <v>49.593152017506526</v>
      </c>
      <c r="Q8" s="212">
        <f t="shared" si="14"/>
        <v>94.069428840306216</v>
      </c>
      <c r="R8" s="330"/>
      <c r="S8" s="333"/>
      <c r="T8" s="333"/>
      <c r="U8" s="330"/>
      <c r="V8" s="330"/>
      <c r="X8" s="176">
        <f t="shared" si="4"/>
        <v>1168</v>
      </c>
      <c r="Y8" s="210">
        <f t="shared" si="5"/>
        <v>4.25</v>
      </c>
      <c r="Z8" s="210">
        <f t="shared" si="6"/>
        <v>8.0500000000000007</v>
      </c>
    </row>
    <row r="9" spans="1:30" s="166" customFormat="1" ht="12.75" x14ac:dyDescent="0.2">
      <c r="A9" s="213">
        <v>72243</v>
      </c>
      <c r="B9" s="216">
        <v>1023</v>
      </c>
      <c r="C9" s="118" t="s">
        <v>109</v>
      </c>
      <c r="D9" s="205">
        <v>45932</v>
      </c>
      <c r="E9" s="206"/>
      <c r="F9" s="207" t="s">
        <v>12</v>
      </c>
      <c r="G9" s="208" t="str">
        <f t="shared" si="7"/>
        <v>Ormanjhi</v>
      </c>
      <c r="H9" s="209">
        <v>1685</v>
      </c>
      <c r="I9" s="210">
        <v>4.0999999999999996</v>
      </c>
      <c r="J9" s="210">
        <v>8.32</v>
      </c>
      <c r="K9" s="176">
        <f t="shared" si="0"/>
        <v>69.084999999999994</v>
      </c>
      <c r="L9" s="177">
        <f t="shared" si="1"/>
        <v>140.19200000000001</v>
      </c>
      <c r="M9" s="209">
        <f>$R$9*H9/SUM($H$9)</f>
        <v>1700</v>
      </c>
      <c r="N9" s="211">
        <f t="shared" ref="N9:N10" si="15">P9/M9*100</f>
        <v>4.0999999999999996</v>
      </c>
      <c r="O9" s="211">
        <f t="shared" ref="O9:O10" si="16">Q9/M9*100</f>
        <v>8.23</v>
      </c>
      <c r="P9" s="176">
        <f>$U$9*K9/SUM($K$9)</f>
        <v>69.699999999999989</v>
      </c>
      <c r="Q9" s="212">
        <f>$V$9*L9/SUM($L$9)</f>
        <v>139.91</v>
      </c>
      <c r="R9" s="255">
        <v>1700</v>
      </c>
      <c r="S9" s="257">
        <v>4.0999999999999996</v>
      </c>
      <c r="T9" s="257">
        <v>8.23</v>
      </c>
      <c r="U9" s="255">
        <f>R9*S9%</f>
        <v>69.699999999999989</v>
      </c>
      <c r="V9" s="255">
        <f>R9*T9%</f>
        <v>139.91</v>
      </c>
      <c r="X9" s="176">
        <f t="shared" si="4"/>
        <v>1700</v>
      </c>
      <c r="Y9" s="210">
        <f t="shared" si="5"/>
        <v>4.0999999999999996</v>
      </c>
      <c r="Z9" s="210">
        <f t="shared" si="6"/>
        <v>8.23</v>
      </c>
    </row>
    <row r="10" spans="1:30" s="166" customFormat="1" ht="12.75" x14ac:dyDescent="0.2">
      <c r="A10" s="213">
        <v>72242</v>
      </c>
      <c r="B10" s="216">
        <v>1023</v>
      </c>
      <c r="C10" s="118" t="s">
        <v>109</v>
      </c>
      <c r="D10" s="205">
        <v>45931</v>
      </c>
      <c r="E10" s="206"/>
      <c r="F10" s="207" t="s">
        <v>6</v>
      </c>
      <c r="G10" s="208" t="str">
        <f t="shared" si="7"/>
        <v>Hisri</v>
      </c>
      <c r="H10" s="209">
        <v>1097</v>
      </c>
      <c r="I10" s="210">
        <v>4.25</v>
      </c>
      <c r="J10" s="210">
        <v>8.23</v>
      </c>
      <c r="K10" s="176">
        <f t="shared" si="0"/>
        <v>46.622500000000002</v>
      </c>
      <c r="L10" s="177">
        <f t="shared" si="1"/>
        <v>90.283100000000005</v>
      </c>
      <c r="M10" s="209">
        <f>$R$10*H10/SUM($H$10:$H$12)</f>
        <v>1098.4607190412783</v>
      </c>
      <c r="N10" s="211">
        <f t="shared" si="15"/>
        <v>4.2288804404415643</v>
      </c>
      <c r="O10" s="211">
        <f t="shared" si="16"/>
        <v>8.168252325371208</v>
      </c>
      <c r="P10" s="176">
        <f>$U$10*K10/SUM($K$10:$K$12)</f>
        <v>46.452590493470382</v>
      </c>
      <c r="Q10" s="212">
        <f>$V$10*L10/SUM($L$10:$L$12)</f>
        <v>89.725043226378489</v>
      </c>
      <c r="R10" s="328">
        <v>3760</v>
      </c>
      <c r="S10" s="331">
        <v>4.25</v>
      </c>
      <c r="T10" s="331">
        <v>8.32</v>
      </c>
      <c r="U10" s="328">
        <f>R10*S10%</f>
        <v>159.80000000000001</v>
      </c>
      <c r="V10" s="328">
        <f>R10*T10%</f>
        <v>312.83199999999999</v>
      </c>
      <c r="X10" s="176">
        <f t="shared" si="4"/>
        <v>1098</v>
      </c>
      <c r="Y10" s="210">
        <f t="shared" si="5"/>
        <v>4.2300000000000004</v>
      </c>
      <c r="Z10" s="210">
        <f t="shared" si="6"/>
        <v>8.17</v>
      </c>
    </row>
    <row r="11" spans="1:30" s="166" customFormat="1" ht="12.75" x14ac:dyDescent="0.2">
      <c r="A11" s="213">
        <v>72242</v>
      </c>
      <c r="B11" s="216">
        <v>1023</v>
      </c>
      <c r="C11" s="118" t="s">
        <v>109</v>
      </c>
      <c r="D11" s="205">
        <v>45931</v>
      </c>
      <c r="E11" s="206"/>
      <c r="F11" s="207" t="s">
        <v>14</v>
      </c>
      <c r="G11" s="208" t="str">
        <f t="shared" si="7"/>
        <v>Piragutu</v>
      </c>
      <c r="H11" s="209">
        <v>1382</v>
      </c>
      <c r="I11" s="210">
        <v>4.4000000000000004</v>
      </c>
      <c r="J11" s="210">
        <v>8.4700000000000006</v>
      </c>
      <c r="K11" s="176">
        <f t="shared" si="0"/>
        <v>60.808000000000007</v>
      </c>
      <c r="L11" s="177">
        <f t="shared" si="1"/>
        <v>117.05540000000002</v>
      </c>
      <c r="M11" s="209">
        <f t="shared" ref="M11:M12" si="17">$R$10*H11/SUM($H$10:$H$12)</f>
        <v>1383.8402130492677</v>
      </c>
      <c r="N11" s="211">
        <f t="shared" ref="N11:N12" si="18">P11/M11*100</f>
        <v>4.3781350442218541</v>
      </c>
      <c r="O11" s="211">
        <f t="shared" ref="O11:O12" si="19">Q11/M11*100</f>
        <v>8.406451664142665</v>
      </c>
      <c r="P11" s="176">
        <f t="shared" ref="P11:P12" si="20">$U$10*K11/SUM($K$10:$K$12)</f>
        <v>60.586393323544364</v>
      </c>
      <c r="Q11" s="212">
        <f t="shared" ref="Q11:Q12" si="21">$V$10*L11/SUM($L$10:$L$12)</f>
        <v>116.33185861895556</v>
      </c>
      <c r="R11" s="329"/>
      <c r="S11" s="332"/>
      <c r="T11" s="332"/>
      <c r="U11" s="329"/>
      <c r="V11" s="329"/>
      <c r="X11" s="176">
        <f t="shared" si="4"/>
        <v>1384</v>
      </c>
      <c r="Y11" s="210">
        <f t="shared" si="5"/>
        <v>4.38</v>
      </c>
      <c r="Z11" s="210">
        <f t="shared" si="6"/>
        <v>8.41</v>
      </c>
      <c r="AC11" s="174" t="s">
        <v>2</v>
      </c>
      <c r="AD11" s="166" t="s">
        <v>3</v>
      </c>
    </row>
    <row r="12" spans="1:30" s="166" customFormat="1" ht="12.75" x14ac:dyDescent="0.2">
      <c r="A12" s="213">
        <v>72242</v>
      </c>
      <c r="B12" s="216">
        <v>1023</v>
      </c>
      <c r="C12" s="118" t="s">
        <v>109</v>
      </c>
      <c r="D12" s="205">
        <v>45931</v>
      </c>
      <c r="E12" s="206"/>
      <c r="F12" s="207" t="s">
        <v>12</v>
      </c>
      <c r="G12" s="208" t="str">
        <f t="shared" si="7"/>
        <v>Ormanjhi</v>
      </c>
      <c r="H12" s="209">
        <v>1276</v>
      </c>
      <c r="I12" s="210">
        <v>4.1500000000000004</v>
      </c>
      <c r="J12" s="210">
        <v>8.42</v>
      </c>
      <c r="K12" s="176">
        <f t="shared" si="0"/>
        <v>52.954000000000001</v>
      </c>
      <c r="L12" s="177">
        <f t="shared" si="1"/>
        <v>107.4392</v>
      </c>
      <c r="M12" s="209">
        <f t="shared" si="17"/>
        <v>1277.699067909454</v>
      </c>
      <c r="N12" s="211">
        <f t="shared" si="18"/>
        <v>4.1293773712547042</v>
      </c>
      <c r="O12" s="211">
        <f t="shared" si="19"/>
        <v>8.3568268018986096</v>
      </c>
      <c r="P12" s="176">
        <f t="shared" si="20"/>
        <v>52.761016182985273</v>
      </c>
      <c r="Q12" s="212">
        <f t="shared" si="21"/>
        <v>106.77509815466597</v>
      </c>
      <c r="R12" s="330"/>
      <c r="S12" s="333"/>
      <c r="T12" s="333"/>
      <c r="U12" s="330"/>
      <c r="V12" s="330"/>
      <c r="X12" s="176">
        <f t="shared" si="4"/>
        <v>1278</v>
      </c>
      <c r="Y12" s="210">
        <f t="shared" si="5"/>
        <v>4.13</v>
      </c>
      <c r="Z12" s="210">
        <f t="shared" si="6"/>
        <v>8.36</v>
      </c>
      <c r="AC12" s="174" t="s">
        <v>4</v>
      </c>
      <c r="AD12" s="166" t="s">
        <v>5</v>
      </c>
    </row>
    <row r="13" spans="1:30" s="166" customFormat="1" ht="12.75" x14ac:dyDescent="0.2">
      <c r="A13" s="213">
        <v>72242</v>
      </c>
      <c r="B13" s="216">
        <v>1023</v>
      </c>
      <c r="C13" s="118" t="s">
        <v>77</v>
      </c>
      <c r="D13" s="205">
        <v>45931</v>
      </c>
      <c r="E13" s="206"/>
      <c r="F13" s="207" t="s">
        <v>4</v>
      </c>
      <c r="G13" s="208" t="str">
        <f t="shared" si="7"/>
        <v>Pali</v>
      </c>
      <c r="H13" s="209">
        <v>3710</v>
      </c>
      <c r="I13" s="210">
        <v>4.2</v>
      </c>
      <c r="J13" s="210">
        <v>8.3699999999999992</v>
      </c>
      <c r="K13" s="176">
        <f t="shared" si="0"/>
        <v>155.82000000000002</v>
      </c>
      <c r="L13" s="177">
        <f t="shared" si="1"/>
        <v>310.52699999999999</v>
      </c>
      <c r="M13" s="209">
        <f>$R$13*H13/SUM($H$13)</f>
        <v>3570</v>
      </c>
      <c r="N13" s="211">
        <f t="shared" si="2"/>
        <v>4.1500000000000004</v>
      </c>
      <c r="O13" s="211">
        <f t="shared" si="3"/>
        <v>8.24</v>
      </c>
      <c r="P13" s="176">
        <f>$U$13*K13/SUM($K$13)</f>
        <v>148.155</v>
      </c>
      <c r="Q13" s="212">
        <f>$V$13*L13/SUM($L$13)</f>
        <v>294.16800000000001</v>
      </c>
      <c r="R13" s="255">
        <v>3570</v>
      </c>
      <c r="S13" s="257">
        <v>4.1500000000000004</v>
      </c>
      <c r="T13" s="257">
        <v>8.24</v>
      </c>
      <c r="U13" s="255">
        <f>R13*S13%</f>
        <v>148.155</v>
      </c>
      <c r="V13" s="255">
        <f>R13*T13%</f>
        <v>294.16800000000001</v>
      </c>
      <c r="X13" s="176">
        <f t="shared" si="4"/>
        <v>3570</v>
      </c>
      <c r="Y13" s="210">
        <f t="shared" si="5"/>
        <v>4.1500000000000004</v>
      </c>
      <c r="Z13" s="210">
        <f t="shared" si="6"/>
        <v>8.24</v>
      </c>
      <c r="AC13" s="174" t="s">
        <v>6</v>
      </c>
      <c r="AD13" s="166" t="s">
        <v>92</v>
      </c>
    </row>
    <row r="14" spans="1:30" s="166" customFormat="1" ht="12.75" x14ac:dyDescent="0.2">
      <c r="A14" s="213">
        <v>70088</v>
      </c>
      <c r="B14" s="213">
        <v>8504</v>
      </c>
      <c r="C14" s="118" t="s">
        <v>73</v>
      </c>
      <c r="D14" s="205">
        <v>45932</v>
      </c>
      <c r="E14" s="175"/>
      <c r="F14" s="207" t="s">
        <v>2</v>
      </c>
      <c r="G14" s="208" t="str">
        <f t="shared" si="7"/>
        <v>Itki</v>
      </c>
      <c r="H14" s="209">
        <v>3668</v>
      </c>
      <c r="I14" s="210">
        <v>4.3</v>
      </c>
      <c r="J14" s="210">
        <v>8.52</v>
      </c>
      <c r="K14" s="176">
        <f t="shared" si="0"/>
        <v>157.72399999999999</v>
      </c>
      <c r="L14" s="177">
        <f t="shared" si="1"/>
        <v>312.5136</v>
      </c>
      <c r="M14" s="209">
        <f>$R$14*H14/SUM($H$14)</f>
        <v>3680</v>
      </c>
      <c r="N14" s="211">
        <f t="shared" ref="N14" si="22">P14/M14*100</f>
        <v>4.2</v>
      </c>
      <c r="O14" s="211">
        <f t="shared" ref="O14" si="23">Q14/M14*100</f>
        <v>8.43</v>
      </c>
      <c r="P14" s="176">
        <f>$U$14*K14/SUM($K$14)</f>
        <v>154.56</v>
      </c>
      <c r="Q14" s="212">
        <f>$V$14*L14/SUM($L$14)</f>
        <v>310.22399999999999</v>
      </c>
      <c r="R14" s="255">
        <v>3680</v>
      </c>
      <c r="S14" s="257">
        <v>4.2</v>
      </c>
      <c r="T14" s="257">
        <v>8.43</v>
      </c>
      <c r="U14" s="255">
        <f>R14*S14%</f>
        <v>154.56</v>
      </c>
      <c r="V14" s="255">
        <f>R14*T14%</f>
        <v>310.22399999999999</v>
      </c>
      <c r="X14" s="176">
        <f t="shared" si="4"/>
        <v>3680</v>
      </c>
      <c r="Y14" s="210">
        <f t="shared" si="5"/>
        <v>4.2</v>
      </c>
      <c r="Z14" s="210">
        <f t="shared" si="6"/>
        <v>8.43</v>
      </c>
      <c r="AC14" s="174" t="s">
        <v>8</v>
      </c>
      <c r="AD14" s="166" t="s">
        <v>105</v>
      </c>
    </row>
    <row r="15" spans="1:30" s="166" customFormat="1" ht="12.75" x14ac:dyDescent="0.2">
      <c r="A15" s="213">
        <v>72245</v>
      </c>
      <c r="B15" s="213">
        <v>8504</v>
      </c>
      <c r="C15" s="118" t="s">
        <v>73</v>
      </c>
      <c r="D15" s="205">
        <v>45934</v>
      </c>
      <c r="E15" s="175"/>
      <c r="F15" s="207" t="s">
        <v>4</v>
      </c>
      <c r="G15" s="208" t="str">
        <f t="shared" si="7"/>
        <v>Pali</v>
      </c>
      <c r="H15" s="209">
        <v>3272</v>
      </c>
      <c r="I15" s="210">
        <v>4.25</v>
      </c>
      <c r="J15" s="210">
        <v>8.44</v>
      </c>
      <c r="K15" s="176">
        <f t="shared" si="0"/>
        <v>139.06</v>
      </c>
      <c r="L15" s="177">
        <f t="shared" si="1"/>
        <v>276.15679999999998</v>
      </c>
      <c r="M15" s="209">
        <f>$R$15*H15/SUM($H$15)</f>
        <v>3170</v>
      </c>
      <c r="N15" s="211">
        <f t="shared" ref="N15:N16" si="24">P15/M15*100</f>
        <v>4.1500000000000004</v>
      </c>
      <c r="O15" s="211">
        <f t="shared" ref="O15:O16" si="25">Q15/M15*100</f>
        <v>8.36</v>
      </c>
      <c r="P15" s="176">
        <f>$U$15*K15/SUM($K$15)</f>
        <v>131.55500000000001</v>
      </c>
      <c r="Q15" s="212">
        <f>$V$15*L15/SUM($L$15)</f>
        <v>265.012</v>
      </c>
      <c r="R15" s="255">
        <v>3170</v>
      </c>
      <c r="S15" s="257">
        <v>4.1500000000000004</v>
      </c>
      <c r="T15" s="257">
        <v>8.36</v>
      </c>
      <c r="U15" s="255">
        <f>R15*S15%</f>
        <v>131.55500000000001</v>
      </c>
      <c r="V15" s="255">
        <f>R15*T15%</f>
        <v>265.012</v>
      </c>
      <c r="X15" s="176">
        <f t="shared" si="4"/>
        <v>3170</v>
      </c>
      <c r="Y15" s="210">
        <f t="shared" si="5"/>
        <v>4.1500000000000004</v>
      </c>
      <c r="Z15" s="210">
        <f t="shared" si="6"/>
        <v>8.36</v>
      </c>
      <c r="AC15" s="174" t="s">
        <v>10</v>
      </c>
      <c r="AD15" s="166" t="s">
        <v>106</v>
      </c>
    </row>
    <row r="16" spans="1:30" s="166" customFormat="1" ht="12.75" x14ac:dyDescent="0.2">
      <c r="A16" s="213">
        <v>70090</v>
      </c>
      <c r="B16" s="213">
        <v>9944</v>
      </c>
      <c r="C16" s="118" t="s">
        <v>73</v>
      </c>
      <c r="D16" s="205">
        <v>45934</v>
      </c>
      <c r="E16" s="175"/>
      <c r="F16" s="207" t="s">
        <v>89</v>
      </c>
      <c r="G16" s="208" t="str">
        <f t="shared" si="7"/>
        <v>Chanho</v>
      </c>
      <c r="H16" s="209">
        <v>1370</v>
      </c>
      <c r="I16" s="210">
        <v>4.2</v>
      </c>
      <c r="J16" s="210">
        <v>8.31</v>
      </c>
      <c r="K16" s="176">
        <f t="shared" si="0"/>
        <v>57.540000000000006</v>
      </c>
      <c r="L16" s="177">
        <f t="shared" si="1"/>
        <v>113.84700000000001</v>
      </c>
      <c r="M16" s="209">
        <f>$R$16*H16/SUM($H$16:$H$17)</f>
        <v>1368.1792291627112</v>
      </c>
      <c r="N16" s="211">
        <f t="shared" si="24"/>
        <v>4.1892992805850442</v>
      </c>
      <c r="O16" s="211">
        <f t="shared" si="25"/>
        <v>8.3676493174994668</v>
      </c>
      <c r="P16" s="176">
        <f>$U$16*K16/SUM($K$16:$K$17)</f>
        <v>57.317122604427468</v>
      </c>
      <c r="Q16" s="212">
        <f>$V$16*L16/SUM($L$16:$L$17)</f>
        <v>114.48443993120308</v>
      </c>
      <c r="R16" s="350">
        <v>5260</v>
      </c>
      <c r="S16" s="331">
        <v>4.3</v>
      </c>
      <c r="T16" s="350">
        <v>8.39</v>
      </c>
      <c r="U16" s="350">
        <f>R16*S16%</f>
        <v>226.17999999999998</v>
      </c>
      <c r="V16" s="350">
        <f>R16*T16%</f>
        <v>441.31400000000002</v>
      </c>
      <c r="X16" s="176">
        <f t="shared" si="4"/>
        <v>1368</v>
      </c>
      <c r="Y16" s="210">
        <f t="shared" si="5"/>
        <v>4.1900000000000004</v>
      </c>
      <c r="Z16" s="210">
        <f t="shared" si="6"/>
        <v>8.3699999999999992</v>
      </c>
      <c r="AC16" s="174" t="s">
        <v>12</v>
      </c>
      <c r="AD16" s="166" t="s">
        <v>107</v>
      </c>
    </row>
    <row r="17" spans="1:30" s="166" customFormat="1" ht="12.75" x14ac:dyDescent="0.2">
      <c r="A17" s="213">
        <v>70090</v>
      </c>
      <c r="B17" s="213">
        <v>9944</v>
      </c>
      <c r="C17" s="118" t="s">
        <v>73</v>
      </c>
      <c r="D17" s="205">
        <v>45934</v>
      </c>
      <c r="E17" s="175"/>
      <c r="F17" s="207" t="s">
        <v>78</v>
      </c>
      <c r="G17" s="208" t="str">
        <f t="shared" si="7"/>
        <v>Bhandra</v>
      </c>
      <c r="H17" s="209">
        <v>3897</v>
      </c>
      <c r="I17" s="210">
        <v>4.3499999999999996</v>
      </c>
      <c r="J17" s="210">
        <v>8.34</v>
      </c>
      <c r="K17" s="176">
        <f t="shared" si="0"/>
        <v>169.51949999999999</v>
      </c>
      <c r="L17" s="177">
        <f t="shared" si="1"/>
        <v>325.00979999999998</v>
      </c>
      <c r="M17" s="209">
        <f>$R$16*H17/SUM($H$16:$H$17)</f>
        <v>3891.8207708372888</v>
      </c>
      <c r="N17" s="211">
        <f t="shared" ref="N17" si="26">P17/M17*100</f>
        <v>4.33891711203451</v>
      </c>
      <c r="O17" s="211">
        <f t="shared" ref="O17" si="27">Q17/M17*100</f>
        <v>8.3978574377792476</v>
      </c>
      <c r="P17" s="176">
        <f>$U$16*K17/SUM($K$16:$K$17)</f>
        <v>168.8628773955725</v>
      </c>
      <c r="Q17" s="212">
        <f>$V$16*L17/SUM($L$16:$L$17)</f>
        <v>326.82956006879692</v>
      </c>
      <c r="R17" s="352"/>
      <c r="S17" s="333"/>
      <c r="T17" s="352"/>
      <c r="U17" s="352"/>
      <c r="V17" s="352"/>
      <c r="X17" s="176">
        <f t="shared" si="4"/>
        <v>3892</v>
      </c>
      <c r="Y17" s="210">
        <f t="shared" si="5"/>
        <v>4.34</v>
      </c>
      <c r="Z17" s="210">
        <f t="shared" si="6"/>
        <v>8.4</v>
      </c>
      <c r="AC17" s="174" t="s">
        <v>14</v>
      </c>
      <c r="AD17" s="166" t="s">
        <v>91</v>
      </c>
    </row>
    <row r="18" spans="1:30" s="166" customFormat="1" ht="12.75" x14ac:dyDescent="0.2">
      <c r="A18" s="213">
        <v>72246</v>
      </c>
      <c r="B18" s="213">
        <v>1023</v>
      </c>
      <c r="C18" s="118" t="s">
        <v>73</v>
      </c>
      <c r="D18" s="205">
        <v>45935</v>
      </c>
      <c r="E18" s="175"/>
      <c r="F18" s="207" t="s">
        <v>8</v>
      </c>
      <c r="G18" s="208" t="str">
        <f t="shared" si="7"/>
        <v>Choria</v>
      </c>
      <c r="H18" s="209">
        <v>1222</v>
      </c>
      <c r="I18" s="210">
        <v>3.1</v>
      </c>
      <c r="J18" s="210">
        <v>8</v>
      </c>
      <c r="K18" s="176">
        <f t="shared" si="0"/>
        <v>37.881999999999998</v>
      </c>
      <c r="L18" s="177">
        <f t="shared" si="1"/>
        <v>97.76</v>
      </c>
      <c r="M18" s="209">
        <f>$R$18*H18/SUM($H$18:$H$20)</f>
        <v>1223.5142503097893</v>
      </c>
      <c r="N18" s="211">
        <f t="shared" ref="N18" si="28">P18/M18*100</f>
        <v>2.9807730191249879</v>
      </c>
      <c r="O18" s="211">
        <f t="shared" ref="O18" si="29">Q18/M18*100</f>
        <v>7.7987459228653204</v>
      </c>
      <c r="P18" s="176">
        <f>$U$18*K18/SUM($K$18:$K$20)</f>
        <v>36.470182658383571</v>
      </c>
      <c r="Q18" s="212">
        <f>$V$18*L18/SUM($L$18:$L$20)</f>
        <v>95.418767711710885</v>
      </c>
      <c r="R18" s="350">
        <v>4040</v>
      </c>
      <c r="S18" s="350">
        <v>3.75</v>
      </c>
      <c r="T18" s="350">
        <v>8.0299999999999994</v>
      </c>
      <c r="U18" s="328">
        <f>R18*S18%</f>
        <v>151.5</v>
      </c>
      <c r="V18" s="328">
        <f>R18*T18%</f>
        <v>324.41199999999998</v>
      </c>
      <c r="X18" s="176">
        <f t="shared" si="4"/>
        <v>1224</v>
      </c>
      <c r="Y18" s="210">
        <f t="shared" si="5"/>
        <v>2.98</v>
      </c>
      <c r="Z18" s="210">
        <f t="shared" si="6"/>
        <v>7.8</v>
      </c>
      <c r="AC18" s="174" t="s">
        <v>78</v>
      </c>
      <c r="AD18" s="166" t="s">
        <v>108</v>
      </c>
    </row>
    <row r="19" spans="1:30" s="166" customFormat="1" ht="12.75" x14ac:dyDescent="0.2">
      <c r="A19" s="213">
        <v>72246</v>
      </c>
      <c r="B19" s="213">
        <v>1023</v>
      </c>
      <c r="C19" s="118" t="s">
        <v>73</v>
      </c>
      <c r="D19" s="205">
        <v>45935</v>
      </c>
      <c r="E19" s="175"/>
      <c r="F19" s="207" t="s">
        <v>14</v>
      </c>
      <c r="G19" s="208" t="str">
        <f t="shared" si="7"/>
        <v>Piragutu</v>
      </c>
      <c r="H19" s="209">
        <v>1471</v>
      </c>
      <c r="I19" s="210">
        <v>4.3</v>
      </c>
      <c r="J19" s="210">
        <v>8.4499999999999993</v>
      </c>
      <c r="K19" s="176">
        <f t="shared" si="0"/>
        <v>63.252999999999993</v>
      </c>
      <c r="L19" s="177">
        <f t="shared" si="1"/>
        <v>124.29949999999999</v>
      </c>
      <c r="M19" s="209">
        <f>$R$18*H19/SUM($H$18:$H$20)</f>
        <v>1472.8228004956629</v>
      </c>
      <c r="N19" s="211">
        <f t="shared" ref="N19" si="30">P19/M19*100</f>
        <v>4.1346206394314358</v>
      </c>
      <c r="O19" s="211">
        <f t="shared" ref="O19" si="31">Q19/M19*100</f>
        <v>8.2374253810264939</v>
      </c>
      <c r="P19" s="176">
        <f>$U$18*K19/SUM($K$18:$K$20)</f>
        <v>60.895635491545754</v>
      </c>
      <c r="Q19" s="212">
        <f>$V$18*L19/SUM($L$18:$L$20)</f>
        <v>121.32267918557494</v>
      </c>
      <c r="R19" s="351"/>
      <c r="S19" s="351"/>
      <c r="T19" s="351"/>
      <c r="U19" s="329"/>
      <c r="V19" s="329"/>
      <c r="X19" s="176">
        <f t="shared" si="4"/>
        <v>1473</v>
      </c>
      <c r="Y19" s="210">
        <f t="shared" si="5"/>
        <v>4.13</v>
      </c>
      <c r="Z19" s="210">
        <f t="shared" si="6"/>
        <v>8.24</v>
      </c>
      <c r="AC19" s="174" t="s">
        <v>89</v>
      </c>
      <c r="AD19" s="166" t="s">
        <v>88</v>
      </c>
    </row>
    <row r="20" spans="1:30" x14ac:dyDescent="0.25">
      <c r="A20" s="213">
        <v>72246</v>
      </c>
      <c r="B20" s="213">
        <v>1023</v>
      </c>
      <c r="C20" s="118" t="s">
        <v>73</v>
      </c>
      <c r="D20" s="205">
        <v>45935</v>
      </c>
      <c r="E20" s="65"/>
      <c r="F20" s="227" t="s">
        <v>6</v>
      </c>
      <c r="G20" s="65" t="str">
        <f t="shared" si="7"/>
        <v>Hisri</v>
      </c>
      <c r="H20" s="51">
        <v>1342</v>
      </c>
      <c r="I20" s="65">
        <v>4.1900000000000004</v>
      </c>
      <c r="J20" s="65">
        <v>8.2200000000000006</v>
      </c>
      <c r="K20" s="176">
        <f>H20*I20%</f>
        <v>56.229800000000012</v>
      </c>
      <c r="L20" s="177">
        <f>H20*J20%</f>
        <v>110.31240000000001</v>
      </c>
      <c r="M20" s="209">
        <f>$R$18*H20/SUM($H$18:$H$20)</f>
        <v>1343.6629491945478</v>
      </c>
      <c r="N20" s="211">
        <f t="shared" ref="N20" si="32">P20/M20*100</f>
        <v>4.0288512742366791</v>
      </c>
      <c r="O20" s="211">
        <f t="shared" ref="O20" si="33">Q20/M20*100</f>
        <v>8.0132114357441147</v>
      </c>
      <c r="P20" s="176">
        <f>$U$18*K20/SUM($K$18:$K$20)</f>
        <v>54.134181850070682</v>
      </c>
      <c r="Q20" s="212">
        <f>$V$18*L20/SUM($L$18:$L$20)</f>
        <v>107.67055310271414</v>
      </c>
      <c r="R20" s="352"/>
      <c r="S20" s="352"/>
      <c r="T20" s="352"/>
      <c r="U20" s="330"/>
      <c r="V20" s="330"/>
      <c r="X20" s="176">
        <f t="shared" si="4"/>
        <v>1344</v>
      </c>
      <c r="Y20" s="210">
        <f t="shared" si="5"/>
        <v>4.03</v>
      </c>
      <c r="Z20" s="210">
        <f t="shared" si="6"/>
        <v>8.01</v>
      </c>
    </row>
    <row r="21" spans="1:30" x14ac:dyDescent="0.25">
      <c r="A21" s="220">
        <v>72211</v>
      </c>
      <c r="B21" s="221">
        <v>1023</v>
      </c>
      <c r="C21" s="109" t="s">
        <v>109</v>
      </c>
      <c r="D21" s="229">
        <v>45934</v>
      </c>
      <c r="E21" s="65"/>
      <c r="F21" s="227" t="s">
        <v>6</v>
      </c>
      <c r="G21" s="65" t="str">
        <f t="shared" si="7"/>
        <v>Hisri</v>
      </c>
      <c r="H21" s="51">
        <v>1080</v>
      </c>
      <c r="I21" s="65">
        <v>4.25</v>
      </c>
      <c r="J21" s="65">
        <v>8.19</v>
      </c>
      <c r="K21" s="176">
        <f t="shared" ref="K21:K65" si="34">H21*I21%</f>
        <v>45.900000000000006</v>
      </c>
      <c r="L21" s="177">
        <f t="shared" ref="L21:L65" si="35">H21*J21%</f>
        <v>88.451999999999998</v>
      </c>
      <c r="M21" s="209">
        <f>$R$21*H21/SUM($H$21:$H$22)</f>
        <v>1081.8588640275386</v>
      </c>
      <c r="N21" s="211">
        <f t="shared" ref="N21" si="36">P21/M21*100</f>
        <v>4.1809006527947776</v>
      </c>
      <c r="O21" s="211">
        <f t="shared" ref="O21" si="37">Q21/M21*100</f>
        <v>7.863024731399106</v>
      </c>
      <c r="P21" s="176">
        <f>$U$21*K21/SUM($K$21:$K$22)</f>
        <v>45.231444308445532</v>
      </c>
      <c r="Q21" s="212">
        <f>$V$21*L21/SUM($L$21:$L$22)</f>
        <v>85.06683003731878</v>
      </c>
      <c r="R21" s="347">
        <v>2910</v>
      </c>
      <c r="S21" s="347">
        <v>4.1500000000000004</v>
      </c>
      <c r="T21" s="347">
        <v>8.0500000000000007</v>
      </c>
      <c r="U21" s="350">
        <f>R21*S21%</f>
        <v>120.765</v>
      </c>
      <c r="V21" s="350">
        <f>R21*T21%</f>
        <v>234.255</v>
      </c>
      <c r="X21" s="176">
        <f t="shared" si="4"/>
        <v>1082</v>
      </c>
      <c r="Y21" s="210">
        <f t="shared" si="5"/>
        <v>4.18</v>
      </c>
      <c r="Z21" s="210">
        <f t="shared" si="6"/>
        <v>7.86</v>
      </c>
    </row>
    <row r="22" spans="1:30" x14ac:dyDescent="0.25">
      <c r="A22" s="220">
        <v>72211</v>
      </c>
      <c r="B22" s="221">
        <v>1023</v>
      </c>
      <c r="C22" s="109" t="s">
        <v>109</v>
      </c>
      <c r="D22" s="229">
        <v>45934</v>
      </c>
      <c r="E22" s="65"/>
      <c r="F22" s="227" t="s">
        <v>14</v>
      </c>
      <c r="G22" s="65" t="str">
        <f t="shared" si="7"/>
        <v>Piragutu</v>
      </c>
      <c r="H22" s="51">
        <v>1825</v>
      </c>
      <c r="I22" s="66">
        <v>4.2</v>
      </c>
      <c r="J22" s="66">
        <v>8.5</v>
      </c>
      <c r="K22" s="176">
        <f t="shared" si="34"/>
        <v>76.650000000000006</v>
      </c>
      <c r="L22" s="177">
        <f t="shared" si="35"/>
        <v>155.125</v>
      </c>
      <c r="M22" s="209">
        <f>$R$21*H22/SUM($H$21:$H$22)</f>
        <v>1828.1411359724614</v>
      </c>
      <c r="N22" s="211">
        <f t="shared" ref="N22" si="38">P22/M22*100</f>
        <v>4.1317135862913092</v>
      </c>
      <c r="O22" s="211">
        <f t="shared" ref="O22" si="39">Q22/M22*100</f>
        <v>8.1606483781309418</v>
      </c>
      <c r="P22" s="176">
        <f>$U$21*K22/SUM($K$21:$K$22)</f>
        <v>75.533555691554469</v>
      </c>
      <c r="Q22" s="212">
        <f>$V$21*L22/SUM($L$21:$L$22)</f>
        <v>149.18816996268123</v>
      </c>
      <c r="R22" s="348"/>
      <c r="S22" s="348"/>
      <c r="T22" s="348"/>
      <c r="U22" s="352"/>
      <c r="V22" s="352"/>
      <c r="X22" s="176">
        <f t="shared" si="4"/>
        <v>1828</v>
      </c>
      <c r="Y22" s="210">
        <f t="shared" si="5"/>
        <v>4.13</v>
      </c>
      <c r="Z22" s="210">
        <f t="shared" si="6"/>
        <v>8.16</v>
      </c>
    </row>
    <row r="23" spans="1:30" x14ac:dyDescent="0.25">
      <c r="A23" s="220">
        <v>72211</v>
      </c>
      <c r="B23" s="221">
        <v>1023</v>
      </c>
      <c r="C23" s="109" t="s">
        <v>77</v>
      </c>
      <c r="D23" s="229">
        <v>45934</v>
      </c>
      <c r="E23" s="65"/>
      <c r="F23" s="227" t="s">
        <v>12</v>
      </c>
      <c r="G23" s="65" t="str">
        <f t="shared" si="7"/>
        <v>Ormanjhi</v>
      </c>
      <c r="H23" s="51">
        <v>2540</v>
      </c>
      <c r="I23" s="66">
        <v>4.0999999999999996</v>
      </c>
      <c r="J23" s="65">
        <v>8.41</v>
      </c>
      <c r="K23" s="176">
        <f t="shared" si="34"/>
        <v>104.13999999999999</v>
      </c>
      <c r="L23" s="177">
        <f t="shared" si="35"/>
        <v>213.61400000000003</v>
      </c>
      <c r="M23" s="209">
        <f>$R$23*H23/SUM($H$23)</f>
        <v>2560</v>
      </c>
      <c r="N23" s="211">
        <f t="shared" ref="N23" si="40">P23/M23*100</f>
        <v>4.0999999999999996</v>
      </c>
      <c r="O23" s="211">
        <f t="shared" ref="O23" si="41">Q23/M23*100</f>
        <v>8.16</v>
      </c>
      <c r="P23" s="176">
        <f>$U$23*K23/SUM($K$23)</f>
        <v>104.95999999999998</v>
      </c>
      <c r="Q23" s="212">
        <f>$V$23*L23/SUM($L$23)</f>
        <v>208.89600000000002</v>
      </c>
      <c r="R23" s="249">
        <v>2560</v>
      </c>
      <c r="S23" s="249">
        <v>4.0999999999999996</v>
      </c>
      <c r="T23" s="249">
        <v>8.16</v>
      </c>
      <c r="U23" s="255">
        <f>R23*S23%</f>
        <v>104.95999999999998</v>
      </c>
      <c r="V23" s="255">
        <f>R23*T23%</f>
        <v>208.89600000000002</v>
      </c>
      <c r="X23" s="176">
        <f t="shared" si="4"/>
        <v>2560</v>
      </c>
      <c r="Y23" s="210">
        <f t="shared" si="5"/>
        <v>4.0999999999999996</v>
      </c>
      <c r="Z23" s="210">
        <f t="shared" si="6"/>
        <v>8.16</v>
      </c>
    </row>
    <row r="24" spans="1:30" x14ac:dyDescent="0.25">
      <c r="A24" s="220">
        <v>72212</v>
      </c>
      <c r="B24" s="221">
        <v>9944</v>
      </c>
      <c r="C24" s="109" t="s">
        <v>73</v>
      </c>
      <c r="D24" s="229">
        <v>45935</v>
      </c>
      <c r="E24" s="65"/>
      <c r="F24" s="227" t="s">
        <v>78</v>
      </c>
      <c r="G24" s="65" t="str">
        <f t="shared" si="7"/>
        <v>Bhandra</v>
      </c>
      <c r="H24" s="65">
        <v>3794</v>
      </c>
      <c r="I24" s="65">
        <v>4.3499999999999996</v>
      </c>
      <c r="J24" s="65">
        <v>8.4</v>
      </c>
      <c r="K24" s="176">
        <f t="shared" si="34"/>
        <v>165.03899999999999</v>
      </c>
      <c r="L24" s="177">
        <f t="shared" si="35"/>
        <v>318.69600000000003</v>
      </c>
      <c r="M24" s="209">
        <f>$R$24*H24/SUM($H$24:$H$25)</f>
        <v>3798.4082106893879</v>
      </c>
      <c r="N24" s="211">
        <f t="shared" ref="N24" si="42">P24/M24*100</f>
        <v>4.326385803353876</v>
      </c>
      <c r="O24" s="211">
        <f t="shared" ref="O24" si="43">Q24/M24*100</f>
        <v>8.2752271500477512</v>
      </c>
      <c r="P24" s="176">
        <f>$U$24*K24/SUM($K$24:$K$25)</f>
        <v>164.33379358069368</v>
      </c>
      <c r="Q24" s="212">
        <f>$V$24*L24/SUM($L$24:$L$25)</f>
        <v>314.3269075206112</v>
      </c>
      <c r="R24" s="347">
        <v>5170</v>
      </c>
      <c r="S24" s="347">
        <v>4.3</v>
      </c>
      <c r="T24" s="347">
        <v>8.27</v>
      </c>
      <c r="U24" s="350">
        <f>R24*S24%</f>
        <v>222.30999999999997</v>
      </c>
      <c r="V24" s="350">
        <f>R24*T24%</f>
        <v>427.55899999999997</v>
      </c>
      <c r="X24" s="176">
        <f t="shared" si="4"/>
        <v>3798</v>
      </c>
      <c r="Y24" s="210">
        <f t="shared" si="5"/>
        <v>4.33</v>
      </c>
      <c r="Z24" s="210">
        <f t="shared" si="6"/>
        <v>8.2799999999999994</v>
      </c>
    </row>
    <row r="25" spans="1:30" x14ac:dyDescent="0.25">
      <c r="A25" s="220">
        <v>72212</v>
      </c>
      <c r="B25" s="221">
        <v>9944</v>
      </c>
      <c r="C25" s="109" t="s">
        <v>73</v>
      </c>
      <c r="D25" s="229">
        <v>45935</v>
      </c>
      <c r="E25" s="65"/>
      <c r="F25" s="227" t="s">
        <v>89</v>
      </c>
      <c r="G25" s="65" t="str">
        <f t="shared" si="7"/>
        <v>Chanho</v>
      </c>
      <c r="H25" s="65">
        <v>1370</v>
      </c>
      <c r="I25" s="65">
        <v>4.25</v>
      </c>
      <c r="J25" s="65">
        <v>8.3800000000000008</v>
      </c>
      <c r="K25" s="176">
        <f t="shared" si="34"/>
        <v>58.225000000000001</v>
      </c>
      <c r="L25" s="177">
        <f t="shared" si="35"/>
        <v>114.80600000000001</v>
      </c>
      <c r="M25" s="209">
        <f>$R$24*H25/SUM($H$24:$H$25)</f>
        <v>1371.5917893106118</v>
      </c>
      <c r="N25" s="211">
        <f t="shared" ref="N25" si="44">P25/M25*100</f>
        <v>4.2269286584491912</v>
      </c>
      <c r="O25" s="211">
        <f t="shared" ref="O25" si="45">Q25/M25*100</f>
        <v>8.2555242282619226</v>
      </c>
      <c r="P25" s="176">
        <f>$U$24*K25/SUM($K$24:$K$25)</f>
        <v>57.976206419306294</v>
      </c>
      <c r="Q25" s="212">
        <f>$V$24*L25/SUM($L$24:$L$25)</f>
        <v>113.23209247938878</v>
      </c>
      <c r="R25" s="348"/>
      <c r="S25" s="348"/>
      <c r="T25" s="348"/>
      <c r="U25" s="352"/>
      <c r="V25" s="352"/>
      <c r="X25" s="176">
        <f t="shared" si="4"/>
        <v>1372</v>
      </c>
      <c r="Y25" s="210">
        <f t="shared" si="5"/>
        <v>4.2300000000000004</v>
      </c>
      <c r="Z25" s="210">
        <f t="shared" si="6"/>
        <v>8.26</v>
      </c>
    </row>
    <row r="26" spans="1:30" x14ac:dyDescent="0.25">
      <c r="A26" s="220">
        <v>72213</v>
      </c>
      <c r="B26" s="221">
        <v>9944</v>
      </c>
      <c r="C26" s="109" t="s">
        <v>73</v>
      </c>
      <c r="D26" s="229">
        <v>45936</v>
      </c>
      <c r="E26" s="65"/>
      <c r="F26" s="227" t="s">
        <v>78</v>
      </c>
      <c r="G26" s="65" t="str">
        <f t="shared" si="7"/>
        <v>Bhandra</v>
      </c>
      <c r="H26" s="65">
        <v>3868</v>
      </c>
      <c r="I26" s="65">
        <v>4.4000000000000004</v>
      </c>
      <c r="J26" s="65">
        <v>8.41</v>
      </c>
      <c r="K26" s="176">
        <f t="shared" si="34"/>
        <v>170.19200000000001</v>
      </c>
      <c r="L26" s="177">
        <f t="shared" si="35"/>
        <v>325.29880000000003</v>
      </c>
      <c r="M26" s="209">
        <f>$R$26*H26/SUM($H$26:$H$27)</f>
        <v>3862.0811017597553</v>
      </c>
      <c r="N26" s="211">
        <f t="shared" ref="N26" si="46">P26/M26*100</f>
        <v>4.3384750342117266</v>
      </c>
      <c r="O26" s="211">
        <f t="shared" ref="O26" si="47">Q26/M26*100</f>
        <v>8.429109321287978</v>
      </c>
      <c r="P26" s="176">
        <f>$U$26*K26/SUM($K$26:$K$27)</f>
        <v>167.55542440085617</v>
      </c>
      <c r="Q26" s="212">
        <f>$V$26*L26/SUM($L$26:$L$27)</f>
        <v>325.53903814413297</v>
      </c>
      <c r="R26" s="347">
        <v>5220</v>
      </c>
      <c r="S26" s="347">
        <v>4.3</v>
      </c>
      <c r="T26" s="347">
        <v>8.39</v>
      </c>
      <c r="U26" s="350">
        <f>R26*S26%</f>
        <v>224.45999999999998</v>
      </c>
      <c r="V26" s="350">
        <f>R26*T26%</f>
        <v>437.95800000000003</v>
      </c>
      <c r="X26" s="176">
        <f t="shared" ref="X26:X73" si="48">ROUND(M26,0)</f>
        <v>3862</v>
      </c>
      <c r="Y26" s="210">
        <f t="shared" ref="Y26:Y73" si="49">ROUND(N26,2)</f>
        <v>4.34</v>
      </c>
      <c r="Z26" s="210">
        <f t="shared" ref="Z26:Z73" si="50">ROUND(O26,2)</f>
        <v>8.43</v>
      </c>
    </row>
    <row r="27" spans="1:30" x14ac:dyDescent="0.25">
      <c r="A27" s="220">
        <v>72213</v>
      </c>
      <c r="B27" s="221">
        <v>9944</v>
      </c>
      <c r="C27" s="109" t="s">
        <v>73</v>
      </c>
      <c r="D27" s="229">
        <v>45936</v>
      </c>
      <c r="E27" s="65"/>
      <c r="F27" s="227" t="s">
        <v>89</v>
      </c>
      <c r="G27" s="65" t="str">
        <f t="shared" si="7"/>
        <v>Chanho</v>
      </c>
      <c r="H27" s="65">
        <v>1360</v>
      </c>
      <c r="I27" s="65">
        <v>4.25</v>
      </c>
      <c r="J27" s="65">
        <v>8.26</v>
      </c>
      <c r="K27" s="176">
        <f t="shared" si="34"/>
        <v>57.800000000000004</v>
      </c>
      <c r="L27" s="177">
        <f t="shared" si="35"/>
        <v>112.33599999999998</v>
      </c>
      <c r="M27" s="209">
        <f>$R$26*H27/SUM($H$26:$H$27)</f>
        <v>1357.9188982402447</v>
      </c>
      <c r="N27" s="211">
        <f t="shared" ref="N27:N28" si="51">P27/M27*100</f>
        <v>4.1905724762272358</v>
      </c>
      <c r="O27" s="211">
        <f t="shared" ref="O27:O28" si="52">Q27/M27*100</f>
        <v>8.2787684891603668</v>
      </c>
      <c r="P27" s="176">
        <f>$U$26*K27/SUM($K$26:$K$27)</f>
        <v>56.904575599143826</v>
      </c>
      <c r="Q27" s="212">
        <f>$V$26*L27/SUM($L$26:$L$27)</f>
        <v>112.41896185586701</v>
      </c>
      <c r="R27" s="348"/>
      <c r="S27" s="348"/>
      <c r="T27" s="348"/>
      <c r="U27" s="352"/>
      <c r="V27" s="352"/>
      <c r="X27" s="176">
        <f t="shared" si="48"/>
        <v>1358</v>
      </c>
      <c r="Y27" s="210">
        <f t="shared" si="49"/>
        <v>4.1900000000000004</v>
      </c>
      <c r="Z27" s="210">
        <f t="shared" si="50"/>
        <v>8.2799999999999994</v>
      </c>
    </row>
    <row r="28" spans="1:30" x14ac:dyDescent="0.25">
      <c r="A28" s="220">
        <v>72411</v>
      </c>
      <c r="B28" s="221">
        <v>1023</v>
      </c>
      <c r="C28" s="109" t="s">
        <v>109</v>
      </c>
      <c r="D28" s="229">
        <v>45935</v>
      </c>
      <c r="E28" s="65"/>
      <c r="F28" s="227" t="s">
        <v>12</v>
      </c>
      <c r="G28" s="65" t="str">
        <f t="shared" si="7"/>
        <v>Ormanjhi</v>
      </c>
      <c r="H28" s="65">
        <v>2500</v>
      </c>
      <c r="I28" s="65">
        <v>4.1500000000000004</v>
      </c>
      <c r="J28" s="65">
        <v>8.24</v>
      </c>
      <c r="K28" s="176">
        <f t="shared" si="34"/>
        <v>103.75</v>
      </c>
      <c r="L28" s="177">
        <f t="shared" si="35"/>
        <v>206</v>
      </c>
      <c r="M28" s="209">
        <f>$R$28*H28/SUM($H$28)</f>
        <v>2510</v>
      </c>
      <c r="N28" s="211">
        <f t="shared" si="51"/>
        <v>4.1500000000000012</v>
      </c>
      <c r="O28" s="211">
        <f t="shared" si="52"/>
        <v>8.240000000000002</v>
      </c>
      <c r="P28" s="176">
        <f>$U$28*K28/SUM($K$28)</f>
        <v>104.16500000000002</v>
      </c>
      <c r="Q28" s="212">
        <f>$V$28*L28/SUM($L$28)</f>
        <v>206.82400000000004</v>
      </c>
      <c r="R28" s="249">
        <v>2510</v>
      </c>
      <c r="S28" s="249">
        <v>4.1500000000000004</v>
      </c>
      <c r="T28" s="249">
        <v>8.24</v>
      </c>
      <c r="U28" s="255">
        <f t="shared" ref="U28:U29" si="53">R28*S28%</f>
        <v>104.16500000000001</v>
      </c>
      <c r="V28" s="255">
        <f t="shared" ref="V28:V29" si="54">R28*T28%</f>
        <v>206.82400000000001</v>
      </c>
      <c r="X28" s="176">
        <f t="shared" si="48"/>
        <v>2510</v>
      </c>
      <c r="Y28" s="210">
        <f t="shared" si="49"/>
        <v>4.1500000000000004</v>
      </c>
      <c r="Z28" s="210">
        <f t="shared" si="50"/>
        <v>8.24</v>
      </c>
    </row>
    <row r="29" spans="1:30" x14ac:dyDescent="0.25">
      <c r="A29" s="220">
        <v>72411</v>
      </c>
      <c r="B29" s="221">
        <v>1023</v>
      </c>
      <c r="C29" s="109" t="s">
        <v>77</v>
      </c>
      <c r="D29" s="229">
        <v>45935</v>
      </c>
      <c r="E29" s="65"/>
      <c r="F29" s="227" t="s">
        <v>4</v>
      </c>
      <c r="G29" s="65" t="str">
        <f t="shared" si="7"/>
        <v>Pali</v>
      </c>
      <c r="H29" s="65">
        <v>4330</v>
      </c>
      <c r="I29" s="65">
        <v>4.1500000000000004</v>
      </c>
      <c r="J29" s="65">
        <v>8.36</v>
      </c>
      <c r="K29" s="176">
        <f t="shared" si="34"/>
        <v>179.69500000000002</v>
      </c>
      <c r="L29" s="177">
        <f t="shared" si="35"/>
        <v>361.988</v>
      </c>
      <c r="M29" s="209">
        <f>$R$29*H29/SUM($H$29)</f>
        <v>4330</v>
      </c>
      <c r="N29" s="211">
        <f t="shared" ref="N29" si="55">P29/M29*100</f>
        <v>4.1500000000000004</v>
      </c>
      <c r="O29" s="211">
        <f t="shared" ref="O29" si="56">Q29/M29*100</f>
        <v>8.36</v>
      </c>
      <c r="P29" s="176">
        <f>$U$29*K29/SUM($K$29)</f>
        <v>179.69500000000002</v>
      </c>
      <c r="Q29" s="212">
        <f>$V$29*L29/SUM($L$29)</f>
        <v>361.988</v>
      </c>
      <c r="R29" s="249">
        <v>4330</v>
      </c>
      <c r="S29" s="249">
        <v>4.1500000000000004</v>
      </c>
      <c r="T29" s="249">
        <v>8.36</v>
      </c>
      <c r="U29" s="255">
        <f t="shared" si="53"/>
        <v>179.69500000000002</v>
      </c>
      <c r="V29" s="255">
        <f t="shared" si="54"/>
        <v>361.988</v>
      </c>
      <c r="X29" s="176">
        <f t="shared" si="48"/>
        <v>4330</v>
      </c>
      <c r="Y29" s="210">
        <f t="shared" si="49"/>
        <v>4.1500000000000004</v>
      </c>
      <c r="Z29" s="210">
        <f t="shared" si="50"/>
        <v>8.36</v>
      </c>
    </row>
    <row r="30" spans="1:30" x14ac:dyDescent="0.25">
      <c r="A30" s="220">
        <v>72244</v>
      </c>
      <c r="B30" s="221">
        <v>8504</v>
      </c>
      <c r="C30" s="109" t="s">
        <v>73</v>
      </c>
      <c r="D30" s="229">
        <v>45933</v>
      </c>
      <c r="E30" s="65"/>
      <c r="F30" s="227" t="s">
        <v>4</v>
      </c>
      <c r="G30" s="65" t="str">
        <f t="shared" si="7"/>
        <v>Pali</v>
      </c>
      <c r="H30" s="65">
        <v>4331</v>
      </c>
      <c r="I30" s="65">
        <v>4.2</v>
      </c>
      <c r="J30" s="65">
        <v>8.43</v>
      </c>
      <c r="K30" s="176">
        <f t="shared" si="34"/>
        <v>181.90200000000002</v>
      </c>
      <c r="L30" s="177">
        <f t="shared" si="35"/>
        <v>365.10329999999999</v>
      </c>
      <c r="M30" s="209">
        <f>$R$30*H30/SUM($H$30)</f>
        <v>4210</v>
      </c>
      <c r="N30" s="211">
        <f t="shared" ref="N30:N31" si="57">P30/M30*100</f>
        <v>4.2</v>
      </c>
      <c r="O30" s="211">
        <f t="shared" ref="O30:O31" si="58">Q30/M30*100</f>
        <v>8.3699999999999992</v>
      </c>
      <c r="P30" s="176">
        <f>$U$30*K30/SUM($K$30)</f>
        <v>176.82000000000002</v>
      </c>
      <c r="Q30" s="212">
        <f>$V$30*L30/SUM($L$30)</f>
        <v>352.37700000000001</v>
      </c>
      <c r="R30" s="249">
        <v>4210</v>
      </c>
      <c r="S30" s="249">
        <v>4.2</v>
      </c>
      <c r="T30" s="249">
        <v>8.3699999999999992</v>
      </c>
      <c r="U30" s="255">
        <f>R30*S30%</f>
        <v>176.82000000000002</v>
      </c>
      <c r="V30" s="255">
        <f>R30*T30%</f>
        <v>352.37700000000001</v>
      </c>
      <c r="X30" s="176">
        <f t="shared" si="48"/>
        <v>4210</v>
      </c>
      <c r="Y30" s="210">
        <f t="shared" si="49"/>
        <v>4.2</v>
      </c>
      <c r="Z30" s="210">
        <f t="shared" si="50"/>
        <v>8.3699999999999992</v>
      </c>
    </row>
    <row r="31" spans="1:30" x14ac:dyDescent="0.25">
      <c r="A31" s="220">
        <v>70089</v>
      </c>
      <c r="B31" s="221">
        <v>9944</v>
      </c>
      <c r="C31" s="109" t="s">
        <v>73</v>
      </c>
      <c r="D31" s="229">
        <v>45933</v>
      </c>
      <c r="E31" s="65"/>
      <c r="F31" s="227" t="s">
        <v>89</v>
      </c>
      <c r="G31" s="65" t="str">
        <f t="shared" si="7"/>
        <v>Chanho</v>
      </c>
      <c r="H31" s="65">
        <v>1352</v>
      </c>
      <c r="I31" s="65">
        <v>4.1500000000000004</v>
      </c>
      <c r="J31" s="65">
        <v>8.24</v>
      </c>
      <c r="K31" s="176">
        <f t="shared" si="34"/>
        <v>56.108000000000004</v>
      </c>
      <c r="L31" s="177">
        <f t="shared" si="35"/>
        <v>111.40479999999999</v>
      </c>
      <c r="M31" s="209">
        <f>$R$31*H31/SUM($H$31:$H$32)</f>
        <v>1340.9882352941177</v>
      </c>
      <c r="N31" s="211">
        <f t="shared" si="57"/>
        <v>4.1370591644130474</v>
      </c>
      <c r="O31" s="211">
        <f t="shared" si="58"/>
        <v>8.1924160764000007</v>
      </c>
      <c r="P31" s="176">
        <f>$U$31*K31/SUM($K$31:$K$32)</f>
        <v>55.477476681936096</v>
      </c>
      <c r="Q31" s="212">
        <f>$V$31*L31/SUM($L$31:$L$32)</f>
        <v>109.85933577086794</v>
      </c>
      <c r="R31" s="347">
        <v>5480</v>
      </c>
      <c r="S31" s="347">
        <v>4.25</v>
      </c>
      <c r="T31" s="347">
        <v>8.26</v>
      </c>
      <c r="U31" s="350">
        <f>R31*S31%</f>
        <v>232.9</v>
      </c>
      <c r="V31" s="350">
        <f>R31*T31%</f>
        <v>452.64799999999997</v>
      </c>
      <c r="X31" s="176">
        <f t="shared" si="48"/>
        <v>1341</v>
      </c>
      <c r="Y31" s="210">
        <f t="shared" si="49"/>
        <v>4.1399999999999997</v>
      </c>
      <c r="Z31" s="210">
        <f t="shared" si="50"/>
        <v>8.19</v>
      </c>
    </row>
    <row r="32" spans="1:30" x14ac:dyDescent="0.25">
      <c r="A32" s="220">
        <v>70089</v>
      </c>
      <c r="B32" s="221">
        <v>9944</v>
      </c>
      <c r="C32" s="109" t="s">
        <v>73</v>
      </c>
      <c r="D32" s="229">
        <v>45933</v>
      </c>
      <c r="E32" s="65"/>
      <c r="F32" s="227" t="s">
        <v>78</v>
      </c>
      <c r="G32" s="65" t="str">
        <f t="shared" si="7"/>
        <v>Bhandra</v>
      </c>
      <c r="H32" s="65">
        <v>4173</v>
      </c>
      <c r="I32" s="65">
        <v>4.3</v>
      </c>
      <c r="J32" s="65">
        <v>8.33</v>
      </c>
      <c r="K32" s="176">
        <f t="shared" si="34"/>
        <v>179.43899999999999</v>
      </c>
      <c r="L32" s="177">
        <f t="shared" si="35"/>
        <v>347.61090000000002</v>
      </c>
      <c r="M32" s="209">
        <f>$R$31*H32/SUM($H$31:$H$32)</f>
        <v>4139.0117647058823</v>
      </c>
      <c r="N32" s="211">
        <f t="shared" ref="N32" si="59">P32/M32*100</f>
        <v>4.2865914233677351</v>
      </c>
      <c r="O32" s="211">
        <f t="shared" ref="O32" si="60">Q32/M32*100</f>
        <v>8.2818963490791244</v>
      </c>
      <c r="P32" s="176">
        <f>$U$31*K32/SUM($K$31:$K$32)</f>
        <v>177.4225233180639</v>
      </c>
      <c r="Q32" s="212">
        <f>$V$31*L32/SUM($L$31:$L$32)</f>
        <v>342.78866422913194</v>
      </c>
      <c r="R32" s="348"/>
      <c r="S32" s="348"/>
      <c r="T32" s="348"/>
      <c r="U32" s="352"/>
      <c r="V32" s="352"/>
      <c r="X32" s="176">
        <f t="shared" si="48"/>
        <v>4139</v>
      </c>
      <c r="Y32" s="210">
        <f t="shared" si="49"/>
        <v>4.29</v>
      </c>
      <c r="Z32" s="210">
        <f t="shared" si="50"/>
        <v>8.2799999999999994</v>
      </c>
    </row>
    <row r="33" spans="1:26" x14ac:dyDescent="0.25">
      <c r="A33" s="220">
        <v>72179</v>
      </c>
      <c r="B33" s="221">
        <v>8504</v>
      </c>
      <c r="C33" s="109" t="s">
        <v>73</v>
      </c>
      <c r="D33" s="229">
        <v>45936</v>
      </c>
      <c r="E33" s="65"/>
      <c r="F33" s="227" t="s">
        <v>14</v>
      </c>
      <c r="G33" s="65" t="str">
        <f t="shared" si="7"/>
        <v>Piragutu</v>
      </c>
      <c r="H33" s="65">
        <v>1618</v>
      </c>
      <c r="I33" s="65">
        <v>4.3499999999999996</v>
      </c>
      <c r="J33" s="65">
        <v>8.4</v>
      </c>
      <c r="K33" s="176">
        <f t="shared" si="34"/>
        <v>70.382999999999996</v>
      </c>
      <c r="L33" s="177">
        <f t="shared" si="35"/>
        <v>135.91200000000001</v>
      </c>
      <c r="M33" s="209">
        <f>$R$33*H33/SUM($H$33:$H$36)</f>
        <v>1600.2476489028213</v>
      </c>
      <c r="N33" s="211">
        <f t="shared" ref="N33" si="61">P33/M33*100</f>
        <v>4.3310488328239805</v>
      </c>
      <c r="O33" s="211">
        <f t="shared" ref="O33" si="62">Q33/M33*100</f>
        <v>8.2814912264462102</v>
      </c>
      <c r="P33" s="176">
        <f>$U$33*K33/SUM($K$33:$K$36)</f>
        <v>69.307507120098833</v>
      </c>
      <c r="Q33" s="212">
        <f>$V$33*L33/SUM($L$33:$L$36)</f>
        <v>132.52436864529892</v>
      </c>
      <c r="R33" s="347">
        <v>6310</v>
      </c>
      <c r="S33" s="347">
        <v>4.2</v>
      </c>
      <c r="T33" s="347">
        <v>8.18</v>
      </c>
      <c r="U33" s="347">
        <f>R33*S33%</f>
        <v>265.02000000000004</v>
      </c>
      <c r="V33" s="347">
        <f>R33*T33%</f>
        <v>516.15800000000002</v>
      </c>
      <c r="X33" s="176">
        <f t="shared" si="48"/>
        <v>1600</v>
      </c>
      <c r="Y33" s="210">
        <f t="shared" si="49"/>
        <v>4.33</v>
      </c>
      <c r="Z33" s="210">
        <f t="shared" si="50"/>
        <v>8.2799999999999994</v>
      </c>
    </row>
    <row r="34" spans="1:26" x14ac:dyDescent="0.25">
      <c r="A34" s="220">
        <v>72179</v>
      </c>
      <c r="B34" s="221">
        <v>8504</v>
      </c>
      <c r="C34" s="109" t="s">
        <v>73</v>
      </c>
      <c r="D34" s="229">
        <v>45936</v>
      </c>
      <c r="E34" s="65"/>
      <c r="F34" s="227" t="s">
        <v>6</v>
      </c>
      <c r="G34" s="65" t="str">
        <f t="shared" si="7"/>
        <v>Hisri</v>
      </c>
      <c r="H34" s="65">
        <v>1069</v>
      </c>
      <c r="I34" s="65">
        <v>4.3499999999999996</v>
      </c>
      <c r="J34" s="65">
        <v>8.15</v>
      </c>
      <c r="K34" s="176">
        <f t="shared" si="34"/>
        <v>46.5015</v>
      </c>
      <c r="L34" s="177">
        <f t="shared" si="35"/>
        <v>87.123500000000007</v>
      </c>
      <c r="M34" s="209">
        <f t="shared" ref="M34:M36" si="63">$R$33*H34/SUM($H$33:$H$36)</f>
        <v>1057.2711598746082</v>
      </c>
      <c r="N34" s="211">
        <f t="shared" ref="N34:N36" si="64">P34/M34*100</f>
        <v>4.3310488328239822</v>
      </c>
      <c r="O34" s="211">
        <f t="shared" ref="O34:O36" si="65">Q34/M34*100</f>
        <v>8.035018273278169</v>
      </c>
      <c r="P34" s="176">
        <f t="shared" ref="P34:P36" si="66">$U$33*K34/SUM($K$33:$K$36)</f>
        <v>45.790930229533792</v>
      </c>
      <c r="Q34" s="212">
        <f t="shared" ref="Q34:Q36" si="67">$V$33*L34/SUM($L$33:$L$36)</f>
        <v>84.951930894024812</v>
      </c>
      <c r="R34" s="349"/>
      <c r="S34" s="349"/>
      <c r="T34" s="349"/>
      <c r="U34" s="349"/>
      <c r="V34" s="349"/>
      <c r="X34" s="176">
        <f t="shared" si="48"/>
        <v>1057</v>
      </c>
      <c r="Y34" s="210">
        <f t="shared" si="49"/>
        <v>4.33</v>
      </c>
      <c r="Z34" s="210">
        <f t="shared" si="50"/>
        <v>8.0399999999999991</v>
      </c>
    </row>
    <row r="35" spans="1:26" x14ac:dyDescent="0.25">
      <c r="A35" s="220">
        <v>72179</v>
      </c>
      <c r="B35" s="221">
        <v>8504</v>
      </c>
      <c r="C35" s="109" t="s">
        <v>73</v>
      </c>
      <c r="D35" s="229">
        <v>45936</v>
      </c>
      <c r="E35" s="65"/>
      <c r="F35" s="227" t="s">
        <v>4</v>
      </c>
      <c r="G35" s="65" t="str">
        <f t="shared" si="7"/>
        <v>Pali</v>
      </c>
      <c r="H35" s="65">
        <v>2023</v>
      </c>
      <c r="I35" s="65">
        <v>4.0999999999999996</v>
      </c>
      <c r="J35" s="65">
        <v>8.2899999999999991</v>
      </c>
      <c r="K35" s="176">
        <f t="shared" si="34"/>
        <v>82.942999999999984</v>
      </c>
      <c r="L35" s="177">
        <f t="shared" si="35"/>
        <v>167.70669999999998</v>
      </c>
      <c r="M35" s="209">
        <f t="shared" si="63"/>
        <v>2000.8040752351096</v>
      </c>
      <c r="N35" s="211">
        <f t="shared" si="64"/>
        <v>4.082137980362833</v>
      </c>
      <c r="O35" s="211">
        <f t="shared" si="65"/>
        <v>8.1730431270522725</v>
      </c>
      <c r="P35" s="176">
        <f t="shared" si="66"/>
        <v>81.675583067819758</v>
      </c>
      <c r="Q35" s="212">
        <f t="shared" si="67"/>
        <v>163.5265799567849</v>
      </c>
      <c r="R35" s="349"/>
      <c r="S35" s="349"/>
      <c r="T35" s="349"/>
      <c r="U35" s="349"/>
      <c r="V35" s="349"/>
      <c r="X35" s="176">
        <f t="shared" si="48"/>
        <v>2001</v>
      </c>
      <c r="Y35" s="210">
        <f t="shared" si="49"/>
        <v>4.08</v>
      </c>
      <c r="Z35" s="210">
        <f t="shared" si="50"/>
        <v>8.17</v>
      </c>
    </row>
    <row r="36" spans="1:26" x14ac:dyDescent="0.25">
      <c r="A36" s="220">
        <v>72179</v>
      </c>
      <c r="B36" s="221">
        <v>8504</v>
      </c>
      <c r="C36" s="109" t="s">
        <v>73</v>
      </c>
      <c r="D36" s="229">
        <v>45936</v>
      </c>
      <c r="E36" s="65"/>
      <c r="F36" s="227" t="s">
        <v>12</v>
      </c>
      <c r="G36" s="65" t="str">
        <f t="shared" si="7"/>
        <v>Ormanjhi</v>
      </c>
      <c r="H36" s="65">
        <v>1670</v>
      </c>
      <c r="I36" s="65">
        <v>4.1500000000000004</v>
      </c>
      <c r="J36" s="65">
        <v>8.3000000000000007</v>
      </c>
      <c r="K36" s="176">
        <f t="shared" si="34"/>
        <v>69.305000000000007</v>
      </c>
      <c r="L36" s="177">
        <f t="shared" si="35"/>
        <v>138.61000000000001</v>
      </c>
      <c r="M36" s="209">
        <f t="shared" si="63"/>
        <v>1651.6771159874609</v>
      </c>
      <c r="N36" s="211">
        <f t="shared" si="64"/>
        <v>4.1319201508550636</v>
      </c>
      <c r="O36" s="211">
        <f t="shared" si="65"/>
        <v>8.1829020451789933</v>
      </c>
      <c r="P36" s="176">
        <f t="shared" si="66"/>
        <v>68.245979582547648</v>
      </c>
      <c r="Q36" s="212">
        <f t="shared" si="67"/>
        <v>135.15512050389137</v>
      </c>
      <c r="R36" s="348"/>
      <c r="S36" s="348"/>
      <c r="T36" s="348"/>
      <c r="U36" s="348"/>
      <c r="V36" s="348"/>
      <c r="X36" s="176">
        <f t="shared" si="48"/>
        <v>1652</v>
      </c>
      <c r="Y36" s="210">
        <f t="shared" si="49"/>
        <v>4.13</v>
      </c>
      <c r="Z36" s="210">
        <f t="shared" si="50"/>
        <v>8.18</v>
      </c>
    </row>
    <row r="37" spans="1:26" x14ac:dyDescent="0.25">
      <c r="A37" s="220">
        <v>72414</v>
      </c>
      <c r="B37" s="221">
        <v>9944</v>
      </c>
      <c r="C37" s="109" t="s">
        <v>73</v>
      </c>
      <c r="D37" s="229">
        <v>45937</v>
      </c>
      <c r="E37" s="65"/>
      <c r="F37" s="227" t="s">
        <v>89</v>
      </c>
      <c r="G37" s="65" t="str">
        <f t="shared" si="7"/>
        <v>Chanho</v>
      </c>
      <c r="H37" s="65">
        <v>1396</v>
      </c>
      <c r="I37" s="65">
        <v>4.2</v>
      </c>
      <c r="J37" s="65">
        <v>8.3699999999999992</v>
      </c>
      <c r="K37" s="176">
        <f t="shared" si="34"/>
        <v>58.632000000000005</v>
      </c>
      <c r="L37" s="177">
        <f t="shared" si="35"/>
        <v>116.84519999999999</v>
      </c>
      <c r="M37" s="209">
        <f>$R$37*H37/SUM($H$37:$H$38)</f>
        <v>1397.9300809796564</v>
      </c>
      <c r="N37" s="211">
        <f t="shared" ref="N37" si="68">P37/M37*100</f>
        <v>4.1360273108961891</v>
      </c>
      <c r="O37" s="211">
        <f t="shared" ref="O37" si="69">Q37/M37*100</f>
        <v>8.3835266783040367</v>
      </c>
      <c r="P37" s="176">
        <f>$U$37*K37/SUM($K$37:$K$38)</f>
        <v>57.818769936551803</v>
      </c>
      <c r="Q37" s="212">
        <f>$V$37*L37/SUM($L$37:$L$38)</f>
        <v>117.19584128296671</v>
      </c>
      <c r="R37" s="347">
        <v>5070</v>
      </c>
      <c r="S37" s="347">
        <v>4.3499999999999996</v>
      </c>
      <c r="T37" s="347">
        <v>8.34</v>
      </c>
      <c r="U37" s="350">
        <f>R37*S37%</f>
        <v>220.54499999999999</v>
      </c>
      <c r="V37" s="350">
        <f>R37*T37%</f>
        <v>422.83800000000002</v>
      </c>
      <c r="X37" s="176">
        <f t="shared" si="48"/>
        <v>1398</v>
      </c>
      <c r="Y37" s="210">
        <f t="shared" si="49"/>
        <v>4.1399999999999997</v>
      </c>
      <c r="Z37" s="210">
        <f t="shared" si="50"/>
        <v>8.3800000000000008</v>
      </c>
    </row>
    <row r="38" spans="1:26" x14ac:dyDescent="0.25">
      <c r="A38" s="220">
        <v>72414</v>
      </c>
      <c r="B38" s="221">
        <v>9944</v>
      </c>
      <c r="C38" s="109" t="s">
        <v>73</v>
      </c>
      <c r="D38" s="229">
        <v>45937</v>
      </c>
      <c r="E38" s="65"/>
      <c r="F38" s="227" t="s">
        <v>78</v>
      </c>
      <c r="G38" s="65" t="str">
        <f t="shared" si="7"/>
        <v>Bhandra</v>
      </c>
      <c r="H38" s="65">
        <v>3667</v>
      </c>
      <c r="I38" s="65">
        <v>4.5</v>
      </c>
      <c r="J38" s="65">
        <v>8.31</v>
      </c>
      <c r="K38" s="176">
        <f t="shared" si="34"/>
        <v>165.01499999999999</v>
      </c>
      <c r="L38" s="177">
        <f t="shared" si="35"/>
        <v>304.72770000000003</v>
      </c>
      <c r="M38" s="209">
        <f>$R$37*H38/SUM($H$37:$H$38)</f>
        <v>3672.0699190203436</v>
      </c>
      <c r="N38" s="211">
        <f t="shared" ref="N38" si="70">P38/M38*100</f>
        <v>4.4314578331030594</v>
      </c>
      <c r="O38" s="211">
        <f t="shared" ref="O38" si="71">Q38/M38*100</f>
        <v>8.3234297128681671</v>
      </c>
      <c r="P38" s="176">
        <f>$U$37*K38/SUM($K$37:$K$38)</f>
        <v>162.72623006344818</v>
      </c>
      <c r="Q38" s="212">
        <f>$V$37*L38/SUM($L$37:$L$38)</f>
        <v>305.64215871703334</v>
      </c>
      <c r="R38" s="348"/>
      <c r="S38" s="348"/>
      <c r="T38" s="348"/>
      <c r="U38" s="352"/>
      <c r="V38" s="352"/>
      <c r="X38" s="176">
        <f t="shared" si="48"/>
        <v>3672</v>
      </c>
      <c r="Y38" s="210">
        <f t="shared" si="49"/>
        <v>4.43</v>
      </c>
      <c r="Z38" s="210">
        <f t="shared" si="50"/>
        <v>8.32</v>
      </c>
    </row>
    <row r="39" spans="1:26" x14ac:dyDescent="0.25">
      <c r="A39" s="220">
        <v>72215</v>
      </c>
      <c r="B39" s="221">
        <v>8504</v>
      </c>
      <c r="C39" s="109" t="s">
        <v>73</v>
      </c>
      <c r="D39" s="229">
        <v>45938</v>
      </c>
      <c r="E39" s="65"/>
      <c r="F39" s="227" t="s">
        <v>6</v>
      </c>
      <c r="G39" s="65" t="str">
        <f t="shared" si="7"/>
        <v>Hisri</v>
      </c>
      <c r="H39" s="65">
        <v>1117</v>
      </c>
      <c r="I39" s="65">
        <v>4.3</v>
      </c>
      <c r="J39" s="65">
        <v>8.1999999999999993</v>
      </c>
      <c r="K39" s="176">
        <f t="shared" si="34"/>
        <v>48.030999999999999</v>
      </c>
      <c r="L39" s="177">
        <f t="shared" si="35"/>
        <v>91.593999999999994</v>
      </c>
      <c r="M39" s="209">
        <f>$R$39*H39/SUM($H$39:$H$41)</f>
        <v>1111.3390237396638</v>
      </c>
      <c r="N39" s="211">
        <f t="shared" ref="N39" si="72">P39/M39*100</f>
        <v>4.2631759889256005</v>
      </c>
      <c r="O39" s="211">
        <f t="shared" ref="O39" si="73">Q39/M39*100</f>
        <v>8.0611438109744125</v>
      </c>
      <c r="P39" s="176">
        <f>$U$39*K39/SUM($K$39:$K$41)</f>
        <v>47.378338415629528</v>
      </c>
      <c r="Q39" s="212">
        <f>$V$39*L39/SUM($L$39:$L$41)</f>
        <v>89.58663693113337</v>
      </c>
      <c r="R39" s="347">
        <v>3730</v>
      </c>
      <c r="S39" s="347">
        <v>4.05</v>
      </c>
      <c r="T39" s="347">
        <v>8.15</v>
      </c>
      <c r="U39" s="347">
        <f>R39*S39%</f>
        <v>151.065</v>
      </c>
      <c r="V39" s="347">
        <f>R39*T39%</f>
        <v>303.995</v>
      </c>
      <c r="X39" s="176">
        <f t="shared" si="48"/>
        <v>1111</v>
      </c>
      <c r="Y39" s="210">
        <f t="shared" si="49"/>
        <v>4.26</v>
      </c>
      <c r="Z39" s="210">
        <f t="shared" si="50"/>
        <v>8.06</v>
      </c>
    </row>
    <row r="40" spans="1:26" x14ac:dyDescent="0.25">
      <c r="A40" s="220">
        <v>72215</v>
      </c>
      <c r="B40" s="221">
        <v>8504</v>
      </c>
      <c r="C40" s="109" t="s">
        <v>73</v>
      </c>
      <c r="D40" s="229">
        <v>45938</v>
      </c>
      <c r="E40" s="65"/>
      <c r="F40" s="227" t="s">
        <v>8</v>
      </c>
      <c r="G40" s="65" t="str">
        <f t="shared" si="7"/>
        <v>Choria</v>
      </c>
      <c r="H40" s="65">
        <v>1025</v>
      </c>
      <c r="I40" s="65">
        <v>3.2</v>
      </c>
      <c r="J40" s="65">
        <v>8.17</v>
      </c>
      <c r="K40" s="176">
        <f t="shared" si="34"/>
        <v>32.799999999999997</v>
      </c>
      <c r="L40" s="177">
        <f t="shared" si="35"/>
        <v>83.742499999999993</v>
      </c>
      <c r="M40" s="209">
        <f t="shared" ref="M40:M41" si="74">$R$39*H40/SUM($H$39:$H$41)</f>
        <v>1019.8052814083755</v>
      </c>
      <c r="N40" s="211">
        <f t="shared" ref="N40:N42" si="75">P40/M40*100</f>
        <v>3.1725960847818415</v>
      </c>
      <c r="O40" s="211">
        <f t="shared" ref="O40:O42" si="76">Q40/M40*100</f>
        <v>8.0316518214220665</v>
      </c>
      <c r="P40" s="176">
        <f t="shared" ref="P40:P41" si="77">$U$39*K40/SUM($K$39:$K$41)</f>
        <v>32.354302430360569</v>
      </c>
      <c r="Q40" s="212">
        <f t="shared" ref="Q40:Q41" si="78">$V$39*L40/SUM($L$39:$L$41)</f>
        <v>81.907209459194235</v>
      </c>
      <c r="R40" s="349"/>
      <c r="S40" s="349"/>
      <c r="T40" s="349"/>
      <c r="U40" s="349"/>
      <c r="V40" s="349"/>
      <c r="X40" s="176">
        <f t="shared" si="48"/>
        <v>1020</v>
      </c>
      <c r="Y40" s="210">
        <f t="shared" si="49"/>
        <v>3.17</v>
      </c>
      <c r="Z40" s="210">
        <f t="shared" si="50"/>
        <v>8.0299999999999994</v>
      </c>
    </row>
    <row r="41" spans="1:26" x14ac:dyDescent="0.25">
      <c r="A41" s="220">
        <v>72215</v>
      </c>
      <c r="B41" s="221">
        <v>8504</v>
      </c>
      <c r="C41" s="109" t="s">
        <v>73</v>
      </c>
      <c r="D41" s="229">
        <v>45938</v>
      </c>
      <c r="E41" s="65"/>
      <c r="F41" s="227" t="s">
        <v>14</v>
      </c>
      <c r="G41" s="65" t="str">
        <f t="shared" si="7"/>
        <v>Piragutu</v>
      </c>
      <c r="H41" s="65">
        <v>1607</v>
      </c>
      <c r="I41" s="65">
        <v>4.5</v>
      </c>
      <c r="J41" s="65">
        <v>8.43</v>
      </c>
      <c r="K41" s="176">
        <f t="shared" si="34"/>
        <v>72.314999999999998</v>
      </c>
      <c r="L41" s="177">
        <f t="shared" si="35"/>
        <v>135.4701</v>
      </c>
      <c r="M41" s="209">
        <f t="shared" si="74"/>
        <v>1598.8556948519606</v>
      </c>
      <c r="N41" s="211">
        <f t="shared" si="75"/>
        <v>4.4614632442244657</v>
      </c>
      <c r="O41" s="211">
        <f t="shared" si="76"/>
        <v>8.2872490642090604</v>
      </c>
      <c r="P41" s="176">
        <f t="shared" si="77"/>
        <v>71.332359154009907</v>
      </c>
      <c r="Q41" s="212">
        <f t="shared" si="78"/>
        <v>132.50115360967237</v>
      </c>
      <c r="R41" s="348"/>
      <c r="S41" s="348"/>
      <c r="T41" s="348"/>
      <c r="U41" s="348"/>
      <c r="V41" s="348"/>
      <c r="X41" s="176">
        <f t="shared" si="48"/>
        <v>1599</v>
      </c>
      <c r="Y41" s="210">
        <f t="shared" si="49"/>
        <v>4.46</v>
      </c>
      <c r="Z41" s="210">
        <f t="shared" si="50"/>
        <v>8.2899999999999991</v>
      </c>
    </row>
    <row r="42" spans="1:26" x14ac:dyDescent="0.25">
      <c r="A42" s="220">
        <v>72183</v>
      </c>
      <c r="B42" s="221">
        <v>1023</v>
      </c>
      <c r="C42" s="109" t="s">
        <v>109</v>
      </c>
      <c r="D42" s="229">
        <v>45938</v>
      </c>
      <c r="E42" s="65"/>
      <c r="F42" s="227" t="s">
        <v>2</v>
      </c>
      <c r="G42" s="65" t="str">
        <f t="shared" si="7"/>
        <v>Itki</v>
      </c>
      <c r="H42" s="65">
        <v>2740</v>
      </c>
      <c r="I42" s="65">
        <v>4.1500000000000004</v>
      </c>
      <c r="J42" s="65">
        <v>8.36</v>
      </c>
      <c r="K42" s="176">
        <f t="shared" si="34"/>
        <v>113.71000000000001</v>
      </c>
      <c r="L42" s="177">
        <f t="shared" si="35"/>
        <v>229.06399999999999</v>
      </c>
      <c r="M42" s="209">
        <f>$R$42*H42/SUM($H$42:$H$43)</f>
        <v>2742.5873465533523</v>
      </c>
      <c r="N42" s="211">
        <f t="shared" si="75"/>
        <v>4.1324166487294809</v>
      </c>
      <c r="O42" s="211">
        <f t="shared" si="76"/>
        <v>8.3564698576715752</v>
      </c>
      <c r="P42" s="176">
        <f>$U$42*K42/SUM($K$42:$K$43)</f>
        <v>113.33513611491884</v>
      </c>
      <c r="Q42" s="212">
        <f>$V$42*L42/SUM($L$42:$L$43)</f>
        <v>229.18348493504556</v>
      </c>
      <c r="R42" s="347">
        <v>4240</v>
      </c>
      <c r="S42" s="347">
        <v>4.1500000000000004</v>
      </c>
      <c r="T42" s="347">
        <v>8.36</v>
      </c>
      <c r="U42" s="350">
        <f>R42*S42%</f>
        <v>175.96</v>
      </c>
      <c r="V42" s="350">
        <f>R42*T42%</f>
        <v>354.464</v>
      </c>
      <c r="X42" s="176">
        <f t="shared" si="48"/>
        <v>2743</v>
      </c>
      <c r="Y42" s="210">
        <f t="shared" si="49"/>
        <v>4.13</v>
      </c>
      <c r="Z42" s="210">
        <f t="shared" si="50"/>
        <v>8.36</v>
      </c>
    </row>
    <row r="43" spans="1:26" x14ac:dyDescent="0.25">
      <c r="A43" s="220">
        <v>72183</v>
      </c>
      <c r="B43" s="221">
        <v>1023</v>
      </c>
      <c r="C43" s="109" t="s">
        <v>109</v>
      </c>
      <c r="D43" s="229">
        <v>45938</v>
      </c>
      <c r="E43" s="65"/>
      <c r="F43" s="227" t="s">
        <v>12</v>
      </c>
      <c r="G43" s="65" t="str">
        <f t="shared" si="7"/>
        <v>Ormanjhi</v>
      </c>
      <c r="H43" s="65">
        <v>1496</v>
      </c>
      <c r="I43" s="65">
        <v>4.2</v>
      </c>
      <c r="J43" s="65">
        <v>8.3699999999999992</v>
      </c>
      <c r="K43" s="176">
        <f t="shared" si="34"/>
        <v>62.832000000000001</v>
      </c>
      <c r="L43" s="177">
        <f t="shared" si="35"/>
        <v>125.2152</v>
      </c>
      <c r="M43" s="209">
        <f>$R$42*H43/SUM($H$42:$H$43)</f>
        <v>1497.4126534466477</v>
      </c>
      <c r="N43" s="211">
        <f t="shared" ref="N43:N44" si="79">P43/M43*100</f>
        <v>4.1822048011238122</v>
      </c>
      <c r="O43" s="211">
        <f t="shared" ref="O43:O44" si="80">Q43/M43*100</f>
        <v>8.366465635013288</v>
      </c>
      <c r="P43" s="176">
        <f>$U$42*K43/SUM($K$42:$K$43)</f>
        <v>62.624863885081176</v>
      </c>
      <c r="Q43" s="212">
        <f>$V$42*L43/SUM($L$42:$L$43)</f>
        <v>125.28051506495441</v>
      </c>
      <c r="R43" s="348"/>
      <c r="S43" s="348"/>
      <c r="T43" s="348"/>
      <c r="U43" s="352"/>
      <c r="V43" s="352"/>
      <c r="X43" s="176">
        <f t="shared" si="48"/>
        <v>1497</v>
      </c>
      <c r="Y43" s="210">
        <f t="shared" si="49"/>
        <v>4.18</v>
      </c>
      <c r="Z43" s="210">
        <f t="shared" si="50"/>
        <v>8.3699999999999992</v>
      </c>
    </row>
    <row r="44" spans="1:26" x14ac:dyDescent="0.25">
      <c r="A44" s="220">
        <v>72183</v>
      </c>
      <c r="B44" s="221">
        <v>1023</v>
      </c>
      <c r="C44" s="109" t="s">
        <v>77</v>
      </c>
      <c r="D44" s="229">
        <v>45938</v>
      </c>
      <c r="E44" s="65"/>
      <c r="F44" s="227" t="s">
        <v>4</v>
      </c>
      <c r="G44" s="65" t="str">
        <f t="shared" si="7"/>
        <v>Pali</v>
      </c>
      <c r="H44" s="65">
        <v>4330</v>
      </c>
      <c r="I44" s="65">
        <v>4.1500000000000004</v>
      </c>
      <c r="J44" s="65">
        <v>8.36</v>
      </c>
      <c r="K44" s="176">
        <f t="shared" si="34"/>
        <v>179.69500000000002</v>
      </c>
      <c r="L44" s="177">
        <f t="shared" si="35"/>
        <v>361.988</v>
      </c>
      <c r="M44" s="209">
        <f>$R$44*H44/SUM($H$44)</f>
        <v>4330</v>
      </c>
      <c r="N44" s="211">
        <f t="shared" si="79"/>
        <v>4.1500000000000004</v>
      </c>
      <c r="O44" s="211">
        <f t="shared" si="80"/>
        <v>8.36</v>
      </c>
      <c r="P44" s="176">
        <f>$U$44*K44/SUM($K$44)</f>
        <v>179.69500000000002</v>
      </c>
      <c r="Q44" s="212">
        <f>$V$44*L44/SUM($L$44)</f>
        <v>361.988</v>
      </c>
      <c r="R44" s="249">
        <v>4330</v>
      </c>
      <c r="S44" s="249">
        <v>4.1500000000000004</v>
      </c>
      <c r="T44" s="249">
        <v>8.36</v>
      </c>
      <c r="U44" s="255">
        <f>R44*S44%</f>
        <v>179.69500000000002</v>
      </c>
      <c r="V44" s="255">
        <f>R44*T44%</f>
        <v>361.988</v>
      </c>
      <c r="X44" s="176">
        <f t="shared" si="48"/>
        <v>4330</v>
      </c>
      <c r="Y44" s="210">
        <f t="shared" si="49"/>
        <v>4.1500000000000004</v>
      </c>
      <c r="Z44" s="210">
        <f t="shared" si="50"/>
        <v>8.36</v>
      </c>
    </row>
    <row r="45" spans="1:26" x14ac:dyDescent="0.25">
      <c r="A45" s="220">
        <v>72415</v>
      </c>
      <c r="B45" s="221">
        <v>9944</v>
      </c>
      <c r="C45" s="109" t="s">
        <v>73</v>
      </c>
      <c r="D45" s="229">
        <v>45939</v>
      </c>
      <c r="E45" s="65"/>
      <c r="F45" s="227" t="s">
        <v>89</v>
      </c>
      <c r="G45" s="65" t="str">
        <f t="shared" si="7"/>
        <v>Chanho</v>
      </c>
      <c r="H45" s="65">
        <v>1407</v>
      </c>
      <c r="I45" s="65">
        <v>4.25</v>
      </c>
      <c r="J45" s="65">
        <v>8.44</v>
      </c>
      <c r="K45" s="176">
        <f t="shared" si="34"/>
        <v>59.797500000000007</v>
      </c>
      <c r="L45" s="177">
        <f t="shared" si="35"/>
        <v>118.75079999999998</v>
      </c>
      <c r="M45" s="209">
        <f>$R$45*H45/SUM($H$45:$H$46)</f>
        <v>1382.3157894736842</v>
      </c>
      <c r="N45" s="211">
        <f t="shared" ref="N45" si="81">P45/M45*100</f>
        <v>4.2493900397072197</v>
      </c>
      <c r="O45" s="211">
        <f t="shared" ref="O45" si="82">Q45/M45*100</f>
        <v>8.4250364519365455</v>
      </c>
      <c r="P45" s="176">
        <f>$U$45*K45/SUM($K$45:$K$46)</f>
        <v>58.739989475194953</v>
      </c>
      <c r="Q45" s="212">
        <f>$V$45*L45/SUM($L$45:$L$46)</f>
        <v>116.46060914403232</v>
      </c>
      <c r="R45" s="347">
        <v>5600</v>
      </c>
      <c r="S45" s="347">
        <v>4.4000000000000004</v>
      </c>
      <c r="T45" s="347">
        <v>8.41</v>
      </c>
      <c r="U45" s="350">
        <f>R45*S45%</f>
        <v>246.40000000000003</v>
      </c>
      <c r="V45" s="350">
        <f>R45*T45%</f>
        <v>470.96000000000004</v>
      </c>
      <c r="X45" s="176">
        <f t="shared" si="48"/>
        <v>1382</v>
      </c>
      <c r="Y45" s="210">
        <f t="shared" si="49"/>
        <v>4.25</v>
      </c>
      <c r="Z45" s="210">
        <f t="shared" si="50"/>
        <v>8.43</v>
      </c>
    </row>
    <row r="46" spans="1:26" x14ac:dyDescent="0.25">
      <c r="A46" s="220">
        <v>72415</v>
      </c>
      <c r="B46" s="221">
        <v>9944</v>
      </c>
      <c r="C46" s="109" t="s">
        <v>73</v>
      </c>
      <c r="D46" s="229">
        <v>45939</v>
      </c>
      <c r="E46" s="65"/>
      <c r="F46" s="227" t="s">
        <v>78</v>
      </c>
      <c r="G46" s="65" t="str">
        <f t="shared" ref="G46:G177" si="83">VLOOKUP(F46,$AC$11:$AD$19,2,0)</f>
        <v>Bhandra</v>
      </c>
      <c r="H46" s="65">
        <v>4293</v>
      </c>
      <c r="I46" s="65">
        <v>4.45</v>
      </c>
      <c r="J46" s="65">
        <v>8.42</v>
      </c>
      <c r="K46" s="176">
        <f t="shared" si="34"/>
        <v>191.03850000000003</v>
      </c>
      <c r="L46" s="177">
        <f t="shared" si="35"/>
        <v>361.47059999999999</v>
      </c>
      <c r="M46" s="209">
        <f>$R$45*H46/SUM($H$45:$H$46)</f>
        <v>4217.6842105263158</v>
      </c>
      <c r="N46" s="211">
        <f t="shared" ref="N46:N47" si="84">P46/M46*100</f>
        <v>4.4493613356934416</v>
      </c>
      <c r="O46" s="211">
        <f t="shared" ref="O46:O47" si="85">Q46/M46*100</f>
        <v>8.4050719105812455</v>
      </c>
      <c r="P46" s="176">
        <f>$U$45*K46/SUM($K$45:$K$46)</f>
        <v>187.66001052480507</v>
      </c>
      <c r="Q46" s="212">
        <f>$V$45*L46/SUM($L$45:$L$46)</f>
        <v>354.4993908559677</v>
      </c>
      <c r="R46" s="348"/>
      <c r="S46" s="348"/>
      <c r="T46" s="348"/>
      <c r="U46" s="352"/>
      <c r="V46" s="352"/>
      <c r="X46" s="176">
        <f t="shared" si="48"/>
        <v>4218</v>
      </c>
      <c r="Y46" s="210">
        <f t="shared" si="49"/>
        <v>4.45</v>
      </c>
      <c r="Z46" s="210">
        <f t="shared" si="50"/>
        <v>8.41</v>
      </c>
    </row>
    <row r="47" spans="1:26" x14ac:dyDescent="0.25">
      <c r="A47" s="220">
        <v>72184</v>
      </c>
      <c r="B47" s="221">
        <v>8504</v>
      </c>
      <c r="C47" s="109" t="s">
        <v>73</v>
      </c>
      <c r="D47" s="229">
        <v>45939</v>
      </c>
      <c r="E47" s="65"/>
      <c r="F47" s="227" t="s">
        <v>2</v>
      </c>
      <c r="G47" s="65" t="str">
        <f t="shared" si="83"/>
        <v>Itki</v>
      </c>
      <c r="H47" s="65">
        <v>5077</v>
      </c>
      <c r="I47" s="65">
        <v>4.3</v>
      </c>
      <c r="J47" s="65">
        <v>8.4499999999999993</v>
      </c>
      <c r="K47" s="176">
        <f t="shared" si="34"/>
        <v>218.31099999999998</v>
      </c>
      <c r="L47" s="177">
        <f t="shared" si="35"/>
        <v>429.00649999999996</v>
      </c>
      <c r="M47" s="209">
        <f>$R$47*H47/SUM($H$47)</f>
        <v>5110</v>
      </c>
      <c r="N47" s="211">
        <f t="shared" si="84"/>
        <v>4.3</v>
      </c>
      <c r="O47" s="211">
        <f t="shared" si="85"/>
        <v>8.4499999999999993</v>
      </c>
      <c r="P47" s="176">
        <f>$U$47*K47/SUM($K$47)</f>
        <v>219.73</v>
      </c>
      <c r="Q47" s="212">
        <f>$V$47*L47/SUM($L$47)</f>
        <v>431.79499999999996</v>
      </c>
      <c r="R47" s="249">
        <v>5110</v>
      </c>
      <c r="S47" s="249">
        <v>4.3</v>
      </c>
      <c r="T47" s="249">
        <v>8.4499999999999993</v>
      </c>
      <c r="U47" s="255">
        <f>R47*S47%</f>
        <v>219.73</v>
      </c>
      <c r="V47" s="255">
        <f>R47*T47%</f>
        <v>431.79499999999996</v>
      </c>
      <c r="X47" s="176">
        <f t="shared" si="48"/>
        <v>5110</v>
      </c>
      <c r="Y47" s="210">
        <f t="shared" si="49"/>
        <v>4.3</v>
      </c>
      <c r="Z47" s="210">
        <f t="shared" si="50"/>
        <v>8.4499999999999993</v>
      </c>
    </row>
    <row r="48" spans="1:26" x14ac:dyDescent="0.25">
      <c r="A48" s="220">
        <v>72182</v>
      </c>
      <c r="B48" s="221">
        <v>9944</v>
      </c>
      <c r="C48" s="109" t="s">
        <v>73</v>
      </c>
      <c r="D48" s="229">
        <v>45938</v>
      </c>
      <c r="E48" s="65"/>
      <c r="F48" s="227" t="s">
        <v>89</v>
      </c>
      <c r="G48" s="65" t="str">
        <f t="shared" si="83"/>
        <v>Chanho</v>
      </c>
      <c r="H48" s="65">
        <v>1376</v>
      </c>
      <c r="I48" s="65">
        <v>4.05</v>
      </c>
      <c r="J48" s="65">
        <v>8.09</v>
      </c>
      <c r="K48" s="176">
        <f t="shared" si="34"/>
        <v>55.728000000000002</v>
      </c>
      <c r="L48" s="177">
        <f t="shared" si="35"/>
        <v>111.3184</v>
      </c>
      <c r="M48" s="209">
        <f>$R$48*H48/SUM($H$48:$H$49)</f>
        <v>1371.5671783210157</v>
      </c>
      <c r="N48" s="211">
        <f t="shared" ref="N48" si="86">P48/M48*100</f>
        <v>4.1123436598037317</v>
      </c>
      <c r="O48" s="211">
        <f t="shared" ref="O48" si="87">Q48/M48*100</f>
        <v>8.0925256233672709</v>
      </c>
      <c r="P48" s="176">
        <f>$U$48*K48/SUM($K$48:$K$49)</f>
        <v>56.40355589763324</v>
      </c>
      <c r="Q48" s="212">
        <f>$V$48*L48/SUM($L$48:$L$49)</f>
        <v>110.99442534732367</v>
      </c>
      <c r="R48" s="347">
        <v>5260</v>
      </c>
      <c r="S48" s="347">
        <v>4.3</v>
      </c>
      <c r="T48" s="347">
        <v>8.27</v>
      </c>
      <c r="U48" s="350">
        <f>R48*S48%</f>
        <v>226.17999999999998</v>
      </c>
      <c r="V48" s="350">
        <f>R48*T48%</f>
        <v>435.00199999999995</v>
      </c>
      <c r="X48" s="176">
        <f t="shared" si="48"/>
        <v>1372</v>
      </c>
      <c r="Y48" s="210">
        <f t="shared" si="49"/>
        <v>4.1100000000000003</v>
      </c>
      <c r="Z48" s="210">
        <f t="shared" si="50"/>
        <v>8.09</v>
      </c>
    </row>
    <row r="49" spans="1:26" x14ac:dyDescent="0.25">
      <c r="A49" s="220">
        <v>72182</v>
      </c>
      <c r="B49" s="221">
        <v>9944</v>
      </c>
      <c r="C49" s="109" t="s">
        <v>73</v>
      </c>
      <c r="D49" s="229">
        <v>45938</v>
      </c>
      <c r="E49" s="65"/>
      <c r="F49" s="227" t="s">
        <v>78</v>
      </c>
      <c r="G49" s="65" t="str">
        <f t="shared" si="83"/>
        <v>Bhandra</v>
      </c>
      <c r="H49" s="65">
        <v>3901</v>
      </c>
      <c r="I49" s="65">
        <v>4.3</v>
      </c>
      <c r="J49" s="65">
        <v>8.33</v>
      </c>
      <c r="K49" s="176">
        <f t="shared" si="34"/>
        <v>167.74299999999999</v>
      </c>
      <c r="L49" s="177">
        <f t="shared" si="35"/>
        <v>324.95330000000001</v>
      </c>
      <c r="M49" s="209">
        <f>$R$48*H49/SUM($H$48:$H$49)</f>
        <v>3888.4328216789841</v>
      </c>
      <c r="N49" s="211">
        <f t="shared" ref="N49:N50" si="88">P49/M49*100</f>
        <v>4.3661920338656914</v>
      </c>
      <c r="O49" s="211">
        <f t="shared" ref="O49:O50" si="89">Q49/M49*100</f>
        <v>8.3326005491531987</v>
      </c>
      <c r="P49" s="176">
        <f>$U$48*K49/SUM($K$48:$K$49)</f>
        <v>169.77644410236672</v>
      </c>
      <c r="Q49" s="212">
        <f>$V$48*L49/SUM($L$48:$L$49)</f>
        <v>324.00757465267628</v>
      </c>
      <c r="R49" s="348"/>
      <c r="S49" s="348"/>
      <c r="T49" s="348"/>
      <c r="U49" s="352"/>
      <c r="V49" s="352"/>
      <c r="X49" s="176">
        <f t="shared" si="48"/>
        <v>3888</v>
      </c>
      <c r="Y49" s="210">
        <f t="shared" si="49"/>
        <v>4.37</v>
      </c>
      <c r="Z49" s="210">
        <f t="shared" si="50"/>
        <v>8.33</v>
      </c>
    </row>
    <row r="50" spans="1:26" x14ac:dyDescent="0.25">
      <c r="A50" s="220">
        <v>72214</v>
      </c>
      <c r="B50" s="221">
        <v>8504</v>
      </c>
      <c r="C50" s="109" t="s">
        <v>73</v>
      </c>
      <c r="D50" s="229">
        <v>45937</v>
      </c>
      <c r="E50" s="65"/>
      <c r="F50" s="227" t="s">
        <v>6</v>
      </c>
      <c r="G50" s="65" t="str">
        <f t="shared" si="83"/>
        <v>Hisri</v>
      </c>
      <c r="H50" s="65">
        <v>1007</v>
      </c>
      <c r="I50" s="65">
        <v>4.3</v>
      </c>
      <c r="J50" s="65">
        <v>8.1999999999999993</v>
      </c>
      <c r="K50" s="176">
        <f t="shared" si="34"/>
        <v>43.300999999999995</v>
      </c>
      <c r="L50" s="177">
        <f t="shared" si="35"/>
        <v>82.573999999999984</v>
      </c>
      <c r="M50" s="209">
        <f>$R$50*H50/SUM($H$50:$H$52)</f>
        <v>1014.056056056056</v>
      </c>
      <c r="N50" s="211">
        <f t="shared" si="88"/>
        <v>4.2946013810420585</v>
      </c>
      <c r="O50" s="211">
        <f t="shared" si="89"/>
        <v>7.9832976831204325</v>
      </c>
      <c r="P50" s="176">
        <f>$U$50*K50/SUM($K$50:$K$52)</f>
        <v>43.549665387924009</v>
      </c>
      <c r="Q50" s="212">
        <f>$V$50*L50/SUM($L$50:$L$52)</f>
        <v>80.955113628665558</v>
      </c>
      <c r="R50" s="347">
        <v>5030</v>
      </c>
      <c r="S50" s="347">
        <v>4.3</v>
      </c>
      <c r="T50" s="347">
        <v>8.1999999999999993</v>
      </c>
      <c r="U50" s="347">
        <f>R50*S50%</f>
        <v>216.29</v>
      </c>
      <c r="V50" s="347">
        <f>R50*T50%</f>
        <v>412.45999999999992</v>
      </c>
      <c r="X50" s="176">
        <f t="shared" si="48"/>
        <v>1014</v>
      </c>
      <c r="Y50" s="210">
        <f t="shared" si="49"/>
        <v>4.29</v>
      </c>
      <c r="Z50" s="210">
        <f t="shared" si="50"/>
        <v>7.98</v>
      </c>
    </row>
    <row r="51" spans="1:26" x14ac:dyDescent="0.25">
      <c r="A51" s="220">
        <v>72214</v>
      </c>
      <c r="B51" s="221">
        <v>8504</v>
      </c>
      <c r="C51" s="109" t="s">
        <v>73</v>
      </c>
      <c r="D51" s="229">
        <v>45937</v>
      </c>
      <c r="E51" s="65"/>
      <c r="F51" s="227" t="s">
        <v>14</v>
      </c>
      <c r="G51" s="65" t="str">
        <f t="shared" si="83"/>
        <v>Piragutu</v>
      </c>
      <c r="H51" s="65">
        <v>1563</v>
      </c>
      <c r="I51" s="65">
        <v>4.55</v>
      </c>
      <c r="J51" s="65">
        <v>8.57</v>
      </c>
      <c r="K51" s="176">
        <f t="shared" si="34"/>
        <v>71.116500000000002</v>
      </c>
      <c r="L51" s="177">
        <f t="shared" si="35"/>
        <v>133.94909999999999</v>
      </c>
      <c r="M51" s="209">
        <f t="shared" ref="M51:M52" si="90">$R$50*H51/SUM($H$50:$H$52)</f>
        <v>1573.951951951952</v>
      </c>
      <c r="N51" s="211">
        <f t="shared" ref="N51:N54" si="91">P51/M51*100</f>
        <v>4.5442875078468292</v>
      </c>
      <c r="O51" s="211">
        <f t="shared" ref="O51:O54" si="92">Q51/M51*100</f>
        <v>8.3435196517490393</v>
      </c>
      <c r="P51" s="176">
        <f t="shared" ref="P51:P52" si="93">$U$50*K51/SUM($K$50:$K$52)</f>
        <v>71.524901932063884</v>
      </c>
      <c r="Q51" s="212">
        <f t="shared" ref="Q51:Q52" si="94">$V$50*L51/SUM($L$50:$L$52)</f>
        <v>131.32299042019869</v>
      </c>
      <c r="R51" s="349"/>
      <c r="S51" s="349"/>
      <c r="T51" s="349"/>
      <c r="U51" s="349"/>
      <c r="V51" s="349"/>
      <c r="X51" s="176">
        <f t="shared" si="48"/>
        <v>1574</v>
      </c>
      <c r="Y51" s="210">
        <f t="shared" si="49"/>
        <v>4.54</v>
      </c>
      <c r="Z51" s="210">
        <f t="shared" si="50"/>
        <v>8.34</v>
      </c>
    </row>
    <row r="52" spans="1:26" x14ac:dyDescent="0.25">
      <c r="A52" s="220">
        <v>72214</v>
      </c>
      <c r="B52" s="221">
        <v>8504</v>
      </c>
      <c r="C52" s="109" t="s">
        <v>73</v>
      </c>
      <c r="D52" s="229">
        <v>45937</v>
      </c>
      <c r="E52" s="65"/>
      <c r="F52" s="227" t="s">
        <v>12</v>
      </c>
      <c r="G52" s="65" t="str">
        <f t="shared" si="83"/>
        <v>Ormanjhi</v>
      </c>
      <c r="H52" s="65">
        <v>2425</v>
      </c>
      <c r="I52" s="65">
        <v>4.1500000000000004</v>
      </c>
      <c r="J52" s="65">
        <v>8.42</v>
      </c>
      <c r="K52" s="176">
        <f t="shared" si="34"/>
        <v>100.6375</v>
      </c>
      <c r="L52" s="177">
        <f t="shared" si="35"/>
        <v>204.185</v>
      </c>
      <c r="M52" s="209">
        <f t="shared" si="90"/>
        <v>2441.9919919919921</v>
      </c>
      <c r="N52" s="211">
        <f t="shared" si="91"/>
        <v>4.1447897049591962</v>
      </c>
      <c r="O52" s="211">
        <f t="shared" si="92"/>
        <v>8.1974837185212248</v>
      </c>
      <c r="P52" s="176">
        <f t="shared" si="93"/>
        <v>101.21543268001209</v>
      </c>
      <c r="Q52" s="212">
        <f t="shared" si="94"/>
        <v>200.18189595113569</v>
      </c>
      <c r="R52" s="348"/>
      <c r="S52" s="348"/>
      <c r="T52" s="348"/>
      <c r="U52" s="348"/>
      <c r="V52" s="348"/>
      <c r="X52" s="176">
        <f t="shared" si="48"/>
        <v>2442</v>
      </c>
      <c r="Y52" s="210">
        <f t="shared" si="49"/>
        <v>4.1399999999999997</v>
      </c>
      <c r="Z52" s="210">
        <f t="shared" si="50"/>
        <v>8.1999999999999993</v>
      </c>
    </row>
    <row r="53" spans="1:26" x14ac:dyDescent="0.25">
      <c r="A53" s="220">
        <v>72181</v>
      </c>
      <c r="B53" s="221">
        <v>1023</v>
      </c>
      <c r="C53" s="109" t="s">
        <v>73</v>
      </c>
      <c r="D53" s="229">
        <v>45937</v>
      </c>
      <c r="E53" s="65"/>
      <c r="F53" s="227" t="s">
        <v>2</v>
      </c>
      <c r="G53" s="65" t="str">
        <f t="shared" si="83"/>
        <v>Itki</v>
      </c>
      <c r="H53" s="65">
        <v>4330</v>
      </c>
      <c r="I53" s="65">
        <v>4.1500000000000004</v>
      </c>
      <c r="J53" s="65">
        <v>8.42</v>
      </c>
      <c r="K53" s="176">
        <f t="shared" si="34"/>
        <v>179.69500000000002</v>
      </c>
      <c r="L53" s="177">
        <f t="shared" si="35"/>
        <v>364.58600000000001</v>
      </c>
      <c r="M53" s="209">
        <f>$R$53*H53/SUM($H$53)</f>
        <v>4320</v>
      </c>
      <c r="N53" s="211">
        <f t="shared" si="91"/>
        <v>4.1500000000000004</v>
      </c>
      <c r="O53" s="211">
        <f t="shared" si="92"/>
        <v>8.42</v>
      </c>
      <c r="P53" s="176">
        <f>$U$53*K53/SUM($K$53)</f>
        <v>179.28</v>
      </c>
      <c r="Q53" s="212">
        <f>$V$53*L53/SUM($L$53)</f>
        <v>363.74399999999997</v>
      </c>
      <c r="R53" s="249">
        <v>4320</v>
      </c>
      <c r="S53" s="249">
        <v>4.1500000000000004</v>
      </c>
      <c r="T53" s="249">
        <v>8.42</v>
      </c>
      <c r="U53" s="255">
        <f>R53*S53%</f>
        <v>179.28</v>
      </c>
      <c r="V53" s="255">
        <f>R53*T53%</f>
        <v>363.74399999999997</v>
      </c>
      <c r="X53" s="176">
        <f t="shared" si="48"/>
        <v>4320</v>
      </c>
      <c r="Y53" s="210">
        <f t="shared" si="49"/>
        <v>4.1500000000000004</v>
      </c>
      <c r="Z53" s="210">
        <f t="shared" si="50"/>
        <v>8.42</v>
      </c>
    </row>
    <row r="54" spans="1:26" x14ac:dyDescent="0.25">
      <c r="A54" s="220">
        <v>72413</v>
      </c>
      <c r="B54" s="221">
        <v>1023</v>
      </c>
      <c r="C54" s="109" t="s">
        <v>109</v>
      </c>
      <c r="D54" s="229">
        <v>45936</v>
      </c>
      <c r="E54" s="65"/>
      <c r="F54" s="227" t="s">
        <v>8</v>
      </c>
      <c r="G54" s="65" t="str">
        <f t="shared" si="83"/>
        <v>Choria</v>
      </c>
      <c r="H54" s="65">
        <v>950</v>
      </c>
      <c r="I54" s="65">
        <v>3</v>
      </c>
      <c r="J54" s="65">
        <v>8.09</v>
      </c>
      <c r="K54" s="176">
        <f t="shared" si="34"/>
        <v>28.5</v>
      </c>
      <c r="L54" s="177">
        <f t="shared" si="35"/>
        <v>76.855000000000004</v>
      </c>
      <c r="M54" s="209">
        <f>$R$54*H54/SUM($H$54:$H$56)</f>
        <v>952.08922400251333</v>
      </c>
      <c r="N54" s="211">
        <f t="shared" si="91"/>
        <v>2.9704633474872852</v>
      </c>
      <c r="O54" s="211">
        <f t="shared" si="92"/>
        <v>8.0304700345473972</v>
      </c>
      <c r="P54" s="176">
        <f>$U$54*K54/SUM($K$54:$K$56)</f>
        <v>28.281461434370772</v>
      </c>
      <c r="Q54" s="212">
        <f>$V$54*L54/SUM($L$54:$L$56)</f>
        <v>76.457239835676688</v>
      </c>
      <c r="R54" s="347">
        <v>3190</v>
      </c>
      <c r="S54" s="347">
        <v>4</v>
      </c>
      <c r="T54" s="347">
        <v>8.2100000000000009</v>
      </c>
      <c r="U54" s="347">
        <f>R54*S54%</f>
        <v>127.60000000000001</v>
      </c>
      <c r="V54" s="347">
        <f>R54*T54%</f>
        <v>261.899</v>
      </c>
      <c r="X54" s="176">
        <f t="shared" si="48"/>
        <v>952</v>
      </c>
      <c r="Y54" s="210">
        <f t="shared" si="49"/>
        <v>2.97</v>
      </c>
      <c r="Z54" s="210">
        <f t="shared" si="50"/>
        <v>8.0299999999999994</v>
      </c>
    </row>
    <row r="55" spans="1:26" x14ac:dyDescent="0.25">
      <c r="A55" s="220">
        <v>72413</v>
      </c>
      <c r="B55" s="221">
        <v>1023</v>
      </c>
      <c r="C55" s="109" t="s">
        <v>109</v>
      </c>
      <c r="D55" s="229">
        <v>45936</v>
      </c>
      <c r="E55" s="65"/>
      <c r="F55" s="227" t="s">
        <v>14</v>
      </c>
      <c r="G55" s="65" t="str">
        <f t="shared" si="83"/>
        <v>Piragutu</v>
      </c>
      <c r="H55" s="65">
        <v>1435</v>
      </c>
      <c r="I55" s="65">
        <v>4.5</v>
      </c>
      <c r="J55" s="65">
        <v>8.43</v>
      </c>
      <c r="K55" s="176">
        <f t="shared" si="34"/>
        <v>64.575000000000003</v>
      </c>
      <c r="L55" s="177">
        <f t="shared" si="35"/>
        <v>120.9705</v>
      </c>
      <c r="M55" s="209">
        <f t="shared" ref="M55:M56" si="95">$R$54*H55/SUM($H$54:$H$56)</f>
        <v>1438.1558278353755</v>
      </c>
      <c r="N55" s="211">
        <f t="shared" ref="N55:N57" si="96">P55/M55*100</f>
        <v>4.4556950212309276</v>
      </c>
      <c r="O55" s="211">
        <f t="shared" ref="O55:O57" si="97">Q55/M55*100</f>
        <v>8.3679681571365343</v>
      </c>
      <c r="P55" s="176">
        <f t="shared" ref="P55:P56" si="98">$U$54*K55/SUM($K$54:$K$56)</f>
        <v>64.079837618403246</v>
      </c>
      <c r="Q55" s="212">
        <f t="shared" ref="Q55:Q56" si="99">$V$54*L55/SUM($L$54:$L$56)</f>
        <v>120.34442172326754</v>
      </c>
      <c r="R55" s="349"/>
      <c r="S55" s="349"/>
      <c r="T55" s="349"/>
      <c r="U55" s="349"/>
      <c r="V55" s="349"/>
      <c r="X55" s="176">
        <f t="shared" si="48"/>
        <v>1438</v>
      </c>
      <c r="Y55" s="210">
        <f t="shared" si="49"/>
        <v>4.46</v>
      </c>
      <c r="Z55" s="210">
        <f t="shared" si="50"/>
        <v>8.3699999999999992</v>
      </c>
    </row>
    <row r="56" spans="1:26" x14ac:dyDescent="0.25">
      <c r="A56" s="220">
        <v>72413</v>
      </c>
      <c r="B56" s="221">
        <v>1023</v>
      </c>
      <c r="C56" s="109" t="s">
        <v>109</v>
      </c>
      <c r="D56" s="229">
        <v>45936</v>
      </c>
      <c r="E56" s="65"/>
      <c r="F56" s="227" t="s">
        <v>6</v>
      </c>
      <c r="G56" s="65" t="str">
        <f t="shared" si="83"/>
        <v>Hisri</v>
      </c>
      <c r="H56" s="65">
        <v>798</v>
      </c>
      <c r="I56" s="65">
        <v>4.45</v>
      </c>
      <c r="J56" s="65">
        <v>8.1999999999999993</v>
      </c>
      <c r="K56" s="176">
        <f t="shared" si="34"/>
        <v>35.511000000000003</v>
      </c>
      <c r="L56" s="177">
        <f t="shared" si="35"/>
        <v>65.435999999999993</v>
      </c>
      <c r="M56" s="209">
        <f t="shared" si="95"/>
        <v>799.75494816211119</v>
      </c>
      <c r="N56" s="211">
        <f t="shared" si="96"/>
        <v>4.4061872987728066</v>
      </c>
      <c r="O56" s="211">
        <f t="shared" si="97"/>
        <v>8.1396606036203529</v>
      </c>
      <c r="P56" s="176">
        <f t="shared" si="98"/>
        <v>35.238700947225986</v>
      </c>
      <c r="Q56" s="212">
        <f t="shared" si="99"/>
        <v>65.09733844105574</v>
      </c>
      <c r="R56" s="348"/>
      <c r="S56" s="348"/>
      <c r="T56" s="348"/>
      <c r="U56" s="348"/>
      <c r="V56" s="348"/>
      <c r="X56" s="176">
        <f t="shared" si="48"/>
        <v>800</v>
      </c>
      <c r="Y56" s="210">
        <f t="shared" si="49"/>
        <v>4.41</v>
      </c>
      <c r="Z56" s="210">
        <f t="shared" si="50"/>
        <v>8.14</v>
      </c>
    </row>
    <row r="57" spans="1:26" x14ac:dyDescent="0.25">
      <c r="A57" s="220">
        <v>72413</v>
      </c>
      <c r="B57" s="221">
        <v>1023</v>
      </c>
      <c r="C57" s="109" t="s">
        <v>77</v>
      </c>
      <c r="D57" s="229">
        <v>45936</v>
      </c>
      <c r="E57" s="65"/>
      <c r="F57" s="227" t="s">
        <v>4</v>
      </c>
      <c r="G57" s="65" t="str">
        <f t="shared" si="83"/>
        <v>Pali</v>
      </c>
      <c r="H57" s="65">
        <v>2990</v>
      </c>
      <c r="I57" s="65">
        <v>4.2</v>
      </c>
      <c r="J57" s="65">
        <v>8.43</v>
      </c>
      <c r="K57" s="176">
        <f t="shared" si="34"/>
        <v>125.58000000000001</v>
      </c>
      <c r="L57" s="177">
        <f t="shared" si="35"/>
        <v>252.05699999999999</v>
      </c>
      <c r="M57" s="209">
        <f>$R$57*H57/SUM($H$57)</f>
        <v>2810</v>
      </c>
      <c r="N57" s="211">
        <f t="shared" si="96"/>
        <v>4.2</v>
      </c>
      <c r="O57" s="211">
        <f t="shared" si="97"/>
        <v>8.43</v>
      </c>
      <c r="P57" s="176">
        <f>$U$57*K57/SUM($K$57)</f>
        <v>118.02000000000001</v>
      </c>
      <c r="Q57" s="212">
        <f>$V$57*L57/SUM($L$57)</f>
        <v>236.88300000000001</v>
      </c>
      <c r="R57" s="249">
        <v>2810</v>
      </c>
      <c r="S57" s="249">
        <v>4.2</v>
      </c>
      <c r="T57" s="249">
        <v>8.43</v>
      </c>
      <c r="U57" s="255">
        <f>R57*S57%</f>
        <v>118.02000000000001</v>
      </c>
      <c r="V57" s="255">
        <f>R57*T57%</f>
        <v>236.88300000000001</v>
      </c>
      <c r="X57" s="176">
        <f t="shared" si="48"/>
        <v>2810</v>
      </c>
      <c r="Y57" s="210">
        <f t="shared" si="49"/>
        <v>4.2</v>
      </c>
      <c r="Z57" s="210">
        <f t="shared" si="50"/>
        <v>8.43</v>
      </c>
    </row>
    <row r="58" spans="1:26" x14ac:dyDescent="0.25">
      <c r="A58" s="220">
        <v>72180</v>
      </c>
      <c r="B58" s="221">
        <v>8504</v>
      </c>
      <c r="C58" s="109" t="s">
        <v>73</v>
      </c>
      <c r="D58" s="229">
        <v>45936</v>
      </c>
      <c r="E58" s="65"/>
      <c r="F58" s="227" t="s">
        <v>2</v>
      </c>
      <c r="G58" s="65" t="str">
        <f t="shared" si="83"/>
        <v>Itki</v>
      </c>
      <c r="H58" s="65">
        <v>6700</v>
      </c>
      <c r="I58" s="65">
        <v>4.3</v>
      </c>
      <c r="J58" s="65">
        <v>8.27</v>
      </c>
      <c r="K58" s="176">
        <f t="shared" si="34"/>
        <v>288.09999999999997</v>
      </c>
      <c r="L58" s="177">
        <f t="shared" si="35"/>
        <v>554.08999999999992</v>
      </c>
      <c r="M58" s="209">
        <f>$R$58*H58/SUM($H$58)</f>
        <v>6700</v>
      </c>
      <c r="N58" s="211">
        <f t="shared" ref="N58" si="100">P58/M58*100</f>
        <v>4.3</v>
      </c>
      <c r="O58" s="211">
        <f t="shared" ref="O58" si="101">Q58/M58*100</f>
        <v>8.2699999999999978</v>
      </c>
      <c r="P58" s="176">
        <f>$U$58*K58/SUM($K$58)</f>
        <v>288.09999999999997</v>
      </c>
      <c r="Q58" s="212">
        <f>$V$58*L58/SUM($L$58)</f>
        <v>554.08999999999992</v>
      </c>
      <c r="R58" s="249">
        <v>6700</v>
      </c>
      <c r="S58" s="249">
        <v>4.3</v>
      </c>
      <c r="T58" s="249">
        <v>8.27</v>
      </c>
      <c r="U58" s="255">
        <f>R58*S58%</f>
        <v>288.09999999999997</v>
      </c>
      <c r="V58" s="255">
        <f>R58*T58%</f>
        <v>554.08999999999992</v>
      </c>
      <c r="X58" s="176">
        <f t="shared" si="48"/>
        <v>6700</v>
      </c>
      <c r="Y58" s="210">
        <f t="shared" si="49"/>
        <v>4.3</v>
      </c>
      <c r="Z58" s="210">
        <f t="shared" si="50"/>
        <v>8.27</v>
      </c>
    </row>
    <row r="59" spans="1:26" x14ac:dyDescent="0.25">
      <c r="A59" s="220">
        <v>72248</v>
      </c>
      <c r="B59" s="221">
        <v>1023</v>
      </c>
      <c r="C59" s="109" t="s">
        <v>73</v>
      </c>
      <c r="D59" s="229">
        <v>45939</v>
      </c>
      <c r="E59" s="65"/>
      <c r="F59" s="227" t="s">
        <v>4</v>
      </c>
      <c r="G59" s="65" t="str">
        <f t="shared" si="83"/>
        <v>Pali</v>
      </c>
      <c r="H59" s="65">
        <v>3600</v>
      </c>
      <c r="I59" s="65">
        <v>4.1500000000000004</v>
      </c>
      <c r="J59" s="65">
        <v>8.36</v>
      </c>
      <c r="K59" s="176">
        <f t="shared" si="34"/>
        <v>149.4</v>
      </c>
      <c r="L59" s="177">
        <f t="shared" si="35"/>
        <v>300.95999999999998</v>
      </c>
      <c r="M59" s="209">
        <f>$R$59*H59/SUM($H$59)</f>
        <v>3600</v>
      </c>
      <c r="N59" s="211">
        <f t="shared" ref="N59:N60" si="102">P59/M59*100</f>
        <v>4.1000000000000005</v>
      </c>
      <c r="O59" s="211">
        <f t="shared" ref="O59:O60" si="103">Q59/M59*100</f>
        <v>8.23</v>
      </c>
      <c r="P59" s="176">
        <f>$U$59*K59/SUM($K$59)</f>
        <v>147.6</v>
      </c>
      <c r="Q59" s="212">
        <f>$V$59*L59/SUM($L$59)</f>
        <v>296.27999999999997</v>
      </c>
      <c r="R59" s="249">
        <v>3600</v>
      </c>
      <c r="S59" s="249">
        <v>4.0999999999999996</v>
      </c>
      <c r="T59" s="249">
        <v>8.23</v>
      </c>
      <c r="U59" s="255">
        <f>R59*S59%</f>
        <v>147.6</v>
      </c>
      <c r="V59" s="255">
        <f>R59*T59%</f>
        <v>296.27999999999997</v>
      </c>
      <c r="X59" s="176">
        <f t="shared" si="48"/>
        <v>3600</v>
      </c>
      <c r="Y59" s="210">
        <f t="shared" si="49"/>
        <v>4.0999999999999996</v>
      </c>
      <c r="Z59" s="210">
        <f t="shared" si="50"/>
        <v>8.23</v>
      </c>
    </row>
    <row r="60" spans="1:26" x14ac:dyDescent="0.25">
      <c r="A60" s="220">
        <v>72216</v>
      </c>
      <c r="B60" s="221">
        <v>1023</v>
      </c>
      <c r="C60" s="109" t="s">
        <v>109</v>
      </c>
      <c r="D60" s="229">
        <v>45940</v>
      </c>
      <c r="E60" s="65"/>
      <c r="F60" s="227" t="s">
        <v>14</v>
      </c>
      <c r="G60" s="65" t="str">
        <f t="shared" si="83"/>
        <v>Piragutu</v>
      </c>
      <c r="H60" s="65">
        <v>2188</v>
      </c>
      <c r="I60" s="65">
        <v>4.5</v>
      </c>
      <c r="J60" s="65">
        <v>8.43</v>
      </c>
      <c r="K60" s="176">
        <f t="shared" si="34"/>
        <v>98.46</v>
      </c>
      <c r="L60" s="177">
        <f t="shared" si="35"/>
        <v>184.44839999999999</v>
      </c>
      <c r="M60" s="209">
        <f>$R$60*H60/SUM($H$60:$H$61)</f>
        <v>2197.0288858321869</v>
      </c>
      <c r="N60" s="211">
        <f t="shared" si="102"/>
        <v>4.3461153743963239</v>
      </c>
      <c r="O60" s="211">
        <f t="shared" si="103"/>
        <v>8.4052574171245702</v>
      </c>
      <c r="P60" s="176">
        <f>$U$60*K60/SUM($K$60:$K$61)</f>
        <v>95.485410187080944</v>
      </c>
      <c r="Q60" s="212">
        <f>$V$60*L60/SUM($L$60:$L$61)</f>
        <v>184.6659333827792</v>
      </c>
      <c r="R60" s="347">
        <v>3650</v>
      </c>
      <c r="S60" s="347">
        <v>4.25</v>
      </c>
      <c r="T60" s="347">
        <v>8.31</v>
      </c>
      <c r="U60" s="350">
        <f>R60*S60%</f>
        <v>155.125</v>
      </c>
      <c r="V60" s="350">
        <f>R60*T60%</f>
        <v>303.31500000000005</v>
      </c>
      <c r="X60" s="176">
        <f t="shared" si="48"/>
        <v>2197</v>
      </c>
      <c r="Y60" s="210">
        <f t="shared" si="49"/>
        <v>4.3499999999999996</v>
      </c>
      <c r="Z60" s="210">
        <f t="shared" si="50"/>
        <v>8.41</v>
      </c>
    </row>
    <row r="61" spans="1:26" x14ac:dyDescent="0.25">
      <c r="A61" s="220">
        <v>72216</v>
      </c>
      <c r="B61" s="221">
        <v>1023</v>
      </c>
      <c r="C61" s="109" t="s">
        <v>109</v>
      </c>
      <c r="D61" s="229">
        <v>45940</v>
      </c>
      <c r="E61" s="65"/>
      <c r="F61" s="227" t="s">
        <v>6</v>
      </c>
      <c r="G61" s="65" t="str">
        <f t="shared" si="83"/>
        <v>Hisri</v>
      </c>
      <c r="H61" s="65">
        <v>1447</v>
      </c>
      <c r="I61" s="65">
        <v>4.25</v>
      </c>
      <c r="J61" s="65">
        <v>8.19</v>
      </c>
      <c r="K61" s="176">
        <f t="shared" si="34"/>
        <v>61.497500000000002</v>
      </c>
      <c r="L61" s="177">
        <f t="shared" si="35"/>
        <v>118.5093</v>
      </c>
      <c r="M61" s="209">
        <f>$R$60*H61/SUM($H$60:$H$61)</f>
        <v>1452.9711141678129</v>
      </c>
      <c r="N61" s="211">
        <f t="shared" ref="N61:N62" si="104">P61/M61*100</f>
        <v>4.1046645202631957</v>
      </c>
      <c r="O61" s="211">
        <f t="shared" ref="O61:O62" si="105">Q61/M61*100</f>
        <v>8.1659618322954035</v>
      </c>
      <c r="P61" s="176">
        <f>$U$60*K61/SUM($K$60:$K$61)</f>
        <v>59.63958981291907</v>
      </c>
      <c r="Q61" s="212">
        <f>$V$60*L61/SUM($L$60:$L$61)</f>
        <v>118.64906661722085</v>
      </c>
      <c r="R61" s="348"/>
      <c r="S61" s="348"/>
      <c r="T61" s="348"/>
      <c r="U61" s="352"/>
      <c r="V61" s="352"/>
      <c r="X61" s="176">
        <f t="shared" si="48"/>
        <v>1453</v>
      </c>
      <c r="Y61" s="210">
        <f t="shared" si="49"/>
        <v>4.0999999999999996</v>
      </c>
      <c r="Z61" s="210">
        <f t="shared" si="50"/>
        <v>8.17</v>
      </c>
    </row>
    <row r="62" spans="1:26" x14ac:dyDescent="0.25">
      <c r="A62" s="220">
        <v>72216</v>
      </c>
      <c r="B62" s="221">
        <v>1023</v>
      </c>
      <c r="C62" s="109" t="s">
        <v>77</v>
      </c>
      <c r="D62" s="229">
        <v>45940</v>
      </c>
      <c r="E62" s="65"/>
      <c r="F62" s="227" t="s">
        <v>12</v>
      </c>
      <c r="G62" s="65" t="str">
        <f t="shared" si="83"/>
        <v>Ormanjhi</v>
      </c>
      <c r="H62" s="65">
        <v>2089</v>
      </c>
      <c r="I62" s="65">
        <v>4</v>
      </c>
      <c r="J62" s="65">
        <v>8.2100000000000009</v>
      </c>
      <c r="K62" s="176">
        <f t="shared" si="34"/>
        <v>83.56</v>
      </c>
      <c r="L62" s="177">
        <f t="shared" si="35"/>
        <v>171.5069</v>
      </c>
      <c r="M62" s="209">
        <f>$R$62*H62/SUM($H$62)</f>
        <v>2090</v>
      </c>
      <c r="N62" s="211">
        <f t="shared" si="104"/>
        <v>3.9</v>
      </c>
      <c r="O62" s="211">
        <f t="shared" si="105"/>
        <v>8</v>
      </c>
      <c r="P62" s="176">
        <f>$U$62*K62/SUM($K$62)</f>
        <v>81.510000000000005</v>
      </c>
      <c r="Q62" s="212">
        <f>$V$62*L62/SUM($L$62)</f>
        <v>167.20000000000002</v>
      </c>
      <c r="R62" s="249">
        <v>2090</v>
      </c>
      <c r="S62" s="249">
        <v>3.9</v>
      </c>
      <c r="T62" s="249">
        <v>8</v>
      </c>
      <c r="U62" s="255">
        <f>R62*S62%</f>
        <v>81.510000000000005</v>
      </c>
      <c r="V62" s="255">
        <f>R62*T62%</f>
        <v>167.20000000000002</v>
      </c>
      <c r="X62" s="176">
        <f t="shared" si="48"/>
        <v>2090</v>
      </c>
      <c r="Y62" s="210">
        <f t="shared" si="49"/>
        <v>3.9</v>
      </c>
      <c r="Z62" s="210">
        <f t="shared" si="50"/>
        <v>8</v>
      </c>
    </row>
    <row r="63" spans="1:26" x14ac:dyDescent="0.25">
      <c r="A63" s="220">
        <v>72249</v>
      </c>
      <c r="B63" s="221">
        <v>8504</v>
      </c>
      <c r="C63" s="109" t="s">
        <v>73</v>
      </c>
      <c r="D63" s="229">
        <v>45940</v>
      </c>
      <c r="E63" s="65"/>
      <c r="F63" s="227" t="s">
        <v>89</v>
      </c>
      <c r="G63" s="65" t="str">
        <f t="shared" si="83"/>
        <v>Chanho</v>
      </c>
      <c r="H63" s="65">
        <v>1336</v>
      </c>
      <c r="I63" s="65">
        <v>4</v>
      </c>
      <c r="J63" s="65">
        <v>8.02</v>
      </c>
      <c r="K63" s="176">
        <f t="shared" si="34"/>
        <v>53.44</v>
      </c>
      <c r="L63" s="177">
        <f t="shared" si="35"/>
        <v>107.1472</v>
      </c>
      <c r="M63" s="209">
        <f>$R$63*H63/SUM($H$63:$H$64)</f>
        <v>1335.740632886818</v>
      </c>
      <c r="N63" s="211">
        <f t="shared" ref="N63" si="106">P63/M63*100</f>
        <v>4.0034884771802979</v>
      </c>
      <c r="O63" s="211">
        <f t="shared" ref="O63" si="107">Q63/M63*100</f>
        <v>7.9149370999748339</v>
      </c>
      <c r="P63" s="176">
        <f>$U$63*K63/SUM($K$63:$K$64)</f>
        <v>53.476222322638939</v>
      </c>
      <c r="Q63" s="212">
        <f>$V$63*L63/SUM($L$63:$L$64)</f>
        <v>105.72303091179741</v>
      </c>
      <c r="R63" s="347">
        <v>5150</v>
      </c>
      <c r="S63" s="347">
        <v>4.3</v>
      </c>
      <c r="T63" s="347">
        <v>8.1999999999999993</v>
      </c>
      <c r="U63" s="350">
        <f>R63*S63%</f>
        <v>221.45</v>
      </c>
      <c r="V63" s="350">
        <f>R63*T63%</f>
        <v>422.29999999999995</v>
      </c>
      <c r="X63" s="176">
        <f t="shared" si="48"/>
        <v>1336</v>
      </c>
      <c r="Y63" s="210">
        <f t="shared" si="49"/>
        <v>4</v>
      </c>
      <c r="Z63" s="210">
        <f t="shared" si="50"/>
        <v>7.91</v>
      </c>
    </row>
    <row r="64" spans="1:26" x14ac:dyDescent="0.25">
      <c r="A64" s="220">
        <v>72249</v>
      </c>
      <c r="B64" s="221">
        <v>8504</v>
      </c>
      <c r="C64" s="109" t="s">
        <v>73</v>
      </c>
      <c r="D64" s="229">
        <v>45940</v>
      </c>
      <c r="E64" s="65"/>
      <c r="F64" s="227" t="s">
        <v>78</v>
      </c>
      <c r="G64" s="65" t="str">
        <f t="shared" si="83"/>
        <v>Bhandra</v>
      </c>
      <c r="H64" s="65">
        <v>3815</v>
      </c>
      <c r="I64" s="65">
        <v>4.4000000000000004</v>
      </c>
      <c r="J64" s="65">
        <v>8.41</v>
      </c>
      <c r="K64" s="176">
        <f t="shared" si="34"/>
        <v>167.86</v>
      </c>
      <c r="L64" s="177">
        <f t="shared" si="35"/>
        <v>320.84150000000005</v>
      </c>
      <c r="M64" s="209">
        <f>$R$63*H64/SUM($H$63:$H$64)</f>
        <v>3814.2593671131817</v>
      </c>
      <c r="N64" s="211">
        <f t="shared" ref="N64" si="108">P64/M64*100</f>
        <v>4.403837324898328</v>
      </c>
      <c r="O64" s="211">
        <f t="shared" ref="O64" si="109">Q64/M64*100</f>
        <v>8.2998280562080247</v>
      </c>
      <c r="P64" s="176">
        <f>$U$63*K64/SUM($K$63:$K$64)</f>
        <v>167.97377767736106</v>
      </c>
      <c r="Q64" s="212">
        <f>$V$63*L64/SUM($L$63:$L$64)</f>
        <v>316.57696908820253</v>
      </c>
      <c r="R64" s="348"/>
      <c r="S64" s="348"/>
      <c r="T64" s="348"/>
      <c r="U64" s="352"/>
      <c r="V64" s="352"/>
      <c r="X64" s="176">
        <f t="shared" si="48"/>
        <v>3814</v>
      </c>
      <c r="Y64" s="210">
        <f t="shared" si="49"/>
        <v>4.4000000000000004</v>
      </c>
      <c r="Z64" s="210">
        <f t="shared" si="50"/>
        <v>8.3000000000000007</v>
      </c>
    </row>
    <row r="65" spans="1:26" x14ac:dyDescent="0.25">
      <c r="A65" s="220">
        <v>72416</v>
      </c>
      <c r="B65" s="221">
        <v>9944</v>
      </c>
      <c r="C65" s="109" t="s">
        <v>73</v>
      </c>
      <c r="D65" s="229">
        <v>45940</v>
      </c>
      <c r="E65" s="65"/>
      <c r="F65" s="227" t="s">
        <v>2</v>
      </c>
      <c r="G65" s="65" t="str">
        <f t="shared" si="83"/>
        <v>Itki</v>
      </c>
      <c r="H65" s="65">
        <v>2373</v>
      </c>
      <c r="I65" s="65">
        <v>4.25</v>
      </c>
      <c r="J65" s="65">
        <v>8.44</v>
      </c>
      <c r="K65" s="176">
        <f t="shared" si="34"/>
        <v>100.85250000000001</v>
      </c>
      <c r="L65" s="177">
        <f t="shared" si="35"/>
        <v>200.28119999999998</v>
      </c>
      <c r="M65" s="209">
        <f>$R$65*H65/SUM($H$65:$H$66)</f>
        <v>2373.4299691973183</v>
      </c>
      <c r="N65" s="211">
        <f t="shared" ref="N65" si="110">P65/M65*100</f>
        <v>4.3499999999999996</v>
      </c>
      <c r="O65" s="211">
        <f t="shared" ref="O65" si="111">Q65/M65*100</f>
        <v>8.3800000000000008</v>
      </c>
      <c r="P65" s="176">
        <f>$U$65*K65/SUM($K$65:$K$66)</f>
        <v>103.24420366008334</v>
      </c>
      <c r="Q65" s="212">
        <f>$V$65*L65/SUM($L$65:$L$66)</f>
        <v>198.8934314187353</v>
      </c>
      <c r="R65" s="347">
        <v>5520</v>
      </c>
      <c r="S65" s="347">
        <v>4.3499999999999996</v>
      </c>
      <c r="T65" s="347">
        <v>8.3800000000000008</v>
      </c>
      <c r="U65" s="350">
        <f>R65*S65%</f>
        <v>240.11999999999998</v>
      </c>
      <c r="V65" s="350">
        <f>R65*T65%</f>
        <v>462.57600000000008</v>
      </c>
      <c r="X65" s="176">
        <f t="shared" si="48"/>
        <v>2373</v>
      </c>
      <c r="Y65" s="210">
        <f t="shared" si="49"/>
        <v>4.3499999999999996</v>
      </c>
      <c r="Z65" s="210">
        <f t="shared" si="50"/>
        <v>8.3800000000000008</v>
      </c>
    </row>
    <row r="66" spans="1:26" x14ac:dyDescent="0.25">
      <c r="A66" s="220">
        <v>72416</v>
      </c>
      <c r="B66" s="221">
        <v>9944</v>
      </c>
      <c r="C66" s="109" t="s">
        <v>73</v>
      </c>
      <c r="D66" s="229">
        <v>45940</v>
      </c>
      <c r="E66" s="65"/>
      <c r="F66" s="227" t="s">
        <v>4</v>
      </c>
      <c r="G66" s="65" t="str">
        <f t="shared" si="83"/>
        <v>Pali</v>
      </c>
      <c r="H66" s="65">
        <v>3146</v>
      </c>
      <c r="I66" s="65">
        <v>4.25</v>
      </c>
      <c r="J66" s="65">
        <v>8.44</v>
      </c>
      <c r="K66" s="176">
        <f t="shared" ref="K66:K127" si="112">H66*I66%</f>
        <v>133.70500000000001</v>
      </c>
      <c r="L66" s="177">
        <f t="shared" ref="L66:L127" si="113">H66*J66%</f>
        <v>265.52239999999995</v>
      </c>
      <c r="M66" s="209">
        <f>$R$65*H66/SUM($H$65:$H$66)</f>
        <v>3146.5700308026817</v>
      </c>
      <c r="N66" s="211">
        <f t="shared" ref="N66" si="114">P66/M66*100</f>
        <v>4.3499999999999988</v>
      </c>
      <c r="O66" s="211">
        <f t="shared" ref="O66" si="115">Q66/M66*100</f>
        <v>8.3800000000000008</v>
      </c>
      <c r="P66" s="176">
        <f>$U$65*K66/SUM($K$65:$K$66)</f>
        <v>136.87579633991663</v>
      </c>
      <c r="Q66" s="212">
        <f>$V$65*L66/SUM($L$65:$L$66)</f>
        <v>263.68256858126472</v>
      </c>
      <c r="R66" s="348"/>
      <c r="S66" s="348"/>
      <c r="T66" s="348"/>
      <c r="U66" s="352"/>
      <c r="V66" s="352"/>
      <c r="X66" s="176">
        <f t="shared" si="48"/>
        <v>3147</v>
      </c>
      <c r="Y66" s="210">
        <f t="shared" si="49"/>
        <v>4.3499999999999996</v>
      </c>
      <c r="Z66" s="210">
        <f t="shared" si="50"/>
        <v>8.3800000000000008</v>
      </c>
    </row>
    <row r="67" spans="1:26" x14ac:dyDescent="0.25">
      <c r="A67" s="220">
        <v>72217</v>
      </c>
      <c r="B67" s="221">
        <v>8504</v>
      </c>
      <c r="C67" s="109" t="s">
        <v>73</v>
      </c>
      <c r="D67" s="229">
        <v>45941</v>
      </c>
      <c r="E67" s="65"/>
      <c r="F67" s="227" t="s">
        <v>89</v>
      </c>
      <c r="G67" s="65" t="str">
        <f t="shared" si="83"/>
        <v>Chanho</v>
      </c>
      <c r="H67" s="65">
        <v>1366</v>
      </c>
      <c r="I67" s="65">
        <v>4.0999999999999996</v>
      </c>
      <c r="J67" s="65">
        <v>8.16</v>
      </c>
      <c r="K67" s="176">
        <f t="shared" si="112"/>
        <v>56.005999999999993</v>
      </c>
      <c r="L67" s="177">
        <f t="shared" si="113"/>
        <v>111.46560000000001</v>
      </c>
      <c r="M67" s="209">
        <f>$R$67*H67/SUM($H$67:$H$68)</f>
        <v>1347.396887159533</v>
      </c>
      <c r="N67" s="211">
        <f t="shared" ref="N67" si="116">P67/M67*100</f>
        <v>4.0333105168826728</v>
      </c>
      <c r="O67" s="211">
        <f t="shared" ref="O67" si="117">Q67/M67*100</f>
        <v>8.1211582143796495</v>
      </c>
      <c r="P67" s="176">
        <f>$U$67*K67/SUM($K$67:$K$68)</f>
        <v>54.344700353955197</v>
      </c>
      <c r="Q67" s="212">
        <f>$V$67*L67/SUM($L$67:$L$68)</f>
        <v>109.4242329818521</v>
      </c>
      <c r="R67" s="347">
        <v>5070</v>
      </c>
      <c r="S67" s="347">
        <v>4.25</v>
      </c>
      <c r="T67" s="347">
        <v>8.26</v>
      </c>
      <c r="U67" s="350">
        <f>R67*S67%</f>
        <v>215.47500000000002</v>
      </c>
      <c r="V67" s="350">
        <f>R67*T67%</f>
        <v>418.78199999999998</v>
      </c>
      <c r="X67" s="176">
        <f t="shared" si="48"/>
        <v>1347</v>
      </c>
      <c r="Y67" s="210">
        <f t="shared" si="49"/>
        <v>4.03</v>
      </c>
      <c r="Z67" s="210">
        <f t="shared" si="50"/>
        <v>8.1199999999999992</v>
      </c>
    </row>
    <row r="68" spans="1:26" x14ac:dyDescent="0.25">
      <c r="A68" s="220">
        <v>72217</v>
      </c>
      <c r="B68" s="221">
        <v>8504</v>
      </c>
      <c r="C68" s="109" t="s">
        <v>73</v>
      </c>
      <c r="D68" s="229">
        <v>45941</v>
      </c>
      <c r="E68" s="65"/>
      <c r="F68" s="227" t="s">
        <v>78</v>
      </c>
      <c r="G68" s="65" t="str">
        <f t="shared" si="83"/>
        <v>Bhandra</v>
      </c>
      <c r="H68" s="65">
        <v>3774</v>
      </c>
      <c r="I68" s="65">
        <v>4.4000000000000004</v>
      </c>
      <c r="J68" s="65">
        <v>8.35</v>
      </c>
      <c r="K68" s="176">
        <f t="shared" si="112"/>
        <v>166.05600000000001</v>
      </c>
      <c r="L68" s="177">
        <f t="shared" si="113"/>
        <v>315.12899999999996</v>
      </c>
      <c r="M68" s="209">
        <f>$R$67*H68/SUM($H$67:$H$68)</f>
        <v>3722.603112840467</v>
      </c>
      <c r="N68" s="211">
        <f t="shared" ref="N68" si="118">P68/M68*100</f>
        <v>4.3284307986057948</v>
      </c>
      <c r="O68" s="211">
        <f t="shared" ref="O68" si="119">Q68/M68*100</f>
        <v>8.3102538100576044</v>
      </c>
      <c r="P68" s="176">
        <f>$U$67*K68/SUM($K$67:$K$68)</f>
        <v>161.13029964604482</v>
      </c>
      <c r="Q68" s="212">
        <f>$V$67*L68/SUM($L$67:$L$68)</f>
        <v>309.35776701814791</v>
      </c>
      <c r="R68" s="348"/>
      <c r="S68" s="348"/>
      <c r="T68" s="348"/>
      <c r="U68" s="352"/>
      <c r="V68" s="352"/>
      <c r="X68" s="176">
        <f t="shared" si="48"/>
        <v>3723</v>
      </c>
      <c r="Y68" s="210">
        <f t="shared" si="49"/>
        <v>4.33</v>
      </c>
      <c r="Z68" s="210">
        <f t="shared" si="50"/>
        <v>8.31</v>
      </c>
    </row>
    <row r="69" spans="1:26" x14ac:dyDescent="0.25">
      <c r="A69" s="220">
        <v>72185</v>
      </c>
      <c r="B69" s="221">
        <v>1023</v>
      </c>
      <c r="C69" s="109" t="s">
        <v>77</v>
      </c>
      <c r="D69" s="229">
        <v>45941</v>
      </c>
      <c r="E69" s="65"/>
      <c r="F69" s="227" t="s">
        <v>8</v>
      </c>
      <c r="G69" s="65" t="str">
        <f t="shared" si="83"/>
        <v>Choria</v>
      </c>
      <c r="H69" s="65">
        <v>1430</v>
      </c>
      <c r="I69" s="65">
        <v>3.3</v>
      </c>
      <c r="J69" s="65">
        <v>7.82</v>
      </c>
      <c r="K69" s="176">
        <f t="shared" si="112"/>
        <v>47.190000000000005</v>
      </c>
      <c r="L69" s="177">
        <f t="shared" si="113"/>
        <v>111.82600000000001</v>
      </c>
      <c r="M69" s="209">
        <f>$R$69*H69/SUM($H$69:$H$71)</f>
        <v>1433.3025404157045</v>
      </c>
      <c r="N69" s="211">
        <f t="shared" ref="N69" si="120">P69/M69*100</f>
        <v>3.2214788410565762</v>
      </c>
      <c r="O69" s="211">
        <f t="shared" ref="O69" si="121">Q69/M69*100</f>
        <v>7.5199140112087335</v>
      </c>
      <c r="P69" s="176">
        <f>$U$69*K69/SUM($K$69:$K$71)</f>
        <v>46.173538067818306</v>
      </c>
      <c r="Q69" s="212">
        <f>$V$69*L69/SUM($L$69:$L$71)</f>
        <v>107.78311855973129</v>
      </c>
      <c r="R69" s="347">
        <v>4340</v>
      </c>
      <c r="S69" s="347">
        <v>3.7</v>
      </c>
      <c r="T69" s="347">
        <v>7.65</v>
      </c>
      <c r="U69" s="347">
        <f>R69*S69%</f>
        <v>160.58000000000001</v>
      </c>
      <c r="V69" s="347">
        <f>R69*T69%</f>
        <v>332.01</v>
      </c>
      <c r="X69" s="176">
        <f t="shared" si="48"/>
        <v>1433</v>
      </c>
      <c r="Y69" s="210">
        <f t="shared" si="49"/>
        <v>3.22</v>
      </c>
      <c r="Z69" s="210">
        <f t="shared" si="50"/>
        <v>7.52</v>
      </c>
    </row>
    <row r="70" spans="1:26" x14ac:dyDescent="0.25">
      <c r="A70" s="220">
        <v>72185</v>
      </c>
      <c r="B70" s="221">
        <v>1023</v>
      </c>
      <c r="C70" s="109" t="s">
        <v>77</v>
      </c>
      <c r="D70" s="229">
        <v>45941</v>
      </c>
      <c r="E70" s="65"/>
      <c r="F70" s="227" t="s">
        <v>6</v>
      </c>
      <c r="G70" s="65" t="str">
        <f t="shared" si="83"/>
        <v>Hisri</v>
      </c>
      <c r="H70" s="65">
        <v>1925</v>
      </c>
      <c r="I70" s="65">
        <v>4.2</v>
      </c>
      <c r="J70" s="65">
        <v>8.18</v>
      </c>
      <c r="K70" s="176">
        <f t="shared" si="112"/>
        <v>80.850000000000009</v>
      </c>
      <c r="L70" s="177">
        <f t="shared" si="113"/>
        <v>157.465</v>
      </c>
      <c r="M70" s="209">
        <f>$R$69*H70/SUM($H$69:$H$71)</f>
        <v>1929.4457274826789</v>
      </c>
      <c r="N70" s="211">
        <f t="shared" ref="N70" si="122">P70/M70*100</f>
        <v>4.1000639795265528</v>
      </c>
      <c r="O70" s="211">
        <f t="shared" ref="O70" si="123">Q70/M70*100</f>
        <v>7.8660993109574733</v>
      </c>
      <c r="P70" s="176">
        <f>$U$69*K70/SUM($K$69:$K$71)</f>
        <v>79.108509277031359</v>
      </c>
      <c r="Q70" s="212">
        <f>$V$69*L70/SUM($L$69:$L$71)</f>
        <v>151.77211707481342</v>
      </c>
      <c r="R70" s="349"/>
      <c r="S70" s="349"/>
      <c r="T70" s="349"/>
      <c r="U70" s="349"/>
      <c r="V70" s="349"/>
      <c r="X70" s="176">
        <f t="shared" si="48"/>
        <v>1929</v>
      </c>
      <c r="Y70" s="210">
        <f t="shared" si="49"/>
        <v>4.0999999999999996</v>
      </c>
      <c r="Z70" s="210">
        <f t="shared" si="50"/>
        <v>7.87</v>
      </c>
    </row>
    <row r="71" spans="1:26" x14ac:dyDescent="0.25">
      <c r="A71" s="220">
        <v>72185</v>
      </c>
      <c r="B71" s="221">
        <v>1023</v>
      </c>
      <c r="C71" s="109" t="s">
        <v>77</v>
      </c>
      <c r="D71" s="229">
        <v>45941</v>
      </c>
      <c r="E71" s="65"/>
      <c r="F71" s="227" t="s">
        <v>12</v>
      </c>
      <c r="G71" s="65" t="str">
        <f t="shared" si="83"/>
        <v>Ormanjhi</v>
      </c>
      <c r="H71" s="65">
        <v>975</v>
      </c>
      <c r="I71" s="65">
        <v>3.7</v>
      </c>
      <c r="J71" s="65">
        <v>7.71</v>
      </c>
      <c r="K71" s="176">
        <f t="shared" si="112"/>
        <v>36.075000000000003</v>
      </c>
      <c r="L71" s="177">
        <f t="shared" si="113"/>
        <v>75.172499999999999</v>
      </c>
      <c r="M71" s="209">
        <f>$R$69*H71/SUM($H$69:$H$71)</f>
        <v>977.25173210161665</v>
      </c>
      <c r="N71" s="211">
        <f t="shared" ref="N71:N72" si="124">P71/M71*100</f>
        <v>3.6119611248210099</v>
      </c>
      <c r="O71" s="211">
        <f t="shared" ref="O71:O72" si="125">Q71/M71*100</f>
        <v>7.4141351696188424</v>
      </c>
      <c r="P71" s="176">
        <f>$U$69*K71/SUM($K$69:$K$71)</f>
        <v>35.297952655150354</v>
      </c>
      <c r="Q71" s="212">
        <f>$V$69*L71/SUM($L$69:$L$71)</f>
        <v>72.454764365455262</v>
      </c>
      <c r="R71" s="348"/>
      <c r="S71" s="348"/>
      <c r="T71" s="348"/>
      <c r="U71" s="348"/>
      <c r="V71" s="348"/>
      <c r="X71" s="176">
        <f t="shared" si="48"/>
        <v>977</v>
      </c>
      <c r="Y71" s="210">
        <f t="shared" si="49"/>
        <v>3.61</v>
      </c>
      <c r="Z71" s="210">
        <f t="shared" si="50"/>
        <v>7.41</v>
      </c>
    </row>
    <row r="72" spans="1:26" x14ac:dyDescent="0.25">
      <c r="A72" s="220">
        <v>72185</v>
      </c>
      <c r="B72" s="221">
        <v>1023</v>
      </c>
      <c r="C72" s="109" t="s">
        <v>109</v>
      </c>
      <c r="D72" s="229">
        <v>45941</v>
      </c>
      <c r="E72" s="65"/>
      <c r="F72" s="227" t="s">
        <v>14</v>
      </c>
      <c r="G72" s="65" t="str">
        <f t="shared" si="83"/>
        <v>Piragutu</v>
      </c>
      <c r="H72" s="65">
        <v>1230</v>
      </c>
      <c r="I72" s="65">
        <v>4.3</v>
      </c>
      <c r="J72" s="65">
        <v>8.33</v>
      </c>
      <c r="K72" s="176">
        <f t="shared" si="112"/>
        <v>52.889999999999993</v>
      </c>
      <c r="L72" s="177">
        <f t="shared" si="113"/>
        <v>102.459</v>
      </c>
      <c r="M72" s="209">
        <f>$R$72*H72/SUM($H$72:$H$73)</f>
        <v>1230</v>
      </c>
      <c r="N72" s="211">
        <f t="shared" si="124"/>
        <v>4.2071507987594368</v>
      </c>
      <c r="O72" s="211">
        <f t="shared" si="125"/>
        <v>8.1023747874680119</v>
      </c>
      <c r="P72" s="176">
        <f>$U$72*K72/SUM($K$72:$K$73)</f>
        <v>51.747954824741072</v>
      </c>
      <c r="Q72" s="212">
        <f>$V$72*L72/SUM($L$72:$L$73)</f>
        <v>99.659209885856541</v>
      </c>
      <c r="R72" s="347">
        <v>4180</v>
      </c>
      <c r="S72" s="347">
        <v>4</v>
      </c>
      <c r="T72" s="347">
        <v>8.02</v>
      </c>
      <c r="U72" s="350">
        <f>R72*S72%</f>
        <v>167.20000000000002</v>
      </c>
      <c r="V72" s="350">
        <f>R72*T72%</f>
        <v>335.23599999999999</v>
      </c>
      <c r="X72" s="176">
        <f t="shared" si="48"/>
        <v>1230</v>
      </c>
      <c r="Y72" s="210">
        <f t="shared" si="49"/>
        <v>4.21</v>
      </c>
      <c r="Z72" s="210">
        <f t="shared" si="50"/>
        <v>8.1</v>
      </c>
    </row>
    <row r="73" spans="1:26" x14ac:dyDescent="0.25">
      <c r="A73" s="220">
        <v>72185</v>
      </c>
      <c r="B73" s="221">
        <v>1023</v>
      </c>
      <c r="C73" s="109" t="s">
        <v>109</v>
      </c>
      <c r="D73" s="229">
        <v>45941</v>
      </c>
      <c r="E73" s="65"/>
      <c r="F73" s="227" t="s">
        <v>4</v>
      </c>
      <c r="G73" s="65" t="str">
        <f t="shared" si="83"/>
        <v>Pali</v>
      </c>
      <c r="H73" s="65">
        <v>2950</v>
      </c>
      <c r="I73" s="65">
        <v>4</v>
      </c>
      <c r="J73" s="65">
        <v>8.2100000000000009</v>
      </c>
      <c r="K73" s="176">
        <f t="shared" si="112"/>
        <v>118</v>
      </c>
      <c r="L73" s="177">
        <f t="shared" si="113"/>
        <v>242.19500000000002</v>
      </c>
      <c r="M73" s="209">
        <f>$R$72*H73/SUM($H$72:$H$73)</f>
        <v>2950</v>
      </c>
      <c r="N73" s="211">
        <f t="shared" ref="N73" si="126">P73/M73*100</f>
        <v>3.9136286500087785</v>
      </c>
      <c r="O73" s="211">
        <f t="shared" ref="O73" si="127">Q73/M73*100</f>
        <v>7.985653902174354</v>
      </c>
      <c r="P73" s="176">
        <f>$U$72*K73/SUM($K$72:$K$73)</f>
        <v>115.45204517525896</v>
      </c>
      <c r="Q73" s="212">
        <f>$V$72*L73/SUM($L$72:$L$73)</f>
        <v>235.57679011414345</v>
      </c>
      <c r="R73" s="348"/>
      <c r="S73" s="348"/>
      <c r="T73" s="348"/>
      <c r="U73" s="352"/>
      <c r="V73" s="352"/>
      <c r="X73" s="176">
        <f t="shared" si="48"/>
        <v>2950</v>
      </c>
      <c r="Y73" s="210">
        <f t="shared" si="49"/>
        <v>3.91</v>
      </c>
      <c r="Z73" s="210">
        <f t="shared" si="50"/>
        <v>7.99</v>
      </c>
    </row>
    <row r="74" spans="1:26" x14ac:dyDescent="0.25">
      <c r="A74" s="220">
        <v>72417</v>
      </c>
      <c r="B74" s="221">
        <v>9944</v>
      </c>
      <c r="C74" s="109" t="s">
        <v>73</v>
      </c>
      <c r="D74" s="229">
        <v>45942</v>
      </c>
      <c r="E74" s="65"/>
      <c r="F74" s="227" t="s">
        <v>89</v>
      </c>
      <c r="G74" s="65" t="str">
        <f t="shared" si="83"/>
        <v>Chanho</v>
      </c>
      <c r="H74" s="65">
        <v>1670</v>
      </c>
      <c r="I74" s="65">
        <v>4.2</v>
      </c>
      <c r="J74" s="65">
        <v>8.31</v>
      </c>
      <c r="K74" s="176">
        <f t="shared" si="112"/>
        <v>70.14</v>
      </c>
      <c r="L74" s="177">
        <f t="shared" si="113"/>
        <v>138.77700000000002</v>
      </c>
      <c r="M74" s="209">
        <f>$R$74*H74/SUM($H$74:$H$75)</f>
        <v>1679.3820224719102</v>
      </c>
      <c r="N74" s="211">
        <f t="shared" ref="N74" si="128">P74/M74*100</f>
        <v>4.0993798550819252</v>
      </c>
      <c r="O74" s="211">
        <f t="shared" ref="O74" si="129">Q74/M74*100</f>
        <v>8.2705200235850658</v>
      </c>
      <c r="P74" s="176">
        <f>$U$74*K74/SUM($K$74:$K$75)</f>
        <v>68.84424831908089</v>
      </c>
      <c r="Q74" s="212">
        <f>$V$74*L74/SUM($L$74:$L$75)</f>
        <v>138.89362644102718</v>
      </c>
      <c r="R74" s="347">
        <v>5370</v>
      </c>
      <c r="S74" s="347">
        <v>4.2</v>
      </c>
      <c r="T74" s="347">
        <v>8.25</v>
      </c>
      <c r="U74" s="350">
        <f>R74*S74%</f>
        <v>225.54000000000002</v>
      </c>
      <c r="V74" s="350">
        <f>R74*T74%</f>
        <v>443.02500000000003</v>
      </c>
      <c r="X74" s="176">
        <f t="shared" ref="X74:X125" si="130">ROUND(M74,0)</f>
        <v>1679</v>
      </c>
      <c r="Y74" s="210">
        <f t="shared" ref="Y74:Y125" si="131">ROUND(N74,2)</f>
        <v>4.0999999999999996</v>
      </c>
      <c r="Z74" s="210">
        <f t="shared" ref="Z74:Z125" si="132">ROUND(O74,2)</f>
        <v>8.27</v>
      </c>
    </row>
    <row r="75" spans="1:26" x14ac:dyDescent="0.25">
      <c r="A75" s="220">
        <v>72417</v>
      </c>
      <c r="B75" s="221">
        <v>9944</v>
      </c>
      <c r="C75" s="109" t="s">
        <v>73</v>
      </c>
      <c r="D75" s="229">
        <v>45942</v>
      </c>
      <c r="E75" s="65"/>
      <c r="F75" s="227" t="s">
        <v>78</v>
      </c>
      <c r="G75" s="65" t="str">
        <f t="shared" si="83"/>
        <v>Bhandra</v>
      </c>
      <c r="H75" s="65">
        <v>3670</v>
      </c>
      <c r="I75" s="65">
        <v>4.3499999999999996</v>
      </c>
      <c r="J75" s="65">
        <v>8.2799999999999994</v>
      </c>
      <c r="K75" s="176">
        <f t="shared" si="112"/>
        <v>159.64499999999998</v>
      </c>
      <c r="L75" s="177">
        <f t="shared" si="113"/>
        <v>303.87599999999998</v>
      </c>
      <c r="M75" s="209">
        <f>$R$74*H75/SUM($H$74:$H$75)</f>
        <v>3690.6179775280898</v>
      </c>
      <c r="N75" s="211">
        <f t="shared" ref="N75" si="133">P75/M75*100</f>
        <v>4.2457862784777074</v>
      </c>
      <c r="O75" s="211">
        <f t="shared" ref="O75" si="134">Q75/M75*100</f>
        <v>8.2406625505757329</v>
      </c>
      <c r="P75" s="176">
        <f>$U$74*K75/SUM($K$74:$K$75)</f>
        <v>156.69575168091913</v>
      </c>
      <c r="Q75" s="212">
        <f>$V$74*L75/SUM($L$74:$L$75)</f>
        <v>304.13137355897283</v>
      </c>
      <c r="R75" s="348"/>
      <c r="S75" s="348"/>
      <c r="T75" s="348"/>
      <c r="U75" s="352"/>
      <c r="V75" s="352"/>
      <c r="X75" s="176">
        <f t="shared" si="130"/>
        <v>3691</v>
      </c>
      <c r="Y75" s="210">
        <f t="shared" si="131"/>
        <v>4.25</v>
      </c>
      <c r="Z75" s="210">
        <f t="shared" si="132"/>
        <v>8.24</v>
      </c>
    </row>
    <row r="76" spans="1:26" x14ac:dyDescent="0.25">
      <c r="A76" s="220">
        <v>72250</v>
      </c>
      <c r="B76" s="221">
        <v>1023</v>
      </c>
      <c r="C76" s="109" t="s">
        <v>73</v>
      </c>
      <c r="D76" s="229">
        <v>45942</v>
      </c>
      <c r="E76" s="65"/>
      <c r="F76" s="227" t="s">
        <v>12</v>
      </c>
      <c r="G76" s="65" t="str">
        <f t="shared" si="83"/>
        <v>Ormanjhi</v>
      </c>
      <c r="H76" s="65">
        <v>2340</v>
      </c>
      <c r="I76" s="65">
        <v>4</v>
      </c>
      <c r="J76" s="65">
        <v>8.14</v>
      </c>
      <c r="K76" s="176">
        <f t="shared" si="112"/>
        <v>93.600000000000009</v>
      </c>
      <c r="L76" s="177">
        <f t="shared" si="113"/>
        <v>190.476</v>
      </c>
      <c r="M76" s="209">
        <f>$R$76*H76/SUM($H$76:$H$77)</f>
        <v>2340</v>
      </c>
      <c r="N76" s="211">
        <f t="shared" ref="N76" si="135">P76/M76*100</f>
        <v>4.0011819378408138</v>
      </c>
      <c r="O76" s="211">
        <f t="shared" ref="O76" si="136">Q76/M76*100</f>
        <v>8.1236036489705796</v>
      </c>
      <c r="P76" s="176">
        <f>$U$76*K76/SUM($K$76:$K$77)</f>
        <v>93.627657345475058</v>
      </c>
      <c r="Q76" s="212">
        <f>$V$76*L76/SUM($L$76:$L$77)</f>
        <v>190.09232538591155</v>
      </c>
      <c r="R76" s="347">
        <v>4330</v>
      </c>
      <c r="S76" s="347">
        <v>4.3</v>
      </c>
      <c r="T76" s="347">
        <v>8.33</v>
      </c>
      <c r="U76" s="350">
        <f>R76*S76%</f>
        <v>186.19</v>
      </c>
      <c r="V76" s="350">
        <f>R76*T76%</f>
        <v>360.68900000000002</v>
      </c>
      <c r="X76" s="176">
        <f t="shared" si="130"/>
        <v>2340</v>
      </c>
      <c r="Y76" s="210">
        <f t="shared" si="131"/>
        <v>4</v>
      </c>
      <c r="Z76" s="210">
        <f t="shared" si="132"/>
        <v>8.1199999999999992</v>
      </c>
    </row>
    <row r="77" spans="1:26" x14ac:dyDescent="0.25">
      <c r="A77" s="220">
        <v>72250</v>
      </c>
      <c r="B77" s="221">
        <v>1023</v>
      </c>
      <c r="C77" s="109" t="s">
        <v>73</v>
      </c>
      <c r="D77" s="229">
        <v>45942</v>
      </c>
      <c r="E77" s="65"/>
      <c r="F77" s="227" t="s">
        <v>14</v>
      </c>
      <c r="G77" s="65" t="str">
        <f t="shared" si="83"/>
        <v>Piragutu</v>
      </c>
      <c r="H77" s="65">
        <v>1990</v>
      </c>
      <c r="I77" s="65">
        <v>4.6500000000000004</v>
      </c>
      <c r="J77" s="65">
        <v>8.59</v>
      </c>
      <c r="K77" s="176">
        <f t="shared" si="112"/>
        <v>92.535000000000011</v>
      </c>
      <c r="L77" s="177">
        <f t="shared" si="113"/>
        <v>170.941</v>
      </c>
      <c r="M77" s="209">
        <f>$R$76*H77/SUM($H$76:$H$77)</f>
        <v>1990</v>
      </c>
      <c r="N77" s="211">
        <f t="shared" ref="N77" si="137">P77/M77*100</f>
        <v>4.6513740027399466</v>
      </c>
      <c r="O77" s="211">
        <f t="shared" ref="O77" si="138">Q77/M77*100</f>
        <v>8.5726972167883631</v>
      </c>
      <c r="P77" s="176">
        <f>$U$76*K77/SUM($K$76:$K$77)</f>
        <v>92.56234265452494</v>
      </c>
      <c r="Q77" s="212">
        <f>$V$76*L77/SUM($L$76:$L$77)</f>
        <v>170.59667461408841</v>
      </c>
      <c r="R77" s="348"/>
      <c r="S77" s="348"/>
      <c r="T77" s="348"/>
      <c r="U77" s="352"/>
      <c r="V77" s="352"/>
      <c r="X77" s="176">
        <f t="shared" si="130"/>
        <v>1990</v>
      </c>
      <c r="Y77" s="210">
        <f t="shared" si="131"/>
        <v>4.6500000000000004</v>
      </c>
      <c r="Z77" s="210">
        <f t="shared" si="132"/>
        <v>8.57</v>
      </c>
    </row>
    <row r="78" spans="1:26" x14ac:dyDescent="0.25">
      <c r="A78" s="220">
        <v>72187</v>
      </c>
      <c r="B78" s="221">
        <v>8504</v>
      </c>
      <c r="C78" s="109" t="s">
        <v>73</v>
      </c>
      <c r="D78" s="229">
        <v>45943</v>
      </c>
      <c r="E78" s="65"/>
      <c r="F78" s="227" t="s">
        <v>89</v>
      </c>
      <c r="G78" s="65" t="str">
        <f t="shared" si="83"/>
        <v>Chanho</v>
      </c>
      <c r="H78" s="65">
        <v>1685</v>
      </c>
      <c r="I78" s="65">
        <v>4.2</v>
      </c>
      <c r="J78" s="65">
        <v>8.3699999999999992</v>
      </c>
      <c r="K78" s="176">
        <f t="shared" si="112"/>
        <v>70.77000000000001</v>
      </c>
      <c r="L78" s="177">
        <f t="shared" si="113"/>
        <v>141.03450000000001</v>
      </c>
      <c r="M78" s="209">
        <f>$R$78*H78/SUM($H$78:$H$79)</f>
        <v>1689.6762257169287</v>
      </c>
      <c r="N78" s="211">
        <f t="shared" ref="N78" si="139">P78/M78*100</f>
        <v>4.1968399329291888</v>
      </c>
      <c r="O78" s="211">
        <f t="shared" ref="O78" si="140">Q78/M78*100</f>
        <v>8.3505996908809887</v>
      </c>
      <c r="P78" s="176">
        <f>$U$78*K78/SUM($K$78:$K$79)</f>
        <v>70.913006578098802</v>
      </c>
      <c r="Q78" s="212">
        <f>$V$78*L78/SUM($L$78:$L$79)</f>
        <v>141.09809768160741</v>
      </c>
      <c r="R78" s="347">
        <v>5420</v>
      </c>
      <c r="S78" s="347">
        <v>4.3</v>
      </c>
      <c r="T78" s="347">
        <v>8.33</v>
      </c>
      <c r="U78" s="350">
        <f>R78*S78%</f>
        <v>233.05999999999997</v>
      </c>
      <c r="V78" s="350">
        <f>R78*T78%</f>
        <v>451.48599999999999</v>
      </c>
      <c r="X78" s="176">
        <f t="shared" si="130"/>
        <v>1690</v>
      </c>
      <c r="Y78" s="210">
        <f t="shared" si="131"/>
        <v>4.2</v>
      </c>
      <c r="Z78" s="210">
        <f t="shared" si="132"/>
        <v>8.35</v>
      </c>
    </row>
    <row r="79" spans="1:26" x14ac:dyDescent="0.25">
      <c r="A79" s="220">
        <v>72187</v>
      </c>
      <c r="B79" s="221">
        <v>8504</v>
      </c>
      <c r="C79" s="109" t="s">
        <v>73</v>
      </c>
      <c r="D79" s="229">
        <v>45943</v>
      </c>
      <c r="E79" s="65"/>
      <c r="F79" s="227" t="s">
        <v>78</v>
      </c>
      <c r="G79" s="65" t="str">
        <f t="shared" si="83"/>
        <v>Bhandra</v>
      </c>
      <c r="H79" s="65">
        <v>3720</v>
      </c>
      <c r="I79" s="65">
        <v>4.3499999999999996</v>
      </c>
      <c r="J79" s="65">
        <v>8.34</v>
      </c>
      <c r="K79" s="176">
        <f t="shared" si="112"/>
        <v>161.82</v>
      </c>
      <c r="L79" s="177">
        <f t="shared" si="113"/>
        <v>310.24799999999999</v>
      </c>
      <c r="M79" s="209">
        <f>$R$78*H79/SUM($H$78:$H$79)</f>
        <v>3730.3237742830711</v>
      </c>
      <c r="N79" s="211">
        <f t="shared" ref="N79:N81" si="141">P79/M79*100</f>
        <v>4.3467270733909453</v>
      </c>
      <c r="O79" s="211">
        <f t="shared" ref="O79:O81" si="142">Q79/M79*100</f>
        <v>8.3206692260391204</v>
      </c>
      <c r="P79" s="176">
        <f>$U$78*K79/SUM($K$78:$K$79)</f>
        <v>162.14699342190119</v>
      </c>
      <c r="Q79" s="212">
        <f>$V$78*L79/SUM($L$78:$L$79)</f>
        <v>310.38790231839255</v>
      </c>
      <c r="R79" s="348"/>
      <c r="S79" s="348"/>
      <c r="T79" s="348"/>
      <c r="U79" s="352"/>
      <c r="V79" s="352"/>
      <c r="X79" s="176">
        <f t="shared" si="130"/>
        <v>3730</v>
      </c>
      <c r="Y79" s="210">
        <f t="shared" si="131"/>
        <v>4.3499999999999996</v>
      </c>
      <c r="Z79" s="210">
        <f t="shared" si="132"/>
        <v>8.32</v>
      </c>
    </row>
    <row r="80" spans="1:26" x14ac:dyDescent="0.25">
      <c r="A80" s="220">
        <v>72186</v>
      </c>
      <c r="B80" s="221">
        <v>8504</v>
      </c>
      <c r="C80" s="109" t="s">
        <v>73</v>
      </c>
      <c r="D80" s="229">
        <v>45942</v>
      </c>
      <c r="E80" s="65"/>
      <c r="F80" s="227" t="s">
        <v>2</v>
      </c>
      <c r="G80" s="65" t="str">
        <f t="shared" si="83"/>
        <v>Itki</v>
      </c>
      <c r="H80" s="65">
        <v>6270</v>
      </c>
      <c r="I80" s="65">
        <v>4.0999999999999996</v>
      </c>
      <c r="J80" s="65">
        <v>8.2899999999999991</v>
      </c>
      <c r="K80" s="176">
        <f t="shared" si="112"/>
        <v>257.07</v>
      </c>
      <c r="L80" s="177">
        <f t="shared" si="113"/>
        <v>519.7829999999999</v>
      </c>
      <c r="M80" s="209">
        <f>$R$80*H80/SUM($H$80)</f>
        <v>6270</v>
      </c>
      <c r="N80" s="211">
        <f t="shared" si="141"/>
        <v>4.1000000000000005</v>
      </c>
      <c r="O80" s="211">
        <f t="shared" si="142"/>
        <v>8.2899999999999991</v>
      </c>
      <c r="P80" s="176">
        <f>$U$80*K80/SUM($K$80)</f>
        <v>257.07</v>
      </c>
      <c r="Q80" s="212">
        <f>$V$80*L80/SUM($L$80)</f>
        <v>519.7829999999999</v>
      </c>
      <c r="R80" s="249">
        <v>6270</v>
      </c>
      <c r="S80" s="249">
        <v>4.0999999999999996</v>
      </c>
      <c r="T80" s="249">
        <v>8.2899999999999991</v>
      </c>
      <c r="U80" s="255">
        <f>R80*S80%</f>
        <v>257.07</v>
      </c>
      <c r="V80" s="255">
        <f>R80*T80%</f>
        <v>519.7829999999999</v>
      </c>
      <c r="X80" s="176">
        <f t="shared" si="130"/>
        <v>6270</v>
      </c>
      <c r="Y80" s="210">
        <f t="shared" si="131"/>
        <v>4.0999999999999996</v>
      </c>
      <c r="Z80" s="210">
        <f t="shared" si="132"/>
        <v>8.2899999999999991</v>
      </c>
    </row>
    <row r="81" spans="1:30" x14ac:dyDescent="0.25">
      <c r="A81" s="220">
        <v>72218</v>
      </c>
      <c r="B81" s="221">
        <v>9944</v>
      </c>
      <c r="C81" s="109" t="s">
        <v>73</v>
      </c>
      <c r="D81" s="229">
        <v>45943</v>
      </c>
      <c r="E81" s="65"/>
      <c r="F81" s="227" t="s">
        <v>4</v>
      </c>
      <c r="G81" s="65" t="str">
        <f t="shared" si="83"/>
        <v>Pali</v>
      </c>
      <c r="H81" s="65">
        <v>3812</v>
      </c>
      <c r="I81" s="65">
        <v>4.2</v>
      </c>
      <c r="J81" s="65">
        <v>8.3699999999999992</v>
      </c>
      <c r="K81" s="176">
        <f t="shared" si="112"/>
        <v>160.10400000000001</v>
      </c>
      <c r="L81" s="177">
        <f t="shared" si="113"/>
        <v>319.06439999999998</v>
      </c>
      <c r="M81" s="209">
        <f>$R$81*H81/SUM($H$81:$H$83)</f>
        <v>3773.3909520594193</v>
      </c>
      <c r="N81" s="211">
        <f t="shared" si="141"/>
        <v>4.1305063278838272</v>
      </c>
      <c r="O81" s="211">
        <f t="shared" si="142"/>
        <v>8.2752992955775699</v>
      </c>
      <c r="P81" s="176">
        <f>$U$81*K81/SUM($K$81:$K$83)</f>
        <v>155.86015205061011</v>
      </c>
      <c r="Q81" s="212">
        <f>$V$81*L81/SUM($L$81:$L$83)</f>
        <v>312.25939487516092</v>
      </c>
      <c r="R81" s="347">
        <v>7330</v>
      </c>
      <c r="S81" s="347">
        <v>4.0999999999999996</v>
      </c>
      <c r="T81" s="347">
        <v>8.23</v>
      </c>
      <c r="U81" s="347">
        <f>R81*S81%</f>
        <v>300.52999999999997</v>
      </c>
      <c r="V81" s="347">
        <f>R81*T81%</f>
        <v>603.25900000000001</v>
      </c>
      <c r="X81" s="176">
        <f t="shared" si="130"/>
        <v>3773</v>
      </c>
      <c r="Y81" s="210">
        <f t="shared" si="131"/>
        <v>4.13</v>
      </c>
      <c r="Z81" s="210">
        <f t="shared" si="132"/>
        <v>8.2799999999999994</v>
      </c>
    </row>
    <row r="82" spans="1:30" x14ac:dyDescent="0.25">
      <c r="A82" s="220">
        <v>72218</v>
      </c>
      <c r="B82" s="221">
        <v>9944</v>
      </c>
      <c r="C82" s="109" t="s">
        <v>73</v>
      </c>
      <c r="D82" s="229">
        <v>45943</v>
      </c>
      <c r="E82" s="65"/>
      <c r="F82" s="227" t="s">
        <v>6</v>
      </c>
      <c r="G82" s="65" t="str">
        <f t="shared" si="83"/>
        <v>Hisri</v>
      </c>
      <c r="H82" s="65">
        <v>1296</v>
      </c>
      <c r="I82" s="65">
        <v>4.2</v>
      </c>
      <c r="J82" s="65">
        <v>8.25</v>
      </c>
      <c r="K82" s="176">
        <f t="shared" si="112"/>
        <v>54.432000000000002</v>
      </c>
      <c r="L82" s="177">
        <f t="shared" si="113"/>
        <v>106.92</v>
      </c>
      <c r="M82" s="209">
        <f t="shared" ref="M82:M83" si="143">$R$81*H82/SUM($H$81:$H$83)</f>
        <v>1282.8737339635381</v>
      </c>
      <c r="N82" s="211">
        <f t="shared" ref="N82:N85" si="144">P82/M82*100</f>
        <v>4.1305063278838281</v>
      </c>
      <c r="O82" s="211">
        <f t="shared" ref="O82:O85" si="145">Q82/M82*100</f>
        <v>8.1566570117700099</v>
      </c>
      <c r="P82" s="176">
        <f t="shared" ref="P82:P83" si="146">$U$81*K82/SUM($K$81:$K$83)</f>
        <v>52.989180760123489</v>
      </c>
      <c r="Q82" s="212">
        <f t="shared" ref="Q82:Q83" si="147">$V$81*L82/SUM($L$81:$L$83)</f>
        <v>104.63961037349266</v>
      </c>
      <c r="R82" s="349"/>
      <c r="S82" s="349"/>
      <c r="T82" s="349"/>
      <c r="U82" s="349"/>
      <c r="V82" s="349"/>
      <c r="X82" s="176">
        <f t="shared" si="130"/>
        <v>1283</v>
      </c>
      <c r="Y82" s="210">
        <f t="shared" si="131"/>
        <v>4.13</v>
      </c>
      <c r="Z82" s="210">
        <f t="shared" si="132"/>
        <v>8.16</v>
      </c>
    </row>
    <row r="83" spans="1:30" x14ac:dyDescent="0.25">
      <c r="A83" s="220">
        <v>72218</v>
      </c>
      <c r="B83" s="221">
        <v>9944</v>
      </c>
      <c r="C83" s="109" t="s">
        <v>73</v>
      </c>
      <c r="D83" s="229">
        <v>45943</v>
      </c>
      <c r="E83" s="65"/>
      <c r="F83" s="227" t="s">
        <v>12</v>
      </c>
      <c r="G83" s="65" t="str">
        <f t="shared" si="83"/>
        <v>Ormanjhi</v>
      </c>
      <c r="H83" s="65">
        <v>2297</v>
      </c>
      <c r="I83" s="65">
        <v>4.0999999999999996</v>
      </c>
      <c r="J83" s="65">
        <v>8.2899999999999991</v>
      </c>
      <c r="K83" s="176">
        <f t="shared" si="112"/>
        <v>94.176999999999992</v>
      </c>
      <c r="L83" s="177">
        <f t="shared" si="113"/>
        <v>190.42129999999997</v>
      </c>
      <c r="M83" s="209">
        <f t="shared" si="143"/>
        <v>2273.7353139770426</v>
      </c>
      <c r="N83" s="211">
        <f t="shared" si="144"/>
        <v>4.0321609391246884</v>
      </c>
      <c r="O83" s="211">
        <f t="shared" si="145"/>
        <v>8.1962044397058609</v>
      </c>
      <c r="P83" s="176">
        <f t="shared" si="146"/>
        <v>91.680667189266401</v>
      </c>
      <c r="Q83" s="212">
        <f t="shared" si="147"/>
        <v>186.35999475134636</v>
      </c>
      <c r="R83" s="348"/>
      <c r="S83" s="348"/>
      <c r="T83" s="348"/>
      <c r="U83" s="348"/>
      <c r="V83" s="348"/>
      <c r="X83" s="176">
        <f t="shared" si="130"/>
        <v>2274</v>
      </c>
      <c r="Y83" s="210">
        <f t="shared" si="131"/>
        <v>4.03</v>
      </c>
      <c r="Z83" s="210">
        <f t="shared" si="132"/>
        <v>8.1999999999999993</v>
      </c>
    </row>
    <row r="84" spans="1:30" x14ac:dyDescent="0.25">
      <c r="A84" s="220">
        <v>72419</v>
      </c>
      <c r="B84" s="221">
        <v>9944</v>
      </c>
      <c r="C84" s="109" t="s">
        <v>73</v>
      </c>
      <c r="D84" s="229">
        <v>45944</v>
      </c>
      <c r="E84" s="65"/>
      <c r="F84" s="227" t="s">
        <v>2</v>
      </c>
      <c r="G84" s="65" t="str">
        <f t="shared" si="83"/>
        <v>Itki</v>
      </c>
      <c r="H84" s="65">
        <v>6231</v>
      </c>
      <c r="I84" s="65">
        <v>4.2</v>
      </c>
      <c r="J84" s="65">
        <v>8.3699999999999992</v>
      </c>
      <c r="K84" s="176">
        <f t="shared" si="112"/>
        <v>261.702</v>
      </c>
      <c r="L84" s="177">
        <f t="shared" si="113"/>
        <v>521.53469999999993</v>
      </c>
      <c r="M84" s="209">
        <f>$R$84*H84/SUM($H$84)</f>
        <v>6220</v>
      </c>
      <c r="N84" s="211">
        <f t="shared" si="144"/>
        <v>4.1500000000000004</v>
      </c>
      <c r="O84" s="211">
        <f t="shared" si="145"/>
        <v>8.36</v>
      </c>
      <c r="P84" s="176">
        <f>$U$84*K84/SUM($K$84)</f>
        <v>258.13</v>
      </c>
      <c r="Q84" s="212">
        <f>$V$84*L84/SUM($L$84)</f>
        <v>519.99199999999996</v>
      </c>
      <c r="R84" s="249">
        <v>6220</v>
      </c>
      <c r="S84" s="249">
        <v>4.1500000000000004</v>
      </c>
      <c r="T84" s="249">
        <v>8.36</v>
      </c>
      <c r="U84" s="255">
        <f>R84*S84%</f>
        <v>258.13</v>
      </c>
      <c r="V84" s="255">
        <f>R84*T84%</f>
        <v>519.99199999999996</v>
      </c>
      <c r="X84" s="176">
        <f t="shared" si="130"/>
        <v>6220</v>
      </c>
      <c r="Y84" s="210">
        <f t="shared" si="131"/>
        <v>4.1500000000000004</v>
      </c>
      <c r="Z84" s="210">
        <f t="shared" si="132"/>
        <v>8.36</v>
      </c>
    </row>
    <row r="85" spans="1:30" x14ac:dyDescent="0.25">
      <c r="A85" s="220">
        <v>72251</v>
      </c>
      <c r="B85" s="221">
        <v>8504</v>
      </c>
      <c r="C85" s="109" t="s">
        <v>73</v>
      </c>
      <c r="D85" s="229">
        <v>45944</v>
      </c>
      <c r="E85" s="65"/>
      <c r="F85" s="227" t="s">
        <v>89</v>
      </c>
      <c r="G85" s="65" t="str">
        <f t="shared" si="83"/>
        <v>Chanho</v>
      </c>
      <c r="H85" s="65">
        <v>1703</v>
      </c>
      <c r="I85" s="65">
        <v>4.2</v>
      </c>
      <c r="J85" s="65">
        <v>8.25</v>
      </c>
      <c r="K85" s="176">
        <f t="shared" si="112"/>
        <v>71.52600000000001</v>
      </c>
      <c r="L85" s="177">
        <f t="shared" si="113"/>
        <v>140.4975</v>
      </c>
      <c r="M85" s="209">
        <f>$R$85*H85/SUM($H$85:$H$86)</f>
        <v>1702.0665083135391</v>
      </c>
      <c r="N85" s="211">
        <f t="shared" si="144"/>
        <v>4.1306350844787305</v>
      </c>
      <c r="O85" s="211">
        <f t="shared" si="145"/>
        <v>8.2541895496626392</v>
      </c>
      <c r="P85" s="176">
        <f>$U$85*K85/SUM($K$85:$K$86)</f>
        <v>70.306156353561136</v>
      </c>
      <c r="Q85" s="212">
        <f>$V$85*L85/SUM($L$85:$L$86)</f>
        <v>140.49179585752393</v>
      </c>
      <c r="R85" s="347">
        <v>5470</v>
      </c>
      <c r="S85" s="347">
        <v>4.3</v>
      </c>
      <c r="T85" s="347">
        <v>8.33</v>
      </c>
      <c r="U85" s="350">
        <f>R85*S85%</f>
        <v>235.20999999999998</v>
      </c>
      <c r="V85" s="350">
        <f>R85*T85%</f>
        <v>455.65100000000001</v>
      </c>
      <c r="X85" s="176">
        <f t="shared" si="130"/>
        <v>1702</v>
      </c>
      <c r="Y85" s="210">
        <f t="shared" si="131"/>
        <v>4.13</v>
      </c>
      <c r="Z85" s="210">
        <f t="shared" si="132"/>
        <v>8.25</v>
      </c>
    </row>
    <row r="86" spans="1:30" x14ac:dyDescent="0.25">
      <c r="A86" s="220">
        <v>72251</v>
      </c>
      <c r="B86" s="221">
        <v>8504</v>
      </c>
      <c r="C86" s="109" t="s">
        <v>73</v>
      </c>
      <c r="D86" s="229">
        <v>45944</v>
      </c>
      <c r="E86" s="65"/>
      <c r="F86" s="227" t="s">
        <v>78</v>
      </c>
      <c r="G86" s="65" t="str">
        <f t="shared" si="83"/>
        <v>Bhandra</v>
      </c>
      <c r="H86" s="65">
        <v>3770</v>
      </c>
      <c r="I86" s="65">
        <v>4.45</v>
      </c>
      <c r="J86" s="65">
        <v>8.36</v>
      </c>
      <c r="K86" s="176">
        <f t="shared" si="112"/>
        <v>167.76500000000001</v>
      </c>
      <c r="L86" s="177">
        <f t="shared" si="113"/>
        <v>315.17199999999997</v>
      </c>
      <c r="M86" s="209">
        <f>$R$85*H86/SUM($H$85:$H$86)</f>
        <v>3767.9334916864609</v>
      </c>
      <c r="N86" s="211">
        <f t="shared" ref="N86:N87" si="148">P86/M86*100</f>
        <v>4.3765062204596079</v>
      </c>
      <c r="O86" s="211">
        <f t="shared" ref="O86:O87" si="149">Q86/M86*100</f>
        <v>8.3642454103248074</v>
      </c>
      <c r="P86" s="176">
        <f>$U$85*K86/SUM($K$85:$K$86)</f>
        <v>164.90384364643884</v>
      </c>
      <c r="Q86" s="212">
        <f>$V$85*L86/SUM($L$85:$L$86)</f>
        <v>315.15920414247609</v>
      </c>
      <c r="R86" s="348"/>
      <c r="S86" s="348"/>
      <c r="T86" s="348"/>
      <c r="U86" s="352"/>
      <c r="V86" s="352"/>
      <c r="X86" s="176">
        <f t="shared" si="130"/>
        <v>3768</v>
      </c>
      <c r="Y86" s="210">
        <f t="shared" si="131"/>
        <v>4.38</v>
      </c>
      <c r="Z86" s="210">
        <f t="shared" si="132"/>
        <v>8.36</v>
      </c>
    </row>
    <row r="87" spans="1:30" x14ac:dyDescent="0.25">
      <c r="A87" s="220">
        <v>72188</v>
      </c>
      <c r="B87" s="221">
        <v>1023</v>
      </c>
      <c r="C87" s="109" t="s">
        <v>109</v>
      </c>
      <c r="D87" s="229">
        <v>45944</v>
      </c>
      <c r="E87" s="65"/>
      <c r="F87" s="227" t="s">
        <v>14</v>
      </c>
      <c r="G87" s="65" t="str">
        <f t="shared" si="83"/>
        <v>Piragutu</v>
      </c>
      <c r="H87" s="65">
        <v>1507</v>
      </c>
      <c r="I87" s="65">
        <v>4.3499999999999996</v>
      </c>
      <c r="J87" s="65">
        <v>8.34</v>
      </c>
      <c r="K87" s="176">
        <f t="shared" si="112"/>
        <v>65.55449999999999</v>
      </c>
      <c r="L87" s="177">
        <f t="shared" si="113"/>
        <v>125.68380000000001</v>
      </c>
      <c r="M87" s="209">
        <f>$R$87*H87/SUM($H$87:$H$89)</f>
        <v>1506.6512381393195</v>
      </c>
      <c r="N87" s="211">
        <f t="shared" si="148"/>
        <v>4.2998303372285873</v>
      </c>
      <c r="O87" s="211">
        <f t="shared" si="149"/>
        <v>8.2864688752663866</v>
      </c>
      <c r="P87" s="176">
        <f>$U$87*K87/SUM($K$87:$K$89)</f>
        <v>64.783447013744592</v>
      </c>
      <c r="Q87" s="212">
        <f>$V$87*L87/SUM($L$87:$L$89)</f>
        <v>124.84818590723036</v>
      </c>
      <c r="R87" s="347">
        <v>4320</v>
      </c>
      <c r="S87" s="347">
        <v>4.2</v>
      </c>
      <c r="T87" s="347">
        <v>8.25</v>
      </c>
      <c r="U87" s="347">
        <f>R87*S87%</f>
        <v>181.44</v>
      </c>
      <c r="V87" s="347">
        <f>R87*T87%</f>
        <v>356.40000000000003</v>
      </c>
      <c r="X87" s="176">
        <f t="shared" si="130"/>
        <v>1507</v>
      </c>
      <c r="Y87" s="210">
        <f t="shared" si="131"/>
        <v>4.3</v>
      </c>
      <c r="Z87" s="210">
        <f t="shared" si="132"/>
        <v>8.2899999999999991</v>
      </c>
    </row>
    <row r="88" spans="1:30" x14ac:dyDescent="0.25">
      <c r="A88" s="220">
        <v>72188</v>
      </c>
      <c r="B88" s="221">
        <v>1023</v>
      </c>
      <c r="C88" s="109" t="s">
        <v>109</v>
      </c>
      <c r="D88" s="229">
        <v>45944</v>
      </c>
      <c r="E88" s="65"/>
      <c r="F88" s="227" t="s">
        <v>6</v>
      </c>
      <c r="G88" s="65" t="str">
        <f t="shared" si="83"/>
        <v>Hisri</v>
      </c>
      <c r="H88" s="65">
        <v>1264</v>
      </c>
      <c r="I88" s="65">
        <v>4.25</v>
      </c>
      <c r="J88" s="65">
        <v>8.19</v>
      </c>
      <c r="K88" s="176">
        <f t="shared" si="112"/>
        <v>53.720000000000006</v>
      </c>
      <c r="L88" s="177">
        <f t="shared" si="113"/>
        <v>103.52160000000001</v>
      </c>
      <c r="M88" s="209">
        <f t="shared" ref="M88:M89" si="150">$R$87*H88/SUM($H$87:$H$89)</f>
        <v>1263.7074751214996</v>
      </c>
      <c r="N88" s="211">
        <f t="shared" ref="N88:N90" si="151">P88/M88*100</f>
        <v>4.2009836628095405</v>
      </c>
      <c r="O88" s="211">
        <f t="shared" ref="O88:O90" si="152">Q88/M88*100</f>
        <v>8.1374316652795819</v>
      </c>
      <c r="P88" s="176">
        <f t="shared" ref="P88:P89" si="153">$U$87*K88/SUM($K$87:$K$89)</f>
        <v>53.088144575557138</v>
      </c>
      <c r="Q88" s="212">
        <f t="shared" ref="Q88:Q89" si="154">$V$87*L88/SUM($L$87:$L$89)</f>
        <v>102.833332237042</v>
      </c>
      <c r="R88" s="349"/>
      <c r="S88" s="349"/>
      <c r="T88" s="349"/>
      <c r="U88" s="349"/>
      <c r="V88" s="349"/>
      <c r="X88" s="176">
        <f t="shared" si="130"/>
        <v>1264</v>
      </c>
      <c r="Y88" s="210">
        <f t="shared" si="131"/>
        <v>4.2</v>
      </c>
      <c r="Z88" s="210">
        <f t="shared" si="132"/>
        <v>8.14</v>
      </c>
    </row>
    <row r="89" spans="1:30" x14ac:dyDescent="0.25">
      <c r="A89" s="220">
        <v>72188</v>
      </c>
      <c r="B89" s="221">
        <v>1023</v>
      </c>
      <c r="C89" s="109" t="s">
        <v>109</v>
      </c>
      <c r="D89" s="229">
        <v>45944</v>
      </c>
      <c r="E89" s="65"/>
      <c r="F89" s="227" t="s">
        <v>12</v>
      </c>
      <c r="G89" s="65" t="str">
        <f t="shared" si="83"/>
        <v>Ormanjhi</v>
      </c>
      <c r="H89" s="65">
        <v>1550</v>
      </c>
      <c r="I89" s="65">
        <v>4.1500000000000004</v>
      </c>
      <c r="J89" s="65">
        <v>8.36</v>
      </c>
      <c r="K89" s="176">
        <f t="shared" si="112"/>
        <v>64.325000000000003</v>
      </c>
      <c r="L89" s="177">
        <f t="shared" si="113"/>
        <v>129.57999999999998</v>
      </c>
      <c r="M89" s="209">
        <f t="shared" si="150"/>
        <v>1549.6412867391807</v>
      </c>
      <c r="N89" s="211">
        <f t="shared" si="151"/>
        <v>4.1021369883904928</v>
      </c>
      <c r="O89" s="211">
        <f t="shared" si="152"/>
        <v>8.3063405032646251</v>
      </c>
      <c r="P89" s="176">
        <f t="shared" si="153"/>
        <v>63.568408410698297</v>
      </c>
      <c r="Q89" s="212">
        <f t="shared" si="154"/>
        <v>128.71848185572767</v>
      </c>
      <c r="R89" s="348"/>
      <c r="S89" s="348"/>
      <c r="T89" s="348"/>
      <c r="U89" s="348"/>
      <c r="V89" s="348"/>
      <c r="X89" s="176">
        <f t="shared" si="130"/>
        <v>1550</v>
      </c>
      <c r="Y89" s="210">
        <f t="shared" si="131"/>
        <v>4.0999999999999996</v>
      </c>
      <c r="Z89" s="210">
        <f t="shared" si="132"/>
        <v>8.31</v>
      </c>
      <c r="AD89" t="s">
        <v>117</v>
      </c>
    </row>
    <row r="90" spans="1:30" x14ac:dyDescent="0.25">
      <c r="A90" s="220">
        <v>72253</v>
      </c>
      <c r="B90" s="221">
        <v>1023</v>
      </c>
      <c r="C90" s="109" t="s">
        <v>109</v>
      </c>
      <c r="D90" s="229">
        <v>45945</v>
      </c>
      <c r="E90" s="65"/>
      <c r="F90" s="227" t="s">
        <v>14</v>
      </c>
      <c r="G90" s="65" t="str">
        <f t="shared" si="83"/>
        <v>Piragutu</v>
      </c>
      <c r="H90" s="65">
        <v>1453</v>
      </c>
      <c r="I90" s="65">
        <v>4.45</v>
      </c>
      <c r="J90" s="65">
        <v>8.4700000000000006</v>
      </c>
      <c r="K90" s="176">
        <f t="shared" si="112"/>
        <v>64.658500000000004</v>
      </c>
      <c r="L90" s="177">
        <f t="shared" si="113"/>
        <v>123.06910000000002</v>
      </c>
      <c r="M90" s="209">
        <f>$R$90*H90/SUM($H$90:$H$91)</f>
        <v>1461.5638506876228</v>
      </c>
      <c r="N90" s="211">
        <f t="shared" si="151"/>
        <v>4.4062136669004044</v>
      </c>
      <c r="O90" s="211">
        <f t="shared" si="152"/>
        <v>8.2839301238415484</v>
      </c>
      <c r="P90" s="176">
        <f>$U$90*K90/SUM($K$90:$K$91)</f>
        <v>64.399626139473853</v>
      </c>
      <c r="Q90" s="212">
        <f>$V$90*L90/SUM($L$90:$L$91)</f>
        <v>121.0749281062905</v>
      </c>
      <c r="R90" s="347">
        <v>2560</v>
      </c>
      <c r="S90" s="347">
        <v>4.3</v>
      </c>
      <c r="T90" s="347">
        <v>8.1999999999999993</v>
      </c>
      <c r="U90" s="350">
        <f>R90*S90%</f>
        <v>110.07999999999998</v>
      </c>
      <c r="V90" s="350">
        <f>R90*T90%</f>
        <v>209.91999999999996</v>
      </c>
      <c r="X90" s="176">
        <f t="shared" si="130"/>
        <v>1462</v>
      </c>
      <c r="Y90" s="210">
        <f t="shared" si="131"/>
        <v>4.41</v>
      </c>
      <c r="Z90" s="210">
        <f t="shared" si="132"/>
        <v>8.2799999999999994</v>
      </c>
    </row>
    <row r="91" spans="1:30" x14ac:dyDescent="0.25">
      <c r="A91" s="220">
        <v>72253</v>
      </c>
      <c r="B91" s="221">
        <v>1023</v>
      </c>
      <c r="C91" s="109" t="s">
        <v>109</v>
      </c>
      <c r="D91" s="229">
        <v>45945</v>
      </c>
      <c r="E91" s="65"/>
      <c r="F91" s="227" t="s">
        <v>6</v>
      </c>
      <c r="G91" s="65" t="str">
        <f t="shared" si="83"/>
        <v>Hisri</v>
      </c>
      <c r="H91" s="65">
        <v>1092</v>
      </c>
      <c r="I91" s="65">
        <v>4.2</v>
      </c>
      <c r="J91" s="65">
        <v>8.27</v>
      </c>
      <c r="K91" s="176">
        <f t="shared" si="112"/>
        <v>45.864000000000004</v>
      </c>
      <c r="L91" s="177">
        <f t="shared" si="113"/>
        <v>90.308399999999992</v>
      </c>
      <c r="M91" s="209">
        <f>$R$90*H91/SUM($H$90:$H$91)</f>
        <v>1098.4361493123772</v>
      </c>
      <c r="N91" s="211">
        <f t="shared" ref="N91" si="155">P91/M91*100</f>
        <v>4.1586735732543145</v>
      </c>
      <c r="O91" s="211">
        <f t="shared" ref="O91" si="156">Q91/M91*100</f>
        <v>8.0883237454745682</v>
      </c>
      <c r="P91" s="176">
        <f>$U$90*K91/SUM($K$90:$K$91)</f>
        <v>45.680373860526132</v>
      </c>
      <c r="Q91" s="212">
        <f>$V$90*L91/SUM($L$90:$L$91)</f>
        <v>88.845071893709488</v>
      </c>
      <c r="R91" s="348"/>
      <c r="S91" s="348"/>
      <c r="T91" s="348"/>
      <c r="U91" s="352"/>
      <c r="V91" s="352"/>
      <c r="X91" s="176">
        <f t="shared" si="130"/>
        <v>1098</v>
      </c>
      <c r="Y91" s="210">
        <f t="shared" si="131"/>
        <v>4.16</v>
      </c>
      <c r="Z91" s="210">
        <f t="shared" si="132"/>
        <v>8.09</v>
      </c>
    </row>
    <row r="92" spans="1:30" x14ac:dyDescent="0.25">
      <c r="A92" s="220">
        <v>72253</v>
      </c>
      <c r="B92" s="221">
        <v>1023</v>
      </c>
      <c r="C92" s="109" t="s">
        <v>77</v>
      </c>
      <c r="D92" s="229">
        <v>45945</v>
      </c>
      <c r="E92" s="65"/>
      <c r="F92" s="227" t="s">
        <v>4</v>
      </c>
      <c r="G92" s="65" t="str">
        <f t="shared" si="83"/>
        <v>Pali</v>
      </c>
      <c r="H92" s="65">
        <v>4330</v>
      </c>
      <c r="I92" s="65">
        <v>4.25</v>
      </c>
      <c r="J92" s="65">
        <v>8.44</v>
      </c>
      <c r="K92" s="176">
        <f t="shared" si="112"/>
        <v>184.02500000000001</v>
      </c>
      <c r="L92" s="177">
        <f t="shared" si="113"/>
        <v>365.45199999999994</v>
      </c>
      <c r="M92" s="209">
        <f>$R$92*H92/SUM($H$92)</f>
        <v>4320</v>
      </c>
      <c r="N92" s="211">
        <f t="shared" ref="N92:N93" si="157">P92/M92*100</f>
        <v>4.25</v>
      </c>
      <c r="O92" s="211">
        <f t="shared" ref="O92:O93" si="158">Q92/M92*100</f>
        <v>8.3800000000000008</v>
      </c>
      <c r="P92" s="176">
        <f>$U$92*K92/SUM($K$92)</f>
        <v>183.60000000000002</v>
      </c>
      <c r="Q92" s="212">
        <f>$V$92*L92/SUM($L$92)</f>
        <v>362.01600000000008</v>
      </c>
      <c r="R92" s="249">
        <v>4320</v>
      </c>
      <c r="S92" s="249">
        <v>4.25</v>
      </c>
      <c r="T92" s="249">
        <v>8.3800000000000008</v>
      </c>
      <c r="U92" s="255">
        <f>R92*S92%</f>
        <v>183.60000000000002</v>
      </c>
      <c r="V92" s="255">
        <f>R92*T92%</f>
        <v>362.01600000000008</v>
      </c>
      <c r="X92" s="176">
        <f t="shared" si="130"/>
        <v>4320</v>
      </c>
      <c r="Y92" s="210">
        <f t="shared" si="131"/>
        <v>4.25</v>
      </c>
      <c r="Z92" s="210">
        <f t="shared" si="132"/>
        <v>8.3800000000000008</v>
      </c>
    </row>
    <row r="93" spans="1:30" x14ac:dyDescent="0.25">
      <c r="A93" s="220">
        <v>72418</v>
      </c>
      <c r="B93" s="221">
        <v>1023</v>
      </c>
      <c r="C93" s="109" t="s">
        <v>77</v>
      </c>
      <c r="D93" s="229">
        <v>45943</v>
      </c>
      <c r="E93" s="65"/>
      <c r="F93" s="227" t="s">
        <v>8</v>
      </c>
      <c r="G93" s="65" t="str">
        <f t="shared" si="83"/>
        <v>Choria</v>
      </c>
      <c r="H93" s="65">
        <v>1252</v>
      </c>
      <c r="I93" s="65">
        <v>2.8</v>
      </c>
      <c r="J93" s="65">
        <v>7.53</v>
      </c>
      <c r="K93" s="176">
        <f t="shared" si="112"/>
        <v>35.055999999999997</v>
      </c>
      <c r="L93" s="177">
        <f t="shared" si="113"/>
        <v>94.275600000000011</v>
      </c>
      <c r="M93" s="209">
        <f>$R$93*H93/SUM($H$93:$H$94)</f>
        <v>1255.7741847081393</v>
      </c>
      <c r="N93" s="211">
        <f t="shared" si="157"/>
        <v>2.8003108531461733</v>
      </c>
      <c r="O93" s="211">
        <f t="shared" si="158"/>
        <v>7.3437314400972982</v>
      </c>
      <c r="P93" s="176">
        <f>$U$93*K93/SUM($K$93:$K$94)</f>
        <v>35.165580785389899</v>
      </c>
      <c r="Q93" s="212">
        <f>$V$93*L93/SUM($L$93:$L$94)</f>
        <v>92.220683619037132</v>
      </c>
      <c r="R93" s="347">
        <v>3660</v>
      </c>
      <c r="S93" s="347">
        <v>3.95</v>
      </c>
      <c r="T93" s="347">
        <v>8.01</v>
      </c>
      <c r="U93" s="350">
        <f>R93*S93%</f>
        <v>144.57</v>
      </c>
      <c r="V93" s="350">
        <f>R93*T93%</f>
        <v>293.166</v>
      </c>
      <c r="X93" s="176">
        <f t="shared" si="130"/>
        <v>1256</v>
      </c>
      <c r="Y93" s="210">
        <f t="shared" si="131"/>
        <v>2.8</v>
      </c>
      <c r="Z93" s="210">
        <f t="shared" si="132"/>
        <v>7.34</v>
      </c>
    </row>
    <row r="94" spans="1:30" x14ac:dyDescent="0.25">
      <c r="A94" s="220">
        <v>72418</v>
      </c>
      <c r="B94" s="221">
        <v>1023</v>
      </c>
      <c r="C94" s="109" t="s">
        <v>77</v>
      </c>
      <c r="D94" s="229">
        <v>45943</v>
      </c>
      <c r="E94" s="65"/>
      <c r="F94" s="227" t="s">
        <v>14</v>
      </c>
      <c r="G94" s="65" t="str">
        <f t="shared" si="83"/>
        <v>Piragutu</v>
      </c>
      <c r="H94" s="65">
        <v>2397</v>
      </c>
      <c r="I94" s="65">
        <v>4.55</v>
      </c>
      <c r="J94" s="65">
        <v>8.57</v>
      </c>
      <c r="K94" s="176">
        <f t="shared" si="112"/>
        <v>109.06349999999999</v>
      </c>
      <c r="L94" s="177">
        <f t="shared" si="113"/>
        <v>205.4229</v>
      </c>
      <c r="M94" s="209">
        <f>$R$93*H94/SUM($H$93:$H$94)</f>
        <v>2404.2258152918607</v>
      </c>
      <c r="N94" s="211">
        <f t="shared" ref="N94" si="159">P94/M94*100</f>
        <v>4.5505051363625331</v>
      </c>
      <c r="O94" s="211">
        <f t="shared" ref="O94" si="160">Q94/M94*100</f>
        <v>8.3580051051306565</v>
      </c>
      <c r="P94" s="176">
        <f>$U$93*K94/SUM($K$93:$K$94)</f>
        <v>109.4044192146101</v>
      </c>
      <c r="Q94" s="212">
        <f>$V$93*L94/SUM($L$93:$L$94)</f>
        <v>200.94531638096285</v>
      </c>
      <c r="R94" s="348"/>
      <c r="S94" s="348"/>
      <c r="T94" s="348"/>
      <c r="U94" s="352"/>
      <c r="V94" s="352"/>
      <c r="X94" s="176">
        <f t="shared" si="130"/>
        <v>2404</v>
      </c>
      <c r="Y94" s="210">
        <f t="shared" si="131"/>
        <v>4.55</v>
      </c>
      <c r="Z94" s="210">
        <f t="shared" si="132"/>
        <v>8.36</v>
      </c>
    </row>
    <row r="95" spans="1:30" x14ac:dyDescent="0.25">
      <c r="A95" s="220">
        <v>72418</v>
      </c>
      <c r="B95" s="221">
        <v>1023</v>
      </c>
      <c r="C95" s="109" t="s">
        <v>109</v>
      </c>
      <c r="D95" s="229">
        <v>45943</v>
      </c>
      <c r="E95" s="65"/>
      <c r="F95" s="227" t="s">
        <v>6</v>
      </c>
      <c r="G95" s="65" t="str">
        <f t="shared" si="83"/>
        <v>Hisri</v>
      </c>
      <c r="H95" s="65">
        <v>949</v>
      </c>
      <c r="I95" s="65">
        <v>4.4000000000000004</v>
      </c>
      <c r="J95" s="65">
        <v>8.3800000000000008</v>
      </c>
      <c r="K95" s="176">
        <f t="shared" ref="K95:K96" si="161">H95*I95%</f>
        <v>41.756000000000007</v>
      </c>
      <c r="L95" s="177">
        <f t="shared" ref="L95:L96" si="162">H95*J95%</f>
        <v>79.526200000000017</v>
      </c>
      <c r="M95" s="209">
        <f>$R$95*H95/SUM($H$95:$H$96)</f>
        <v>917.51913807768642</v>
      </c>
      <c r="N95" s="211">
        <f t="shared" ref="N95" si="163">P95/M95*100</f>
        <v>4.3726387523753374</v>
      </c>
      <c r="O95" s="211">
        <f t="shared" ref="O95" si="164">Q95/M95*100</f>
        <v>8.3463202914482029</v>
      </c>
      <c r="P95" s="176">
        <f>$U$95*K95/SUM($K$95:$K$96)</f>
        <v>40.119797392045093</v>
      </c>
      <c r="Q95" s="212">
        <f>$V$95*L95/SUM($L$95:$L$96)</f>
        <v>76.579085999298599</v>
      </c>
      <c r="R95" s="347">
        <v>3410</v>
      </c>
      <c r="S95" s="347">
        <v>4.3</v>
      </c>
      <c r="T95" s="347">
        <v>8.39</v>
      </c>
      <c r="U95" s="350">
        <f>R95*S95%</f>
        <v>146.63</v>
      </c>
      <c r="V95" s="350">
        <f>R95*T95%</f>
        <v>286.09899999999999</v>
      </c>
      <c r="X95" s="176">
        <f t="shared" ref="X95:X96" si="165">ROUND(M95,0)</f>
        <v>918</v>
      </c>
      <c r="Y95" s="210">
        <f t="shared" ref="Y95:Y96" si="166">ROUND(N95,2)</f>
        <v>4.37</v>
      </c>
      <c r="Z95" s="210">
        <f t="shared" ref="Z95:Z96" si="167">ROUND(O95,2)</f>
        <v>8.35</v>
      </c>
    </row>
    <row r="96" spans="1:30" x14ac:dyDescent="0.25">
      <c r="A96" s="220">
        <v>72418</v>
      </c>
      <c r="B96" s="221">
        <v>1023</v>
      </c>
      <c r="C96" s="109" t="s">
        <v>109</v>
      </c>
      <c r="D96" s="229">
        <v>45943</v>
      </c>
      <c r="E96" s="65"/>
      <c r="F96" s="227" t="s">
        <v>4</v>
      </c>
      <c r="G96" s="65" t="str">
        <f t="shared" si="83"/>
        <v>Pali</v>
      </c>
      <c r="H96" s="65">
        <v>2578</v>
      </c>
      <c r="I96" s="65">
        <v>4.3</v>
      </c>
      <c r="J96" s="65">
        <v>8.44</v>
      </c>
      <c r="K96" s="176">
        <f t="shared" si="161"/>
        <v>110.85399999999998</v>
      </c>
      <c r="L96" s="177">
        <f t="shared" si="162"/>
        <v>217.58319999999998</v>
      </c>
      <c r="M96" s="209">
        <f>$R$95*H96/SUM($H$95:$H$96)</f>
        <v>2492.4808619223136</v>
      </c>
      <c r="N96" s="211">
        <f t="shared" ref="N96" si="168">P96/M96*100</f>
        <v>4.2732605989122598</v>
      </c>
      <c r="O96" s="211">
        <f t="shared" ref="O96" si="169">Q96/M96*100</f>
        <v>8.4060791479502157</v>
      </c>
      <c r="P96" s="176">
        <f>$U$95*K96/SUM($K$95:$K$96)</f>
        <v>106.51020260795491</v>
      </c>
      <c r="Q96" s="212">
        <f>$V$95*L96/SUM($L$95:$L$96)</f>
        <v>209.51991400070142</v>
      </c>
      <c r="R96" s="348"/>
      <c r="S96" s="348"/>
      <c r="T96" s="348"/>
      <c r="U96" s="352"/>
      <c r="V96" s="352"/>
      <c r="X96" s="176">
        <f t="shared" si="165"/>
        <v>2492</v>
      </c>
      <c r="Y96" s="210">
        <f t="shared" si="166"/>
        <v>4.2699999999999996</v>
      </c>
      <c r="Z96" s="210">
        <f t="shared" si="167"/>
        <v>8.41</v>
      </c>
    </row>
    <row r="97" spans="1:26" x14ac:dyDescent="0.25">
      <c r="A97" s="220">
        <v>72219</v>
      </c>
      <c r="B97" s="221">
        <v>9944</v>
      </c>
      <c r="C97" s="109" t="s">
        <v>73</v>
      </c>
      <c r="D97" s="229">
        <v>45946</v>
      </c>
      <c r="E97" s="65"/>
      <c r="F97" s="227" t="s">
        <v>89</v>
      </c>
      <c r="G97" s="65" t="str">
        <f t="shared" si="83"/>
        <v>Chanho</v>
      </c>
      <c r="H97" s="65">
        <v>1812</v>
      </c>
      <c r="I97" s="65">
        <v>4.1500000000000004</v>
      </c>
      <c r="J97" s="65">
        <v>8.36</v>
      </c>
      <c r="K97" s="176">
        <f t="shared" si="112"/>
        <v>75.198000000000008</v>
      </c>
      <c r="L97" s="177">
        <f t="shared" si="113"/>
        <v>151.48319999999998</v>
      </c>
      <c r="M97" s="209">
        <f>$R$97*H97/SUM($H$97:$H$98)</f>
        <v>1818.0044182621502</v>
      </c>
      <c r="N97" s="211">
        <f t="shared" ref="N97" si="170">P97/M97*100</f>
        <v>4.1340356024872262</v>
      </c>
      <c r="O97" s="211">
        <f t="shared" ref="O97" si="171">Q97/M97*100</f>
        <v>8.3966934624372893</v>
      </c>
      <c r="P97" s="176">
        <f>$U$97*K97/SUM($K$97:$K$98)</f>
        <v>75.156949905748078</v>
      </c>
      <c r="Q97" s="212">
        <f>$V$97*L97/SUM($L$97:$L$98)</f>
        <v>152.65225813503903</v>
      </c>
      <c r="R97" s="347">
        <v>5450</v>
      </c>
      <c r="S97" s="347">
        <v>4.3</v>
      </c>
      <c r="T97" s="347">
        <v>8.39</v>
      </c>
      <c r="U97" s="350">
        <f>R97*S97%</f>
        <v>234.35</v>
      </c>
      <c r="V97" s="350">
        <f>R97*T97%</f>
        <v>457.255</v>
      </c>
      <c r="X97" s="176">
        <f t="shared" si="130"/>
        <v>1818</v>
      </c>
      <c r="Y97" s="210">
        <f t="shared" si="131"/>
        <v>4.13</v>
      </c>
      <c r="Z97" s="210">
        <f t="shared" si="132"/>
        <v>8.4</v>
      </c>
    </row>
    <row r="98" spans="1:26" x14ac:dyDescent="0.25">
      <c r="A98" s="220">
        <v>72219</v>
      </c>
      <c r="B98" s="221">
        <v>9944</v>
      </c>
      <c r="C98" s="109" t="s">
        <v>73</v>
      </c>
      <c r="D98" s="229">
        <v>45946</v>
      </c>
      <c r="E98" s="65"/>
      <c r="F98" s="227" t="s">
        <v>78</v>
      </c>
      <c r="G98" s="65" t="str">
        <f t="shared" si="83"/>
        <v>Bhandra</v>
      </c>
      <c r="H98" s="65">
        <v>3620</v>
      </c>
      <c r="I98" s="65">
        <v>4.4000000000000004</v>
      </c>
      <c r="J98" s="65">
        <v>8.35</v>
      </c>
      <c r="K98" s="176">
        <f t="shared" si="112"/>
        <v>159.28000000000003</v>
      </c>
      <c r="L98" s="177">
        <f t="shared" si="113"/>
        <v>302.27</v>
      </c>
      <c r="M98" s="209">
        <f>$R$97*H98/SUM($H$97:$H$98)</f>
        <v>3631.99558173785</v>
      </c>
      <c r="N98" s="211">
        <f t="shared" ref="N98" si="172">P98/M98*100</f>
        <v>4.3830738917936856</v>
      </c>
      <c r="O98" s="211">
        <f t="shared" ref="O98" si="173">Q98/M98*100</f>
        <v>8.3866495707358109</v>
      </c>
      <c r="P98" s="176">
        <f>$U$97*K98/SUM($K$97:$K$98)</f>
        <v>159.1930500942519</v>
      </c>
      <c r="Q98" s="212">
        <f>$V$97*L98/SUM($L$97:$L$98)</f>
        <v>304.60274186496099</v>
      </c>
      <c r="R98" s="348"/>
      <c r="S98" s="348"/>
      <c r="T98" s="348"/>
      <c r="U98" s="352"/>
      <c r="V98" s="352"/>
      <c r="X98" s="176">
        <f t="shared" si="130"/>
        <v>3632</v>
      </c>
      <c r="Y98" s="210">
        <f t="shared" si="131"/>
        <v>4.38</v>
      </c>
      <c r="Z98" s="210">
        <f t="shared" si="132"/>
        <v>8.39</v>
      </c>
    </row>
    <row r="99" spans="1:26" x14ac:dyDescent="0.25">
      <c r="A99" s="220">
        <v>72252</v>
      </c>
      <c r="B99" s="221">
        <v>8504</v>
      </c>
      <c r="C99" s="109" t="s">
        <v>73</v>
      </c>
      <c r="D99" s="229">
        <v>45945</v>
      </c>
      <c r="E99" s="65"/>
      <c r="F99" s="227" t="s">
        <v>89</v>
      </c>
      <c r="G99" s="65" t="str">
        <f t="shared" si="83"/>
        <v>Chanho</v>
      </c>
      <c r="H99" s="65">
        <v>1780</v>
      </c>
      <c r="I99" s="65">
        <v>4.2</v>
      </c>
      <c r="J99" s="65">
        <v>8.31</v>
      </c>
      <c r="K99" s="176">
        <f t="shared" si="112"/>
        <v>74.760000000000005</v>
      </c>
      <c r="L99" s="177">
        <f t="shared" si="113"/>
        <v>147.91800000000001</v>
      </c>
      <c r="M99" s="209">
        <f>$R$99*H99/SUM($H$99:$H$100)</f>
        <v>1779.6740523713606</v>
      </c>
      <c r="N99" s="211">
        <f t="shared" ref="N99" si="174">P99/M99*100</f>
        <v>4.1345787959981326</v>
      </c>
      <c r="O99" s="211">
        <f t="shared" ref="O99" si="175">Q99/M99*100</f>
        <v>8.2297630975284424</v>
      </c>
      <c r="P99" s="176">
        <f>$U$99*K99/SUM($K$99:$K$100)</f>
        <v>73.582026007226972</v>
      </c>
      <c r="Q99" s="212">
        <f>$V$99*L99/SUM($L$99:$L$100)</f>
        <v>146.46295841834723</v>
      </c>
      <c r="R99" s="347">
        <v>5460</v>
      </c>
      <c r="S99" s="347">
        <v>4.4000000000000004</v>
      </c>
      <c r="T99" s="347">
        <v>8.41</v>
      </c>
      <c r="U99" s="350">
        <f>R99*S99%</f>
        <v>240.24000000000004</v>
      </c>
      <c r="V99" s="350">
        <f>R99*T99%</f>
        <v>459.18600000000004</v>
      </c>
      <c r="X99" s="176">
        <f t="shared" si="130"/>
        <v>1780</v>
      </c>
      <c r="Y99" s="210">
        <f t="shared" si="131"/>
        <v>4.13</v>
      </c>
      <c r="Z99" s="210">
        <f t="shared" si="132"/>
        <v>8.23</v>
      </c>
    </row>
    <row r="100" spans="1:26" x14ac:dyDescent="0.25">
      <c r="A100" s="220">
        <v>72252</v>
      </c>
      <c r="B100" s="221">
        <v>8504</v>
      </c>
      <c r="C100" s="109" t="s">
        <v>73</v>
      </c>
      <c r="D100" s="229">
        <v>45945</v>
      </c>
      <c r="E100" s="65"/>
      <c r="F100" s="227" t="s">
        <v>78</v>
      </c>
      <c r="G100" s="65" t="str">
        <f t="shared" si="83"/>
        <v>Bhandra</v>
      </c>
      <c r="H100" s="65">
        <v>3681</v>
      </c>
      <c r="I100" s="65">
        <v>4.5999999999999996</v>
      </c>
      <c r="J100" s="65">
        <v>8.58</v>
      </c>
      <c r="K100" s="176">
        <f t="shared" si="112"/>
        <v>169.32599999999999</v>
      </c>
      <c r="L100" s="177">
        <f t="shared" si="113"/>
        <v>315.82979999999998</v>
      </c>
      <c r="M100" s="209">
        <f>$R$99*H100/SUM($H$99:$H$100)</f>
        <v>3680.3259476286394</v>
      </c>
      <c r="N100" s="211">
        <f t="shared" ref="N100" si="176">P100/M100*100</f>
        <v>4.5283482051408122</v>
      </c>
      <c r="O100" s="211">
        <f t="shared" ref="O100" si="177">Q100/M100*100</f>
        <v>8.497156122357886</v>
      </c>
      <c r="P100" s="176">
        <f>$U$99*K100/SUM($K$99:$K$100)</f>
        <v>166.65797399277307</v>
      </c>
      <c r="Q100" s="212">
        <f>$V$99*L100/SUM($L$99:$L$100)</f>
        <v>312.72304158165281</v>
      </c>
      <c r="R100" s="348"/>
      <c r="S100" s="348"/>
      <c r="T100" s="348"/>
      <c r="U100" s="352"/>
      <c r="V100" s="352"/>
      <c r="X100" s="176">
        <f t="shared" si="130"/>
        <v>3680</v>
      </c>
      <c r="Y100" s="210">
        <f t="shared" si="131"/>
        <v>4.53</v>
      </c>
      <c r="Z100" s="210">
        <f t="shared" si="132"/>
        <v>8.5</v>
      </c>
    </row>
    <row r="101" spans="1:26" x14ac:dyDescent="0.25">
      <c r="A101" s="220">
        <v>72420</v>
      </c>
      <c r="B101" s="221">
        <v>1023</v>
      </c>
      <c r="C101" s="109" t="s">
        <v>77</v>
      </c>
      <c r="D101" s="229">
        <v>45946</v>
      </c>
      <c r="E101" s="65"/>
      <c r="F101" s="227" t="s">
        <v>4</v>
      </c>
      <c r="G101" s="65" t="str">
        <f t="shared" si="83"/>
        <v>Pali</v>
      </c>
      <c r="H101" s="65">
        <v>3109</v>
      </c>
      <c r="I101" s="65">
        <v>4.2</v>
      </c>
      <c r="J101" s="65">
        <v>8.3699999999999992</v>
      </c>
      <c r="K101" s="176">
        <f t="shared" si="112"/>
        <v>130.578</v>
      </c>
      <c r="L101" s="177">
        <f t="shared" si="113"/>
        <v>260.22329999999999</v>
      </c>
      <c r="M101" s="209">
        <f>$R$101*H101/SUM($H$101:$H$102)</f>
        <v>3109</v>
      </c>
      <c r="N101" s="211">
        <f t="shared" ref="N101" si="178">P101/M101*100</f>
        <v>4.2191054296210808</v>
      </c>
      <c r="O101" s="211">
        <f t="shared" ref="O101" si="179">Q101/M101*100</f>
        <v>8.3301609907379177</v>
      </c>
      <c r="P101" s="176">
        <f>$U$101*K101/SUM($K$101:$K$102)</f>
        <v>131.17198780691939</v>
      </c>
      <c r="Q101" s="212">
        <f>$V$101*L101/SUM($L$101:$L$102)</f>
        <v>258.98470520204188</v>
      </c>
      <c r="R101" s="347">
        <v>4330</v>
      </c>
      <c r="S101" s="347">
        <v>3.95</v>
      </c>
      <c r="T101" s="347">
        <v>8.26</v>
      </c>
      <c r="U101" s="350">
        <f t="shared" ref="U101" si="180">R101*S101%</f>
        <v>171.035</v>
      </c>
      <c r="V101" s="350">
        <f t="shared" ref="V101" si="181">R101*T101%</f>
        <v>357.65799999999996</v>
      </c>
      <c r="X101" s="176">
        <f t="shared" si="130"/>
        <v>3109</v>
      </c>
      <c r="Y101" s="210">
        <f t="shared" si="131"/>
        <v>4.22</v>
      </c>
      <c r="Z101" s="210">
        <f t="shared" si="132"/>
        <v>8.33</v>
      </c>
    </row>
    <row r="102" spans="1:26" x14ac:dyDescent="0.25">
      <c r="A102" s="220">
        <v>72420</v>
      </c>
      <c r="B102" s="221">
        <v>1023</v>
      </c>
      <c r="C102" s="109" t="s">
        <v>77</v>
      </c>
      <c r="D102" s="229">
        <v>45946</v>
      </c>
      <c r="E102" s="65"/>
      <c r="F102" s="227" t="s">
        <v>8</v>
      </c>
      <c r="G102" s="65" t="str">
        <f t="shared" si="83"/>
        <v>Choria</v>
      </c>
      <c r="H102" s="65">
        <v>1221</v>
      </c>
      <c r="I102" s="65">
        <v>3.25</v>
      </c>
      <c r="J102" s="65">
        <v>8.1199999999999992</v>
      </c>
      <c r="K102" s="176">
        <f t="shared" si="112"/>
        <v>39.682500000000005</v>
      </c>
      <c r="L102" s="177">
        <f t="shared" si="113"/>
        <v>99.145199999999988</v>
      </c>
      <c r="M102" s="209">
        <f>$R$101*H102/SUM($H$101:$H$102)</f>
        <v>1221</v>
      </c>
      <c r="N102" s="211">
        <f t="shared" ref="N102" si="182">P102/M102*100</f>
        <v>3.2647839633972651</v>
      </c>
      <c r="O102" s="211">
        <f t="shared" ref="O102" si="183">Q102/M102*100</f>
        <v>8.0813509253036901</v>
      </c>
      <c r="P102" s="176">
        <f>$U$101*K102/SUM($K$101:$K$102)</f>
        <v>39.863012193080607</v>
      </c>
      <c r="Q102" s="212">
        <f>$V$101*L102/SUM($L$101:$L$102)</f>
        <v>98.673294797958064</v>
      </c>
      <c r="R102" s="348"/>
      <c r="S102" s="348"/>
      <c r="T102" s="348"/>
      <c r="U102" s="352"/>
      <c r="V102" s="352"/>
      <c r="X102" s="176">
        <f t="shared" si="130"/>
        <v>1221</v>
      </c>
      <c r="Y102" s="210">
        <f t="shared" si="131"/>
        <v>3.26</v>
      </c>
      <c r="Z102" s="210">
        <f t="shared" si="132"/>
        <v>8.08</v>
      </c>
    </row>
    <row r="103" spans="1:26" x14ac:dyDescent="0.25">
      <c r="A103" s="220">
        <v>72420</v>
      </c>
      <c r="B103" s="221">
        <v>1023</v>
      </c>
      <c r="C103" s="109" t="s">
        <v>109</v>
      </c>
      <c r="D103" s="229">
        <v>45946</v>
      </c>
      <c r="E103" s="65"/>
      <c r="F103" s="227" t="s">
        <v>12</v>
      </c>
      <c r="G103" s="65" t="str">
        <f t="shared" si="83"/>
        <v>Ormanjhi</v>
      </c>
      <c r="H103" s="65">
        <v>2170</v>
      </c>
      <c r="I103" s="65">
        <v>4.1500000000000004</v>
      </c>
      <c r="J103" s="65">
        <v>8.42</v>
      </c>
      <c r="K103" s="176">
        <f t="shared" si="112"/>
        <v>90.055000000000007</v>
      </c>
      <c r="L103" s="177">
        <f t="shared" si="113"/>
        <v>182.714</v>
      </c>
      <c r="M103" s="209">
        <f>$R$103*H103/SUM($H$103:$H$104)</f>
        <v>2180.551053484603</v>
      </c>
      <c r="N103" s="211">
        <f t="shared" ref="N103" si="184">P103/M103*100</f>
        <v>4.0583578099940256</v>
      </c>
      <c r="O103" s="211">
        <f t="shared" ref="O103" si="185">Q103/M103*100</f>
        <v>8.2532113867247485</v>
      </c>
      <c r="P103" s="176">
        <f>$U$103*K103/SUM($K$103:$K$104)</f>
        <v>88.494563979999384</v>
      </c>
      <c r="Q103" s="212">
        <f>$V$103*L103/SUM($L$103:$L$104)</f>
        <v>179.96548783953773</v>
      </c>
      <c r="R103" s="347">
        <v>3720</v>
      </c>
      <c r="S103" s="347">
        <v>4.2</v>
      </c>
      <c r="T103" s="347">
        <v>8.31</v>
      </c>
      <c r="U103" s="350">
        <f t="shared" ref="U103" si="186">R103*S103%</f>
        <v>156.24</v>
      </c>
      <c r="V103" s="350">
        <f t="shared" ref="V103" si="187">R103*T103%</f>
        <v>309.13200000000001</v>
      </c>
      <c r="X103" s="176">
        <f t="shared" si="130"/>
        <v>2181</v>
      </c>
      <c r="Y103" s="210">
        <f t="shared" si="131"/>
        <v>4.0599999999999996</v>
      </c>
      <c r="Z103" s="210">
        <f t="shared" si="132"/>
        <v>8.25</v>
      </c>
    </row>
    <row r="104" spans="1:26" x14ac:dyDescent="0.25">
      <c r="A104" s="220">
        <v>72420</v>
      </c>
      <c r="B104" s="221">
        <v>1023</v>
      </c>
      <c r="C104" s="109" t="s">
        <v>109</v>
      </c>
      <c r="D104" s="229">
        <v>45946</v>
      </c>
      <c r="E104" s="65"/>
      <c r="F104" s="227" t="s">
        <v>14</v>
      </c>
      <c r="G104" s="65" t="str">
        <f t="shared" si="83"/>
        <v>Piragutu</v>
      </c>
      <c r="H104" s="65">
        <v>1532</v>
      </c>
      <c r="I104" s="65">
        <v>4.5</v>
      </c>
      <c r="J104" s="65">
        <v>8.56</v>
      </c>
      <c r="K104" s="176">
        <f t="shared" si="112"/>
        <v>68.94</v>
      </c>
      <c r="L104" s="177">
        <f t="shared" si="113"/>
        <v>131.13920000000002</v>
      </c>
      <c r="M104" s="209">
        <f>$R$103*H104/SUM($H$103:$H$104)</f>
        <v>1539.448946515397</v>
      </c>
      <c r="N104" s="211">
        <f t="shared" ref="N104" si="188">P104/M104*100</f>
        <v>4.4006289505959302</v>
      </c>
      <c r="O104" s="211">
        <f t="shared" ref="O104" si="189">Q104/M104*100</f>
        <v>8.3904381793781315</v>
      </c>
      <c r="P104" s="176">
        <f>$U$103*K104/SUM($K$103:$K$104)</f>
        <v>67.745436020000625</v>
      </c>
      <c r="Q104" s="212">
        <f>$V$103*L104/SUM($L$103:$L$104)</f>
        <v>129.1665121604623</v>
      </c>
      <c r="R104" s="348"/>
      <c r="S104" s="348"/>
      <c r="T104" s="348"/>
      <c r="U104" s="352"/>
      <c r="V104" s="352"/>
      <c r="X104" s="176">
        <f t="shared" si="130"/>
        <v>1539</v>
      </c>
      <c r="Y104" s="210">
        <f t="shared" si="131"/>
        <v>4.4000000000000004</v>
      </c>
      <c r="Z104" s="210">
        <f t="shared" si="132"/>
        <v>8.39</v>
      </c>
    </row>
    <row r="105" spans="1:26" x14ac:dyDescent="0.25">
      <c r="A105" s="220">
        <v>72221</v>
      </c>
      <c r="B105" s="221">
        <v>1023</v>
      </c>
      <c r="C105" s="109" t="s">
        <v>109</v>
      </c>
      <c r="D105" s="229">
        <v>45949</v>
      </c>
      <c r="E105" s="65"/>
      <c r="F105" s="227" t="s">
        <v>8</v>
      </c>
      <c r="G105" s="65" t="str">
        <f t="shared" si="83"/>
        <v>Choria</v>
      </c>
      <c r="H105" s="65">
        <v>1780</v>
      </c>
      <c r="I105" s="65">
        <v>3.1</v>
      </c>
      <c r="J105" s="65">
        <v>7.78</v>
      </c>
      <c r="K105" s="176">
        <f t="shared" si="112"/>
        <v>55.18</v>
      </c>
      <c r="L105" s="177">
        <f t="shared" si="113"/>
        <v>138.48400000000001</v>
      </c>
      <c r="M105" s="209">
        <f>$R$105*H105/SUM($H$105:$H$106)</f>
        <v>1780</v>
      </c>
      <c r="N105" s="211">
        <f t="shared" ref="N105" si="190">P105/M105*100</f>
        <v>3.1121342798381213</v>
      </c>
      <c r="O105" s="211">
        <f t="shared" ref="O105" si="191">Q105/M105*100</f>
        <v>7.7633383785413272</v>
      </c>
      <c r="P105" s="176">
        <f>$U$105*K105/SUM($K$105:$K$106)</f>
        <v>55.395990181118556</v>
      </c>
      <c r="Q105" s="212">
        <f>$V$105*L105/SUM($L$105:$L$106)</f>
        <v>138.18742313803563</v>
      </c>
      <c r="R105" s="347">
        <v>3880</v>
      </c>
      <c r="S105" s="347">
        <v>3.9</v>
      </c>
      <c r="T105" s="347">
        <v>8.19</v>
      </c>
      <c r="U105" s="350">
        <f t="shared" ref="U105" si="192">R105*S105%</f>
        <v>151.32</v>
      </c>
      <c r="V105" s="350">
        <f t="shared" ref="V105" si="193">R105*T105%</f>
        <v>317.77199999999999</v>
      </c>
      <c r="X105" s="176">
        <f t="shared" si="130"/>
        <v>1780</v>
      </c>
      <c r="Y105" s="210">
        <f t="shared" si="131"/>
        <v>3.11</v>
      </c>
      <c r="Z105" s="210">
        <f t="shared" si="132"/>
        <v>7.76</v>
      </c>
    </row>
    <row r="106" spans="1:26" x14ac:dyDescent="0.25">
      <c r="A106" s="220">
        <v>72221</v>
      </c>
      <c r="B106" s="221">
        <v>1023</v>
      </c>
      <c r="C106" s="109" t="s">
        <v>109</v>
      </c>
      <c r="D106" s="229">
        <v>45949</v>
      </c>
      <c r="E106" s="65"/>
      <c r="F106" s="227" t="s">
        <v>14</v>
      </c>
      <c r="G106" s="65" t="str">
        <f t="shared" si="83"/>
        <v>Piragutu</v>
      </c>
      <c r="H106" s="65">
        <v>2100</v>
      </c>
      <c r="I106" s="65">
        <v>4.55</v>
      </c>
      <c r="J106" s="65">
        <v>8.57</v>
      </c>
      <c r="K106" s="176">
        <f t="shared" si="112"/>
        <v>95.55</v>
      </c>
      <c r="L106" s="177">
        <f t="shared" si="113"/>
        <v>179.97</v>
      </c>
      <c r="M106" s="209">
        <f>$R$105*H106/SUM($H$105:$H$106)</f>
        <v>2100</v>
      </c>
      <c r="N106" s="211">
        <f t="shared" ref="N106:N107" si="194">P106/M106*100</f>
        <v>4.5678099913753067</v>
      </c>
      <c r="O106" s="211">
        <f t="shared" ref="O106:O107" si="195">Q106/M106*100</f>
        <v>8.5516465172363976</v>
      </c>
      <c r="P106" s="176">
        <f>$U$105*K106/SUM($K$105:$K$106)</f>
        <v>95.924009818881444</v>
      </c>
      <c r="Q106" s="212">
        <f>$V$105*L106/SUM($L$105:$L$106)</f>
        <v>179.58457686196436</v>
      </c>
      <c r="R106" s="348"/>
      <c r="S106" s="348"/>
      <c r="T106" s="348"/>
      <c r="U106" s="352"/>
      <c r="V106" s="352"/>
      <c r="X106" s="176">
        <f t="shared" si="130"/>
        <v>2100</v>
      </c>
      <c r="Y106" s="210">
        <f t="shared" si="131"/>
        <v>4.57</v>
      </c>
      <c r="Z106" s="210">
        <f t="shared" si="132"/>
        <v>8.5500000000000007</v>
      </c>
    </row>
    <row r="107" spans="1:26" x14ac:dyDescent="0.25">
      <c r="A107" s="220">
        <v>72425</v>
      </c>
      <c r="B107" s="221">
        <v>9944</v>
      </c>
      <c r="C107" s="109" t="s">
        <v>73</v>
      </c>
      <c r="D107" s="229">
        <v>45949</v>
      </c>
      <c r="E107" s="65"/>
      <c r="F107" s="227" t="s">
        <v>2</v>
      </c>
      <c r="G107" s="65" t="str">
        <f t="shared" si="83"/>
        <v>Itki</v>
      </c>
      <c r="H107" s="65">
        <v>3140</v>
      </c>
      <c r="I107" s="65">
        <v>4.0999999999999996</v>
      </c>
      <c r="J107" s="65">
        <v>8.35</v>
      </c>
      <c r="K107" s="176">
        <f t="shared" si="112"/>
        <v>128.73999999999998</v>
      </c>
      <c r="L107" s="177">
        <f t="shared" si="113"/>
        <v>262.19</v>
      </c>
      <c r="M107" s="209">
        <f>$R$107*H107/SUM($H$107:$H$109)</f>
        <v>3176.388218252052</v>
      </c>
      <c r="N107" s="211">
        <f t="shared" si="194"/>
        <v>4.0462830483944972</v>
      </c>
      <c r="O107" s="211">
        <f t="shared" si="195"/>
        <v>8.302206939269162</v>
      </c>
      <c r="P107" s="176">
        <f>$U$107*K107/SUM($K$107:$K$109)</f>
        <v>128.52565802633279</v>
      </c>
      <c r="Q107" s="212">
        <f>$V$107*L107/SUM($L$107:$L$109)</f>
        <v>263.71032307384996</v>
      </c>
      <c r="R107" s="347">
        <v>8380</v>
      </c>
      <c r="S107" s="347">
        <v>4.05</v>
      </c>
      <c r="T107" s="347">
        <v>8.34</v>
      </c>
      <c r="U107" s="347">
        <f>R107*S107%</f>
        <v>339.39</v>
      </c>
      <c r="V107" s="347">
        <f>R107*T107%</f>
        <v>698.89200000000005</v>
      </c>
      <c r="X107" s="176">
        <f t="shared" si="130"/>
        <v>3176</v>
      </c>
      <c r="Y107" s="210">
        <f t="shared" si="131"/>
        <v>4.05</v>
      </c>
      <c r="Z107" s="210">
        <f t="shared" si="132"/>
        <v>8.3000000000000007</v>
      </c>
    </row>
    <row r="108" spans="1:26" x14ac:dyDescent="0.25">
      <c r="A108" s="220">
        <v>72425</v>
      </c>
      <c r="B108" s="221">
        <v>9944</v>
      </c>
      <c r="C108" s="109" t="s">
        <v>73</v>
      </c>
      <c r="D108" s="229">
        <v>45949</v>
      </c>
      <c r="E108" s="65"/>
      <c r="F108" s="227" t="s">
        <v>4</v>
      </c>
      <c r="G108" s="65" t="str">
        <f t="shared" si="83"/>
        <v>Pali</v>
      </c>
      <c r="H108" s="65">
        <v>2884</v>
      </c>
      <c r="I108" s="65">
        <v>4.1500000000000004</v>
      </c>
      <c r="J108" s="65">
        <v>8.42</v>
      </c>
      <c r="K108" s="176">
        <f t="shared" si="112"/>
        <v>119.68600000000001</v>
      </c>
      <c r="L108" s="177">
        <f t="shared" si="113"/>
        <v>242.83279999999999</v>
      </c>
      <c r="M108" s="209">
        <f t="shared" ref="M108:M109" si="196">$R$107*H108/SUM($H$107:$H$109)</f>
        <v>2917.4215354901012</v>
      </c>
      <c r="N108" s="211">
        <f t="shared" ref="N108:N109" si="197">P108/M108*100</f>
        <v>4.0956279636188215</v>
      </c>
      <c r="O108" s="211">
        <f t="shared" ref="O108:O109" si="198">Q108/M108*100</f>
        <v>8.3718062788798022</v>
      </c>
      <c r="P108" s="176">
        <f t="shared" ref="P108:P109" si="199">$U$107*K108/SUM($K$107:$K$109)</f>
        <v>119.48673222417018</v>
      </c>
      <c r="Q108" s="212">
        <f t="shared" ref="Q108:Q109" si="200">$V$107*L108/SUM($L$107:$L$109)</f>
        <v>244.24087928955183</v>
      </c>
      <c r="R108" s="349"/>
      <c r="S108" s="349"/>
      <c r="T108" s="349"/>
      <c r="U108" s="349"/>
      <c r="V108" s="349"/>
      <c r="X108" s="176">
        <f t="shared" si="130"/>
        <v>2917</v>
      </c>
      <c r="Y108" s="210">
        <f t="shared" si="131"/>
        <v>4.0999999999999996</v>
      </c>
      <c r="Z108" s="210">
        <f t="shared" si="132"/>
        <v>8.3699999999999992</v>
      </c>
    </row>
    <row r="109" spans="1:26" x14ac:dyDescent="0.25">
      <c r="A109" s="220">
        <v>72425</v>
      </c>
      <c r="B109" s="221">
        <v>9944</v>
      </c>
      <c r="C109" s="109" t="s">
        <v>73</v>
      </c>
      <c r="D109" s="229">
        <v>45949</v>
      </c>
      <c r="E109" s="65"/>
      <c r="F109" s="227" t="s">
        <v>12</v>
      </c>
      <c r="G109" s="65" t="str">
        <f t="shared" si="83"/>
        <v>Ormanjhi</v>
      </c>
      <c r="H109" s="65">
        <v>2260</v>
      </c>
      <c r="I109" s="65">
        <v>4.05</v>
      </c>
      <c r="J109" s="65">
        <v>8.4</v>
      </c>
      <c r="K109" s="176">
        <f t="shared" si="112"/>
        <v>91.53</v>
      </c>
      <c r="L109" s="177">
        <f t="shared" si="113"/>
        <v>189.84</v>
      </c>
      <c r="M109" s="209">
        <f t="shared" si="196"/>
        <v>2286.1902462578464</v>
      </c>
      <c r="N109" s="211">
        <f t="shared" si="197"/>
        <v>3.9969381331701745</v>
      </c>
      <c r="O109" s="211">
        <f t="shared" si="198"/>
        <v>8.3519207532767634</v>
      </c>
      <c r="P109" s="176">
        <f t="shared" si="199"/>
        <v>91.377609749496983</v>
      </c>
      <c r="Q109" s="212">
        <f t="shared" si="200"/>
        <v>190.94079763659821</v>
      </c>
      <c r="R109" s="348"/>
      <c r="S109" s="348"/>
      <c r="T109" s="348"/>
      <c r="U109" s="348"/>
      <c r="V109" s="348"/>
      <c r="X109" s="176">
        <f t="shared" si="130"/>
        <v>2286</v>
      </c>
      <c r="Y109" s="210">
        <f t="shared" si="131"/>
        <v>4</v>
      </c>
      <c r="Z109" s="210">
        <f t="shared" si="132"/>
        <v>8.35</v>
      </c>
    </row>
    <row r="110" spans="1:26" x14ac:dyDescent="0.25">
      <c r="A110" s="220">
        <v>72223</v>
      </c>
      <c r="B110" s="221">
        <v>9944</v>
      </c>
      <c r="C110" s="109" t="s">
        <v>73</v>
      </c>
      <c r="D110" s="229">
        <v>45952</v>
      </c>
      <c r="E110" s="65"/>
      <c r="F110" s="227" t="s">
        <v>4</v>
      </c>
      <c r="G110" s="65" t="str">
        <f t="shared" si="83"/>
        <v>Pali</v>
      </c>
      <c r="H110" s="65">
        <v>4741</v>
      </c>
      <c r="I110" s="65">
        <v>4.1500000000000004</v>
      </c>
      <c r="J110" s="65">
        <v>8.42</v>
      </c>
      <c r="K110" s="176">
        <f t="shared" si="112"/>
        <v>196.75150000000002</v>
      </c>
      <c r="L110" s="177">
        <f t="shared" si="113"/>
        <v>399.19220000000001</v>
      </c>
      <c r="M110" s="209">
        <f>$R$110*H110/SUM($H$110:$H$113)</f>
        <v>4763.9033816425117</v>
      </c>
      <c r="N110" s="211">
        <f t="shared" ref="N110" si="201">P110/M110*100</f>
        <v>4.1451709306666453</v>
      </c>
      <c r="O110" s="211">
        <f t="shared" ref="O110" si="202">Q110/M110*100</f>
        <v>8.334825668235613</v>
      </c>
      <c r="P110" s="176">
        <f>$U$110*K110/SUM($K$110:$K$113)</f>
        <v>197.4719381408907</v>
      </c>
      <c r="Q110" s="212">
        <f>$V$110*L110/SUM($L$110:$L$113)</f>
        <v>397.06304186308444</v>
      </c>
      <c r="R110" s="347">
        <v>9360</v>
      </c>
      <c r="S110" s="347">
        <v>4.05</v>
      </c>
      <c r="T110" s="347">
        <v>8.2799999999999994</v>
      </c>
      <c r="U110" s="347">
        <f>R110*S110%</f>
        <v>379.08</v>
      </c>
      <c r="V110" s="347">
        <f>R110*T110%</f>
        <v>775.00800000000004</v>
      </c>
      <c r="X110" s="176">
        <f t="shared" si="130"/>
        <v>4764</v>
      </c>
      <c r="Y110" s="210">
        <f t="shared" si="131"/>
        <v>4.1500000000000004</v>
      </c>
      <c r="Z110" s="210">
        <f t="shared" si="132"/>
        <v>8.33</v>
      </c>
    </row>
    <row r="111" spans="1:26" x14ac:dyDescent="0.25">
      <c r="A111" s="220">
        <v>72223</v>
      </c>
      <c r="B111" s="221">
        <v>9944</v>
      </c>
      <c r="C111" s="109" t="s">
        <v>73</v>
      </c>
      <c r="D111" s="229">
        <v>45952</v>
      </c>
      <c r="E111" s="65"/>
      <c r="F111" s="227" t="s">
        <v>89</v>
      </c>
      <c r="G111" s="65" t="str">
        <f t="shared" si="83"/>
        <v>Chanho</v>
      </c>
      <c r="H111" s="65">
        <v>1881</v>
      </c>
      <c r="I111" s="65">
        <v>4.2</v>
      </c>
      <c r="J111" s="65">
        <v>8.5</v>
      </c>
      <c r="K111" s="176">
        <f t="shared" si="112"/>
        <v>79.00200000000001</v>
      </c>
      <c r="L111" s="177">
        <f t="shared" si="113"/>
        <v>159.88500000000002</v>
      </c>
      <c r="M111" s="209">
        <f t="shared" ref="M111:M113" si="203">$R$110*H111/SUM($H$110:$H$113)</f>
        <v>1890.0869565217392</v>
      </c>
      <c r="N111" s="211">
        <f t="shared" ref="N111:N114" si="204">P111/M111*100</f>
        <v>4.1951127491084117</v>
      </c>
      <c r="O111" s="211">
        <f t="shared" ref="O111:O114" si="205">Q111/M111*100</f>
        <v>8.4140164109266884</v>
      </c>
      <c r="P111" s="176">
        <f t="shared" ref="P111:P113" si="206">$U$110*K111/SUM($K$110:$K$113)</f>
        <v>79.291278882278647</v>
      </c>
      <c r="Q111" s="212">
        <f t="shared" ref="Q111:Q113" si="207">$V$110*L111/SUM($L$110:$L$113)</f>
        <v>159.0322267025239</v>
      </c>
      <c r="R111" s="349"/>
      <c r="S111" s="349"/>
      <c r="T111" s="349"/>
      <c r="U111" s="349"/>
      <c r="V111" s="349"/>
      <c r="X111" s="176">
        <f t="shared" si="130"/>
        <v>1890</v>
      </c>
      <c r="Y111" s="210">
        <f t="shared" si="131"/>
        <v>4.2</v>
      </c>
      <c r="Z111" s="210">
        <f t="shared" si="132"/>
        <v>8.41</v>
      </c>
    </row>
    <row r="112" spans="1:26" x14ac:dyDescent="0.25">
      <c r="A112" s="220">
        <v>72223</v>
      </c>
      <c r="B112" s="221">
        <v>9944</v>
      </c>
      <c r="C112" s="109" t="s">
        <v>73</v>
      </c>
      <c r="D112" s="229">
        <v>45952</v>
      </c>
      <c r="E112" s="65"/>
      <c r="F112" s="227" t="s">
        <v>8</v>
      </c>
      <c r="G112" s="65" t="str">
        <f t="shared" si="83"/>
        <v>Choria</v>
      </c>
      <c r="H112" s="65">
        <v>1227</v>
      </c>
      <c r="I112" s="65">
        <v>3.35</v>
      </c>
      <c r="J112" s="65">
        <v>8.08</v>
      </c>
      <c r="K112" s="176">
        <f t="shared" si="112"/>
        <v>41.104500000000002</v>
      </c>
      <c r="L112" s="177">
        <f t="shared" si="113"/>
        <v>99.141599999999997</v>
      </c>
      <c r="M112" s="209">
        <f t="shared" si="203"/>
        <v>1232.927536231884</v>
      </c>
      <c r="N112" s="211">
        <f t="shared" si="204"/>
        <v>3.3461018355983767</v>
      </c>
      <c r="O112" s="211">
        <f t="shared" si="205"/>
        <v>7.9982650117985461</v>
      </c>
      <c r="P112" s="176">
        <f t="shared" si="206"/>
        <v>41.255010921452907</v>
      </c>
      <c r="Q112" s="212">
        <f t="shared" si="207"/>
        <v>98.612811751264616</v>
      </c>
      <c r="R112" s="349"/>
      <c r="S112" s="349"/>
      <c r="T112" s="349"/>
      <c r="U112" s="349"/>
      <c r="V112" s="349"/>
      <c r="X112" s="176">
        <f t="shared" si="130"/>
        <v>1233</v>
      </c>
      <c r="Y112" s="210">
        <f t="shared" si="131"/>
        <v>3.35</v>
      </c>
      <c r="Z112" s="210">
        <f t="shared" si="132"/>
        <v>8</v>
      </c>
    </row>
    <row r="113" spans="1:26" x14ac:dyDescent="0.25">
      <c r="A113" s="220">
        <v>72223</v>
      </c>
      <c r="B113" s="221">
        <v>9944</v>
      </c>
      <c r="C113" s="109" t="s">
        <v>73</v>
      </c>
      <c r="D113" s="229">
        <v>45952</v>
      </c>
      <c r="E113" s="65"/>
      <c r="F113" s="227" t="s">
        <v>6</v>
      </c>
      <c r="G113" s="65" t="str">
        <f t="shared" si="83"/>
        <v>Hisri</v>
      </c>
      <c r="H113" s="65">
        <v>1466</v>
      </c>
      <c r="I113" s="65">
        <v>4.1500000000000004</v>
      </c>
      <c r="J113" s="65">
        <v>8.25</v>
      </c>
      <c r="K113" s="176">
        <f t="shared" si="112"/>
        <v>60.839000000000006</v>
      </c>
      <c r="L113" s="177">
        <f t="shared" si="113"/>
        <v>120.94500000000001</v>
      </c>
      <c r="M113" s="209">
        <f t="shared" si="203"/>
        <v>1473.0821256038648</v>
      </c>
      <c r="N113" s="211">
        <f t="shared" si="204"/>
        <v>4.1451709306666453</v>
      </c>
      <c r="O113" s="211">
        <f t="shared" si="205"/>
        <v>8.1665453400170787</v>
      </c>
      <c r="P113" s="176">
        <f t="shared" si="206"/>
        <v>61.061772055377723</v>
      </c>
      <c r="Q113" s="212">
        <f t="shared" si="207"/>
        <v>120.29991968312694</v>
      </c>
      <c r="R113" s="348"/>
      <c r="S113" s="348"/>
      <c r="T113" s="348"/>
      <c r="U113" s="348"/>
      <c r="V113" s="348"/>
      <c r="X113" s="176">
        <f t="shared" si="130"/>
        <v>1473</v>
      </c>
      <c r="Y113" s="210">
        <f t="shared" si="131"/>
        <v>4.1500000000000004</v>
      </c>
      <c r="Z113" s="210">
        <f t="shared" si="132"/>
        <v>8.17</v>
      </c>
    </row>
    <row r="114" spans="1:26" x14ac:dyDescent="0.25">
      <c r="A114" s="220">
        <v>72424</v>
      </c>
      <c r="B114" s="221">
        <v>1023</v>
      </c>
      <c r="C114" s="109" t="s">
        <v>109</v>
      </c>
      <c r="D114" s="229">
        <v>45948</v>
      </c>
      <c r="E114" s="65"/>
      <c r="F114" s="227" t="s">
        <v>6</v>
      </c>
      <c r="G114" s="65" t="str">
        <f t="shared" si="83"/>
        <v>Hisri</v>
      </c>
      <c r="H114" s="65">
        <v>1230</v>
      </c>
      <c r="I114" s="65">
        <v>4.25</v>
      </c>
      <c r="J114" s="65">
        <v>8.26</v>
      </c>
      <c r="K114" s="176">
        <f t="shared" si="112"/>
        <v>52.275000000000006</v>
      </c>
      <c r="L114" s="177">
        <f t="shared" si="113"/>
        <v>101.59799999999998</v>
      </c>
      <c r="M114" s="209">
        <f>$R$114*H114/SUM($H$114:$H$115)</f>
        <v>1225.9329239489844</v>
      </c>
      <c r="N114" s="211">
        <f t="shared" si="204"/>
        <v>4.2353524654931825</v>
      </c>
      <c r="O114" s="211">
        <f t="shared" si="205"/>
        <v>8.1904022036145232</v>
      </c>
      <c r="P114" s="176">
        <f>$U$114*K114/SUM($K$114:$K$115)</f>
        <v>51.922580319765977</v>
      </c>
      <c r="Q114" s="212">
        <f>$V$114*L114/SUM($L$114:$L$115)</f>
        <v>100.40883721795358</v>
      </c>
      <c r="R114" s="347">
        <v>4220</v>
      </c>
      <c r="S114" s="347">
        <v>4.2</v>
      </c>
      <c r="T114" s="347">
        <v>8.31</v>
      </c>
      <c r="U114" s="350">
        <f t="shared" ref="U114" si="208">R114*S114%</f>
        <v>177.24</v>
      </c>
      <c r="V114" s="350">
        <f t="shared" ref="V114" si="209">R114*T114%</f>
        <v>350.68200000000002</v>
      </c>
      <c r="X114" s="176">
        <f t="shared" si="130"/>
        <v>1226</v>
      </c>
      <c r="Y114" s="210">
        <f t="shared" si="131"/>
        <v>4.24</v>
      </c>
      <c r="Z114" s="210">
        <f t="shared" si="132"/>
        <v>8.19</v>
      </c>
    </row>
    <row r="115" spans="1:26" x14ac:dyDescent="0.25">
      <c r="A115" s="220">
        <v>72424</v>
      </c>
      <c r="B115" s="221">
        <v>1023</v>
      </c>
      <c r="C115" s="109" t="s">
        <v>109</v>
      </c>
      <c r="D115" s="229">
        <v>45948</v>
      </c>
      <c r="E115" s="65"/>
      <c r="F115" s="227" t="s">
        <v>4</v>
      </c>
      <c r="G115" s="65" t="str">
        <f t="shared" si="83"/>
        <v>Pali</v>
      </c>
      <c r="H115" s="65">
        <v>3004</v>
      </c>
      <c r="I115" s="65">
        <v>4.2</v>
      </c>
      <c r="J115" s="65">
        <v>8.43</v>
      </c>
      <c r="K115" s="176">
        <f t="shared" si="112"/>
        <v>126.16800000000001</v>
      </c>
      <c r="L115" s="177">
        <f t="shared" si="113"/>
        <v>253.2372</v>
      </c>
      <c r="M115" s="209">
        <f>$R$114*H115/SUM($H$114:$H$115)</f>
        <v>2994.0670760510156</v>
      </c>
      <c r="N115" s="211">
        <f t="shared" ref="N115" si="210">P115/M115*100</f>
        <v>4.1855247894285563</v>
      </c>
      <c r="O115" s="211">
        <f t="shared" ref="O115" si="211">Q115/M115*100</f>
        <v>8.358969803446783</v>
      </c>
      <c r="P115" s="176">
        <f>$U$114*K115/SUM($K$114:$K$115)</f>
        <v>125.31741968023402</v>
      </c>
      <c r="Q115" s="212">
        <f>$V$114*L115/SUM($L$114:$L$115)</f>
        <v>250.27316278204643</v>
      </c>
      <c r="R115" s="348"/>
      <c r="S115" s="348"/>
      <c r="T115" s="348"/>
      <c r="U115" s="352"/>
      <c r="V115" s="352"/>
      <c r="X115" s="176">
        <f t="shared" si="130"/>
        <v>2994</v>
      </c>
      <c r="Y115" s="210">
        <f t="shared" si="131"/>
        <v>4.1900000000000004</v>
      </c>
      <c r="Z115" s="210">
        <f t="shared" si="132"/>
        <v>8.36</v>
      </c>
    </row>
    <row r="116" spans="1:26" x14ac:dyDescent="0.25">
      <c r="A116" s="220">
        <v>72421</v>
      </c>
      <c r="B116" s="221">
        <v>9944</v>
      </c>
      <c r="C116" s="109" t="s">
        <v>73</v>
      </c>
      <c r="D116" s="229">
        <v>45947</v>
      </c>
      <c r="E116" s="65"/>
      <c r="F116" s="227" t="s">
        <v>6</v>
      </c>
      <c r="G116" s="65" t="str">
        <f t="shared" si="83"/>
        <v>Hisri</v>
      </c>
      <c r="H116" s="65">
        <v>2255</v>
      </c>
      <c r="I116" s="65">
        <v>4.2</v>
      </c>
      <c r="J116" s="65">
        <v>8.25</v>
      </c>
      <c r="K116" s="176">
        <f t="shared" si="112"/>
        <v>94.710000000000008</v>
      </c>
      <c r="L116" s="177">
        <f t="shared" si="113"/>
        <v>186.03750000000002</v>
      </c>
      <c r="M116" s="209">
        <f>$R$116*H116/SUM($H$116:$H$117)</f>
        <v>2255</v>
      </c>
      <c r="N116" s="211">
        <f t="shared" ref="N116" si="212">P116/M116*100</f>
        <v>4.1000000000000005</v>
      </c>
      <c r="O116" s="211">
        <f t="shared" ref="O116" si="213">Q116/M116*100</f>
        <v>8.150194668281074</v>
      </c>
      <c r="P116" s="176">
        <f>$U$116*K116/SUM($K$116:$K$117)</f>
        <v>92.454999999999998</v>
      </c>
      <c r="Q116" s="212">
        <f>$V$116*L116/SUM($L$116:$L$117)</f>
        <v>183.78688976973822</v>
      </c>
      <c r="R116" s="347">
        <v>6900</v>
      </c>
      <c r="S116" s="347">
        <v>4.0999999999999996</v>
      </c>
      <c r="T116" s="347">
        <v>8.23</v>
      </c>
      <c r="U116" s="350">
        <f t="shared" ref="U116" si="214">R116*S116%</f>
        <v>282.89999999999998</v>
      </c>
      <c r="V116" s="350">
        <f t="shared" ref="V116" si="215">R116*T116%</f>
        <v>567.87</v>
      </c>
      <c r="X116" s="176">
        <f t="shared" si="130"/>
        <v>2255</v>
      </c>
      <c r="Y116" s="210">
        <f t="shared" si="131"/>
        <v>4.0999999999999996</v>
      </c>
      <c r="Z116" s="210">
        <f t="shared" si="132"/>
        <v>8.15</v>
      </c>
    </row>
    <row r="117" spans="1:26" x14ac:dyDescent="0.25">
      <c r="A117" s="220">
        <v>72421</v>
      </c>
      <c r="B117" s="221">
        <v>9944</v>
      </c>
      <c r="C117" s="109" t="s">
        <v>73</v>
      </c>
      <c r="D117" s="229">
        <v>45947</v>
      </c>
      <c r="E117" s="65"/>
      <c r="F117" s="227" t="s">
        <v>4</v>
      </c>
      <c r="G117" s="65" t="str">
        <f t="shared" si="83"/>
        <v>Pali</v>
      </c>
      <c r="H117" s="65">
        <v>4645</v>
      </c>
      <c r="I117" s="65">
        <v>4.2</v>
      </c>
      <c r="J117" s="65">
        <v>8.3699999999999992</v>
      </c>
      <c r="K117" s="176">
        <f t="shared" si="112"/>
        <v>195.09</v>
      </c>
      <c r="L117" s="177">
        <f t="shared" si="113"/>
        <v>388.78649999999999</v>
      </c>
      <c r="M117" s="209">
        <f>$R$116*H117/SUM($H$116:$H$117)</f>
        <v>4645</v>
      </c>
      <c r="N117" s="211">
        <f t="shared" ref="N117" si="216">P117/M117*100</f>
        <v>4.0999999999999996</v>
      </c>
      <c r="O117" s="211">
        <f t="shared" ref="O117" si="217">Q117/M117*100</f>
        <v>8.2687429543651625</v>
      </c>
      <c r="P117" s="176">
        <f>$U$116*K117/SUM($K$116:$K$117)</f>
        <v>190.44499999999996</v>
      </c>
      <c r="Q117" s="212">
        <f>$V$116*L117/SUM($L$116:$L$117)</f>
        <v>384.08311023026175</v>
      </c>
      <c r="R117" s="348"/>
      <c r="S117" s="348"/>
      <c r="T117" s="348"/>
      <c r="U117" s="352"/>
      <c r="V117" s="352"/>
      <c r="X117" s="176">
        <f t="shared" si="130"/>
        <v>4645</v>
      </c>
      <c r="Y117" s="210">
        <f t="shared" si="131"/>
        <v>4.0999999999999996</v>
      </c>
      <c r="Z117" s="210">
        <f t="shared" si="132"/>
        <v>8.27</v>
      </c>
    </row>
    <row r="118" spans="1:26" x14ac:dyDescent="0.25">
      <c r="A118" s="220">
        <v>72222</v>
      </c>
      <c r="B118" s="221">
        <v>9944</v>
      </c>
      <c r="C118" s="109" t="s">
        <v>73</v>
      </c>
      <c r="D118" s="229">
        <v>45951</v>
      </c>
      <c r="E118" s="65"/>
      <c r="F118" s="227" t="s">
        <v>89</v>
      </c>
      <c r="G118" s="65" t="str">
        <f t="shared" si="83"/>
        <v>Chanho</v>
      </c>
      <c r="H118" s="65">
        <v>1876</v>
      </c>
      <c r="I118" s="65">
        <v>4.0999999999999996</v>
      </c>
      <c r="J118" s="65">
        <v>8.23</v>
      </c>
      <c r="K118" s="176">
        <f t="shared" si="112"/>
        <v>76.915999999999997</v>
      </c>
      <c r="L118" s="177">
        <f t="shared" si="113"/>
        <v>154.3948</v>
      </c>
      <c r="M118" s="209">
        <f>$R$118*H118/SUM($H$118:$H$119)</f>
        <v>1874.5825462788061</v>
      </c>
      <c r="N118" s="211">
        <f t="shared" ref="N118" si="218">P118/M118*100</f>
        <v>4.0451973336338334</v>
      </c>
      <c r="O118" s="211">
        <f t="shared" ref="O118" si="219">Q118/M118*100</f>
        <v>8.2540205972804923</v>
      </c>
      <c r="P118" s="176">
        <f>$U$118*K118/SUM($K$118:$K$119)</f>
        <v>75.83056317883549</v>
      </c>
      <c r="Q118" s="212">
        <f>$V$118*L118/SUM($L$118:$L$119)</f>
        <v>154.72842948287777</v>
      </c>
      <c r="R118" s="347">
        <v>5290</v>
      </c>
      <c r="S118" s="347">
        <v>4.3</v>
      </c>
      <c r="T118" s="347">
        <v>8.39</v>
      </c>
      <c r="U118" s="350">
        <f t="shared" ref="U118" si="220">R118*S118%</f>
        <v>227.46999999999997</v>
      </c>
      <c r="V118" s="350">
        <f t="shared" ref="V118" si="221">R118*T118%</f>
        <v>443.83100000000002</v>
      </c>
      <c r="X118" s="176">
        <f t="shared" si="130"/>
        <v>1875</v>
      </c>
      <c r="Y118" s="210">
        <f t="shared" si="131"/>
        <v>4.05</v>
      </c>
      <c r="Z118" s="210">
        <f t="shared" si="132"/>
        <v>8.25</v>
      </c>
    </row>
    <row r="119" spans="1:26" x14ac:dyDescent="0.25">
      <c r="A119" s="220">
        <v>72222</v>
      </c>
      <c r="B119" s="221">
        <v>9944</v>
      </c>
      <c r="C119" s="109" t="s">
        <v>73</v>
      </c>
      <c r="D119" s="229">
        <v>45951</v>
      </c>
      <c r="E119" s="65"/>
      <c r="F119" s="227" t="s">
        <v>78</v>
      </c>
      <c r="G119" s="65" t="str">
        <f t="shared" si="83"/>
        <v>Bhandra</v>
      </c>
      <c r="H119" s="65">
        <v>3418</v>
      </c>
      <c r="I119" s="65">
        <v>4.5</v>
      </c>
      <c r="J119" s="65">
        <v>8.44</v>
      </c>
      <c r="K119" s="176">
        <f t="shared" si="112"/>
        <v>153.81</v>
      </c>
      <c r="L119" s="177">
        <f t="shared" si="113"/>
        <v>288.47919999999993</v>
      </c>
      <c r="M119" s="209">
        <f>$R$118*H119/SUM($H$118:$H$119)</f>
        <v>3415.4174537211939</v>
      </c>
      <c r="N119" s="211">
        <f t="shared" ref="N119" si="222">P119/M119*100</f>
        <v>4.4398507320371348</v>
      </c>
      <c r="O119" s="211">
        <f t="shared" ref="O119" si="223">Q119/M119*100</f>
        <v>8.464633516530661</v>
      </c>
      <c r="P119" s="176">
        <f>$U$118*K119/SUM($K$118:$K$119)</f>
        <v>151.63943682116448</v>
      </c>
      <c r="Q119" s="212">
        <f>$V$118*L119/SUM($L$118:$L$119)</f>
        <v>289.10257051712227</v>
      </c>
      <c r="R119" s="348"/>
      <c r="S119" s="348"/>
      <c r="T119" s="348"/>
      <c r="U119" s="352"/>
      <c r="V119" s="352"/>
      <c r="X119" s="176">
        <f t="shared" si="130"/>
        <v>3415</v>
      </c>
      <c r="Y119" s="210">
        <f t="shared" si="131"/>
        <v>4.4400000000000004</v>
      </c>
      <c r="Z119" s="210">
        <f t="shared" si="132"/>
        <v>8.4600000000000009</v>
      </c>
    </row>
    <row r="120" spans="1:26" x14ac:dyDescent="0.25">
      <c r="A120" s="220">
        <v>71471</v>
      </c>
      <c r="B120" s="221">
        <v>1846</v>
      </c>
      <c r="C120" s="109" t="s">
        <v>73</v>
      </c>
      <c r="D120" s="229">
        <v>45950</v>
      </c>
      <c r="E120" s="65"/>
      <c r="F120" s="227" t="s">
        <v>89</v>
      </c>
      <c r="G120" s="65" t="str">
        <f t="shared" si="83"/>
        <v>Chanho</v>
      </c>
      <c r="H120" s="65">
        <v>1840</v>
      </c>
      <c r="I120" s="65">
        <v>4.0999999999999996</v>
      </c>
      <c r="J120" s="65">
        <v>8.2899999999999991</v>
      </c>
      <c r="K120" s="176">
        <f t="shared" si="112"/>
        <v>75.439999999999984</v>
      </c>
      <c r="L120" s="177">
        <f t="shared" si="113"/>
        <v>152.53599999999997</v>
      </c>
      <c r="M120" s="209">
        <f>$R$120*H120/SUM($H$120:$H$121)</f>
        <v>1840</v>
      </c>
      <c r="N120" s="211">
        <f t="shared" ref="N120" si="224">P120/M120*100</f>
        <v>4.0902759040863383</v>
      </c>
      <c r="O120" s="211">
        <f t="shared" ref="O120" si="225">Q120/M120*100</f>
        <v>8.1899798272524542</v>
      </c>
      <c r="P120" s="176">
        <f>$U$120*K120/SUM($K$120:$K$121)</f>
        <v>75.26107663518863</v>
      </c>
      <c r="Q120" s="212">
        <f>$V$120*L120/SUM($L$120:$L$121)</f>
        <v>150.69562882144515</v>
      </c>
      <c r="R120" s="347">
        <v>5270</v>
      </c>
      <c r="S120" s="347">
        <v>4.3499999999999996</v>
      </c>
      <c r="T120" s="347">
        <v>8.2799999999999994</v>
      </c>
      <c r="U120" s="350">
        <f t="shared" ref="U120" si="226">R120*S120%</f>
        <v>229.24499999999998</v>
      </c>
      <c r="V120" s="350">
        <f t="shared" ref="V120" si="227">R120*T120%</f>
        <v>436.35599999999999</v>
      </c>
      <c r="X120" s="176">
        <f t="shared" si="130"/>
        <v>1840</v>
      </c>
      <c r="Y120" s="210">
        <f t="shared" si="131"/>
        <v>4.09</v>
      </c>
      <c r="Z120" s="210">
        <f t="shared" si="132"/>
        <v>8.19</v>
      </c>
    </row>
    <row r="121" spans="1:26" x14ac:dyDescent="0.25">
      <c r="A121" s="220">
        <v>71471</v>
      </c>
      <c r="B121" s="221">
        <v>1846</v>
      </c>
      <c r="C121" s="109" t="s">
        <v>73</v>
      </c>
      <c r="D121" s="229">
        <v>45950</v>
      </c>
      <c r="E121" s="65"/>
      <c r="F121" s="227" t="s">
        <v>78</v>
      </c>
      <c r="G121" s="65" t="str">
        <f t="shared" si="83"/>
        <v>Bhandra</v>
      </c>
      <c r="H121" s="65">
        <v>3430</v>
      </c>
      <c r="I121" s="65">
        <v>4.5</v>
      </c>
      <c r="J121" s="65">
        <v>8.43</v>
      </c>
      <c r="K121" s="176">
        <f t="shared" si="112"/>
        <v>154.35</v>
      </c>
      <c r="L121" s="177">
        <f t="shared" si="113"/>
        <v>289.149</v>
      </c>
      <c r="M121" s="209">
        <f>$R$120*H121/SUM($H$120:$H$121)</f>
        <v>3430</v>
      </c>
      <c r="N121" s="211">
        <f t="shared" ref="N121" si="228">P121/M121*100</f>
        <v>4.4893272118020802</v>
      </c>
      <c r="O121" s="211">
        <f t="shared" ref="O121" si="229">Q121/M121*100</f>
        <v>8.3282907049141368</v>
      </c>
      <c r="P121" s="176">
        <f>$U$120*K121/SUM($K$120:$K$121)</f>
        <v>153.98392336481135</v>
      </c>
      <c r="Q121" s="212">
        <f>$V$120*L121/SUM($L$120:$L$121)</f>
        <v>285.6603711785549</v>
      </c>
      <c r="R121" s="348"/>
      <c r="S121" s="348"/>
      <c r="T121" s="348"/>
      <c r="U121" s="352"/>
      <c r="V121" s="352"/>
      <c r="X121" s="176">
        <f t="shared" si="130"/>
        <v>3430</v>
      </c>
      <c r="Y121" s="210">
        <f t="shared" si="131"/>
        <v>4.49</v>
      </c>
      <c r="Z121" s="210">
        <f t="shared" si="132"/>
        <v>8.33</v>
      </c>
    </row>
    <row r="122" spans="1:26" x14ac:dyDescent="0.25">
      <c r="A122" s="220">
        <v>72220</v>
      </c>
      <c r="B122" s="221">
        <v>9944</v>
      </c>
      <c r="C122" s="109" t="s">
        <v>73</v>
      </c>
      <c r="D122" s="229">
        <v>45948</v>
      </c>
      <c r="E122" s="65"/>
      <c r="F122" s="227" t="s">
        <v>89</v>
      </c>
      <c r="G122" s="65" t="str">
        <f t="shared" si="83"/>
        <v>Chanho</v>
      </c>
      <c r="H122" s="65">
        <v>1850</v>
      </c>
      <c r="I122" s="65">
        <v>4.3</v>
      </c>
      <c r="J122" s="65">
        <v>8.52</v>
      </c>
      <c r="K122" s="176">
        <f t="shared" si="112"/>
        <v>79.55</v>
      </c>
      <c r="L122" s="177">
        <f t="shared" si="113"/>
        <v>157.62</v>
      </c>
      <c r="M122" s="209">
        <f>$R$122*H122/SUM($H$122:$H$123)</f>
        <v>1843.6195316754402</v>
      </c>
      <c r="N122" s="211">
        <f t="shared" ref="N122" si="230">P122/M122*100</f>
        <v>4.2514959226489477</v>
      </c>
      <c r="O122" s="211">
        <f t="shared" ref="O122" si="231">Q122/M122*100</f>
        <v>8.465997606224331</v>
      </c>
      <c r="P122" s="176">
        <f>$U$122*K122/SUM($K$122:$K$123)</f>
        <v>78.381409218340963</v>
      </c>
      <c r="Q122" s="212">
        <f>$V$122*L122/SUM($L$122:$L$123)</f>
        <v>156.08078541952699</v>
      </c>
      <c r="R122" s="347">
        <v>5490</v>
      </c>
      <c r="S122" s="347">
        <v>4.3499999999999996</v>
      </c>
      <c r="T122" s="347">
        <v>8.4</v>
      </c>
      <c r="U122" s="350">
        <f t="shared" ref="U122" si="232">R122*S122%</f>
        <v>238.815</v>
      </c>
      <c r="V122" s="350">
        <f t="shared" ref="V122" si="233">R122*T122%</f>
        <v>461.16</v>
      </c>
      <c r="X122" s="176">
        <f t="shared" si="130"/>
        <v>1844</v>
      </c>
      <c r="Y122" s="210">
        <f t="shared" si="131"/>
        <v>4.25</v>
      </c>
      <c r="Z122" s="210">
        <f t="shared" si="132"/>
        <v>8.4700000000000006</v>
      </c>
    </row>
    <row r="123" spans="1:26" x14ac:dyDescent="0.25">
      <c r="A123" s="220">
        <v>72220</v>
      </c>
      <c r="B123" s="221">
        <v>9944</v>
      </c>
      <c r="C123" s="109" t="s">
        <v>73</v>
      </c>
      <c r="D123" s="229">
        <v>45948</v>
      </c>
      <c r="E123" s="65"/>
      <c r="F123" s="227" t="s">
        <v>78</v>
      </c>
      <c r="G123" s="65" t="str">
        <f t="shared" si="83"/>
        <v>Bhandra</v>
      </c>
      <c r="H123" s="65">
        <v>3659</v>
      </c>
      <c r="I123" s="65">
        <v>4.45</v>
      </c>
      <c r="J123" s="65">
        <v>8.42</v>
      </c>
      <c r="K123" s="176">
        <f t="shared" si="112"/>
        <v>162.82550000000001</v>
      </c>
      <c r="L123" s="177">
        <f t="shared" si="113"/>
        <v>308.08780000000002</v>
      </c>
      <c r="M123" s="209">
        <f>$R$122*H123/SUM($H$122:$H$123)</f>
        <v>3646.3804683245598</v>
      </c>
      <c r="N123" s="211">
        <f t="shared" ref="N123" si="234">P123/M123*100</f>
        <v>4.3998039199506556</v>
      </c>
      <c r="O123" s="211">
        <f t="shared" ref="O123" si="235">Q123/M123*100</f>
        <v>8.3666314371371922</v>
      </c>
      <c r="P123" s="176">
        <f>$U$122*K123/SUM($K$122:$K$123)</f>
        <v>160.43359078165906</v>
      </c>
      <c r="Q123" s="212">
        <f>$V$122*L123/SUM($L$122:$L$123)</f>
        <v>305.07921458047304</v>
      </c>
      <c r="R123" s="348"/>
      <c r="S123" s="348"/>
      <c r="T123" s="348"/>
      <c r="U123" s="352"/>
      <c r="V123" s="352"/>
      <c r="X123" s="176">
        <f t="shared" si="130"/>
        <v>3646</v>
      </c>
      <c r="Y123" s="210">
        <f t="shared" si="131"/>
        <v>4.4000000000000004</v>
      </c>
      <c r="Z123" s="210">
        <f t="shared" si="132"/>
        <v>8.3699999999999992</v>
      </c>
    </row>
    <row r="124" spans="1:26" x14ac:dyDescent="0.25">
      <c r="A124" s="220">
        <v>72254</v>
      </c>
      <c r="B124" s="221">
        <v>8504</v>
      </c>
      <c r="C124" s="109" t="s">
        <v>73</v>
      </c>
      <c r="D124" s="229">
        <v>45947</v>
      </c>
      <c r="E124" s="65"/>
      <c r="F124" s="227" t="s">
        <v>89</v>
      </c>
      <c r="G124" s="65" t="str">
        <f t="shared" si="83"/>
        <v>Chanho</v>
      </c>
      <c r="H124" s="65">
        <v>1833</v>
      </c>
      <c r="I124" s="65">
        <v>4.1500000000000004</v>
      </c>
      <c r="J124" s="65">
        <v>8.3000000000000007</v>
      </c>
      <c r="K124" s="176">
        <f t="shared" si="112"/>
        <v>76.069500000000005</v>
      </c>
      <c r="L124" s="177">
        <f t="shared" si="113"/>
        <v>152.13900000000001</v>
      </c>
      <c r="M124" s="209">
        <f>$R$124*H124/SUM($H$124:$H$125)</f>
        <v>1838.642042368278</v>
      </c>
      <c r="N124" s="211">
        <f t="shared" ref="N124" si="236">P124/M124*100</f>
        <v>4.1336300667492898</v>
      </c>
      <c r="O124" s="211">
        <f t="shared" ref="O124" si="237">Q124/M124*100</f>
        <v>8.1974156698409413</v>
      </c>
      <c r="P124" s="176">
        <f>$U$124*K124/SUM($K$124:$K$125)</f>
        <v>76.002660283228366</v>
      </c>
      <c r="Q124" s="212">
        <f>$V$124*L124/SUM($L$124:$L$125)</f>
        <v>150.72113089338072</v>
      </c>
      <c r="R124" s="347">
        <v>5540</v>
      </c>
      <c r="S124" s="347">
        <v>4.3</v>
      </c>
      <c r="T124" s="347">
        <v>8.27</v>
      </c>
      <c r="U124" s="350">
        <f t="shared" ref="U124:U126" si="238">R124*S124%</f>
        <v>238.21999999999997</v>
      </c>
      <c r="V124" s="350">
        <f t="shared" ref="V124:V126" si="239">R124*T124%</f>
        <v>458.15799999999996</v>
      </c>
      <c r="X124" s="176">
        <f t="shared" si="130"/>
        <v>1839</v>
      </c>
      <c r="Y124" s="210">
        <f t="shared" si="131"/>
        <v>4.13</v>
      </c>
      <c r="Z124" s="210">
        <f t="shared" si="132"/>
        <v>8.1999999999999993</v>
      </c>
    </row>
    <row r="125" spans="1:26" x14ac:dyDescent="0.25">
      <c r="A125" s="220">
        <v>72254</v>
      </c>
      <c r="B125" s="221">
        <v>8504</v>
      </c>
      <c r="C125" s="109" t="s">
        <v>73</v>
      </c>
      <c r="D125" s="229">
        <v>45947</v>
      </c>
      <c r="E125" s="65"/>
      <c r="F125" s="227" t="s">
        <v>78</v>
      </c>
      <c r="G125" s="65" t="str">
        <f t="shared" si="83"/>
        <v>Bhandra</v>
      </c>
      <c r="H125" s="65">
        <v>3690</v>
      </c>
      <c r="I125" s="65">
        <v>4.4000000000000004</v>
      </c>
      <c r="J125" s="65">
        <v>8.41</v>
      </c>
      <c r="K125" s="176">
        <f t="shared" si="112"/>
        <v>162.36000000000001</v>
      </c>
      <c r="L125" s="177">
        <f t="shared" si="113"/>
        <v>310.32900000000001</v>
      </c>
      <c r="M125" s="209">
        <f>$R$124*H125/SUM($H$124:$H$125)</f>
        <v>3701.357957631722</v>
      </c>
      <c r="N125" s="211">
        <f t="shared" ref="N125" si="240">P125/M125*100</f>
        <v>4.3826439261920189</v>
      </c>
      <c r="O125" s="211">
        <f t="shared" ref="O125" si="241">Q125/M125*100</f>
        <v>8.306056118477386</v>
      </c>
      <c r="P125" s="176">
        <f>$U$124*K125/SUM($K$124:$K$125)</f>
        <v>162.21733971677162</v>
      </c>
      <c r="Q125" s="212">
        <f>$V$124*L125/SUM($L$124:$L$125)</f>
        <v>307.43686910661921</v>
      </c>
      <c r="R125" s="348"/>
      <c r="S125" s="348"/>
      <c r="T125" s="348"/>
      <c r="U125" s="352"/>
      <c r="V125" s="352"/>
      <c r="X125" s="176">
        <f t="shared" si="130"/>
        <v>3701</v>
      </c>
      <c r="Y125" s="210">
        <f t="shared" si="131"/>
        <v>4.38</v>
      </c>
      <c r="Z125" s="210">
        <f t="shared" si="132"/>
        <v>8.31</v>
      </c>
    </row>
    <row r="126" spans="1:26" x14ac:dyDescent="0.25">
      <c r="A126" s="220">
        <v>71472</v>
      </c>
      <c r="B126" s="221">
        <v>1846</v>
      </c>
      <c r="C126" s="109" t="s">
        <v>73</v>
      </c>
      <c r="D126" s="229">
        <v>45949</v>
      </c>
      <c r="E126" s="65"/>
      <c r="F126" s="227" t="s">
        <v>89</v>
      </c>
      <c r="G126" s="65" t="str">
        <f t="shared" si="83"/>
        <v>Chanho</v>
      </c>
      <c r="H126" s="65">
        <v>1960</v>
      </c>
      <c r="I126" s="65">
        <v>4.25</v>
      </c>
      <c r="J126" s="65">
        <v>8.3800000000000008</v>
      </c>
      <c r="K126" s="176">
        <f t="shared" si="112"/>
        <v>83.300000000000011</v>
      </c>
      <c r="L126" s="177">
        <f t="shared" si="113"/>
        <v>164.24800000000002</v>
      </c>
      <c r="M126" s="209">
        <f>$R$126*H126/SUM($H$126:$H$127)</f>
        <v>1960</v>
      </c>
      <c r="N126" s="211">
        <f t="shared" ref="N126" si="242">P126/M126*100</f>
        <v>4.2221172611385622</v>
      </c>
      <c r="O126" s="211">
        <f t="shared" ref="O126" si="243">Q126/M126*100</f>
        <v>8.3742721428633224</v>
      </c>
      <c r="P126" s="176">
        <f>$U$126*K126/SUM($K$126:$K$127)</f>
        <v>82.75349831831582</v>
      </c>
      <c r="Q126" s="212">
        <f>$V$126*L126/SUM($L$126:$L$127)</f>
        <v>164.13573400012115</v>
      </c>
      <c r="R126" s="347">
        <v>5500</v>
      </c>
      <c r="S126" s="347">
        <v>4.3499999999999996</v>
      </c>
      <c r="T126" s="347">
        <v>8.4</v>
      </c>
      <c r="U126" s="347">
        <f t="shared" si="238"/>
        <v>239.24999999999997</v>
      </c>
      <c r="V126" s="347">
        <f t="shared" si="239"/>
        <v>462.00000000000006</v>
      </c>
      <c r="X126" s="176">
        <f t="shared" ref="X126:X127" si="244">ROUND(M126,0)</f>
        <v>1960</v>
      </c>
      <c r="Y126" s="210">
        <f t="shared" ref="Y126:Y127" si="245">ROUND(N126,2)</f>
        <v>4.22</v>
      </c>
      <c r="Z126" s="210">
        <f t="shared" ref="Z126:Z127" si="246">ROUND(O126,2)</f>
        <v>8.3699999999999992</v>
      </c>
    </row>
    <row r="127" spans="1:26" x14ac:dyDescent="0.25">
      <c r="A127" s="220">
        <v>71472</v>
      </c>
      <c r="B127" s="221">
        <v>1846</v>
      </c>
      <c r="C127" s="109" t="s">
        <v>73</v>
      </c>
      <c r="D127" s="229">
        <v>45949</v>
      </c>
      <c r="E127" s="65"/>
      <c r="F127" s="227" t="s">
        <v>78</v>
      </c>
      <c r="G127" s="65" t="str">
        <f t="shared" si="83"/>
        <v>Bhandra</v>
      </c>
      <c r="H127" s="65">
        <v>3540</v>
      </c>
      <c r="I127" s="65">
        <v>4.45</v>
      </c>
      <c r="J127" s="65">
        <v>8.42</v>
      </c>
      <c r="K127" s="176">
        <f t="shared" si="112"/>
        <v>157.53000000000003</v>
      </c>
      <c r="L127" s="177">
        <f t="shared" si="113"/>
        <v>298.06799999999998</v>
      </c>
      <c r="M127" s="209">
        <f>$R$126*H127/SUM($H$126:$H$127)</f>
        <v>3540</v>
      </c>
      <c r="N127" s="211">
        <f t="shared" ref="N127" si="247">P127/M127*100</f>
        <v>4.4208051322509654</v>
      </c>
      <c r="O127" s="211">
        <f t="shared" ref="O127" si="248">Q127/M127*100</f>
        <v>8.4142448022564658</v>
      </c>
      <c r="P127" s="176">
        <f>$U$126*K127/SUM($K$126:$K$127)</f>
        <v>156.49650168168418</v>
      </c>
      <c r="Q127" s="212">
        <f>$V$126*L127/SUM($L$126:$L$127)</f>
        <v>297.86426599987885</v>
      </c>
      <c r="R127" s="348"/>
      <c r="S127" s="348"/>
      <c r="T127" s="348"/>
      <c r="U127" s="348"/>
      <c r="V127" s="348"/>
      <c r="X127" s="176">
        <f t="shared" si="244"/>
        <v>3540</v>
      </c>
      <c r="Y127" s="210">
        <f t="shared" si="245"/>
        <v>4.42</v>
      </c>
      <c r="Z127" s="210">
        <f t="shared" si="246"/>
        <v>8.41</v>
      </c>
    </row>
    <row r="128" spans="1:26" x14ac:dyDescent="0.25">
      <c r="A128" s="220">
        <v>72323</v>
      </c>
      <c r="B128" s="221">
        <v>1023</v>
      </c>
      <c r="C128" s="109" t="s">
        <v>77</v>
      </c>
      <c r="D128" s="229">
        <v>45953</v>
      </c>
      <c r="E128" s="65"/>
      <c r="F128" s="227" t="s">
        <v>14</v>
      </c>
      <c r="G128" s="65" t="str">
        <f t="shared" si="83"/>
        <v>Piragutu</v>
      </c>
      <c r="H128" s="65">
        <v>2118</v>
      </c>
      <c r="I128" s="65">
        <v>4.7</v>
      </c>
      <c r="J128" s="65">
        <v>8.7200000000000006</v>
      </c>
      <c r="K128" s="176">
        <f t="shared" ref="K128:K153" si="249">H128*I128%</f>
        <v>99.546000000000006</v>
      </c>
      <c r="L128" s="177">
        <f t="shared" ref="L128:L153" si="250">H128*J128%</f>
        <v>184.68960000000001</v>
      </c>
      <c r="M128" s="209">
        <f>$R$128*H128/SUM($H$128:$H$129)</f>
        <v>2110.3791862717962</v>
      </c>
      <c r="N128" s="211">
        <f t="shared" ref="N128" si="251">P128/M128*100</f>
        <v>4.6238958836798414</v>
      </c>
      <c r="O128" s="211">
        <f t="shared" ref="O128" si="252">Q128/M128*100</f>
        <v>8.6172060724974457</v>
      </c>
      <c r="P128" s="176">
        <f>$U$128*K128/SUM($K$128:$K$129)</f>
        <v>97.581736324057715</v>
      </c>
      <c r="Q128" s="212">
        <f>$V$128*L128/SUM($L$128:$L$129)</f>
        <v>181.85572339213542</v>
      </c>
      <c r="R128" s="347">
        <v>3600</v>
      </c>
      <c r="S128" s="347">
        <v>4.4000000000000004</v>
      </c>
      <c r="T128" s="347">
        <v>8.4700000000000006</v>
      </c>
      <c r="U128" s="347">
        <f t="shared" ref="U128" si="253">R128*S128%</f>
        <v>158.4</v>
      </c>
      <c r="V128" s="347">
        <f t="shared" ref="V128" si="254">R128*T128%</f>
        <v>304.92</v>
      </c>
      <c r="X128" s="176">
        <f t="shared" ref="X128:X153" si="255">ROUND(M128,0)</f>
        <v>2110</v>
      </c>
      <c r="Y128" s="210">
        <f t="shared" ref="Y128:Y153" si="256">ROUND(N128,2)</f>
        <v>4.62</v>
      </c>
      <c r="Z128" s="210">
        <f t="shared" ref="Z128:Z153" si="257">ROUND(O128,2)</f>
        <v>8.6199999999999992</v>
      </c>
    </row>
    <row r="129" spans="1:26" x14ac:dyDescent="0.25">
      <c r="A129" s="220">
        <v>72323</v>
      </c>
      <c r="B129" s="221">
        <v>1023</v>
      </c>
      <c r="C129" s="109" t="s">
        <v>77</v>
      </c>
      <c r="D129" s="229">
        <v>45953</v>
      </c>
      <c r="E129" s="65"/>
      <c r="F129" s="227" t="s">
        <v>4</v>
      </c>
      <c r="G129" s="65" t="str">
        <f t="shared" si="83"/>
        <v>Pali</v>
      </c>
      <c r="H129" s="65">
        <v>1495</v>
      </c>
      <c r="I129" s="65">
        <v>4.1500000000000004</v>
      </c>
      <c r="J129" s="65">
        <v>8.36</v>
      </c>
      <c r="K129" s="176">
        <f t="shared" si="249"/>
        <v>62.042500000000004</v>
      </c>
      <c r="L129" s="177">
        <f t="shared" si="250"/>
        <v>124.98199999999999</v>
      </c>
      <c r="M129" s="209">
        <f>$R$128*H129/SUM($H$128:$H$129)</f>
        <v>1489.6208137282038</v>
      </c>
      <c r="N129" s="211">
        <f t="shared" ref="N129" si="258">P129/M129*100</f>
        <v>4.0828016845258173</v>
      </c>
      <c r="O129" s="211">
        <f t="shared" ref="O129" si="259">Q129/M129*100</f>
        <v>8.261449858495256</v>
      </c>
      <c r="P129" s="176">
        <f>$U$128*K129/SUM($K$128:$K$129)</f>
        <v>60.818263675942291</v>
      </c>
      <c r="Q129" s="212">
        <f>$V$128*L129/SUM($L$128:$L$129)</f>
        <v>123.06427660786457</v>
      </c>
      <c r="R129" s="348"/>
      <c r="S129" s="348"/>
      <c r="T129" s="348"/>
      <c r="U129" s="348"/>
      <c r="V129" s="348"/>
      <c r="X129" s="176">
        <f t="shared" si="255"/>
        <v>1490</v>
      </c>
      <c r="Y129" s="210">
        <f t="shared" si="256"/>
        <v>4.08</v>
      </c>
      <c r="Z129" s="210">
        <f t="shared" si="257"/>
        <v>8.26</v>
      </c>
    </row>
    <row r="130" spans="1:26" x14ac:dyDescent="0.25">
      <c r="A130" s="220">
        <v>72323</v>
      </c>
      <c r="B130" s="221">
        <v>1023</v>
      </c>
      <c r="C130" s="109" t="s">
        <v>109</v>
      </c>
      <c r="D130" s="229">
        <v>45953</v>
      </c>
      <c r="E130" s="65"/>
      <c r="F130" s="227" t="s">
        <v>12</v>
      </c>
      <c r="G130" s="65" t="str">
        <f t="shared" si="83"/>
        <v>Ormanjhi</v>
      </c>
      <c r="H130" s="65">
        <v>2487</v>
      </c>
      <c r="I130" s="65">
        <v>4.2</v>
      </c>
      <c r="J130" s="65">
        <v>8.31</v>
      </c>
      <c r="K130" s="176">
        <f t="shared" si="249"/>
        <v>104.45400000000001</v>
      </c>
      <c r="L130" s="177">
        <f t="shared" si="250"/>
        <v>206.66970000000001</v>
      </c>
      <c r="M130" s="209">
        <f>$R$130*H130/SUM($H$130:$H$131)</f>
        <v>2487</v>
      </c>
      <c r="N130" s="211">
        <f t="shared" ref="N130" si="260">P130/M130*100</f>
        <v>4.1208808517811297</v>
      </c>
      <c r="O130" s="211">
        <f t="shared" ref="O130" si="261">Q130/M130*100</f>
        <v>8.2089769629197384</v>
      </c>
      <c r="P130" s="176">
        <f>$U$130*K130/SUM($K$130:$K$131)</f>
        <v>102.48630678379671</v>
      </c>
      <c r="Q130" s="212">
        <f>$V$130*L130/SUM($L$130:$L$131)</f>
        <v>204.1572570678139</v>
      </c>
      <c r="R130" s="347">
        <v>4330</v>
      </c>
      <c r="S130" s="347">
        <v>4.0999999999999996</v>
      </c>
      <c r="T130" s="347">
        <v>8.23</v>
      </c>
      <c r="U130" s="347">
        <f t="shared" ref="U130" si="262">R130*S130%</f>
        <v>177.52999999999997</v>
      </c>
      <c r="V130" s="347">
        <f t="shared" ref="V130" si="263">R130*T130%</f>
        <v>356.35899999999998</v>
      </c>
      <c r="X130" s="176">
        <f t="shared" si="255"/>
        <v>2487</v>
      </c>
      <c r="Y130" s="210">
        <f t="shared" si="256"/>
        <v>4.12</v>
      </c>
      <c r="Z130" s="210">
        <f t="shared" si="257"/>
        <v>8.2100000000000009</v>
      </c>
    </row>
    <row r="131" spans="1:26" x14ac:dyDescent="0.25">
      <c r="A131" s="220">
        <v>72323</v>
      </c>
      <c r="B131" s="221">
        <v>1023</v>
      </c>
      <c r="C131" s="109" t="s">
        <v>109</v>
      </c>
      <c r="D131" s="229">
        <v>45953</v>
      </c>
      <c r="E131" s="65"/>
      <c r="F131" s="227" t="s">
        <v>4</v>
      </c>
      <c r="G131" s="65" t="str">
        <f t="shared" si="83"/>
        <v>Pali</v>
      </c>
      <c r="H131" s="65">
        <v>1843</v>
      </c>
      <c r="I131" s="65">
        <v>4.1500000000000004</v>
      </c>
      <c r="J131" s="65">
        <v>8.36</v>
      </c>
      <c r="K131" s="176">
        <f t="shared" si="249"/>
        <v>76.484499999999997</v>
      </c>
      <c r="L131" s="177">
        <f t="shared" si="250"/>
        <v>154.07479999999998</v>
      </c>
      <c r="M131" s="209">
        <f>$R$130*H131/SUM($H$130:$H$131)</f>
        <v>1843</v>
      </c>
      <c r="N131" s="211">
        <f t="shared" ref="N131:N132" si="264">P131/M131*100</f>
        <v>4.0718227464027823</v>
      </c>
      <c r="O131" s="211">
        <f t="shared" ref="O131:O132" si="265">Q131/M131*100</f>
        <v>8.2583691227447673</v>
      </c>
      <c r="P131" s="176">
        <f>$U$130*K131/SUM($K$130:$K$131)</f>
        <v>75.04369321620328</v>
      </c>
      <c r="Q131" s="212">
        <f>$V$130*L131/SUM($L$130:$L$131)</f>
        <v>152.20174293218605</v>
      </c>
      <c r="R131" s="348"/>
      <c r="S131" s="348"/>
      <c r="T131" s="348"/>
      <c r="U131" s="348"/>
      <c r="V131" s="348"/>
      <c r="X131" s="176">
        <f t="shared" si="255"/>
        <v>1843</v>
      </c>
      <c r="Y131" s="210">
        <f t="shared" si="256"/>
        <v>4.07</v>
      </c>
      <c r="Z131" s="210">
        <f t="shared" si="257"/>
        <v>8.26</v>
      </c>
    </row>
    <row r="132" spans="1:26" x14ac:dyDescent="0.25">
      <c r="A132" s="220">
        <v>72324</v>
      </c>
      <c r="B132" s="221">
        <v>9944</v>
      </c>
      <c r="C132" s="109" t="s">
        <v>73</v>
      </c>
      <c r="D132" s="229">
        <v>45953</v>
      </c>
      <c r="E132" s="65"/>
      <c r="F132" s="227" t="s">
        <v>89</v>
      </c>
      <c r="G132" s="65" t="str">
        <f t="shared" si="83"/>
        <v>Chanho</v>
      </c>
      <c r="H132" s="65">
        <v>1900</v>
      </c>
      <c r="I132" s="65">
        <v>4.2</v>
      </c>
      <c r="J132" s="65">
        <v>8.5</v>
      </c>
      <c r="K132" s="176">
        <f t="shared" si="249"/>
        <v>79.800000000000011</v>
      </c>
      <c r="L132" s="177">
        <f t="shared" si="250"/>
        <v>161.5</v>
      </c>
      <c r="M132" s="209">
        <f>$R$132*H132/SUM($H$132:$H$134)</f>
        <v>1907.8481510621557</v>
      </c>
      <c r="N132" s="211">
        <f t="shared" si="264"/>
        <v>4.1224854748502242</v>
      </c>
      <c r="O132" s="211">
        <f t="shared" si="265"/>
        <v>8.4110203495582176</v>
      </c>
      <c r="P132" s="176">
        <f>$U$132*K132/SUM($K$132:$K$134)</f>
        <v>78.650762909735931</v>
      </c>
      <c r="Q132" s="212">
        <f>$V$132*L132/SUM($L$132:$L$134)</f>
        <v>160.46949622450813</v>
      </c>
      <c r="R132" s="347">
        <v>10210</v>
      </c>
      <c r="S132" s="347">
        <v>4</v>
      </c>
      <c r="T132" s="347">
        <v>8.33</v>
      </c>
      <c r="U132" s="347">
        <f>R132*S132%</f>
        <v>408.40000000000003</v>
      </c>
      <c r="V132" s="347">
        <f>R132*T132%</f>
        <v>850.49299999999994</v>
      </c>
      <c r="X132" s="176">
        <f t="shared" si="255"/>
        <v>1908</v>
      </c>
      <c r="Y132" s="210">
        <f t="shared" si="256"/>
        <v>4.12</v>
      </c>
      <c r="Z132" s="210">
        <f t="shared" si="257"/>
        <v>8.41</v>
      </c>
    </row>
    <row r="133" spans="1:26" x14ac:dyDescent="0.25">
      <c r="A133" s="220">
        <v>72324</v>
      </c>
      <c r="B133" s="221">
        <v>9944</v>
      </c>
      <c r="C133" s="109" t="s">
        <v>73</v>
      </c>
      <c r="D133" s="229">
        <v>45953</v>
      </c>
      <c r="E133" s="65"/>
      <c r="F133" s="227" t="s">
        <v>2</v>
      </c>
      <c r="G133" s="65" t="str">
        <f t="shared" si="83"/>
        <v>Itki</v>
      </c>
      <c r="H133" s="65">
        <v>5703</v>
      </c>
      <c r="I133" s="65">
        <v>4</v>
      </c>
      <c r="J133" s="65">
        <v>8.39</v>
      </c>
      <c r="K133" s="176">
        <f t="shared" si="249"/>
        <v>228.12</v>
      </c>
      <c r="L133" s="177">
        <f t="shared" si="250"/>
        <v>478.48169999999999</v>
      </c>
      <c r="M133" s="209">
        <f t="shared" ref="M133:M134" si="266">$R$132*H133/SUM($H$132:$H$134)</f>
        <v>5726.5568450039336</v>
      </c>
      <c r="N133" s="211">
        <f t="shared" ref="N133:N135" si="267">P133/M133*100</f>
        <v>3.9261766427144988</v>
      </c>
      <c r="O133" s="211">
        <f t="shared" ref="O133:O135" si="268">Q133/M133*100</f>
        <v>8.3021718509168778</v>
      </c>
      <c r="P133" s="176">
        <f t="shared" ref="P133:P134" si="269">$U$132*K133/SUM($K$132:$K$134)</f>
        <v>224.83473728031279</v>
      </c>
      <c r="Q133" s="212">
        <f t="shared" ref="Q133:Q134" si="270">$V$132*L133/SUM($L$132:$L$134)</f>
        <v>475.42859041267019</v>
      </c>
      <c r="R133" s="349"/>
      <c r="S133" s="349"/>
      <c r="T133" s="349"/>
      <c r="U133" s="349"/>
      <c r="V133" s="349"/>
      <c r="X133" s="176">
        <f t="shared" si="255"/>
        <v>5727</v>
      </c>
      <c r="Y133" s="210">
        <f t="shared" si="256"/>
        <v>3.93</v>
      </c>
      <c r="Z133" s="210">
        <f t="shared" si="257"/>
        <v>8.3000000000000007</v>
      </c>
    </row>
    <row r="134" spans="1:26" x14ac:dyDescent="0.25">
      <c r="A134" s="220">
        <v>72324</v>
      </c>
      <c r="B134" s="221">
        <v>9944</v>
      </c>
      <c r="C134" s="109" t="s">
        <v>73</v>
      </c>
      <c r="D134" s="229">
        <v>45953</v>
      </c>
      <c r="E134" s="65"/>
      <c r="F134" s="227" t="s">
        <v>4</v>
      </c>
      <c r="G134" s="65" t="str">
        <f t="shared" si="83"/>
        <v>Pali</v>
      </c>
      <c r="H134" s="65">
        <v>2565</v>
      </c>
      <c r="I134" s="65">
        <v>4.1500000000000004</v>
      </c>
      <c r="J134" s="65">
        <v>8.42</v>
      </c>
      <c r="K134" s="176">
        <f t="shared" si="249"/>
        <v>106.44750000000001</v>
      </c>
      <c r="L134" s="177">
        <f t="shared" si="250"/>
        <v>215.97299999999998</v>
      </c>
      <c r="M134" s="209">
        <f t="shared" si="266"/>
        <v>2575.5950039339104</v>
      </c>
      <c r="N134" s="211">
        <f t="shared" si="267"/>
        <v>4.0734082668162923</v>
      </c>
      <c r="O134" s="211">
        <f t="shared" si="268"/>
        <v>8.3318578050917864</v>
      </c>
      <c r="P134" s="176">
        <f t="shared" si="269"/>
        <v>104.91449980995132</v>
      </c>
      <c r="Q134" s="212">
        <f t="shared" si="270"/>
        <v>214.59491336282164</v>
      </c>
      <c r="R134" s="348"/>
      <c r="S134" s="348"/>
      <c r="T134" s="348"/>
      <c r="U134" s="348"/>
      <c r="V134" s="348"/>
      <c r="X134" s="176">
        <f t="shared" si="255"/>
        <v>2576</v>
      </c>
      <c r="Y134" s="210">
        <f t="shared" si="256"/>
        <v>4.07</v>
      </c>
      <c r="Z134" s="210">
        <f t="shared" si="257"/>
        <v>8.33</v>
      </c>
    </row>
    <row r="135" spans="1:26" x14ac:dyDescent="0.25">
      <c r="A135" s="220">
        <v>72427</v>
      </c>
      <c r="B135" s="221">
        <v>1023</v>
      </c>
      <c r="C135" s="109" t="s">
        <v>109</v>
      </c>
      <c r="D135" s="229">
        <v>45951</v>
      </c>
      <c r="E135" s="65"/>
      <c r="F135" s="227" t="s">
        <v>12</v>
      </c>
      <c r="G135" s="65" t="str">
        <f t="shared" si="83"/>
        <v>Ormanjhi</v>
      </c>
      <c r="H135" s="65">
        <v>2377</v>
      </c>
      <c r="I135" s="65">
        <v>4.0999999999999996</v>
      </c>
      <c r="J135" s="65">
        <v>8.2899999999999991</v>
      </c>
      <c r="K135" s="176">
        <f t="shared" si="249"/>
        <v>97.456999999999994</v>
      </c>
      <c r="L135" s="177">
        <f t="shared" si="250"/>
        <v>197.05329999999998</v>
      </c>
      <c r="M135" s="209">
        <f>$R$135*H135/SUM($H$135:$H$136)</f>
        <v>2377</v>
      </c>
      <c r="N135" s="211">
        <f t="shared" si="267"/>
        <v>4.0758108865693154</v>
      </c>
      <c r="O135" s="211">
        <f t="shared" si="268"/>
        <v>8.3607882611043127</v>
      </c>
      <c r="P135" s="176">
        <f>$U$135*K135/SUM($K$135:$K$136)</f>
        <v>96.882024773752633</v>
      </c>
      <c r="Q135" s="212">
        <f>$V$135*L135/SUM($L$135:$L$136)</f>
        <v>198.73593696644951</v>
      </c>
      <c r="R135" s="347">
        <v>4330</v>
      </c>
      <c r="S135" s="347">
        <v>4.3</v>
      </c>
      <c r="T135" s="347">
        <v>8.52</v>
      </c>
      <c r="U135" s="347">
        <f t="shared" ref="U135" si="271">R135*S135%</f>
        <v>186.19</v>
      </c>
      <c r="V135" s="347">
        <f t="shared" ref="V135" si="272">R135*T135%</f>
        <v>368.916</v>
      </c>
      <c r="X135" s="176">
        <f t="shared" si="255"/>
        <v>2377</v>
      </c>
      <c r="Y135" s="210">
        <f t="shared" si="256"/>
        <v>4.08</v>
      </c>
      <c r="Z135" s="210">
        <f t="shared" si="257"/>
        <v>8.36</v>
      </c>
    </row>
    <row r="136" spans="1:26" x14ac:dyDescent="0.25">
      <c r="A136" s="220">
        <v>72427</v>
      </c>
      <c r="B136" s="221">
        <v>1023</v>
      </c>
      <c r="C136" s="109" t="s">
        <v>109</v>
      </c>
      <c r="D136" s="229">
        <v>45951</v>
      </c>
      <c r="E136" s="65"/>
      <c r="F136" s="227" t="s">
        <v>14</v>
      </c>
      <c r="G136" s="65" t="str">
        <f t="shared" si="83"/>
        <v>Piragutu</v>
      </c>
      <c r="H136" s="65">
        <v>1953</v>
      </c>
      <c r="I136" s="65">
        <v>4.5999999999999996</v>
      </c>
      <c r="J136" s="65">
        <v>8.64</v>
      </c>
      <c r="K136" s="176">
        <f t="shared" si="249"/>
        <v>89.837999999999994</v>
      </c>
      <c r="L136" s="177">
        <f t="shared" si="250"/>
        <v>168.73920000000001</v>
      </c>
      <c r="M136" s="209">
        <f>$R$135*H136/SUM($H$135:$H$136)</f>
        <v>1953</v>
      </c>
      <c r="N136" s="211">
        <f t="shared" ref="N136" si="273">P136/M136*100</f>
        <v>4.5728609946875247</v>
      </c>
      <c r="O136" s="211">
        <f t="shared" ref="O136" si="274">Q136/M136*100</f>
        <v>8.7137769090399626</v>
      </c>
      <c r="P136" s="176">
        <f>$U$135*K136/SUM($K$135:$K$136)</f>
        <v>89.307975226247365</v>
      </c>
      <c r="Q136" s="212">
        <f>$V$135*L136/SUM($L$135:$L$136)</f>
        <v>170.18006303355045</v>
      </c>
      <c r="R136" s="348"/>
      <c r="S136" s="348"/>
      <c r="T136" s="348"/>
      <c r="U136" s="348"/>
      <c r="V136" s="348"/>
      <c r="X136" s="176">
        <f t="shared" si="255"/>
        <v>1953</v>
      </c>
      <c r="Y136" s="210">
        <f t="shared" si="256"/>
        <v>4.57</v>
      </c>
      <c r="Z136" s="210">
        <f t="shared" si="257"/>
        <v>8.7100000000000009</v>
      </c>
    </row>
    <row r="137" spans="1:26" x14ac:dyDescent="0.25">
      <c r="A137" s="220">
        <v>72426</v>
      </c>
      <c r="B137" s="221">
        <v>1023</v>
      </c>
      <c r="C137" s="109" t="s">
        <v>109</v>
      </c>
      <c r="D137" s="229">
        <v>45950</v>
      </c>
      <c r="E137" s="65"/>
      <c r="F137" s="227" t="s">
        <v>6</v>
      </c>
      <c r="G137" s="65" t="str">
        <f t="shared" si="83"/>
        <v>Hisri</v>
      </c>
      <c r="H137" s="65">
        <v>2283</v>
      </c>
      <c r="I137" s="65">
        <v>4.25</v>
      </c>
      <c r="J137" s="65">
        <v>8.18</v>
      </c>
      <c r="K137" s="176">
        <f t="shared" si="249"/>
        <v>97.027500000000003</v>
      </c>
      <c r="L137" s="177">
        <f t="shared" si="250"/>
        <v>186.74940000000001</v>
      </c>
      <c r="M137" s="209">
        <f>$R$137*H137/SUM($H$137:$H$138)</f>
        <v>2288.272517321016</v>
      </c>
      <c r="N137" s="211">
        <f t="shared" ref="N137" si="275">P137/M137*100</f>
        <v>4.1695702510852177</v>
      </c>
      <c r="O137" s="211">
        <f t="shared" ref="O137" si="276">Q137/M137*100</f>
        <v>8.1487178875213324</v>
      </c>
      <c r="P137" s="176">
        <f>$U$137*K137/SUM($K$137:$K$138)</f>
        <v>95.411130145975918</v>
      </c>
      <c r="Q137" s="212">
        <f>$V$137*L137/SUM($L$137:$L$138)</f>
        <v>186.46487193417232</v>
      </c>
      <c r="R137" s="347">
        <v>4340</v>
      </c>
      <c r="S137" s="347">
        <v>4.0999999999999996</v>
      </c>
      <c r="T137" s="347">
        <v>8.2899999999999991</v>
      </c>
      <c r="U137" s="347">
        <f t="shared" ref="U137" si="277">R137*S137%</f>
        <v>177.93999999999997</v>
      </c>
      <c r="V137" s="347">
        <f t="shared" ref="V137" si="278">R137*T137%</f>
        <v>359.78599999999994</v>
      </c>
      <c r="X137" s="176">
        <f t="shared" si="255"/>
        <v>2288</v>
      </c>
      <c r="Y137" s="210">
        <f t="shared" si="256"/>
        <v>4.17</v>
      </c>
      <c r="Z137" s="210">
        <f t="shared" si="257"/>
        <v>8.15</v>
      </c>
    </row>
    <row r="138" spans="1:26" x14ac:dyDescent="0.25">
      <c r="A138" s="220">
        <v>72426</v>
      </c>
      <c r="B138" s="221">
        <v>1023</v>
      </c>
      <c r="C138" s="109" t="s">
        <v>109</v>
      </c>
      <c r="D138" s="229">
        <v>45950</v>
      </c>
      <c r="E138" s="65"/>
      <c r="F138" s="227" t="s">
        <v>4</v>
      </c>
      <c r="G138" s="65" t="str">
        <f t="shared" si="83"/>
        <v>Pali</v>
      </c>
      <c r="H138" s="65">
        <v>2047</v>
      </c>
      <c r="I138" s="65">
        <v>4.0999999999999996</v>
      </c>
      <c r="J138" s="65">
        <v>8.48</v>
      </c>
      <c r="K138" s="176">
        <f t="shared" si="249"/>
        <v>83.926999999999992</v>
      </c>
      <c r="L138" s="177">
        <f t="shared" si="250"/>
        <v>173.5856</v>
      </c>
      <c r="M138" s="209">
        <f>$R$137*H138/SUM($H$137:$H$138)</f>
        <v>2051.727482678984</v>
      </c>
      <c r="N138" s="211">
        <f t="shared" ref="N138" si="279">P138/M138*100</f>
        <v>4.0224089481057383</v>
      </c>
      <c r="O138" s="211">
        <f t="shared" ref="O138" si="280">Q138/M138*100</f>
        <v>8.4475706217825053</v>
      </c>
      <c r="P138" s="176">
        <f>$U$137*K138/SUM($K$137:$K$138)</f>
        <v>82.528869854024052</v>
      </c>
      <c r="Q138" s="212">
        <f>$V$137*L138/SUM($L$137:$L$138)</f>
        <v>173.32112806582759</v>
      </c>
      <c r="R138" s="348"/>
      <c r="S138" s="348"/>
      <c r="T138" s="348"/>
      <c r="U138" s="348"/>
      <c r="V138" s="348"/>
      <c r="X138" s="176">
        <f t="shared" si="255"/>
        <v>2052</v>
      </c>
      <c r="Y138" s="210">
        <f t="shared" si="256"/>
        <v>4.0199999999999996</v>
      </c>
      <c r="Z138" s="210">
        <f t="shared" si="257"/>
        <v>8.4499999999999993</v>
      </c>
    </row>
    <row r="139" spans="1:26" x14ac:dyDescent="0.25">
      <c r="A139" s="220">
        <v>72256</v>
      </c>
      <c r="B139" s="221">
        <v>8504</v>
      </c>
      <c r="C139" s="109" t="s">
        <v>73</v>
      </c>
      <c r="D139" s="229">
        <v>45948</v>
      </c>
      <c r="E139" s="65"/>
      <c r="F139" s="227" t="s">
        <v>12</v>
      </c>
      <c r="G139" s="65" t="str">
        <f t="shared" si="83"/>
        <v>Ormanjhi</v>
      </c>
      <c r="H139" s="65">
        <v>2821</v>
      </c>
      <c r="I139" s="65">
        <v>4.1500000000000004</v>
      </c>
      <c r="J139" s="65">
        <v>8.42</v>
      </c>
      <c r="K139" s="176">
        <f t="shared" si="249"/>
        <v>117.0715</v>
      </c>
      <c r="L139" s="177">
        <f t="shared" si="250"/>
        <v>237.5282</v>
      </c>
      <c r="M139" s="209">
        <f>$R$139*H139/SUM($H$139:$H$140)</f>
        <v>2859.1601049868768</v>
      </c>
      <c r="N139" s="211">
        <f t="shared" ref="N139" si="281">P139/M139*100</f>
        <v>4.1011183668487377</v>
      </c>
      <c r="O139" s="211">
        <f t="shared" ref="O139" si="282">Q139/M139*100</f>
        <v>8.2451181107192149</v>
      </c>
      <c r="P139" s="176">
        <f>$U$139*K139/SUM($K$139:$K$140)</f>
        <v>117.25754020322846</v>
      </c>
      <c r="Q139" s="212">
        <f>$V$139*L139/SUM($L$139:$L$140)</f>
        <v>235.74112763073151</v>
      </c>
      <c r="R139" s="347">
        <v>5020</v>
      </c>
      <c r="S139" s="347">
        <v>4.25</v>
      </c>
      <c r="T139" s="347">
        <v>8.3800000000000008</v>
      </c>
      <c r="U139" s="347">
        <f t="shared" ref="U139" si="283">R139*S139%</f>
        <v>213.35000000000002</v>
      </c>
      <c r="V139" s="347">
        <f t="shared" ref="V139" si="284">R139*T139%</f>
        <v>420.67600000000004</v>
      </c>
      <c r="X139" s="176">
        <f t="shared" si="255"/>
        <v>2859</v>
      </c>
      <c r="Y139" s="210">
        <f t="shared" si="256"/>
        <v>4.0999999999999996</v>
      </c>
      <c r="Z139" s="210">
        <f t="shared" si="257"/>
        <v>8.25</v>
      </c>
    </row>
    <row r="140" spans="1:26" x14ac:dyDescent="0.25">
      <c r="A140" s="220">
        <v>72256</v>
      </c>
      <c r="B140" s="221">
        <v>8504</v>
      </c>
      <c r="C140" s="109" t="s">
        <v>73</v>
      </c>
      <c r="D140" s="229">
        <v>45948</v>
      </c>
      <c r="E140" s="65"/>
      <c r="F140" s="227" t="s">
        <v>14</v>
      </c>
      <c r="G140" s="65" t="str">
        <f t="shared" si="83"/>
        <v>Piragutu</v>
      </c>
      <c r="H140" s="65">
        <v>2132</v>
      </c>
      <c r="I140" s="65">
        <v>4.5</v>
      </c>
      <c r="J140" s="65">
        <v>8.74</v>
      </c>
      <c r="K140" s="176">
        <f t="shared" si="249"/>
        <v>95.94</v>
      </c>
      <c r="L140" s="177">
        <f t="shared" si="250"/>
        <v>186.33680000000001</v>
      </c>
      <c r="M140" s="209">
        <f>$R$139*H140/SUM($H$139:$H$140)</f>
        <v>2160.8398950131232</v>
      </c>
      <c r="N140" s="211">
        <f t="shared" ref="N140" si="285">P140/M140*100</f>
        <v>4.4469958194745365</v>
      </c>
      <c r="O140" s="211">
        <f t="shared" ref="O140" si="286">Q140/M140*100</f>
        <v>8.5584717681337228</v>
      </c>
      <c r="P140" s="176">
        <f>$U$139*K140/SUM($K$139:$K$140)</f>
        <v>96.09245979677155</v>
      </c>
      <c r="Q140" s="212">
        <f>$V$139*L140/SUM($L$139:$L$140)</f>
        <v>184.93487236926853</v>
      </c>
      <c r="R140" s="348"/>
      <c r="S140" s="348"/>
      <c r="T140" s="348"/>
      <c r="U140" s="348"/>
      <c r="V140" s="348"/>
      <c r="X140" s="176">
        <f t="shared" si="255"/>
        <v>2161</v>
      </c>
      <c r="Y140" s="210">
        <f t="shared" si="256"/>
        <v>4.45</v>
      </c>
      <c r="Z140" s="210">
        <f t="shared" si="257"/>
        <v>8.56</v>
      </c>
    </row>
    <row r="141" spans="1:26" x14ac:dyDescent="0.25">
      <c r="A141" s="220">
        <v>72429</v>
      </c>
      <c r="B141" s="221">
        <v>9944</v>
      </c>
      <c r="C141" s="109" t="s">
        <v>73</v>
      </c>
      <c r="D141" s="229">
        <v>45954</v>
      </c>
      <c r="E141" s="65"/>
      <c r="F141" s="227" t="s">
        <v>89</v>
      </c>
      <c r="G141" s="65" t="str">
        <f t="shared" si="83"/>
        <v>Chanho</v>
      </c>
      <c r="H141" s="65">
        <v>2060</v>
      </c>
      <c r="I141" s="65">
        <v>4.1500000000000004</v>
      </c>
      <c r="J141" s="65">
        <v>8.36</v>
      </c>
      <c r="K141" s="176">
        <f t="shared" si="249"/>
        <v>85.490000000000009</v>
      </c>
      <c r="L141" s="177">
        <f t="shared" si="250"/>
        <v>172.21599999999998</v>
      </c>
      <c r="M141" s="209">
        <f>$R$141*H141/SUM($H$141:$H$142)</f>
        <v>2071.74819039263</v>
      </c>
      <c r="N141" s="211">
        <f t="shared" ref="N141" si="287">P141/M141*100</f>
        <v>4.0489548116877669</v>
      </c>
      <c r="O141" s="211">
        <f t="shared" ref="O141" si="288">Q141/M141*100</f>
        <v>8.4747873590360729</v>
      </c>
      <c r="P141" s="176">
        <f>$U$141*K141/SUM($K$141:$K$142)</f>
        <v>83.884148040956632</v>
      </c>
      <c r="Q141" s="212">
        <f>$V$141*L141/SUM($L$141:$L$142)</f>
        <v>175.57625375045322</v>
      </c>
      <c r="R141" s="347">
        <v>9170</v>
      </c>
      <c r="S141" s="347">
        <v>4.2</v>
      </c>
      <c r="T141" s="347">
        <v>8.31</v>
      </c>
      <c r="U141" s="347">
        <f t="shared" ref="U141" si="289">R141*S141%</f>
        <v>385.14000000000004</v>
      </c>
      <c r="V141" s="347">
        <f t="shared" ref="V141" si="290">R141*T141%</f>
        <v>762.02700000000004</v>
      </c>
      <c r="X141" s="176">
        <f t="shared" si="255"/>
        <v>2072</v>
      </c>
      <c r="Y141" s="210">
        <f t="shared" si="256"/>
        <v>4.05</v>
      </c>
      <c r="Z141" s="210">
        <f t="shared" si="257"/>
        <v>8.4700000000000006</v>
      </c>
    </row>
    <row r="142" spans="1:26" x14ac:dyDescent="0.25">
      <c r="A142" s="220">
        <v>72429</v>
      </c>
      <c r="B142" s="221">
        <v>9944</v>
      </c>
      <c r="C142" s="109" t="s">
        <v>73</v>
      </c>
      <c r="D142" s="229">
        <v>45954</v>
      </c>
      <c r="E142" s="65"/>
      <c r="F142" s="227" t="s">
        <v>78</v>
      </c>
      <c r="G142" s="65" t="str">
        <f t="shared" si="83"/>
        <v>Bhandra</v>
      </c>
      <c r="H142" s="65">
        <v>7058</v>
      </c>
      <c r="I142" s="65">
        <v>4.3499999999999996</v>
      </c>
      <c r="J142" s="65">
        <v>8.15</v>
      </c>
      <c r="K142" s="176">
        <f t="shared" si="249"/>
        <v>307.02299999999997</v>
      </c>
      <c r="L142" s="177">
        <f t="shared" si="250"/>
        <v>575.22699999999998</v>
      </c>
      <c r="M142" s="209">
        <f>$R$141*H142/SUM($H$141:$H$142)</f>
        <v>7098.25180960737</v>
      </c>
      <c r="N142" s="211">
        <f t="shared" ref="N142" si="291">P142/M142*100</f>
        <v>4.2440851640582613</v>
      </c>
      <c r="O142" s="211">
        <f t="shared" ref="O142" si="292">Q142/M142*100</f>
        <v>8.2619039445148328</v>
      </c>
      <c r="P142" s="176">
        <f>$U$141*K142/SUM($K$141:$K$142)</f>
        <v>301.25585195904341</v>
      </c>
      <c r="Q142" s="212">
        <f>$V$141*L142/SUM($L$141:$L$142)</f>
        <v>586.4507462495468</v>
      </c>
      <c r="R142" s="348"/>
      <c r="S142" s="348"/>
      <c r="T142" s="348"/>
      <c r="U142" s="348"/>
      <c r="V142" s="348"/>
      <c r="X142" s="176">
        <f t="shared" si="255"/>
        <v>7098</v>
      </c>
      <c r="Y142" s="210">
        <f t="shared" si="256"/>
        <v>4.24</v>
      </c>
      <c r="Z142" s="210">
        <f t="shared" si="257"/>
        <v>8.26</v>
      </c>
    </row>
    <row r="143" spans="1:26" x14ac:dyDescent="0.25">
      <c r="A143" s="220">
        <v>72224</v>
      </c>
      <c r="B143" s="221">
        <v>1846</v>
      </c>
      <c r="C143" s="109" t="s">
        <v>73</v>
      </c>
      <c r="D143" s="229">
        <v>45954</v>
      </c>
      <c r="E143" s="65"/>
      <c r="F143" s="227" t="s">
        <v>12</v>
      </c>
      <c r="G143" s="65" t="str">
        <f t="shared" si="83"/>
        <v>Ormanjhi</v>
      </c>
      <c r="H143" s="65">
        <v>1700</v>
      </c>
      <c r="I143" s="65">
        <v>4.05</v>
      </c>
      <c r="J143" s="65">
        <v>8.34</v>
      </c>
      <c r="K143" s="176">
        <f t="shared" si="249"/>
        <v>68.850000000000009</v>
      </c>
      <c r="L143" s="177">
        <f t="shared" si="250"/>
        <v>141.78</v>
      </c>
      <c r="M143" s="209">
        <f>$R$143*H143/SUM($H$143:$H$145)</f>
        <v>1702.0471357302597</v>
      </c>
      <c r="N143" s="211">
        <f t="shared" ref="N143" si="293">P143/M143*100</f>
        <v>3.9849808265442044</v>
      </c>
      <c r="O143" s="211">
        <f t="shared" ref="O143" si="294">Q143/M143*100</f>
        <v>8.2600652034403943</v>
      </c>
      <c r="P143" s="176">
        <f>$U$143*K143/SUM($K$143:$K$145)</f>
        <v>67.826252017595664</v>
      </c>
      <c r="Q143" s="212">
        <f>$V$143*L143/SUM($L$143:$L$145)</f>
        <v>140.59020320460908</v>
      </c>
      <c r="R143" s="347">
        <v>5820</v>
      </c>
      <c r="S143" s="347">
        <v>4.2</v>
      </c>
      <c r="T143" s="347">
        <v>8.31</v>
      </c>
      <c r="U143" s="347">
        <f t="shared" ref="U143" si="295">R143*S143%</f>
        <v>244.44000000000003</v>
      </c>
      <c r="V143" s="347">
        <f t="shared" ref="V143" si="296">R143*T143%</f>
        <v>483.64200000000005</v>
      </c>
      <c r="X143" s="176">
        <f t="shared" si="255"/>
        <v>1702</v>
      </c>
      <c r="Y143" s="210">
        <f t="shared" si="256"/>
        <v>3.98</v>
      </c>
      <c r="Z143" s="210">
        <f t="shared" si="257"/>
        <v>8.26</v>
      </c>
    </row>
    <row r="144" spans="1:26" x14ac:dyDescent="0.25">
      <c r="A144" s="220">
        <v>72224</v>
      </c>
      <c r="B144" s="221">
        <v>1846</v>
      </c>
      <c r="C144" s="109" t="s">
        <v>73</v>
      </c>
      <c r="D144" s="229">
        <v>45954</v>
      </c>
      <c r="E144" s="65"/>
      <c r="F144" s="227" t="s">
        <v>6</v>
      </c>
      <c r="G144" s="65" t="str">
        <f t="shared" si="83"/>
        <v>Hisri</v>
      </c>
      <c r="H144" s="65">
        <v>2395</v>
      </c>
      <c r="I144" s="65">
        <v>4.1500000000000004</v>
      </c>
      <c r="J144" s="65">
        <v>8.24</v>
      </c>
      <c r="K144" s="176">
        <f t="shared" si="249"/>
        <v>99.392499999999998</v>
      </c>
      <c r="L144" s="177">
        <f t="shared" si="250"/>
        <v>197.34800000000001</v>
      </c>
      <c r="M144" s="209">
        <f>$R$143*H144/SUM($H$143:$H$145)</f>
        <v>2397.8840529846893</v>
      </c>
      <c r="N144" s="211">
        <f t="shared" ref="N144" si="297">P144/M144*100</f>
        <v>4.0833754148539372</v>
      </c>
      <c r="O144" s="211">
        <f t="shared" ref="O144" si="298">Q144/M144*100</f>
        <v>8.1610236542384715</v>
      </c>
      <c r="P144" s="176">
        <f>$U$143*K144/SUM($K$143:$K$145)</f>
        <v>97.914607896279961</v>
      </c>
      <c r="Q144" s="212">
        <f>$V$143*L144/SUM($L$143:$L$145)</f>
        <v>195.69188476529266</v>
      </c>
      <c r="R144" s="349"/>
      <c r="S144" s="349"/>
      <c r="T144" s="349"/>
      <c r="U144" s="349"/>
      <c r="V144" s="349"/>
      <c r="X144" s="176">
        <f t="shared" si="255"/>
        <v>2398</v>
      </c>
      <c r="Y144" s="210">
        <f t="shared" si="256"/>
        <v>4.08</v>
      </c>
      <c r="Z144" s="210">
        <f t="shared" si="257"/>
        <v>8.16</v>
      </c>
    </row>
    <row r="145" spans="1:26" x14ac:dyDescent="0.25">
      <c r="A145" s="220">
        <v>72224</v>
      </c>
      <c r="B145" s="221">
        <v>1846</v>
      </c>
      <c r="C145" s="109" t="s">
        <v>73</v>
      </c>
      <c r="D145" s="229">
        <v>45954</v>
      </c>
      <c r="E145" s="65"/>
      <c r="F145" s="227" t="s">
        <v>14</v>
      </c>
      <c r="G145" s="65" t="str">
        <f t="shared" si="83"/>
        <v>Piragutu</v>
      </c>
      <c r="H145" s="65">
        <v>1718</v>
      </c>
      <c r="I145" s="65">
        <v>4.6500000000000004</v>
      </c>
      <c r="J145" s="65">
        <v>8.65</v>
      </c>
      <c r="K145" s="176">
        <f t="shared" si="249"/>
        <v>79.887000000000015</v>
      </c>
      <c r="L145" s="177">
        <f t="shared" si="250"/>
        <v>148.607</v>
      </c>
      <c r="M145" s="209">
        <f>$R$143*H145/SUM($H$143:$H$145)</f>
        <v>1720.0688112850507</v>
      </c>
      <c r="N145" s="211">
        <f t="shared" ref="N145" si="299">P145/M145*100</f>
        <v>4.5753483564026052</v>
      </c>
      <c r="O145" s="211">
        <f t="shared" ref="O145" si="300">Q145/M145*100</f>
        <v>8.5670940059663572</v>
      </c>
      <c r="P145" s="176">
        <f>$U$143*K145/SUM($K$143:$K$145)</f>
        <v>78.699140086124402</v>
      </c>
      <c r="Q145" s="212">
        <f>$V$143*L145/SUM($L$143:$L$145)</f>
        <v>147.35991203009834</v>
      </c>
      <c r="R145" s="348"/>
      <c r="S145" s="348"/>
      <c r="T145" s="348"/>
      <c r="U145" s="348"/>
      <c r="V145" s="348"/>
      <c r="X145" s="176">
        <f t="shared" si="255"/>
        <v>1720</v>
      </c>
      <c r="Y145" s="210">
        <f t="shared" si="256"/>
        <v>4.58</v>
      </c>
      <c r="Z145" s="210">
        <f t="shared" si="257"/>
        <v>8.57</v>
      </c>
    </row>
    <row r="146" spans="1:26" x14ac:dyDescent="0.25">
      <c r="A146" s="220">
        <v>72431</v>
      </c>
      <c r="B146" s="221">
        <v>9944</v>
      </c>
      <c r="C146" s="109" t="s">
        <v>73</v>
      </c>
      <c r="D146" s="229">
        <v>45955</v>
      </c>
      <c r="E146" s="65"/>
      <c r="F146" s="227" t="s">
        <v>4</v>
      </c>
      <c r="G146" s="65" t="str">
        <f t="shared" si="83"/>
        <v>Pali</v>
      </c>
      <c r="H146" s="65">
        <v>4437</v>
      </c>
      <c r="I146" s="65">
        <v>4.1500000000000004</v>
      </c>
      <c r="J146" s="65">
        <v>8.3000000000000007</v>
      </c>
      <c r="K146" s="176">
        <f t="shared" si="249"/>
        <v>184.13550000000001</v>
      </c>
      <c r="L146" s="177">
        <f t="shared" si="250"/>
        <v>368.27100000000002</v>
      </c>
      <c r="M146" s="209">
        <f>$R$146*H146/SUM($H$146:$H$148)</f>
        <v>4434.5281337047354</v>
      </c>
      <c r="N146" s="211">
        <f t="shared" ref="N146" si="301">P146/M146*100</f>
        <v>4.0506478108119204</v>
      </c>
      <c r="O146" s="211">
        <f t="shared" ref="O146" si="302">Q146/M146*100</f>
        <v>8.2378035603518995</v>
      </c>
      <c r="P146" s="176">
        <f>$U$146*K146/SUM($K$146:$K$148)</f>
        <v>179.62711676774958</v>
      </c>
      <c r="Q146" s="212">
        <f>$V$146*L146/SUM($L$146:$L$148)</f>
        <v>365.30771648313538</v>
      </c>
      <c r="R146" s="347">
        <v>8970</v>
      </c>
      <c r="S146" s="347">
        <v>4.0999999999999996</v>
      </c>
      <c r="T146" s="347">
        <v>8.2899999999999991</v>
      </c>
      <c r="U146" s="347">
        <f t="shared" ref="U146" si="303">R146*S146%</f>
        <v>367.76999999999992</v>
      </c>
      <c r="V146" s="347">
        <f t="shared" ref="V146" si="304">R146*T146%</f>
        <v>743.61299999999994</v>
      </c>
      <c r="X146" s="176">
        <f t="shared" si="255"/>
        <v>4435</v>
      </c>
      <c r="Y146" s="210">
        <f t="shared" si="256"/>
        <v>4.05</v>
      </c>
      <c r="Z146" s="210">
        <f t="shared" si="257"/>
        <v>8.24</v>
      </c>
    </row>
    <row r="147" spans="1:26" x14ac:dyDescent="0.25">
      <c r="A147" s="220">
        <v>72431</v>
      </c>
      <c r="B147" s="221">
        <v>9944</v>
      </c>
      <c r="C147" s="109" t="s">
        <v>73</v>
      </c>
      <c r="D147" s="229">
        <v>45955</v>
      </c>
      <c r="E147" s="65"/>
      <c r="F147" s="227" t="s">
        <v>89</v>
      </c>
      <c r="G147" s="65" t="str">
        <f t="shared" si="83"/>
        <v>Chanho</v>
      </c>
      <c r="H147" s="65">
        <v>1816</v>
      </c>
      <c r="I147" s="65">
        <v>4.25</v>
      </c>
      <c r="J147" s="65">
        <v>8.44</v>
      </c>
      <c r="K147" s="176">
        <f t="shared" si="249"/>
        <v>77.180000000000007</v>
      </c>
      <c r="L147" s="177">
        <f t="shared" si="250"/>
        <v>153.27039999999997</v>
      </c>
      <c r="M147" s="209">
        <f t="shared" ref="M147:M148" si="305">$R$146*H147/SUM($H$146:$H$148)</f>
        <v>1814.9883008356546</v>
      </c>
      <c r="N147" s="211">
        <f t="shared" ref="N147:N149" si="306">P147/M147*100</f>
        <v>4.148253782156786</v>
      </c>
      <c r="O147" s="211">
        <f t="shared" ref="O147:O149" si="307">Q147/M147*100</f>
        <v>8.3767544637795197</v>
      </c>
      <c r="P147" s="176">
        <f t="shared" ref="P147:P148" si="308">$U$146*K147/SUM($K$146:$K$148)</f>
        <v>75.290320835118237</v>
      </c>
      <c r="Q147" s="212">
        <f t="shared" ref="Q147:Q148" si="309">$V$146*L147/SUM($L$146:$L$148)</f>
        <v>152.03711350732678</v>
      </c>
      <c r="R147" s="349"/>
      <c r="S147" s="349"/>
      <c r="T147" s="349"/>
      <c r="U147" s="349"/>
      <c r="V147" s="349"/>
      <c r="X147" s="176">
        <f t="shared" si="255"/>
        <v>1815</v>
      </c>
      <c r="Y147" s="210">
        <f t="shared" si="256"/>
        <v>4.1500000000000004</v>
      </c>
      <c r="Z147" s="210">
        <f t="shared" si="257"/>
        <v>8.3800000000000008</v>
      </c>
    </row>
    <row r="148" spans="1:26" x14ac:dyDescent="0.25">
      <c r="A148" s="220">
        <v>72431</v>
      </c>
      <c r="B148" s="221">
        <v>9944</v>
      </c>
      <c r="C148" s="109" t="s">
        <v>73</v>
      </c>
      <c r="D148" s="229">
        <v>45955</v>
      </c>
      <c r="E148" s="65"/>
      <c r="F148" s="227" t="s">
        <v>12</v>
      </c>
      <c r="G148" s="65" t="str">
        <f t="shared" si="83"/>
        <v>Ormanjhi</v>
      </c>
      <c r="H148" s="65">
        <v>2722</v>
      </c>
      <c r="I148" s="65">
        <v>4.25</v>
      </c>
      <c r="J148" s="65">
        <v>8.3800000000000008</v>
      </c>
      <c r="K148" s="176">
        <f t="shared" si="249"/>
        <v>115.685</v>
      </c>
      <c r="L148" s="177">
        <f t="shared" si="250"/>
        <v>228.10360000000003</v>
      </c>
      <c r="M148" s="209">
        <f t="shared" si="305"/>
        <v>2720.48356545961</v>
      </c>
      <c r="N148" s="211">
        <f t="shared" si="306"/>
        <v>4.1482537821567869</v>
      </c>
      <c r="O148" s="211">
        <f t="shared" si="307"/>
        <v>8.3172040765962567</v>
      </c>
      <c r="P148" s="176">
        <f t="shared" si="308"/>
        <v>112.85256239713208</v>
      </c>
      <c r="Q148" s="212">
        <f t="shared" si="309"/>
        <v>226.26817000953787</v>
      </c>
      <c r="R148" s="348"/>
      <c r="S148" s="348"/>
      <c r="T148" s="348"/>
      <c r="U148" s="348"/>
      <c r="V148" s="348"/>
      <c r="X148" s="176">
        <f t="shared" si="255"/>
        <v>2720</v>
      </c>
      <c r="Y148" s="210">
        <f t="shared" si="256"/>
        <v>4.1500000000000004</v>
      </c>
      <c r="Z148" s="210">
        <f t="shared" si="257"/>
        <v>8.32</v>
      </c>
    </row>
    <row r="149" spans="1:26" x14ac:dyDescent="0.25">
      <c r="A149" s="220">
        <v>72325</v>
      </c>
      <c r="B149" s="221">
        <v>1846</v>
      </c>
      <c r="C149" s="109" t="s">
        <v>73</v>
      </c>
      <c r="D149" s="229">
        <v>45954</v>
      </c>
      <c r="E149" s="65"/>
      <c r="F149" s="227" t="s">
        <v>12</v>
      </c>
      <c r="G149" s="65" t="str">
        <f t="shared" si="83"/>
        <v>Ormanjhi</v>
      </c>
      <c r="H149" s="65">
        <v>1593</v>
      </c>
      <c r="I149" s="65">
        <v>4.0999999999999996</v>
      </c>
      <c r="J149" s="65">
        <v>8.4</v>
      </c>
      <c r="K149" s="176">
        <f t="shared" si="249"/>
        <v>65.312999999999988</v>
      </c>
      <c r="L149" s="177">
        <f t="shared" si="250"/>
        <v>133.81200000000001</v>
      </c>
      <c r="M149" s="209">
        <f>$R$149*H149/SUM($H$149:$H$150)</f>
        <v>1589.0666666666666</v>
      </c>
      <c r="N149" s="211">
        <f t="shared" si="306"/>
        <v>4.0732972734297377</v>
      </c>
      <c r="O149" s="211">
        <f t="shared" si="307"/>
        <v>8.2607885518372228</v>
      </c>
      <c r="P149" s="176">
        <f>$U$149*K149/SUM($K$149:$K$150)</f>
        <v>64.72740920631415</v>
      </c>
      <c r="Q149" s="212">
        <f>$V$149*L149/SUM($L$149:$L$150)</f>
        <v>131.26943728106136</v>
      </c>
      <c r="R149" s="347">
        <v>6060</v>
      </c>
      <c r="S149" s="347">
        <v>4</v>
      </c>
      <c r="T149" s="347">
        <v>8.2100000000000009</v>
      </c>
      <c r="U149" s="347">
        <f t="shared" ref="U149" si="310">R149*S149%</f>
        <v>242.4</v>
      </c>
      <c r="V149" s="347">
        <f t="shared" ref="V149" si="311">R149*T149%</f>
        <v>497.52600000000001</v>
      </c>
      <c r="X149" s="176">
        <f t="shared" si="255"/>
        <v>1589</v>
      </c>
      <c r="Y149" s="210">
        <f t="shared" si="256"/>
        <v>4.07</v>
      </c>
      <c r="Z149" s="210">
        <f t="shared" si="257"/>
        <v>8.26</v>
      </c>
    </row>
    <row r="150" spans="1:26" x14ac:dyDescent="0.25">
      <c r="A150" s="220">
        <v>72325</v>
      </c>
      <c r="B150" s="221">
        <v>1846</v>
      </c>
      <c r="C150" s="109" t="s">
        <v>73</v>
      </c>
      <c r="D150" s="229">
        <v>45954</v>
      </c>
      <c r="E150" s="65"/>
      <c r="F150" s="227" t="s">
        <v>2</v>
      </c>
      <c r="G150" s="65" t="str">
        <f t="shared" si="83"/>
        <v>Itki</v>
      </c>
      <c r="H150" s="65">
        <v>4482</v>
      </c>
      <c r="I150" s="65">
        <v>4</v>
      </c>
      <c r="J150" s="65">
        <v>8.33</v>
      </c>
      <c r="K150" s="176">
        <f t="shared" si="249"/>
        <v>179.28</v>
      </c>
      <c r="L150" s="177">
        <f t="shared" si="250"/>
        <v>373.35059999999999</v>
      </c>
      <c r="M150" s="209">
        <f>$R$149*H150/SUM($H$149:$H$150)</f>
        <v>4470.9333333333334</v>
      </c>
      <c r="N150" s="211">
        <f t="shared" ref="N150:N151" si="312">P150/M150*100</f>
        <v>3.9739485594436479</v>
      </c>
      <c r="O150" s="211">
        <f t="shared" ref="O150:O151" si="313">Q150/M150*100</f>
        <v>8.1919486472385792</v>
      </c>
      <c r="P150" s="176">
        <f>$U$149*K150/SUM($K$149:$K$150)</f>
        <v>177.67259079368586</v>
      </c>
      <c r="Q150" s="212">
        <f>$V$149*L150/SUM($L$149:$L$150)</f>
        <v>366.25656271893865</v>
      </c>
      <c r="R150" s="348"/>
      <c r="S150" s="348"/>
      <c r="T150" s="348"/>
      <c r="U150" s="348"/>
      <c r="V150" s="348"/>
      <c r="X150" s="176">
        <f t="shared" si="255"/>
        <v>4471</v>
      </c>
      <c r="Y150" s="210">
        <f t="shared" si="256"/>
        <v>3.97</v>
      </c>
      <c r="Z150" s="210">
        <f t="shared" si="257"/>
        <v>8.19</v>
      </c>
    </row>
    <row r="151" spans="1:26" x14ac:dyDescent="0.25">
      <c r="A151" s="220">
        <v>72326</v>
      </c>
      <c r="B151" s="221">
        <v>1846</v>
      </c>
      <c r="C151" s="109" t="s">
        <v>73</v>
      </c>
      <c r="D151" s="229">
        <v>45955</v>
      </c>
      <c r="E151" s="65"/>
      <c r="F151" s="227" t="s">
        <v>8</v>
      </c>
      <c r="G151" s="65" t="str">
        <f t="shared" si="83"/>
        <v>Choria</v>
      </c>
      <c r="H151" s="65">
        <v>1257</v>
      </c>
      <c r="I151" s="65">
        <v>3.5</v>
      </c>
      <c r="J151" s="65">
        <v>8.17</v>
      </c>
      <c r="K151" s="176">
        <f t="shared" si="249"/>
        <v>43.995000000000005</v>
      </c>
      <c r="L151" s="177">
        <f t="shared" si="250"/>
        <v>102.6969</v>
      </c>
      <c r="M151" s="209">
        <f>$R$151*H151/SUM($H$151:$H$153)</f>
        <v>1268.0560043080236</v>
      </c>
      <c r="N151" s="211">
        <f t="shared" si="312"/>
        <v>3.3928208414588337</v>
      </c>
      <c r="O151" s="211">
        <f t="shared" si="313"/>
        <v>7.991601114147838</v>
      </c>
      <c r="P151" s="176">
        <f>$U$151*K151/SUM($K$151:$K$153)</f>
        <v>43.022868395532747</v>
      </c>
      <c r="Q151" s="212">
        <f>$V$151*L151/SUM($L$151:$L$153)</f>
        <v>101.33797776829857</v>
      </c>
      <c r="R151" s="347">
        <v>5620</v>
      </c>
      <c r="S151" s="347">
        <v>4.0999999999999996</v>
      </c>
      <c r="T151" s="347">
        <v>8.2899999999999991</v>
      </c>
      <c r="U151" s="347">
        <f t="shared" ref="U151" si="314">R151*S151%</f>
        <v>230.41999999999996</v>
      </c>
      <c r="V151" s="347">
        <f t="shared" ref="V151" si="315">R151*T151%</f>
        <v>465.89799999999991</v>
      </c>
      <c r="X151" s="176">
        <f t="shared" si="255"/>
        <v>1268</v>
      </c>
      <c r="Y151" s="210">
        <f t="shared" si="256"/>
        <v>3.39</v>
      </c>
      <c r="Z151" s="210">
        <f t="shared" si="257"/>
        <v>7.99</v>
      </c>
    </row>
    <row r="152" spans="1:26" x14ac:dyDescent="0.25">
      <c r="A152" s="220">
        <v>72326</v>
      </c>
      <c r="B152" s="221">
        <v>1846</v>
      </c>
      <c r="C152" s="109" t="s">
        <v>73</v>
      </c>
      <c r="D152" s="229">
        <v>45955</v>
      </c>
      <c r="E152" s="65"/>
      <c r="F152" s="227" t="s">
        <v>14</v>
      </c>
      <c r="G152" s="65" t="str">
        <f t="shared" si="83"/>
        <v>Piragutu</v>
      </c>
      <c r="H152" s="65">
        <v>2291</v>
      </c>
      <c r="I152" s="65">
        <v>4.7</v>
      </c>
      <c r="J152" s="65">
        <v>8.85</v>
      </c>
      <c r="K152" s="176">
        <f t="shared" si="249"/>
        <v>107.67700000000001</v>
      </c>
      <c r="L152" s="177">
        <f t="shared" si="250"/>
        <v>202.7535</v>
      </c>
      <c r="M152" s="209">
        <f t="shared" ref="M152:M153" si="316">$R$151*H152/SUM($H$151:$H$153)</f>
        <v>2311.1506013283074</v>
      </c>
      <c r="N152" s="211">
        <f t="shared" ref="N152:N153" si="317">P152/M152*100</f>
        <v>4.5560737013875761</v>
      </c>
      <c r="O152" s="211">
        <f t="shared" ref="O152:O153" si="318">Q152/M152*100</f>
        <v>8.6567527368676078</v>
      </c>
      <c r="P152" s="176">
        <f t="shared" ref="P152:P153" si="319">$U$151*K152/SUM($K$151:$K$153)</f>
        <v>105.29772474657983</v>
      </c>
      <c r="Q152" s="212">
        <f t="shared" ref="Q152:Q153" si="320">$V$151*L152/SUM($L$151:$L$153)</f>
        <v>200.07059293362045</v>
      </c>
      <c r="R152" s="349"/>
      <c r="S152" s="349"/>
      <c r="T152" s="349"/>
      <c r="U152" s="349"/>
      <c r="V152" s="349"/>
      <c r="X152" s="176">
        <f t="shared" si="255"/>
        <v>2311</v>
      </c>
      <c r="Y152" s="210">
        <f t="shared" si="256"/>
        <v>4.5599999999999996</v>
      </c>
      <c r="Z152" s="210">
        <f t="shared" si="257"/>
        <v>8.66</v>
      </c>
    </row>
    <row r="153" spans="1:26" x14ac:dyDescent="0.25">
      <c r="A153" s="220">
        <v>72326</v>
      </c>
      <c r="B153" s="221">
        <v>1846</v>
      </c>
      <c r="C153" s="109" t="s">
        <v>73</v>
      </c>
      <c r="D153" s="229">
        <v>45955</v>
      </c>
      <c r="E153" s="65"/>
      <c r="F153" s="227" t="s">
        <v>6</v>
      </c>
      <c r="G153" s="65" t="str">
        <f t="shared" si="83"/>
        <v>Hisri</v>
      </c>
      <c r="H153" s="65">
        <v>2023</v>
      </c>
      <c r="I153" s="65">
        <v>4.1500000000000004</v>
      </c>
      <c r="J153" s="65">
        <v>8.24</v>
      </c>
      <c r="K153" s="176">
        <f t="shared" si="249"/>
        <v>83.95450000000001</v>
      </c>
      <c r="L153" s="177">
        <f t="shared" si="250"/>
        <v>166.6952</v>
      </c>
      <c r="M153" s="209">
        <f t="shared" si="316"/>
        <v>2040.793394363669</v>
      </c>
      <c r="N153" s="211">
        <f t="shared" si="317"/>
        <v>4.0229161405869025</v>
      </c>
      <c r="O153" s="211">
        <f t="shared" si="318"/>
        <v>8.0600726047219311</v>
      </c>
      <c r="P153" s="176">
        <f t="shared" si="319"/>
        <v>82.099406857887359</v>
      </c>
      <c r="Q153" s="212">
        <f t="shared" si="320"/>
        <v>164.48942929808089</v>
      </c>
      <c r="R153" s="348"/>
      <c r="S153" s="348"/>
      <c r="T153" s="348"/>
      <c r="U153" s="348"/>
      <c r="V153" s="348"/>
      <c r="X153" s="176">
        <f t="shared" si="255"/>
        <v>2041</v>
      </c>
      <c r="Y153" s="210">
        <f t="shared" si="256"/>
        <v>4.0199999999999996</v>
      </c>
      <c r="Z153" s="210">
        <f t="shared" si="257"/>
        <v>8.06</v>
      </c>
    </row>
    <row r="154" spans="1:26" x14ac:dyDescent="0.25">
      <c r="A154" s="220">
        <v>72228</v>
      </c>
      <c r="B154" s="221">
        <v>9944</v>
      </c>
      <c r="C154" s="109" t="s">
        <v>73</v>
      </c>
      <c r="D154" s="229">
        <v>45959</v>
      </c>
      <c r="E154" s="65"/>
      <c r="F154" s="227" t="s">
        <v>4</v>
      </c>
      <c r="G154" s="65" t="str">
        <f t="shared" si="83"/>
        <v>Pali</v>
      </c>
      <c r="H154" s="65">
        <v>4465</v>
      </c>
      <c r="I154" s="65">
        <v>4.05</v>
      </c>
      <c r="J154" s="65">
        <v>8.2200000000000006</v>
      </c>
      <c r="K154" s="176">
        <f t="shared" ref="K154:K214" si="321">H154*I154%</f>
        <v>180.83250000000001</v>
      </c>
      <c r="L154" s="177">
        <f t="shared" ref="L154:L214" si="322">H154*J154%</f>
        <v>367.02300000000002</v>
      </c>
      <c r="M154" s="209">
        <f>$R$154*H154/SUM($H$154:$H$156)</f>
        <v>4466.6301569916031</v>
      </c>
      <c r="N154" s="211">
        <f t="shared" ref="N154" si="323">P154/M154*100</f>
        <v>3.9571464158043272</v>
      </c>
      <c r="O154" s="211">
        <f t="shared" ref="O154" si="324">Q154/M154*100</f>
        <v>8.142207813563175</v>
      </c>
      <c r="P154" s="176">
        <f>$U$154*K154/SUM($K$154:$K$156)</f>
        <v>176.75109516462842</v>
      </c>
      <c r="Q154" s="212">
        <f>$V$154*L154/SUM($L$154:$L$156)</f>
        <v>363.68230964553942</v>
      </c>
      <c r="R154" s="347">
        <v>8220</v>
      </c>
      <c r="S154" s="347">
        <v>3.95</v>
      </c>
      <c r="T154" s="347">
        <v>8.1300000000000008</v>
      </c>
      <c r="U154" s="347">
        <f t="shared" ref="U154" si="325">R154*S154%</f>
        <v>324.69</v>
      </c>
      <c r="V154" s="347">
        <f t="shared" ref="V154" si="326">R154*T154%</f>
        <v>668.28600000000006</v>
      </c>
      <c r="X154" s="176">
        <f t="shared" ref="X154:X214" si="327">ROUND(M154,0)</f>
        <v>4467</v>
      </c>
      <c r="Y154" s="210">
        <f t="shared" ref="Y154:Y214" si="328">ROUND(N154,2)</f>
        <v>3.96</v>
      </c>
      <c r="Z154" s="210">
        <f t="shared" ref="Z154:Z214" si="329">ROUND(O154,2)</f>
        <v>8.14</v>
      </c>
    </row>
    <row r="155" spans="1:26" x14ac:dyDescent="0.25">
      <c r="A155" s="220">
        <v>72228</v>
      </c>
      <c r="B155" s="221">
        <v>9944</v>
      </c>
      <c r="C155" s="109" t="s">
        <v>73</v>
      </c>
      <c r="D155" s="229">
        <v>45959</v>
      </c>
      <c r="E155" s="65"/>
      <c r="F155" s="227" t="s">
        <v>6</v>
      </c>
      <c r="G155" s="65" t="str">
        <f t="shared" si="83"/>
        <v>Hisri</v>
      </c>
      <c r="H155" s="65">
        <v>1275</v>
      </c>
      <c r="I155" s="65">
        <v>4.0999999999999996</v>
      </c>
      <c r="J155" s="65">
        <v>8.16</v>
      </c>
      <c r="K155" s="176">
        <f t="shared" si="321"/>
        <v>52.274999999999991</v>
      </c>
      <c r="L155" s="177">
        <f t="shared" si="322"/>
        <v>104.04</v>
      </c>
      <c r="M155" s="209">
        <f t="shared" ref="M155:M156" si="330">$R$154*H155/SUM($H$154:$H$156)</f>
        <v>1275.4654983570647</v>
      </c>
      <c r="N155" s="211">
        <f t="shared" ref="N155:N156" si="331">P155/M155*100</f>
        <v>4.0060000752587008</v>
      </c>
      <c r="O155" s="211">
        <f t="shared" ref="O155:O156" si="332">Q155/M155*100</f>
        <v>8.0827756397415467</v>
      </c>
      <c r="P155" s="176">
        <f t="shared" ref="P155:P156" si="333">$U$154*K155/SUM($K$154:$K$156)</f>
        <v>51.095148824082777</v>
      </c>
      <c r="Q155" s="212">
        <f t="shared" ref="Q155:Q156" si="334">$V$154*L155/SUM($L$154:$L$156)</f>
        <v>103.09301459451294</v>
      </c>
      <c r="R155" s="349"/>
      <c r="S155" s="349"/>
      <c r="T155" s="349"/>
      <c r="U155" s="349"/>
      <c r="V155" s="349"/>
      <c r="X155" s="176">
        <f t="shared" si="327"/>
        <v>1275</v>
      </c>
      <c r="Y155" s="210">
        <f t="shared" si="328"/>
        <v>4.01</v>
      </c>
      <c r="Z155" s="210">
        <f t="shared" si="329"/>
        <v>8.08</v>
      </c>
    </row>
    <row r="156" spans="1:26" x14ac:dyDescent="0.25">
      <c r="A156" s="220">
        <v>72228</v>
      </c>
      <c r="B156" s="221">
        <v>9944</v>
      </c>
      <c r="C156" s="109" t="s">
        <v>73</v>
      </c>
      <c r="D156" s="229">
        <v>45959</v>
      </c>
      <c r="E156" s="65"/>
      <c r="F156" s="227" t="s">
        <v>12</v>
      </c>
      <c r="G156" s="65" t="str">
        <f t="shared" si="83"/>
        <v>Ormanjhi</v>
      </c>
      <c r="H156" s="65">
        <v>2477</v>
      </c>
      <c r="I156" s="65">
        <v>4</v>
      </c>
      <c r="J156" s="65">
        <v>8.2100000000000009</v>
      </c>
      <c r="K156" s="176">
        <f t="shared" si="321"/>
        <v>99.08</v>
      </c>
      <c r="L156" s="177">
        <f t="shared" si="322"/>
        <v>203.36170000000001</v>
      </c>
      <c r="M156" s="209">
        <f t="shared" si="330"/>
        <v>2477.9043446513324</v>
      </c>
      <c r="N156" s="211">
        <f t="shared" si="331"/>
        <v>3.9082927563499537</v>
      </c>
      <c r="O156" s="211">
        <f t="shared" si="332"/>
        <v>8.132302451259573</v>
      </c>
      <c r="P156" s="176">
        <f t="shared" si="333"/>
        <v>96.843756011288804</v>
      </c>
      <c r="Q156" s="212">
        <f t="shared" si="334"/>
        <v>201.51067575994773</v>
      </c>
      <c r="R156" s="348"/>
      <c r="S156" s="348"/>
      <c r="T156" s="348"/>
      <c r="U156" s="348"/>
      <c r="V156" s="348"/>
      <c r="X156" s="176">
        <f t="shared" si="327"/>
        <v>2478</v>
      </c>
      <c r="Y156" s="210">
        <f t="shared" si="328"/>
        <v>3.91</v>
      </c>
      <c r="Z156" s="210">
        <f t="shared" si="329"/>
        <v>8.1300000000000008</v>
      </c>
    </row>
    <row r="157" spans="1:26" x14ac:dyDescent="0.25">
      <c r="A157" s="220">
        <v>72433</v>
      </c>
      <c r="B157" s="221">
        <v>1846</v>
      </c>
      <c r="C157" s="109" t="s">
        <v>73</v>
      </c>
      <c r="D157" s="229">
        <v>45958</v>
      </c>
      <c r="E157" s="65"/>
      <c r="F157" s="227" t="s">
        <v>89</v>
      </c>
      <c r="G157" s="65" t="str">
        <f t="shared" si="83"/>
        <v>Chanho</v>
      </c>
      <c r="H157" s="65">
        <v>1700</v>
      </c>
      <c r="I157" s="65">
        <v>4.2</v>
      </c>
      <c r="J157" s="65">
        <v>8.43</v>
      </c>
      <c r="K157" s="176">
        <f t="shared" si="321"/>
        <v>71.400000000000006</v>
      </c>
      <c r="L157" s="177">
        <f t="shared" si="322"/>
        <v>143.31</v>
      </c>
      <c r="M157" s="209">
        <f>$R$157*H157/SUM($H$157:$H$159)</f>
        <v>1700</v>
      </c>
      <c r="N157" s="211">
        <f t="shared" ref="N157" si="335">P157/M157*100</f>
        <v>4.1901869158878506</v>
      </c>
      <c r="O157" s="211">
        <f t="shared" ref="O157" si="336">Q157/M157*100</f>
        <v>8.3680472440944875</v>
      </c>
      <c r="P157" s="176">
        <f>$U$157*K157/SUM($K$157:$K$159)</f>
        <v>71.23317757009346</v>
      </c>
      <c r="Q157" s="212">
        <f>$V$157*L157/SUM($L$157:$L$159)</f>
        <v>142.2568031496063</v>
      </c>
      <c r="R157" s="347">
        <v>6100</v>
      </c>
      <c r="S157" s="347">
        <v>4.2</v>
      </c>
      <c r="T157" s="347">
        <v>8.3699999999999992</v>
      </c>
      <c r="U157" s="347">
        <f t="shared" ref="U157" si="337">R157*S157%</f>
        <v>256.2</v>
      </c>
      <c r="V157" s="347">
        <f t="shared" ref="V157" si="338">R157*T157%</f>
        <v>510.57</v>
      </c>
      <c r="X157" s="176">
        <f t="shared" si="327"/>
        <v>1700</v>
      </c>
      <c r="Y157" s="210">
        <f t="shared" si="328"/>
        <v>4.1900000000000004</v>
      </c>
      <c r="Z157" s="210">
        <f t="shared" si="329"/>
        <v>8.3699999999999992</v>
      </c>
    </row>
    <row r="158" spans="1:26" x14ac:dyDescent="0.25">
      <c r="A158" s="220">
        <v>72433</v>
      </c>
      <c r="B158" s="221">
        <v>1846</v>
      </c>
      <c r="C158" s="109" t="s">
        <v>73</v>
      </c>
      <c r="D158" s="229">
        <v>45958</v>
      </c>
      <c r="E158" s="65"/>
      <c r="F158" s="227" t="s">
        <v>14</v>
      </c>
      <c r="G158" s="65" t="str">
        <f t="shared" si="83"/>
        <v>Piragutu</v>
      </c>
      <c r="H158" s="65">
        <v>2400</v>
      </c>
      <c r="I158" s="65">
        <v>4.3499999999999996</v>
      </c>
      <c r="J158" s="65">
        <v>8.4600000000000009</v>
      </c>
      <c r="K158" s="176">
        <f t="shared" si="321"/>
        <v>104.39999999999999</v>
      </c>
      <c r="L158" s="177">
        <f t="shared" si="322"/>
        <v>203.04000000000002</v>
      </c>
      <c r="M158" s="209">
        <f t="shared" ref="M158:M159" si="339">$R$157*H158/SUM($H$157:$H$159)</f>
        <v>2400</v>
      </c>
      <c r="N158" s="211">
        <f t="shared" ref="N158:N159" si="340">P158/M158*100</f>
        <v>4.3398364485981302</v>
      </c>
      <c r="O158" s="211">
        <f t="shared" ref="O158:O159" si="341">Q158/M158*100</f>
        <v>8.3978267716535431</v>
      </c>
      <c r="P158" s="176">
        <f t="shared" ref="P158:P159" si="342">$U$157*K158/SUM($K$157:$K$159)</f>
        <v>104.15607476635512</v>
      </c>
      <c r="Q158" s="212">
        <f t="shared" ref="Q158:Q159" si="343">$V$157*L158/SUM($L$157:$L$159)</f>
        <v>201.54784251968505</v>
      </c>
      <c r="R158" s="349"/>
      <c r="S158" s="349"/>
      <c r="T158" s="349"/>
      <c r="U158" s="349"/>
      <c r="V158" s="349"/>
      <c r="X158" s="176">
        <f t="shared" si="327"/>
        <v>2400</v>
      </c>
      <c r="Y158" s="210">
        <f t="shared" si="328"/>
        <v>4.34</v>
      </c>
      <c r="Z158" s="210">
        <f t="shared" si="329"/>
        <v>8.4</v>
      </c>
    </row>
    <row r="159" spans="1:26" x14ac:dyDescent="0.25">
      <c r="A159" s="220">
        <v>72433</v>
      </c>
      <c r="B159" s="221">
        <v>1846</v>
      </c>
      <c r="C159" s="109" t="s">
        <v>73</v>
      </c>
      <c r="D159" s="229">
        <v>45958</v>
      </c>
      <c r="E159" s="65"/>
      <c r="F159" s="227" t="s">
        <v>12</v>
      </c>
      <c r="G159" s="65" t="str">
        <f t="shared" si="83"/>
        <v>Ormanjhi</v>
      </c>
      <c r="H159" s="65">
        <v>2000</v>
      </c>
      <c r="I159" s="65">
        <v>4.05</v>
      </c>
      <c r="J159" s="65">
        <v>8.4</v>
      </c>
      <c r="K159" s="176">
        <f t="shared" si="321"/>
        <v>81</v>
      </c>
      <c r="L159" s="177">
        <f t="shared" si="322"/>
        <v>168</v>
      </c>
      <c r="M159" s="209">
        <f t="shared" si="339"/>
        <v>2000</v>
      </c>
      <c r="N159" s="211">
        <f t="shared" si="340"/>
        <v>4.0405373831775702</v>
      </c>
      <c r="O159" s="211">
        <f t="shared" si="341"/>
        <v>8.3382677165354337</v>
      </c>
      <c r="P159" s="176">
        <f t="shared" si="342"/>
        <v>80.810747663551396</v>
      </c>
      <c r="Q159" s="212">
        <f t="shared" si="343"/>
        <v>166.76535433070865</v>
      </c>
      <c r="R159" s="348"/>
      <c r="S159" s="348"/>
      <c r="T159" s="348"/>
      <c r="U159" s="348"/>
      <c r="V159" s="348"/>
      <c r="X159" s="176">
        <f t="shared" si="327"/>
        <v>2000</v>
      </c>
      <c r="Y159" s="210">
        <f t="shared" si="328"/>
        <v>4.04</v>
      </c>
      <c r="Z159" s="210">
        <f t="shared" si="329"/>
        <v>8.34</v>
      </c>
    </row>
    <row r="160" spans="1:26" x14ac:dyDescent="0.25">
      <c r="A160" s="220">
        <v>72432</v>
      </c>
      <c r="B160" s="221">
        <v>1846</v>
      </c>
      <c r="C160" s="109" t="s">
        <v>73</v>
      </c>
      <c r="D160" s="229">
        <v>45957</v>
      </c>
      <c r="E160" s="65"/>
      <c r="F160" s="227" t="s">
        <v>14</v>
      </c>
      <c r="G160" s="65" t="str">
        <f t="shared" si="83"/>
        <v>Piragutu</v>
      </c>
      <c r="H160" s="65">
        <v>850</v>
      </c>
      <c r="I160" s="65">
        <v>4.5</v>
      </c>
      <c r="J160" s="65">
        <v>8.49</v>
      </c>
      <c r="K160" s="176">
        <f t="shared" si="321"/>
        <v>38.25</v>
      </c>
      <c r="L160" s="177">
        <f t="shared" si="322"/>
        <v>72.165000000000006</v>
      </c>
      <c r="M160" s="209">
        <f>$R$160*H160/SUM($H$160:$H$162)</f>
        <v>857.24431818181813</v>
      </c>
      <c r="N160" s="211">
        <f t="shared" ref="N160" si="344">P160/M160*100</f>
        <v>4.3923140803527962</v>
      </c>
      <c r="O160" s="211">
        <f t="shared" ref="O160" si="345">Q160/M160*100</f>
        <v>8.2940425853323596</v>
      </c>
      <c r="P160" s="176">
        <f>$U$160*K160/SUM($K$160:$K$162)</f>
        <v>37.652862890524325</v>
      </c>
      <c r="Q160" s="212">
        <f>$V$160*L160/SUM($L$160:$L$162)</f>
        <v>71.100208810342025</v>
      </c>
      <c r="R160" s="347">
        <v>4970</v>
      </c>
      <c r="S160" s="347">
        <v>4.1500000000000004</v>
      </c>
      <c r="T160" s="347">
        <v>8.11</v>
      </c>
      <c r="U160" s="347">
        <f t="shared" ref="U160" si="346">R160*S160%</f>
        <v>206.25500000000002</v>
      </c>
      <c r="V160" s="347">
        <f t="shared" ref="V160" si="347">R160*T160%</f>
        <v>403.06699999999995</v>
      </c>
      <c r="X160" s="176">
        <f t="shared" si="327"/>
        <v>857</v>
      </c>
      <c r="Y160" s="210">
        <f t="shared" si="328"/>
        <v>4.3899999999999997</v>
      </c>
      <c r="Z160" s="210">
        <f t="shared" si="329"/>
        <v>8.2899999999999991</v>
      </c>
    </row>
    <row r="161" spans="1:26" x14ac:dyDescent="0.25">
      <c r="A161" s="220">
        <v>72432</v>
      </c>
      <c r="B161" s="221">
        <v>1846</v>
      </c>
      <c r="C161" s="109" t="s">
        <v>73</v>
      </c>
      <c r="D161" s="229">
        <v>45957</v>
      </c>
      <c r="E161" s="65"/>
      <c r="F161" s="227" t="s">
        <v>6</v>
      </c>
      <c r="G161" s="65" t="str">
        <f t="shared" si="83"/>
        <v>Hisri</v>
      </c>
      <c r="H161" s="65">
        <v>1495</v>
      </c>
      <c r="I161" s="65">
        <v>4.2</v>
      </c>
      <c r="J161" s="65">
        <v>8.18</v>
      </c>
      <c r="K161" s="176">
        <f t="shared" si="321"/>
        <v>62.790000000000006</v>
      </c>
      <c r="L161" s="177">
        <f t="shared" si="322"/>
        <v>122.291</v>
      </c>
      <c r="M161" s="209">
        <f t="shared" ref="M161:M162" si="348">$R$160*H161/SUM($H$160:$H$162)</f>
        <v>1507.7414772727273</v>
      </c>
      <c r="N161" s="211">
        <f t="shared" ref="N161:N162" si="349">P161/M161*100</f>
        <v>4.0994931416626104</v>
      </c>
      <c r="O161" s="211">
        <f t="shared" ref="O161:O162" si="350">Q161/M161*100</f>
        <v>7.9911976852789977</v>
      </c>
      <c r="P161" s="176">
        <f t="shared" ref="P161:P162" si="351">$U$160*K161/SUM($K$160:$K$162)</f>
        <v>61.809758454797986</v>
      </c>
      <c r="Q161" s="212">
        <f t="shared" ref="Q161:Q162" si="352">$V$160*L161/SUM($L$160:$L$162)</f>
        <v>120.48660203180954</v>
      </c>
      <c r="R161" s="349"/>
      <c r="S161" s="349"/>
      <c r="T161" s="349"/>
      <c r="U161" s="349"/>
      <c r="V161" s="349"/>
      <c r="X161" s="176">
        <f t="shared" si="327"/>
        <v>1508</v>
      </c>
      <c r="Y161" s="210">
        <f t="shared" si="328"/>
        <v>4.0999999999999996</v>
      </c>
      <c r="Z161" s="210">
        <f t="shared" si="329"/>
        <v>7.99</v>
      </c>
    </row>
    <row r="162" spans="1:26" x14ac:dyDescent="0.25">
      <c r="A162" s="220">
        <v>72432</v>
      </c>
      <c r="B162" s="221">
        <v>1846</v>
      </c>
      <c r="C162" s="109" t="s">
        <v>73</v>
      </c>
      <c r="D162" s="229">
        <v>45957</v>
      </c>
      <c r="E162" s="65"/>
      <c r="F162" s="227" t="s">
        <v>12</v>
      </c>
      <c r="G162" s="65" t="str">
        <f t="shared" si="83"/>
        <v>Ormanjhi</v>
      </c>
      <c r="H162" s="65">
        <v>2583</v>
      </c>
      <c r="I162" s="65">
        <v>4.2</v>
      </c>
      <c r="J162" s="65">
        <v>8.31</v>
      </c>
      <c r="K162" s="176">
        <f t="shared" si="321"/>
        <v>108.486</v>
      </c>
      <c r="L162" s="177">
        <f t="shared" si="322"/>
        <v>214.64730000000003</v>
      </c>
      <c r="M162" s="209">
        <f t="shared" si="348"/>
        <v>2605.0142045454545</v>
      </c>
      <c r="N162" s="211">
        <f t="shared" si="349"/>
        <v>4.0994931416626104</v>
      </c>
      <c r="O162" s="211">
        <f t="shared" si="350"/>
        <v>8.1181971594949243</v>
      </c>
      <c r="P162" s="176">
        <f t="shared" si="351"/>
        <v>106.79237865467772</v>
      </c>
      <c r="Q162" s="212">
        <f t="shared" si="352"/>
        <v>211.48018915784837</v>
      </c>
      <c r="R162" s="348"/>
      <c r="S162" s="348"/>
      <c r="T162" s="348"/>
      <c r="U162" s="348"/>
      <c r="V162" s="348"/>
      <c r="X162" s="176">
        <f t="shared" si="327"/>
        <v>2605</v>
      </c>
      <c r="Y162" s="210">
        <f t="shared" si="328"/>
        <v>4.0999999999999996</v>
      </c>
      <c r="Z162" s="210">
        <f t="shared" si="329"/>
        <v>8.1199999999999992</v>
      </c>
    </row>
    <row r="163" spans="1:26" x14ac:dyDescent="0.25">
      <c r="A163" s="220">
        <v>72330</v>
      </c>
      <c r="B163" s="221">
        <v>1846</v>
      </c>
      <c r="C163" s="109" t="s">
        <v>73</v>
      </c>
      <c r="D163" s="229">
        <v>45960</v>
      </c>
      <c r="E163" s="65"/>
      <c r="F163" s="227" t="s">
        <v>8</v>
      </c>
      <c r="G163" s="65" t="str">
        <f t="shared" si="83"/>
        <v>Choria</v>
      </c>
      <c r="H163" s="65">
        <v>1422</v>
      </c>
      <c r="I163" s="65">
        <v>3.45</v>
      </c>
      <c r="J163" s="65">
        <v>8.0299999999999994</v>
      </c>
      <c r="K163" s="176">
        <f t="shared" si="321"/>
        <v>49.059000000000005</v>
      </c>
      <c r="L163" s="177">
        <f t="shared" si="322"/>
        <v>114.1866</v>
      </c>
      <c r="M163" s="209">
        <f>$R$163*H163/SUM($H$163:$H$165)</f>
        <v>1428.7678476996298</v>
      </c>
      <c r="N163" s="211">
        <f t="shared" ref="N163" si="353">P163/M163*100</f>
        <v>3.3760611644726044</v>
      </c>
      <c r="O163" s="211">
        <f t="shared" ref="O163" si="354">Q163/M163*100</f>
        <v>7.8811158042328495</v>
      </c>
      <c r="P163" s="176">
        <f>$U$163*K163/SUM($K$163:$K$165)</f>
        <v>48.236076436658294</v>
      </c>
      <c r="Q163" s="212">
        <f>$V$163*L163/SUM($L$163:$L$165)</f>
        <v>112.60284865085305</v>
      </c>
      <c r="R163" s="347">
        <v>5700</v>
      </c>
      <c r="S163" s="347">
        <v>4.0999999999999996</v>
      </c>
      <c r="T163" s="347">
        <v>8.23</v>
      </c>
      <c r="U163" s="347">
        <f t="shared" ref="U163" si="355">R163*S163%</f>
        <v>233.69999999999996</v>
      </c>
      <c r="V163" s="347">
        <f t="shared" ref="V163" si="356">R163*T163%</f>
        <v>469.11</v>
      </c>
      <c r="X163" s="176">
        <f t="shared" si="327"/>
        <v>1429</v>
      </c>
      <c r="Y163" s="210">
        <f t="shared" si="328"/>
        <v>3.38</v>
      </c>
      <c r="Z163" s="210">
        <f t="shared" si="329"/>
        <v>7.88</v>
      </c>
    </row>
    <row r="164" spans="1:26" x14ac:dyDescent="0.25">
      <c r="A164" s="220">
        <v>72330</v>
      </c>
      <c r="B164" s="221">
        <v>1846</v>
      </c>
      <c r="C164" s="109" t="s">
        <v>73</v>
      </c>
      <c r="D164" s="229">
        <v>45960</v>
      </c>
      <c r="E164" s="65"/>
      <c r="F164" s="227" t="s">
        <v>89</v>
      </c>
      <c r="G164" s="65" t="str">
        <f t="shared" si="83"/>
        <v>Chanho</v>
      </c>
      <c r="H164" s="65">
        <v>2306</v>
      </c>
      <c r="I164" s="65">
        <v>4.3</v>
      </c>
      <c r="J164" s="65">
        <v>8.39</v>
      </c>
      <c r="K164" s="176">
        <f t="shared" si="321"/>
        <v>99.157999999999987</v>
      </c>
      <c r="L164" s="177">
        <f t="shared" si="322"/>
        <v>193.4734</v>
      </c>
      <c r="M164" s="209">
        <f t="shared" ref="M164:M165" si="357">$R$163*H164/SUM($H$163:$H$165)</f>
        <v>2316.9751454257007</v>
      </c>
      <c r="N164" s="211">
        <f t="shared" ref="N164:N165" si="358">P164/M164*100</f>
        <v>4.207844349922377</v>
      </c>
      <c r="O164" s="211">
        <f t="shared" ref="O164:O165" si="359">Q164/M164*100</f>
        <v>8.2344410457675732</v>
      </c>
      <c r="P164" s="176">
        <f t="shared" ref="P164:P165" si="360">$U$163*K164/SUM($K$163:$K$165)</f>
        <v>97.49470774590111</v>
      </c>
      <c r="Q164" s="212">
        <f t="shared" ref="Q164:Q165" si="361">$V$163*L164/SUM($L$163:$L$165)</f>
        <v>190.78995239516681</v>
      </c>
      <c r="R164" s="349"/>
      <c r="S164" s="349"/>
      <c r="T164" s="349"/>
      <c r="U164" s="349"/>
      <c r="V164" s="349"/>
      <c r="X164" s="176">
        <f t="shared" si="327"/>
        <v>2317</v>
      </c>
      <c r="Y164" s="210">
        <f t="shared" si="328"/>
        <v>4.21</v>
      </c>
      <c r="Z164" s="210">
        <f t="shared" si="329"/>
        <v>8.23</v>
      </c>
    </row>
    <row r="165" spans="1:26" x14ac:dyDescent="0.25">
      <c r="A165" s="220">
        <v>72330</v>
      </c>
      <c r="B165" s="221">
        <v>1846</v>
      </c>
      <c r="C165" s="109" t="s">
        <v>73</v>
      </c>
      <c r="D165" s="229">
        <v>45960</v>
      </c>
      <c r="E165" s="65"/>
      <c r="F165" s="227" t="s">
        <v>14</v>
      </c>
      <c r="G165" s="65" t="str">
        <f t="shared" si="83"/>
        <v>Piragutu</v>
      </c>
      <c r="H165" s="65">
        <v>1945</v>
      </c>
      <c r="I165" s="65">
        <v>4.5999999999999996</v>
      </c>
      <c r="J165" s="65">
        <v>8.64</v>
      </c>
      <c r="K165" s="176">
        <f t="shared" si="321"/>
        <v>89.47</v>
      </c>
      <c r="L165" s="177">
        <f t="shared" si="322"/>
        <v>168.048</v>
      </c>
      <c r="M165" s="209">
        <f t="shared" si="357"/>
        <v>1954.2570068746695</v>
      </c>
      <c r="N165" s="211">
        <f t="shared" si="358"/>
        <v>4.5014148859634719</v>
      </c>
      <c r="O165" s="211">
        <f t="shared" si="359"/>
        <v>8.479805796833352</v>
      </c>
      <c r="P165" s="176">
        <f t="shared" si="360"/>
        <v>87.969215817440571</v>
      </c>
      <c r="Q165" s="212">
        <f t="shared" si="361"/>
        <v>165.71719895398019</v>
      </c>
      <c r="R165" s="348"/>
      <c r="S165" s="348"/>
      <c r="T165" s="348"/>
      <c r="U165" s="348"/>
      <c r="V165" s="348"/>
      <c r="X165" s="176">
        <f t="shared" si="327"/>
        <v>1954</v>
      </c>
      <c r="Y165" s="210">
        <f t="shared" si="328"/>
        <v>4.5</v>
      </c>
      <c r="Z165" s="210">
        <f t="shared" si="329"/>
        <v>8.48</v>
      </c>
    </row>
    <row r="166" spans="1:26" x14ac:dyDescent="0.25">
      <c r="A166" s="220">
        <v>72327</v>
      </c>
      <c r="B166" s="221">
        <v>1846</v>
      </c>
      <c r="C166" s="109" t="s">
        <v>73</v>
      </c>
      <c r="D166" s="229">
        <v>45956</v>
      </c>
      <c r="E166" s="65"/>
      <c r="F166" s="227" t="s">
        <v>89</v>
      </c>
      <c r="G166" s="65" t="str">
        <f t="shared" si="83"/>
        <v>Chanho</v>
      </c>
      <c r="H166" s="65">
        <v>2620</v>
      </c>
      <c r="I166" s="65">
        <v>4.2</v>
      </c>
      <c r="J166" s="65">
        <v>8.3699999999999992</v>
      </c>
      <c r="K166" s="176">
        <f t="shared" si="321"/>
        <v>110.04</v>
      </c>
      <c r="L166" s="177">
        <f t="shared" si="322"/>
        <v>219.29399999999998</v>
      </c>
      <c r="M166" s="209">
        <f>$R$166*H166/SUM($H$166:$H$167)</f>
        <v>2607.1778140293636</v>
      </c>
      <c r="N166" s="211">
        <f t="shared" ref="N166" si="362">P166/M166*100</f>
        <v>4.1999999999999993</v>
      </c>
      <c r="O166" s="211">
        <f t="shared" ref="O166" si="363">Q166/M166*100</f>
        <v>8.3755137700813655</v>
      </c>
      <c r="P166" s="176">
        <f>$U$166*K166/SUM($K$166:$K$167)</f>
        <v>109.50146818923326</v>
      </c>
      <c r="Q166" s="212">
        <f>$V$166*L166/SUM($L$166:$L$167)</f>
        <v>218.36453682453572</v>
      </c>
      <c r="R166" s="347">
        <v>6100</v>
      </c>
      <c r="S166" s="347">
        <v>4.2</v>
      </c>
      <c r="T166" s="347">
        <v>8.4499999999999993</v>
      </c>
      <c r="U166" s="347">
        <f t="shared" ref="U166" si="364">R166*S166%</f>
        <v>256.2</v>
      </c>
      <c r="V166" s="347">
        <f t="shared" ref="V166" si="365">R166*T166%</f>
        <v>515.44999999999993</v>
      </c>
      <c r="X166" s="176">
        <f t="shared" si="327"/>
        <v>2607</v>
      </c>
      <c r="Y166" s="210">
        <f t="shared" si="328"/>
        <v>4.2</v>
      </c>
      <c r="Z166" s="210">
        <f t="shared" si="329"/>
        <v>8.3800000000000008</v>
      </c>
    </row>
    <row r="167" spans="1:26" x14ac:dyDescent="0.25">
      <c r="A167" s="220">
        <v>72327</v>
      </c>
      <c r="B167" s="221">
        <v>1846</v>
      </c>
      <c r="C167" s="109" t="s">
        <v>73</v>
      </c>
      <c r="D167" s="229">
        <v>45956</v>
      </c>
      <c r="E167" s="65"/>
      <c r="F167" s="227" t="s">
        <v>4</v>
      </c>
      <c r="G167" s="65" t="str">
        <f t="shared" si="83"/>
        <v>Pali</v>
      </c>
      <c r="H167" s="65">
        <v>3510</v>
      </c>
      <c r="I167" s="65">
        <v>4.2</v>
      </c>
      <c r="J167" s="65">
        <v>8.5</v>
      </c>
      <c r="K167" s="176">
        <f t="shared" si="321"/>
        <v>147.42000000000002</v>
      </c>
      <c r="L167" s="177">
        <f t="shared" si="322"/>
        <v>298.35000000000002</v>
      </c>
      <c r="M167" s="209">
        <f>$R$166*H167/SUM($H$166:$H$167)</f>
        <v>3492.8221859706364</v>
      </c>
      <c r="N167" s="211">
        <f t="shared" ref="N167" si="366">P167/M167*100</f>
        <v>4.1999999999999993</v>
      </c>
      <c r="O167" s="211">
        <f t="shared" ref="O167" si="367">Q167/M167*100</f>
        <v>8.5055994080874093</v>
      </c>
      <c r="P167" s="176">
        <f>$U$166*K167/SUM($K$166:$K$167)</f>
        <v>146.6985318107667</v>
      </c>
      <c r="Q167" s="212">
        <f>$V$166*L167/SUM($L$166:$L$167)</f>
        <v>297.08546317546416</v>
      </c>
      <c r="R167" s="348"/>
      <c r="S167" s="348"/>
      <c r="T167" s="348"/>
      <c r="U167" s="348"/>
      <c r="V167" s="348"/>
      <c r="X167" s="176">
        <f t="shared" si="327"/>
        <v>3493</v>
      </c>
      <c r="Y167" s="210">
        <f t="shared" si="328"/>
        <v>4.2</v>
      </c>
      <c r="Z167" s="210">
        <f t="shared" si="329"/>
        <v>8.51</v>
      </c>
    </row>
    <row r="168" spans="1:26" x14ac:dyDescent="0.25">
      <c r="A168" s="220">
        <v>72328</v>
      </c>
      <c r="B168" s="221">
        <v>8286</v>
      </c>
      <c r="C168" s="109" t="s">
        <v>73</v>
      </c>
      <c r="D168" s="229">
        <v>45957</v>
      </c>
      <c r="E168" s="65"/>
      <c r="F168" s="227" t="s">
        <v>4</v>
      </c>
      <c r="G168" s="65" t="str">
        <f t="shared" si="83"/>
        <v>Pali</v>
      </c>
      <c r="H168" s="65">
        <v>3573</v>
      </c>
      <c r="I168" s="65">
        <v>4.1500000000000004</v>
      </c>
      <c r="J168" s="65">
        <v>8.36</v>
      </c>
      <c r="K168" s="176">
        <f t="shared" si="321"/>
        <v>148.27950000000001</v>
      </c>
      <c r="L168" s="177">
        <f t="shared" si="322"/>
        <v>298.70279999999997</v>
      </c>
      <c r="M168" s="209">
        <f>$R$168*H168/SUM($H$168:$H$169)</f>
        <v>3577.7886272257324</v>
      </c>
      <c r="N168" s="211">
        <f t="shared" ref="N168" si="368">P168/M168*100</f>
        <v>4.05</v>
      </c>
      <c r="O168" s="211">
        <f t="shared" ref="O168" si="369">Q168/M168*100</f>
        <v>8.1798167952709715</v>
      </c>
      <c r="P168" s="176">
        <f>$U$168*K168/SUM($K$168:$K$169)</f>
        <v>144.90043940264215</v>
      </c>
      <c r="Q168" s="212">
        <f>$V$168*L168/SUM($L$168:$L$169)</f>
        <v>292.65655502910522</v>
      </c>
      <c r="R168" s="347">
        <v>5230</v>
      </c>
      <c r="S168" s="347">
        <v>4.05</v>
      </c>
      <c r="T168" s="347">
        <v>8.2200000000000006</v>
      </c>
      <c r="U168" s="347">
        <f t="shared" ref="U168" si="370">R168*S168%</f>
        <v>211.815</v>
      </c>
      <c r="V168" s="347">
        <f t="shared" ref="V168" si="371">R168*T168%</f>
        <v>429.90600000000006</v>
      </c>
      <c r="X168" s="176">
        <f t="shared" si="327"/>
        <v>3578</v>
      </c>
      <c r="Y168" s="210">
        <f t="shared" si="328"/>
        <v>4.05</v>
      </c>
      <c r="Z168" s="210">
        <f t="shared" si="329"/>
        <v>8.18</v>
      </c>
    </row>
    <row r="169" spans="1:26" x14ac:dyDescent="0.25">
      <c r="A169" s="220">
        <v>72328</v>
      </c>
      <c r="B169" s="221">
        <v>8286</v>
      </c>
      <c r="C169" s="109" t="s">
        <v>73</v>
      </c>
      <c r="D169" s="229">
        <v>45957</v>
      </c>
      <c r="E169" s="65"/>
      <c r="F169" s="227" t="s">
        <v>89</v>
      </c>
      <c r="G169" s="65" t="str">
        <f t="shared" si="83"/>
        <v>Chanho</v>
      </c>
      <c r="H169" s="65">
        <v>1650</v>
      </c>
      <c r="I169" s="65">
        <v>4.1500000000000004</v>
      </c>
      <c r="J169" s="65">
        <v>8.49</v>
      </c>
      <c r="K169" s="176">
        <f t="shared" si="321"/>
        <v>68.475000000000009</v>
      </c>
      <c r="L169" s="177">
        <f t="shared" si="322"/>
        <v>140.08500000000001</v>
      </c>
      <c r="M169" s="209">
        <f>$R$168*H169/SUM($H$168:$H$169)</f>
        <v>1652.2113727742676</v>
      </c>
      <c r="N169" s="211">
        <f t="shared" ref="N169" si="372">P169/M169*100</f>
        <v>4.0500000000000007</v>
      </c>
      <c r="O169" s="211">
        <f t="shared" ref="O169" si="373">Q169/M169*100</f>
        <v>8.3070149033314085</v>
      </c>
      <c r="P169" s="176">
        <f>$U$168*K169/SUM($K$168:$K$169)</f>
        <v>66.914560597357848</v>
      </c>
      <c r="Q169" s="212">
        <f>$V$168*L169/SUM($L$168:$L$169)</f>
        <v>137.24944497089487</v>
      </c>
      <c r="R169" s="348"/>
      <c r="S169" s="348"/>
      <c r="T169" s="348"/>
      <c r="U169" s="348"/>
      <c r="V169" s="348"/>
      <c r="X169" s="176">
        <f t="shared" si="327"/>
        <v>1652</v>
      </c>
      <c r="Y169" s="210">
        <f t="shared" si="328"/>
        <v>4.05</v>
      </c>
      <c r="Z169" s="210">
        <f t="shared" si="329"/>
        <v>8.31</v>
      </c>
    </row>
    <row r="170" spans="1:26" x14ac:dyDescent="0.25">
      <c r="A170" s="220">
        <v>72331</v>
      </c>
      <c r="B170" s="221">
        <v>1846</v>
      </c>
      <c r="C170" s="109" t="s">
        <v>73</v>
      </c>
      <c r="D170" s="229">
        <v>45961</v>
      </c>
      <c r="E170" s="65"/>
      <c r="F170" s="227" t="s">
        <v>12</v>
      </c>
      <c r="G170" s="65" t="str">
        <f t="shared" si="83"/>
        <v>Ormanjhi</v>
      </c>
      <c r="H170" s="65">
        <v>1582</v>
      </c>
      <c r="I170" s="65">
        <v>4.0999999999999996</v>
      </c>
      <c r="J170" s="65">
        <v>8.35</v>
      </c>
      <c r="K170" s="176">
        <f t="shared" si="321"/>
        <v>64.861999999999995</v>
      </c>
      <c r="L170" s="177">
        <f t="shared" si="322"/>
        <v>132.09699999999998</v>
      </c>
      <c r="M170" s="209">
        <f>$R$170*H170/SUM($H$170:$H$172)</f>
        <v>1588.6724241815625</v>
      </c>
      <c r="N170" s="211">
        <f t="shared" ref="N170" si="374">P170/M170*100</f>
        <v>4.020039339517437</v>
      </c>
      <c r="O170" s="211">
        <f t="shared" ref="O170" si="375">Q170/M170*100</f>
        <v>8.2895515231913386</v>
      </c>
      <c r="P170" s="176">
        <f>$U$170*K170/SUM($K$170:$K$172)</f>
        <v>63.865256428164145</v>
      </c>
      <c r="Q170" s="212">
        <f>$V$170*L170/SUM($L$170:$L$172)</f>
        <v>131.69381913726346</v>
      </c>
      <c r="R170" s="347">
        <v>5000</v>
      </c>
      <c r="S170" s="347">
        <v>4.3</v>
      </c>
      <c r="T170" s="347">
        <v>8.39</v>
      </c>
      <c r="U170" s="347">
        <f t="shared" ref="U170" si="376">R170*S170%</f>
        <v>214.99999999999997</v>
      </c>
      <c r="V170" s="347">
        <f t="shared" ref="V170" si="377">R170*T170%</f>
        <v>419.5</v>
      </c>
      <c r="X170" s="176">
        <f t="shared" si="327"/>
        <v>1589</v>
      </c>
      <c r="Y170" s="210">
        <f t="shared" si="328"/>
        <v>4.0199999999999996</v>
      </c>
      <c r="Z170" s="210">
        <f t="shared" si="329"/>
        <v>8.2899999999999991</v>
      </c>
    </row>
    <row r="171" spans="1:26" x14ac:dyDescent="0.25">
      <c r="A171" s="220">
        <v>72331</v>
      </c>
      <c r="B171" s="221">
        <v>1846</v>
      </c>
      <c r="C171" s="109" t="s">
        <v>73</v>
      </c>
      <c r="D171" s="229">
        <v>45961</v>
      </c>
      <c r="E171" s="65"/>
      <c r="F171" s="227" t="s">
        <v>14</v>
      </c>
      <c r="G171" s="65" t="str">
        <f t="shared" si="83"/>
        <v>Piragutu</v>
      </c>
      <c r="H171" s="65">
        <v>2276</v>
      </c>
      <c r="I171" s="65">
        <v>4.7</v>
      </c>
      <c r="J171" s="65">
        <v>8.66</v>
      </c>
      <c r="K171" s="176">
        <f t="shared" si="321"/>
        <v>106.97199999999999</v>
      </c>
      <c r="L171" s="177">
        <f t="shared" si="322"/>
        <v>197.10159999999999</v>
      </c>
      <c r="M171" s="209">
        <f t="shared" ref="M171:M172" si="378">$R$170*H171/SUM($H$170:$H$172)</f>
        <v>2285.5995179754973</v>
      </c>
      <c r="N171" s="211">
        <f t="shared" ref="N171:N172" si="379">P171/M171*100</f>
        <v>4.6083377794468179</v>
      </c>
      <c r="O171" s="211">
        <f t="shared" ref="O171:O172" si="380">Q171/M171*100</f>
        <v>8.5973073282439483</v>
      </c>
      <c r="P171" s="176">
        <f t="shared" ref="P171:P172" si="381">$U$170*K171/SUM($K$170:$K$172)</f>
        <v>105.32814607371921</v>
      </c>
      <c r="Q171" s="212">
        <f t="shared" ref="Q171:Q172" si="382">$V$170*L171/SUM($L$170:$L$172)</f>
        <v>196.50001485321579</v>
      </c>
      <c r="R171" s="349"/>
      <c r="S171" s="349"/>
      <c r="T171" s="349"/>
      <c r="U171" s="349"/>
      <c r="V171" s="349"/>
      <c r="X171" s="176">
        <f t="shared" si="327"/>
        <v>2286</v>
      </c>
      <c r="Y171" s="210">
        <f t="shared" si="328"/>
        <v>4.6100000000000003</v>
      </c>
      <c r="Z171" s="210">
        <f t="shared" si="329"/>
        <v>8.6</v>
      </c>
    </row>
    <row r="172" spans="1:26" x14ac:dyDescent="0.25">
      <c r="A172" s="220">
        <v>72331</v>
      </c>
      <c r="B172" s="221">
        <v>1846</v>
      </c>
      <c r="C172" s="109" t="s">
        <v>73</v>
      </c>
      <c r="D172" s="229">
        <v>45961</v>
      </c>
      <c r="E172" s="65"/>
      <c r="F172" s="227" t="s">
        <v>6</v>
      </c>
      <c r="G172" s="65" t="str">
        <f t="shared" si="83"/>
        <v>Hisri</v>
      </c>
      <c r="H172" s="65">
        <v>1121</v>
      </c>
      <c r="I172" s="65">
        <v>4.1500000000000004</v>
      </c>
      <c r="J172" s="65">
        <v>8.17</v>
      </c>
      <c r="K172" s="176">
        <f t="shared" si="321"/>
        <v>46.521500000000003</v>
      </c>
      <c r="L172" s="177">
        <f t="shared" si="322"/>
        <v>91.585699999999989</v>
      </c>
      <c r="M172" s="209">
        <f t="shared" si="378"/>
        <v>1125.7280578429404</v>
      </c>
      <c r="N172" s="211">
        <f t="shared" si="379"/>
        <v>4.069064209511553</v>
      </c>
      <c r="O172" s="211">
        <f t="shared" si="380"/>
        <v>8.1108546041285283</v>
      </c>
      <c r="P172" s="176">
        <f t="shared" si="381"/>
        <v>45.806597498116602</v>
      </c>
      <c r="Q172" s="212">
        <f t="shared" si="382"/>
        <v>91.306166009520794</v>
      </c>
      <c r="R172" s="348"/>
      <c r="S172" s="348"/>
      <c r="T172" s="348"/>
      <c r="U172" s="348"/>
      <c r="V172" s="348"/>
      <c r="X172" s="176">
        <f t="shared" si="327"/>
        <v>1126</v>
      </c>
      <c r="Y172" s="210">
        <f t="shared" si="328"/>
        <v>4.07</v>
      </c>
      <c r="Z172" s="210">
        <f t="shared" si="329"/>
        <v>8.11</v>
      </c>
    </row>
    <row r="173" spans="1:26" x14ac:dyDescent="0.25">
      <c r="A173" s="220">
        <v>72229</v>
      </c>
      <c r="B173" s="221">
        <v>9944</v>
      </c>
      <c r="C173" s="109" t="s">
        <v>73</v>
      </c>
      <c r="D173" s="229">
        <v>45961</v>
      </c>
      <c r="E173" s="65"/>
      <c r="F173" s="227" t="s">
        <v>89</v>
      </c>
      <c r="G173" s="65" t="str">
        <f t="shared" si="83"/>
        <v>Chanho</v>
      </c>
      <c r="H173" s="65">
        <v>1701</v>
      </c>
      <c r="I173" s="65">
        <v>4.1500000000000004</v>
      </c>
      <c r="J173" s="65">
        <v>8.41</v>
      </c>
      <c r="K173" s="176">
        <f t="shared" si="321"/>
        <v>70.591500000000011</v>
      </c>
      <c r="L173" s="177">
        <f t="shared" si="322"/>
        <v>143.05410000000001</v>
      </c>
      <c r="M173" s="209">
        <f>$R$173*H173/SUM($H$173:$H$174)</f>
        <v>1701</v>
      </c>
      <c r="N173" s="211">
        <f t="shared" ref="N173" si="383">P173/M173*100</f>
        <v>4.1194861407841072</v>
      </c>
      <c r="O173" s="211">
        <f t="shared" ref="O173" si="384">Q173/M173*100</f>
        <v>8.3471273531727146</v>
      </c>
      <c r="P173" s="176">
        <f>$U$173*K173/SUM($K$173:$K$174)</f>
        <v>70.072459254737666</v>
      </c>
      <c r="Q173" s="212">
        <f>$V$173*L173/SUM($L$173:$L$174)</f>
        <v>141.98463627746787</v>
      </c>
      <c r="R173" s="347">
        <v>6240</v>
      </c>
      <c r="S173" s="347">
        <v>4.3</v>
      </c>
      <c r="T173" s="347">
        <v>8.08</v>
      </c>
      <c r="U173" s="347">
        <f t="shared" ref="U173" si="385">R173*S173%</f>
        <v>268.32</v>
      </c>
      <c r="V173" s="347">
        <f t="shared" ref="V173" si="386">R173*T173%</f>
        <v>504.19200000000001</v>
      </c>
      <c r="X173" s="176">
        <f t="shared" si="327"/>
        <v>1701</v>
      </c>
      <c r="Y173" s="210">
        <f t="shared" si="328"/>
        <v>4.12</v>
      </c>
      <c r="Z173" s="210">
        <f t="shared" si="329"/>
        <v>8.35</v>
      </c>
    </row>
    <row r="174" spans="1:26" x14ac:dyDescent="0.25">
      <c r="A174" s="220">
        <v>72229</v>
      </c>
      <c r="B174" s="221">
        <v>9944</v>
      </c>
      <c r="C174" s="109" t="s">
        <v>73</v>
      </c>
      <c r="D174" s="229">
        <v>45961</v>
      </c>
      <c r="E174" s="65"/>
      <c r="F174" s="227" t="s">
        <v>78</v>
      </c>
      <c r="G174" s="65" t="str">
        <f t="shared" si="83"/>
        <v>Bhandra</v>
      </c>
      <c r="H174" s="65">
        <v>4539</v>
      </c>
      <c r="I174" s="65">
        <v>4.4000000000000004</v>
      </c>
      <c r="J174" s="65">
        <v>8.0399999999999991</v>
      </c>
      <c r="K174" s="176">
        <f t="shared" si="321"/>
        <v>199.71600000000001</v>
      </c>
      <c r="L174" s="177">
        <f t="shared" si="322"/>
        <v>364.93559999999991</v>
      </c>
      <c r="M174" s="209">
        <f>$R$173*H174/SUM($H$173:$H$174)</f>
        <v>4539</v>
      </c>
      <c r="N174" s="211">
        <f t="shared" ref="N174:N175" si="387">P174/M174*100</f>
        <v>4.3676479564939932</v>
      </c>
      <c r="O174" s="211">
        <f t="shared" ref="O174:O175" si="388">Q174/M174*100</f>
        <v>7.9798934505955526</v>
      </c>
      <c r="P174" s="176">
        <f>$U$173*K174/SUM($K$173:$K$174)</f>
        <v>198.24754074526234</v>
      </c>
      <c r="Q174" s="212">
        <f>$V$173*L174/SUM($L$173:$L$174)</f>
        <v>362.20736372253214</v>
      </c>
      <c r="R174" s="348"/>
      <c r="S174" s="348"/>
      <c r="T174" s="348"/>
      <c r="U174" s="348"/>
      <c r="V174" s="348"/>
      <c r="X174" s="176">
        <f t="shared" si="327"/>
        <v>4539</v>
      </c>
      <c r="Y174" s="210">
        <f t="shared" si="328"/>
        <v>4.37</v>
      </c>
      <c r="Z174" s="210">
        <f t="shared" si="329"/>
        <v>7.98</v>
      </c>
    </row>
    <row r="175" spans="1:26" x14ac:dyDescent="0.25">
      <c r="A175" s="220">
        <v>72435</v>
      </c>
      <c r="B175" s="221">
        <v>9944</v>
      </c>
      <c r="C175" s="109" t="s">
        <v>73</v>
      </c>
      <c r="D175" s="229">
        <v>45961</v>
      </c>
      <c r="E175" s="65"/>
      <c r="F175" s="227" t="s">
        <v>4</v>
      </c>
      <c r="G175" s="65" t="str">
        <f t="shared" si="83"/>
        <v>Pali</v>
      </c>
      <c r="H175" s="65">
        <v>4800</v>
      </c>
      <c r="I175" s="65">
        <v>4.0999999999999996</v>
      </c>
      <c r="J175" s="65">
        <v>8.41</v>
      </c>
      <c r="K175" s="176">
        <f t="shared" si="321"/>
        <v>196.79999999999998</v>
      </c>
      <c r="L175" s="177">
        <f t="shared" si="322"/>
        <v>403.68000000000006</v>
      </c>
      <c r="M175" s="209">
        <f>$R$175*H175/SUM($H$175:$H$177)</f>
        <v>4814.2238431730111</v>
      </c>
      <c r="N175" s="211">
        <f t="shared" si="387"/>
        <v>4.05</v>
      </c>
      <c r="O175" s="211">
        <f t="shared" si="388"/>
        <v>8.2928346435377254</v>
      </c>
      <c r="P175" s="176">
        <f>$U$175*K175/SUM($K$175:$K$177)</f>
        <v>194.97606564850696</v>
      </c>
      <c r="Q175" s="212">
        <f>$V$175*L175/SUM($L$175:$L$177)</f>
        <v>399.23562268410473</v>
      </c>
      <c r="R175" s="347">
        <v>8800</v>
      </c>
      <c r="S175" s="347">
        <v>4.05</v>
      </c>
      <c r="T175" s="347">
        <v>8.2200000000000006</v>
      </c>
      <c r="U175" s="347">
        <f t="shared" ref="U175" si="389">R175*S175%</f>
        <v>356.40000000000003</v>
      </c>
      <c r="V175" s="347">
        <f t="shared" ref="V175" si="390">R175*T175%</f>
        <v>723.36000000000013</v>
      </c>
      <c r="X175" s="176">
        <f t="shared" si="327"/>
        <v>4814</v>
      </c>
      <c r="Y175" s="210">
        <f t="shared" si="328"/>
        <v>4.05</v>
      </c>
      <c r="Z175" s="210">
        <f t="shared" si="329"/>
        <v>8.2899999999999991</v>
      </c>
    </row>
    <row r="176" spans="1:26" x14ac:dyDescent="0.25">
      <c r="A176" s="220">
        <v>72435</v>
      </c>
      <c r="B176" s="221">
        <v>9944</v>
      </c>
      <c r="C176" s="109" t="s">
        <v>73</v>
      </c>
      <c r="D176" s="229">
        <v>45961</v>
      </c>
      <c r="E176" s="65"/>
      <c r="F176" s="227" t="s">
        <v>6</v>
      </c>
      <c r="G176" s="65" t="str">
        <f t="shared" si="83"/>
        <v>Hisri</v>
      </c>
      <c r="H176" s="65">
        <v>2156</v>
      </c>
      <c r="I176" s="65">
        <v>4.0999999999999996</v>
      </c>
      <c r="J176" s="65">
        <v>8.16</v>
      </c>
      <c r="K176" s="176">
        <f t="shared" si="321"/>
        <v>88.395999999999987</v>
      </c>
      <c r="L176" s="177">
        <f t="shared" si="322"/>
        <v>175.92960000000002</v>
      </c>
      <c r="M176" s="209">
        <f t="shared" ref="M176:M177" si="391">$R$175*H176/SUM($H$175:$H$177)</f>
        <v>2162.3888762252109</v>
      </c>
      <c r="N176" s="211">
        <f t="shared" ref="N176:N177" si="392">P176/M176*100</f>
        <v>4.05</v>
      </c>
      <c r="O176" s="211">
        <f t="shared" ref="O176:O177" si="393">Q176/M176*100</f>
        <v>8.0463175613873776</v>
      </c>
      <c r="P176" s="176">
        <f t="shared" ref="P176:P177" si="394">$U$175*K176/SUM($K$175:$K$177)</f>
        <v>87.576749487121049</v>
      </c>
      <c r="Q176" s="212">
        <f t="shared" ref="Q176:Q177" si="395">$V$175*L176/SUM($L$175:$L$177)</f>
        <v>173.99267589319629</v>
      </c>
      <c r="R176" s="349"/>
      <c r="S176" s="349"/>
      <c r="T176" s="349"/>
      <c r="U176" s="349"/>
      <c r="V176" s="349"/>
      <c r="X176" s="176">
        <f t="shared" si="327"/>
        <v>2162</v>
      </c>
      <c r="Y176" s="210">
        <f t="shared" si="328"/>
        <v>4.05</v>
      </c>
      <c r="Z176" s="210">
        <f t="shared" si="329"/>
        <v>8.0500000000000007</v>
      </c>
    </row>
    <row r="177" spans="1:26" x14ac:dyDescent="0.25">
      <c r="A177" s="220">
        <v>72435</v>
      </c>
      <c r="B177" s="221">
        <v>9944</v>
      </c>
      <c r="C177" s="109" t="s">
        <v>73</v>
      </c>
      <c r="D177" s="229">
        <v>45961</v>
      </c>
      <c r="E177" s="65"/>
      <c r="F177" s="227" t="s">
        <v>12</v>
      </c>
      <c r="G177" s="65" t="str">
        <f t="shared" si="83"/>
        <v>Ormanjhi</v>
      </c>
      <c r="H177" s="65">
        <v>1818</v>
      </c>
      <c r="I177" s="65">
        <v>4.0999999999999996</v>
      </c>
      <c r="J177" s="65">
        <v>8.35</v>
      </c>
      <c r="K177" s="176">
        <f t="shared" si="321"/>
        <v>74.537999999999997</v>
      </c>
      <c r="L177" s="177">
        <f t="shared" si="322"/>
        <v>151.803</v>
      </c>
      <c r="M177" s="209">
        <f t="shared" si="391"/>
        <v>1823.387280601778</v>
      </c>
      <c r="N177" s="211">
        <f t="shared" si="392"/>
        <v>4.0500000000000007</v>
      </c>
      <c r="O177" s="211">
        <f t="shared" si="393"/>
        <v>8.233670543821642</v>
      </c>
      <c r="P177" s="176">
        <f t="shared" si="394"/>
        <v>73.847184864372025</v>
      </c>
      <c r="Q177" s="212">
        <f t="shared" si="395"/>
        <v>150.13170142269905</v>
      </c>
      <c r="R177" s="348"/>
      <c r="S177" s="348"/>
      <c r="T177" s="348"/>
      <c r="U177" s="348"/>
      <c r="V177" s="348"/>
      <c r="X177" s="176">
        <f t="shared" si="327"/>
        <v>1823</v>
      </c>
      <c r="Y177" s="210">
        <f t="shared" si="328"/>
        <v>4.05</v>
      </c>
      <c r="Z177" s="210">
        <f t="shared" si="329"/>
        <v>8.23</v>
      </c>
    </row>
    <row r="178" spans="1:26" x14ac:dyDescent="0.25">
      <c r="A178" s="220"/>
      <c r="B178" s="221"/>
      <c r="C178" s="109"/>
      <c r="D178" s="229"/>
      <c r="E178" s="65"/>
      <c r="F178" s="227"/>
      <c r="G178" s="65"/>
      <c r="H178" s="65"/>
      <c r="I178" s="65"/>
      <c r="J178" s="65"/>
      <c r="K178" s="176">
        <f t="shared" si="321"/>
        <v>0</v>
      </c>
      <c r="L178" s="177">
        <f t="shared" si="322"/>
        <v>0</v>
      </c>
      <c r="M178" s="209">
        <f t="shared" ref="M178:M214" si="396">$R$4*H178/SUM($H$4:$H$9)</f>
        <v>0</v>
      </c>
      <c r="N178" s="211" t="e">
        <f t="shared" ref="N178:N214" si="397">P178/M178*100</f>
        <v>#DIV/0!</v>
      </c>
      <c r="O178" s="211" t="e">
        <f t="shared" ref="O178:O214" si="398">Q178/M178*100</f>
        <v>#DIV/0!</v>
      </c>
      <c r="P178" s="176">
        <f t="shared" ref="P178:P214" si="399">$U$4*K178/SUM($K$4:$K$9)</f>
        <v>0</v>
      </c>
      <c r="Q178" s="212">
        <f t="shared" ref="Q178:Q214" si="400">$V$4*L178/SUM($L$4:$L$9)</f>
        <v>0</v>
      </c>
      <c r="R178" s="249"/>
      <c r="S178" s="249"/>
      <c r="T178" s="249"/>
      <c r="U178" s="249"/>
      <c r="V178" s="249"/>
      <c r="X178" s="176">
        <f t="shared" si="327"/>
        <v>0</v>
      </c>
      <c r="Y178" s="210" t="e">
        <f t="shared" si="328"/>
        <v>#DIV/0!</v>
      </c>
      <c r="Z178" s="210" t="e">
        <f t="shared" si="329"/>
        <v>#DIV/0!</v>
      </c>
    </row>
    <row r="179" spans="1:26" x14ac:dyDescent="0.25">
      <c r="A179" s="220"/>
      <c r="B179" s="221"/>
      <c r="C179" s="109"/>
      <c r="D179" s="229"/>
      <c r="E179" s="65"/>
      <c r="F179" s="227"/>
      <c r="G179" s="65"/>
      <c r="H179" s="65"/>
      <c r="I179" s="65"/>
      <c r="J179" s="65"/>
      <c r="K179" s="176">
        <f t="shared" si="321"/>
        <v>0</v>
      </c>
      <c r="L179" s="177">
        <f t="shared" si="322"/>
        <v>0</v>
      </c>
      <c r="M179" s="209">
        <f t="shared" si="396"/>
        <v>0</v>
      </c>
      <c r="N179" s="211" t="e">
        <f t="shared" si="397"/>
        <v>#DIV/0!</v>
      </c>
      <c r="O179" s="211" t="e">
        <f t="shared" si="398"/>
        <v>#DIV/0!</v>
      </c>
      <c r="P179" s="176">
        <f t="shared" si="399"/>
        <v>0</v>
      </c>
      <c r="Q179" s="212">
        <f t="shared" si="400"/>
        <v>0</v>
      </c>
      <c r="R179" s="249"/>
      <c r="S179" s="249"/>
      <c r="T179" s="249"/>
      <c r="U179" s="249"/>
      <c r="V179" s="249"/>
      <c r="X179" s="176">
        <f t="shared" si="327"/>
        <v>0</v>
      </c>
      <c r="Y179" s="210" t="e">
        <f t="shared" si="328"/>
        <v>#DIV/0!</v>
      </c>
      <c r="Z179" s="210" t="e">
        <f t="shared" si="329"/>
        <v>#DIV/0!</v>
      </c>
    </row>
    <row r="180" spans="1:26" x14ac:dyDescent="0.25">
      <c r="A180" s="220"/>
      <c r="B180" s="221"/>
      <c r="C180" s="109"/>
      <c r="D180" s="229"/>
      <c r="E180" s="65"/>
      <c r="F180" s="227"/>
      <c r="G180" s="65"/>
      <c r="H180" s="65"/>
      <c r="I180" s="65"/>
      <c r="J180" s="65"/>
      <c r="K180" s="176">
        <f t="shared" si="321"/>
        <v>0</v>
      </c>
      <c r="L180" s="177">
        <f t="shared" si="322"/>
        <v>0</v>
      </c>
      <c r="M180" s="209">
        <f t="shared" si="396"/>
        <v>0</v>
      </c>
      <c r="N180" s="211" t="e">
        <f t="shared" si="397"/>
        <v>#DIV/0!</v>
      </c>
      <c r="O180" s="211" t="e">
        <f t="shared" si="398"/>
        <v>#DIV/0!</v>
      </c>
      <c r="P180" s="176">
        <f t="shared" si="399"/>
        <v>0</v>
      </c>
      <c r="Q180" s="212">
        <f t="shared" si="400"/>
        <v>0</v>
      </c>
      <c r="R180" s="249"/>
      <c r="S180" s="249"/>
      <c r="T180" s="249"/>
      <c r="U180" s="249"/>
      <c r="V180" s="249"/>
      <c r="X180" s="176">
        <f t="shared" si="327"/>
        <v>0</v>
      </c>
      <c r="Y180" s="210" t="e">
        <f t="shared" si="328"/>
        <v>#DIV/0!</v>
      </c>
      <c r="Z180" s="210" t="e">
        <f t="shared" si="329"/>
        <v>#DIV/0!</v>
      </c>
    </row>
    <row r="181" spans="1:26" x14ac:dyDescent="0.25">
      <c r="A181" s="220"/>
      <c r="B181" s="221"/>
      <c r="C181" s="109"/>
      <c r="D181" s="229"/>
      <c r="E181" s="65"/>
      <c r="F181" s="227"/>
      <c r="G181" s="65"/>
      <c r="H181" s="65"/>
      <c r="I181" s="65"/>
      <c r="J181" s="65"/>
      <c r="K181" s="176">
        <f t="shared" si="321"/>
        <v>0</v>
      </c>
      <c r="L181" s="177">
        <f t="shared" si="322"/>
        <v>0</v>
      </c>
      <c r="M181" s="209">
        <f t="shared" si="396"/>
        <v>0</v>
      </c>
      <c r="N181" s="211" t="e">
        <f t="shared" si="397"/>
        <v>#DIV/0!</v>
      </c>
      <c r="O181" s="211" t="e">
        <f t="shared" si="398"/>
        <v>#DIV/0!</v>
      </c>
      <c r="P181" s="176">
        <f t="shared" si="399"/>
        <v>0</v>
      </c>
      <c r="Q181" s="212">
        <f t="shared" si="400"/>
        <v>0</v>
      </c>
      <c r="R181" s="249"/>
      <c r="S181" s="249"/>
      <c r="T181" s="249"/>
      <c r="U181" s="249"/>
      <c r="V181" s="249"/>
      <c r="X181" s="176">
        <f t="shared" si="327"/>
        <v>0</v>
      </c>
      <c r="Y181" s="210" t="e">
        <f t="shared" si="328"/>
        <v>#DIV/0!</v>
      </c>
      <c r="Z181" s="210" t="e">
        <f t="shared" si="329"/>
        <v>#DIV/0!</v>
      </c>
    </row>
    <row r="182" spans="1:26" x14ac:dyDescent="0.25">
      <c r="A182" s="220"/>
      <c r="B182" s="221"/>
      <c r="C182" s="109"/>
      <c r="D182" s="229"/>
      <c r="E182" s="65"/>
      <c r="F182" s="227"/>
      <c r="G182" s="65"/>
      <c r="H182" s="65"/>
      <c r="I182" s="65"/>
      <c r="J182" s="65"/>
      <c r="K182" s="176">
        <f t="shared" si="321"/>
        <v>0</v>
      </c>
      <c r="L182" s="177">
        <f t="shared" si="322"/>
        <v>0</v>
      </c>
      <c r="M182" s="209">
        <f t="shared" si="396"/>
        <v>0</v>
      </c>
      <c r="N182" s="211" t="e">
        <f t="shared" si="397"/>
        <v>#DIV/0!</v>
      </c>
      <c r="O182" s="211" t="e">
        <f t="shared" si="398"/>
        <v>#DIV/0!</v>
      </c>
      <c r="P182" s="176">
        <f t="shared" si="399"/>
        <v>0</v>
      </c>
      <c r="Q182" s="212">
        <f t="shared" si="400"/>
        <v>0</v>
      </c>
      <c r="R182" s="249"/>
      <c r="S182" s="249"/>
      <c r="T182" s="249"/>
      <c r="U182" s="249"/>
      <c r="V182" s="249"/>
      <c r="X182" s="176">
        <f t="shared" si="327"/>
        <v>0</v>
      </c>
      <c r="Y182" s="210" t="e">
        <f t="shared" si="328"/>
        <v>#DIV/0!</v>
      </c>
      <c r="Z182" s="210" t="e">
        <f t="shared" si="329"/>
        <v>#DIV/0!</v>
      </c>
    </row>
    <row r="183" spans="1:26" x14ac:dyDescent="0.25">
      <c r="A183" s="220"/>
      <c r="B183" s="221"/>
      <c r="C183" s="109"/>
      <c r="D183" s="229"/>
      <c r="E183" s="65"/>
      <c r="F183" s="227"/>
      <c r="G183" s="65"/>
      <c r="H183" s="65"/>
      <c r="I183" s="65"/>
      <c r="J183" s="65"/>
      <c r="K183" s="176">
        <f t="shared" si="321"/>
        <v>0</v>
      </c>
      <c r="L183" s="177">
        <f t="shared" si="322"/>
        <v>0</v>
      </c>
      <c r="M183" s="209">
        <f t="shared" si="396"/>
        <v>0</v>
      </c>
      <c r="N183" s="211" t="e">
        <f t="shared" si="397"/>
        <v>#DIV/0!</v>
      </c>
      <c r="O183" s="211" t="e">
        <f t="shared" si="398"/>
        <v>#DIV/0!</v>
      </c>
      <c r="P183" s="176">
        <f t="shared" si="399"/>
        <v>0</v>
      </c>
      <c r="Q183" s="212">
        <f t="shared" si="400"/>
        <v>0</v>
      </c>
      <c r="R183" s="249"/>
      <c r="S183" s="249"/>
      <c r="T183" s="249"/>
      <c r="U183" s="249"/>
      <c r="V183" s="249"/>
      <c r="X183" s="176">
        <f t="shared" si="327"/>
        <v>0</v>
      </c>
      <c r="Y183" s="210" t="e">
        <f t="shared" si="328"/>
        <v>#DIV/0!</v>
      </c>
      <c r="Z183" s="210" t="e">
        <f t="shared" si="329"/>
        <v>#DIV/0!</v>
      </c>
    </row>
    <row r="184" spans="1:26" x14ac:dyDescent="0.25">
      <c r="A184" s="220"/>
      <c r="B184" s="221"/>
      <c r="C184" s="109"/>
      <c r="D184" s="229"/>
      <c r="E184" s="65"/>
      <c r="F184" s="227"/>
      <c r="G184" s="65"/>
      <c r="H184" s="65"/>
      <c r="I184" s="65"/>
      <c r="J184" s="65"/>
      <c r="K184" s="176">
        <f t="shared" si="321"/>
        <v>0</v>
      </c>
      <c r="L184" s="177">
        <f t="shared" si="322"/>
        <v>0</v>
      </c>
      <c r="M184" s="209">
        <f t="shared" si="396"/>
        <v>0</v>
      </c>
      <c r="N184" s="211" t="e">
        <f t="shared" si="397"/>
        <v>#DIV/0!</v>
      </c>
      <c r="O184" s="211" t="e">
        <f t="shared" si="398"/>
        <v>#DIV/0!</v>
      </c>
      <c r="P184" s="176">
        <f t="shared" si="399"/>
        <v>0</v>
      </c>
      <c r="Q184" s="212">
        <f t="shared" si="400"/>
        <v>0</v>
      </c>
      <c r="R184" s="249"/>
      <c r="S184" s="249"/>
      <c r="T184" s="249"/>
      <c r="U184" s="249"/>
      <c r="V184" s="249"/>
      <c r="X184" s="176">
        <f t="shared" si="327"/>
        <v>0</v>
      </c>
      <c r="Y184" s="210" t="e">
        <f t="shared" si="328"/>
        <v>#DIV/0!</v>
      </c>
      <c r="Z184" s="210" t="e">
        <f t="shared" si="329"/>
        <v>#DIV/0!</v>
      </c>
    </row>
    <row r="185" spans="1:26" x14ac:dyDescent="0.25">
      <c r="A185" s="220"/>
      <c r="B185" s="221"/>
      <c r="C185" s="109"/>
      <c r="D185" s="229"/>
      <c r="E185" s="65"/>
      <c r="F185" s="227"/>
      <c r="G185" s="65"/>
      <c r="H185" s="65"/>
      <c r="I185" s="65"/>
      <c r="J185" s="65"/>
      <c r="K185" s="176">
        <f t="shared" si="321"/>
        <v>0</v>
      </c>
      <c r="L185" s="177">
        <f t="shared" si="322"/>
        <v>0</v>
      </c>
      <c r="M185" s="209">
        <f t="shared" si="396"/>
        <v>0</v>
      </c>
      <c r="N185" s="211" t="e">
        <f t="shared" si="397"/>
        <v>#DIV/0!</v>
      </c>
      <c r="O185" s="211" t="e">
        <f t="shared" si="398"/>
        <v>#DIV/0!</v>
      </c>
      <c r="P185" s="176">
        <f t="shared" si="399"/>
        <v>0</v>
      </c>
      <c r="Q185" s="212">
        <f t="shared" si="400"/>
        <v>0</v>
      </c>
      <c r="R185" s="249"/>
      <c r="S185" s="249"/>
      <c r="T185" s="249"/>
      <c r="U185" s="249"/>
      <c r="V185" s="249"/>
      <c r="X185" s="176">
        <f t="shared" si="327"/>
        <v>0</v>
      </c>
      <c r="Y185" s="210" t="e">
        <f t="shared" si="328"/>
        <v>#DIV/0!</v>
      </c>
      <c r="Z185" s="210" t="e">
        <f t="shared" si="329"/>
        <v>#DIV/0!</v>
      </c>
    </row>
    <row r="186" spans="1:26" x14ac:dyDescent="0.25">
      <c r="A186" s="220"/>
      <c r="B186" s="221"/>
      <c r="C186" s="109"/>
      <c r="D186" s="229"/>
      <c r="E186" s="65"/>
      <c r="F186" s="227"/>
      <c r="G186" s="65"/>
      <c r="H186" s="65"/>
      <c r="I186" s="65"/>
      <c r="J186" s="65"/>
      <c r="K186" s="176">
        <f t="shared" si="321"/>
        <v>0</v>
      </c>
      <c r="L186" s="177">
        <f t="shared" si="322"/>
        <v>0</v>
      </c>
      <c r="M186" s="209">
        <f t="shared" si="396"/>
        <v>0</v>
      </c>
      <c r="N186" s="211" t="e">
        <f t="shared" si="397"/>
        <v>#DIV/0!</v>
      </c>
      <c r="O186" s="211" t="e">
        <f t="shared" si="398"/>
        <v>#DIV/0!</v>
      </c>
      <c r="P186" s="176">
        <f t="shared" si="399"/>
        <v>0</v>
      </c>
      <c r="Q186" s="212">
        <f t="shared" si="400"/>
        <v>0</v>
      </c>
      <c r="R186" s="249"/>
      <c r="S186" s="249"/>
      <c r="T186" s="249"/>
      <c r="U186" s="249"/>
      <c r="V186" s="249"/>
      <c r="X186" s="176">
        <f t="shared" si="327"/>
        <v>0</v>
      </c>
      <c r="Y186" s="210" t="e">
        <f t="shared" si="328"/>
        <v>#DIV/0!</v>
      </c>
      <c r="Z186" s="210" t="e">
        <f t="shared" si="329"/>
        <v>#DIV/0!</v>
      </c>
    </row>
    <row r="187" spans="1:26" x14ac:dyDescent="0.25">
      <c r="A187" s="220"/>
      <c r="B187" s="221"/>
      <c r="C187" s="109"/>
      <c r="D187" s="229"/>
      <c r="E187" s="65"/>
      <c r="F187" s="227"/>
      <c r="G187" s="65"/>
      <c r="H187" s="65"/>
      <c r="I187" s="65"/>
      <c r="J187" s="65"/>
      <c r="K187" s="176">
        <f t="shared" si="321"/>
        <v>0</v>
      </c>
      <c r="L187" s="177">
        <f t="shared" si="322"/>
        <v>0</v>
      </c>
      <c r="M187" s="209">
        <f t="shared" si="396"/>
        <v>0</v>
      </c>
      <c r="N187" s="211" t="e">
        <f t="shared" si="397"/>
        <v>#DIV/0!</v>
      </c>
      <c r="O187" s="211" t="e">
        <f t="shared" si="398"/>
        <v>#DIV/0!</v>
      </c>
      <c r="P187" s="176">
        <f t="shared" si="399"/>
        <v>0</v>
      </c>
      <c r="Q187" s="212">
        <f t="shared" si="400"/>
        <v>0</v>
      </c>
      <c r="R187" s="249"/>
      <c r="S187" s="249"/>
      <c r="T187" s="249"/>
      <c r="U187" s="249"/>
      <c r="V187" s="249"/>
      <c r="X187" s="176">
        <f t="shared" si="327"/>
        <v>0</v>
      </c>
      <c r="Y187" s="210" t="e">
        <f t="shared" si="328"/>
        <v>#DIV/0!</v>
      </c>
      <c r="Z187" s="210" t="e">
        <f t="shared" si="329"/>
        <v>#DIV/0!</v>
      </c>
    </row>
    <row r="188" spans="1:26" x14ac:dyDescent="0.25">
      <c r="A188" s="220"/>
      <c r="B188" s="221"/>
      <c r="C188" s="109"/>
      <c r="D188" s="229"/>
      <c r="E188" s="65"/>
      <c r="F188" s="227"/>
      <c r="G188" s="65"/>
      <c r="H188" s="65"/>
      <c r="I188" s="65"/>
      <c r="J188" s="65"/>
      <c r="K188" s="176">
        <f t="shared" si="321"/>
        <v>0</v>
      </c>
      <c r="L188" s="177">
        <f t="shared" si="322"/>
        <v>0</v>
      </c>
      <c r="M188" s="209">
        <f t="shared" si="396"/>
        <v>0</v>
      </c>
      <c r="N188" s="211" t="e">
        <f t="shared" si="397"/>
        <v>#DIV/0!</v>
      </c>
      <c r="O188" s="211" t="e">
        <f t="shared" si="398"/>
        <v>#DIV/0!</v>
      </c>
      <c r="P188" s="176">
        <f t="shared" si="399"/>
        <v>0</v>
      </c>
      <c r="Q188" s="212">
        <f t="shared" si="400"/>
        <v>0</v>
      </c>
      <c r="R188" s="249"/>
      <c r="S188" s="249"/>
      <c r="T188" s="249"/>
      <c r="U188" s="249"/>
      <c r="V188" s="249"/>
      <c r="X188" s="176">
        <f t="shared" si="327"/>
        <v>0</v>
      </c>
      <c r="Y188" s="210" t="e">
        <f t="shared" si="328"/>
        <v>#DIV/0!</v>
      </c>
      <c r="Z188" s="210" t="e">
        <f t="shared" si="329"/>
        <v>#DIV/0!</v>
      </c>
    </row>
    <row r="189" spans="1:26" x14ac:dyDescent="0.25">
      <c r="A189" s="220"/>
      <c r="B189" s="221"/>
      <c r="C189" s="109"/>
      <c r="D189" s="229"/>
      <c r="E189" s="65"/>
      <c r="F189" s="227"/>
      <c r="G189" s="65"/>
      <c r="H189" s="65"/>
      <c r="I189" s="65"/>
      <c r="J189" s="65"/>
      <c r="K189" s="176">
        <f t="shared" si="321"/>
        <v>0</v>
      </c>
      <c r="L189" s="177">
        <f t="shared" si="322"/>
        <v>0</v>
      </c>
      <c r="M189" s="209">
        <f t="shared" si="396"/>
        <v>0</v>
      </c>
      <c r="N189" s="211" t="e">
        <f t="shared" si="397"/>
        <v>#DIV/0!</v>
      </c>
      <c r="O189" s="211" t="e">
        <f t="shared" si="398"/>
        <v>#DIV/0!</v>
      </c>
      <c r="P189" s="176">
        <f t="shared" si="399"/>
        <v>0</v>
      </c>
      <c r="Q189" s="212">
        <f t="shared" si="400"/>
        <v>0</v>
      </c>
      <c r="R189" s="249"/>
      <c r="S189" s="249"/>
      <c r="T189" s="249"/>
      <c r="U189" s="249"/>
      <c r="V189" s="249"/>
      <c r="X189" s="176">
        <f t="shared" si="327"/>
        <v>0</v>
      </c>
      <c r="Y189" s="210" t="e">
        <f t="shared" si="328"/>
        <v>#DIV/0!</v>
      </c>
      <c r="Z189" s="210" t="e">
        <f t="shared" si="329"/>
        <v>#DIV/0!</v>
      </c>
    </row>
    <row r="190" spans="1:26" x14ac:dyDescent="0.25">
      <c r="A190" s="220"/>
      <c r="B190" s="221"/>
      <c r="C190" s="109"/>
      <c r="D190" s="229"/>
      <c r="E190" s="65"/>
      <c r="F190" s="227"/>
      <c r="G190" s="65"/>
      <c r="H190" s="65"/>
      <c r="I190" s="65"/>
      <c r="J190" s="65"/>
      <c r="K190" s="176">
        <f t="shared" si="321"/>
        <v>0</v>
      </c>
      <c r="L190" s="177">
        <f t="shared" si="322"/>
        <v>0</v>
      </c>
      <c r="M190" s="209">
        <f t="shared" si="396"/>
        <v>0</v>
      </c>
      <c r="N190" s="211" t="e">
        <f t="shared" si="397"/>
        <v>#DIV/0!</v>
      </c>
      <c r="O190" s="211" t="e">
        <f t="shared" si="398"/>
        <v>#DIV/0!</v>
      </c>
      <c r="P190" s="176">
        <f t="shared" si="399"/>
        <v>0</v>
      </c>
      <c r="Q190" s="212">
        <f t="shared" si="400"/>
        <v>0</v>
      </c>
      <c r="R190" s="249"/>
      <c r="S190" s="249"/>
      <c r="T190" s="249"/>
      <c r="U190" s="249"/>
      <c r="V190" s="249"/>
      <c r="X190" s="176">
        <f t="shared" si="327"/>
        <v>0</v>
      </c>
      <c r="Y190" s="210" t="e">
        <f t="shared" si="328"/>
        <v>#DIV/0!</v>
      </c>
      <c r="Z190" s="210" t="e">
        <f t="shared" si="329"/>
        <v>#DIV/0!</v>
      </c>
    </row>
    <row r="191" spans="1:26" x14ac:dyDescent="0.25">
      <c r="A191" s="220"/>
      <c r="B191" s="221"/>
      <c r="C191" s="109"/>
      <c r="D191" s="229"/>
      <c r="E191" s="65"/>
      <c r="F191" s="227"/>
      <c r="G191" s="65"/>
      <c r="H191" s="65"/>
      <c r="I191" s="65"/>
      <c r="J191" s="65"/>
      <c r="K191" s="176">
        <f t="shared" si="321"/>
        <v>0</v>
      </c>
      <c r="L191" s="177">
        <f t="shared" si="322"/>
        <v>0</v>
      </c>
      <c r="M191" s="209">
        <f t="shared" si="396"/>
        <v>0</v>
      </c>
      <c r="N191" s="211" t="e">
        <f t="shared" si="397"/>
        <v>#DIV/0!</v>
      </c>
      <c r="O191" s="211" t="e">
        <f t="shared" si="398"/>
        <v>#DIV/0!</v>
      </c>
      <c r="P191" s="176">
        <f t="shared" si="399"/>
        <v>0</v>
      </c>
      <c r="Q191" s="212">
        <f t="shared" si="400"/>
        <v>0</v>
      </c>
      <c r="R191" s="249"/>
      <c r="S191" s="249"/>
      <c r="T191" s="249"/>
      <c r="U191" s="249"/>
      <c r="V191" s="249"/>
      <c r="X191" s="176">
        <f t="shared" si="327"/>
        <v>0</v>
      </c>
      <c r="Y191" s="210" t="e">
        <f t="shared" si="328"/>
        <v>#DIV/0!</v>
      </c>
      <c r="Z191" s="210" t="e">
        <f t="shared" si="329"/>
        <v>#DIV/0!</v>
      </c>
    </row>
    <row r="192" spans="1:26" x14ac:dyDescent="0.25">
      <c r="A192" s="220"/>
      <c r="B192" s="221"/>
      <c r="C192" s="109"/>
      <c r="D192" s="229"/>
      <c r="E192" s="65"/>
      <c r="F192" s="227"/>
      <c r="G192" s="65"/>
      <c r="H192" s="65"/>
      <c r="I192" s="65"/>
      <c r="J192" s="65"/>
      <c r="K192" s="176">
        <f t="shared" si="321"/>
        <v>0</v>
      </c>
      <c r="L192" s="177">
        <f t="shared" si="322"/>
        <v>0</v>
      </c>
      <c r="M192" s="209">
        <f t="shared" si="396"/>
        <v>0</v>
      </c>
      <c r="N192" s="211" t="e">
        <f t="shared" si="397"/>
        <v>#DIV/0!</v>
      </c>
      <c r="O192" s="211" t="e">
        <f t="shared" si="398"/>
        <v>#DIV/0!</v>
      </c>
      <c r="P192" s="176">
        <f t="shared" si="399"/>
        <v>0</v>
      </c>
      <c r="Q192" s="212">
        <f t="shared" si="400"/>
        <v>0</v>
      </c>
      <c r="R192" s="249"/>
      <c r="S192" s="249"/>
      <c r="T192" s="249"/>
      <c r="U192" s="249"/>
      <c r="V192" s="249"/>
      <c r="X192" s="176">
        <f t="shared" si="327"/>
        <v>0</v>
      </c>
      <c r="Y192" s="210" t="e">
        <f t="shared" si="328"/>
        <v>#DIV/0!</v>
      </c>
      <c r="Z192" s="210" t="e">
        <f t="shared" si="329"/>
        <v>#DIV/0!</v>
      </c>
    </row>
    <row r="193" spans="1:26" x14ac:dyDescent="0.25">
      <c r="A193" s="220"/>
      <c r="B193" s="221"/>
      <c r="C193" s="109"/>
      <c r="D193" s="229"/>
      <c r="E193" s="65"/>
      <c r="F193" s="227"/>
      <c r="G193" s="65"/>
      <c r="H193" s="65"/>
      <c r="I193" s="65"/>
      <c r="J193" s="65"/>
      <c r="K193" s="176">
        <f t="shared" si="321"/>
        <v>0</v>
      </c>
      <c r="L193" s="177">
        <f t="shared" si="322"/>
        <v>0</v>
      </c>
      <c r="M193" s="209">
        <f t="shared" si="396"/>
        <v>0</v>
      </c>
      <c r="N193" s="211" t="e">
        <f t="shared" si="397"/>
        <v>#DIV/0!</v>
      </c>
      <c r="O193" s="211" t="e">
        <f t="shared" si="398"/>
        <v>#DIV/0!</v>
      </c>
      <c r="P193" s="176">
        <f t="shared" si="399"/>
        <v>0</v>
      </c>
      <c r="Q193" s="212">
        <f t="shared" si="400"/>
        <v>0</v>
      </c>
      <c r="R193" s="249"/>
      <c r="S193" s="249"/>
      <c r="T193" s="249"/>
      <c r="U193" s="249"/>
      <c r="V193" s="249"/>
      <c r="X193" s="176">
        <f t="shared" si="327"/>
        <v>0</v>
      </c>
      <c r="Y193" s="210" t="e">
        <f t="shared" si="328"/>
        <v>#DIV/0!</v>
      </c>
      <c r="Z193" s="210" t="e">
        <f t="shared" si="329"/>
        <v>#DIV/0!</v>
      </c>
    </row>
    <row r="194" spans="1:26" x14ac:dyDescent="0.25">
      <c r="A194" s="220"/>
      <c r="B194" s="221"/>
      <c r="C194" s="109"/>
      <c r="D194" s="229"/>
      <c r="E194" s="65"/>
      <c r="F194" s="227"/>
      <c r="G194" s="65"/>
      <c r="H194" s="65"/>
      <c r="I194" s="65"/>
      <c r="J194" s="65"/>
      <c r="K194" s="176">
        <f t="shared" si="321"/>
        <v>0</v>
      </c>
      <c r="L194" s="177">
        <f t="shared" si="322"/>
        <v>0</v>
      </c>
      <c r="M194" s="209">
        <f t="shared" si="396"/>
        <v>0</v>
      </c>
      <c r="N194" s="211" t="e">
        <f t="shared" si="397"/>
        <v>#DIV/0!</v>
      </c>
      <c r="O194" s="211" t="e">
        <f t="shared" si="398"/>
        <v>#DIV/0!</v>
      </c>
      <c r="P194" s="176">
        <f t="shared" si="399"/>
        <v>0</v>
      </c>
      <c r="Q194" s="212">
        <f t="shared" si="400"/>
        <v>0</v>
      </c>
      <c r="R194" s="249"/>
      <c r="S194" s="249"/>
      <c r="T194" s="249"/>
      <c r="U194" s="249"/>
      <c r="V194" s="249"/>
      <c r="X194" s="176">
        <f t="shared" si="327"/>
        <v>0</v>
      </c>
      <c r="Y194" s="210" t="e">
        <f t="shared" si="328"/>
        <v>#DIV/0!</v>
      </c>
      <c r="Z194" s="210" t="e">
        <f t="shared" si="329"/>
        <v>#DIV/0!</v>
      </c>
    </row>
    <row r="195" spans="1:26" x14ac:dyDescent="0.25">
      <c r="A195" s="220"/>
      <c r="B195" s="221"/>
      <c r="C195" s="109"/>
      <c r="D195" s="229"/>
      <c r="E195" s="65"/>
      <c r="F195" s="227"/>
      <c r="G195" s="65"/>
      <c r="H195" s="65"/>
      <c r="I195" s="65"/>
      <c r="J195" s="65"/>
      <c r="K195" s="176">
        <f t="shared" si="321"/>
        <v>0</v>
      </c>
      <c r="L195" s="177">
        <f t="shared" si="322"/>
        <v>0</v>
      </c>
      <c r="M195" s="209">
        <f t="shared" si="396"/>
        <v>0</v>
      </c>
      <c r="N195" s="211" t="e">
        <f t="shared" si="397"/>
        <v>#DIV/0!</v>
      </c>
      <c r="O195" s="211" t="e">
        <f t="shared" si="398"/>
        <v>#DIV/0!</v>
      </c>
      <c r="P195" s="176">
        <f t="shared" si="399"/>
        <v>0</v>
      </c>
      <c r="Q195" s="212">
        <f t="shared" si="400"/>
        <v>0</v>
      </c>
      <c r="R195" s="249"/>
      <c r="S195" s="249"/>
      <c r="T195" s="249"/>
      <c r="U195" s="249"/>
      <c r="V195" s="249"/>
      <c r="X195" s="176">
        <f t="shared" si="327"/>
        <v>0</v>
      </c>
      <c r="Y195" s="210" t="e">
        <f t="shared" si="328"/>
        <v>#DIV/0!</v>
      </c>
      <c r="Z195" s="210" t="e">
        <f t="shared" si="329"/>
        <v>#DIV/0!</v>
      </c>
    </row>
    <row r="196" spans="1:26" x14ac:dyDescent="0.25">
      <c r="A196" s="220"/>
      <c r="B196" s="221"/>
      <c r="C196" s="109"/>
      <c r="D196" s="229"/>
      <c r="E196" s="65"/>
      <c r="F196" s="227"/>
      <c r="G196" s="65"/>
      <c r="H196" s="65"/>
      <c r="I196" s="65"/>
      <c r="J196" s="65"/>
      <c r="K196" s="176">
        <f t="shared" si="321"/>
        <v>0</v>
      </c>
      <c r="L196" s="177">
        <f t="shared" si="322"/>
        <v>0</v>
      </c>
      <c r="M196" s="209">
        <f t="shared" si="396"/>
        <v>0</v>
      </c>
      <c r="N196" s="211" t="e">
        <f t="shared" si="397"/>
        <v>#DIV/0!</v>
      </c>
      <c r="O196" s="211" t="e">
        <f t="shared" si="398"/>
        <v>#DIV/0!</v>
      </c>
      <c r="P196" s="176">
        <f t="shared" si="399"/>
        <v>0</v>
      </c>
      <c r="Q196" s="212">
        <f t="shared" si="400"/>
        <v>0</v>
      </c>
      <c r="R196" s="249"/>
      <c r="S196" s="249"/>
      <c r="T196" s="249"/>
      <c r="U196" s="249"/>
      <c r="V196" s="249"/>
      <c r="X196" s="176">
        <f t="shared" si="327"/>
        <v>0</v>
      </c>
      <c r="Y196" s="210" t="e">
        <f t="shared" si="328"/>
        <v>#DIV/0!</v>
      </c>
      <c r="Z196" s="210" t="e">
        <f t="shared" si="329"/>
        <v>#DIV/0!</v>
      </c>
    </row>
    <row r="197" spans="1:26" x14ac:dyDescent="0.25">
      <c r="A197" s="220"/>
      <c r="B197" s="221"/>
      <c r="C197" s="109"/>
      <c r="D197" s="229"/>
      <c r="E197" s="65"/>
      <c r="F197" s="227"/>
      <c r="G197" s="65"/>
      <c r="H197" s="65"/>
      <c r="I197" s="65"/>
      <c r="J197" s="65"/>
      <c r="K197" s="176">
        <f t="shared" si="321"/>
        <v>0</v>
      </c>
      <c r="L197" s="177">
        <f t="shared" si="322"/>
        <v>0</v>
      </c>
      <c r="M197" s="209">
        <f t="shared" si="396"/>
        <v>0</v>
      </c>
      <c r="N197" s="211" t="e">
        <f t="shared" si="397"/>
        <v>#DIV/0!</v>
      </c>
      <c r="O197" s="211" t="e">
        <f t="shared" si="398"/>
        <v>#DIV/0!</v>
      </c>
      <c r="P197" s="176">
        <f t="shared" si="399"/>
        <v>0</v>
      </c>
      <c r="Q197" s="212">
        <f t="shared" si="400"/>
        <v>0</v>
      </c>
      <c r="R197" s="249"/>
      <c r="S197" s="249"/>
      <c r="T197" s="249"/>
      <c r="U197" s="249"/>
      <c r="V197" s="249"/>
      <c r="X197" s="176">
        <f t="shared" si="327"/>
        <v>0</v>
      </c>
      <c r="Y197" s="210" t="e">
        <f t="shared" si="328"/>
        <v>#DIV/0!</v>
      </c>
      <c r="Z197" s="210" t="e">
        <f t="shared" si="329"/>
        <v>#DIV/0!</v>
      </c>
    </row>
    <row r="198" spans="1:26" x14ac:dyDescent="0.25">
      <c r="A198" s="220"/>
      <c r="B198" s="221"/>
      <c r="C198" s="109"/>
      <c r="D198" s="229"/>
      <c r="E198" s="65"/>
      <c r="F198" s="227"/>
      <c r="G198" s="65"/>
      <c r="H198" s="65"/>
      <c r="I198" s="65"/>
      <c r="J198" s="65"/>
      <c r="K198" s="176">
        <f t="shared" si="321"/>
        <v>0</v>
      </c>
      <c r="L198" s="177">
        <f t="shared" si="322"/>
        <v>0</v>
      </c>
      <c r="M198" s="209">
        <f t="shared" si="396"/>
        <v>0</v>
      </c>
      <c r="N198" s="211" t="e">
        <f t="shared" si="397"/>
        <v>#DIV/0!</v>
      </c>
      <c r="O198" s="211" t="e">
        <f t="shared" si="398"/>
        <v>#DIV/0!</v>
      </c>
      <c r="P198" s="176">
        <f t="shared" si="399"/>
        <v>0</v>
      </c>
      <c r="Q198" s="212">
        <f t="shared" si="400"/>
        <v>0</v>
      </c>
      <c r="R198" s="249"/>
      <c r="S198" s="249"/>
      <c r="T198" s="249"/>
      <c r="U198" s="249"/>
      <c r="V198" s="249"/>
      <c r="X198" s="176">
        <f t="shared" si="327"/>
        <v>0</v>
      </c>
      <c r="Y198" s="210" t="e">
        <f t="shared" si="328"/>
        <v>#DIV/0!</v>
      </c>
      <c r="Z198" s="210" t="e">
        <f t="shared" si="329"/>
        <v>#DIV/0!</v>
      </c>
    </row>
    <row r="199" spans="1:26" x14ac:dyDescent="0.25">
      <c r="A199" s="220"/>
      <c r="B199" s="221"/>
      <c r="C199" s="109"/>
      <c r="D199" s="229"/>
      <c r="E199" s="65"/>
      <c r="F199" s="227"/>
      <c r="G199" s="65"/>
      <c r="H199" s="65"/>
      <c r="I199" s="65"/>
      <c r="J199" s="65"/>
      <c r="K199" s="176">
        <f t="shared" si="321"/>
        <v>0</v>
      </c>
      <c r="L199" s="177">
        <f t="shared" si="322"/>
        <v>0</v>
      </c>
      <c r="M199" s="209">
        <f t="shared" si="396"/>
        <v>0</v>
      </c>
      <c r="N199" s="211" t="e">
        <f t="shared" si="397"/>
        <v>#DIV/0!</v>
      </c>
      <c r="O199" s="211" t="e">
        <f t="shared" si="398"/>
        <v>#DIV/0!</v>
      </c>
      <c r="P199" s="176">
        <f t="shared" si="399"/>
        <v>0</v>
      </c>
      <c r="Q199" s="212">
        <f t="shared" si="400"/>
        <v>0</v>
      </c>
      <c r="R199" s="249"/>
      <c r="S199" s="249"/>
      <c r="T199" s="249"/>
      <c r="U199" s="249"/>
      <c r="V199" s="249"/>
      <c r="X199" s="176">
        <f t="shared" si="327"/>
        <v>0</v>
      </c>
      <c r="Y199" s="210" t="e">
        <f t="shared" si="328"/>
        <v>#DIV/0!</v>
      </c>
      <c r="Z199" s="210" t="e">
        <f t="shared" si="329"/>
        <v>#DIV/0!</v>
      </c>
    </row>
    <row r="200" spans="1:26" x14ac:dyDescent="0.25">
      <c r="A200" s="220"/>
      <c r="B200" s="221"/>
      <c r="C200" s="109"/>
      <c r="D200" s="229"/>
      <c r="E200" s="65"/>
      <c r="F200" s="227"/>
      <c r="G200" s="65"/>
      <c r="H200" s="65"/>
      <c r="I200" s="65"/>
      <c r="J200" s="65"/>
      <c r="K200" s="176">
        <f t="shared" si="321"/>
        <v>0</v>
      </c>
      <c r="L200" s="177">
        <f t="shared" si="322"/>
        <v>0</v>
      </c>
      <c r="M200" s="209">
        <f t="shared" si="396"/>
        <v>0</v>
      </c>
      <c r="N200" s="211" t="e">
        <f t="shared" si="397"/>
        <v>#DIV/0!</v>
      </c>
      <c r="O200" s="211" t="e">
        <f t="shared" si="398"/>
        <v>#DIV/0!</v>
      </c>
      <c r="P200" s="176">
        <f t="shared" si="399"/>
        <v>0</v>
      </c>
      <c r="Q200" s="212">
        <f t="shared" si="400"/>
        <v>0</v>
      </c>
      <c r="R200" s="249"/>
      <c r="S200" s="249"/>
      <c r="T200" s="249"/>
      <c r="U200" s="249"/>
      <c r="V200" s="249"/>
      <c r="X200" s="176">
        <f t="shared" si="327"/>
        <v>0</v>
      </c>
      <c r="Y200" s="210" t="e">
        <f t="shared" si="328"/>
        <v>#DIV/0!</v>
      </c>
      <c r="Z200" s="210" t="e">
        <f t="shared" si="329"/>
        <v>#DIV/0!</v>
      </c>
    </row>
    <row r="201" spans="1:26" x14ac:dyDescent="0.25">
      <c r="A201" s="220"/>
      <c r="B201" s="221"/>
      <c r="C201" s="109"/>
      <c r="D201" s="229"/>
      <c r="E201" s="65"/>
      <c r="F201" s="227"/>
      <c r="G201" s="65"/>
      <c r="H201" s="65"/>
      <c r="I201" s="65"/>
      <c r="J201" s="65"/>
      <c r="K201" s="176">
        <f t="shared" si="321"/>
        <v>0</v>
      </c>
      <c r="L201" s="177">
        <f t="shared" si="322"/>
        <v>0</v>
      </c>
      <c r="M201" s="209">
        <f t="shared" si="396"/>
        <v>0</v>
      </c>
      <c r="N201" s="211" t="e">
        <f t="shared" si="397"/>
        <v>#DIV/0!</v>
      </c>
      <c r="O201" s="211" t="e">
        <f t="shared" si="398"/>
        <v>#DIV/0!</v>
      </c>
      <c r="P201" s="176">
        <f t="shared" si="399"/>
        <v>0</v>
      </c>
      <c r="Q201" s="212">
        <f t="shared" si="400"/>
        <v>0</v>
      </c>
      <c r="R201" s="249"/>
      <c r="S201" s="249"/>
      <c r="T201" s="249"/>
      <c r="U201" s="249"/>
      <c r="V201" s="249"/>
      <c r="X201" s="176">
        <f t="shared" si="327"/>
        <v>0</v>
      </c>
      <c r="Y201" s="210" t="e">
        <f t="shared" si="328"/>
        <v>#DIV/0!</v>
      </c>
      <c r="Z201" s="210" t="e">
        <f t="shared" si="329"/>
        <v>#DIV/0!</v>
      </c>
    </row>
    <row r="202" spans="1:26" x14ac:dyDescent="0.25">
      <c r="A202" s="220"/>
      <c r="B202" s="221"/>
      <c r="C202" s="109"/>
      <c r="D202" s="229"/>
      <c r="E202" s="65"/>
      <c r="F202" s="227"/>
      <c r="G202" s="65"/>
      <c r="H202" s="65"/>
      <c r="I202" s="65"/>
      <c r="J202" s="65"/>
      <c r="K202" s="176">
        <f t="shared" si="321"/>
        <v>0</v>
      </c>
      <c r="L202" s="177">
        <f t="shared" si="322"/>
        <v>0</v>
      </c>
      <c r="M202" s="209">
        <f t="shared" si="396"/>
        <v>0</v>
      </c>
      <c r="N202" s="211" t="e">
        <f t="shared" si="397"/>
        <v>#DIV/0!</v>
      </c>
      <c r="O202" s="211" t="e">
        <f t="shared" si="398"/>
        <v>#DIV/0!</v>
      </c>
      <c r="P202" s="176">
        <f t="shared" si="399"/>
        <v>0</v>
      </c>
      <c r="Q202" s="212">
        <f t="shared" si="400"/>
        <v>0</v>
      </c>
      <c r="R202" s="249"/>
      <c r="S202" s="249"/>
      <c r="T202" s="249"/>
      <c r="U202" s="249"/>
      <c r="V202" s="249"/>
      <c r="X202" s="176">
        <f t="shared" si="327"/>
        <v>0</v>
      </c>
      <c r="Y202" s="210" t="e">
        <f t="shared" si="328"/>
        <v>#DIV/0!</v>
      </c>
      <c r="Z202" s="210" t="e">
        <f t="shared" si="329"/>
        <v>#DIV/0!</v>
      </c>
    </row>
    <row r="203" spans="1:26" x14ac:dyDescent="0.25">
      <c r="A203" s="220"/>
      <c r="B203" s="221"/>
      <c r="C203" s="109"/>
      <c r="D203" s="229"/>
      <c r="E203" s="65"/>
      <c r="F203" s="227"/>
      <c r="G203" s="65"/>
      <c r="H203" s="65"/>
      <c r="I203" s="65"/>
      <c r="J203" s="65"/>
      <c r="K203" s="176">
        <f t="shared" si="321"/>
        <v>0</v>
      </c>
      <c r="L203" s="177">
        <f t="shared" si="322"/>
        <v>0</v>
      </c>
      <c r="M203" s="209">
        <f t="shared" si="396"/>
        <v>0</v>
      </c>
      <c r="N203" s="211" t="e">
        <f t="shared" si="397"/>
        <v>#DIV/0!</v>
      </c>
      <c r="O203" s="211" t="e">
        <f t="shared" si="398"/>
        <v>#DIV/0!</v>
      </c>
      <c r="P203" s="176">
        <f t="shared" si="399"/>
        <v>0</v>
      </c>
      <c r="Q203" s="212">
        <f t="shared" si="400"/>
        <v>0</v>
      </c>
      <c r="R203" s="249"/>
      <c r="S203" s="249"/>
      <c r="T203" s="249"/>
      <c r="U203" s="249"/>
      <c r="V203" s="249"/>
      <c r="X203" s="176">
        <f t="shared" si="327"/>
        <v>0</v>
      </c>
      <c r="Y203" s="210" t="e">
        <f t="shared" si="328"/>
        <v>#DIV/0!</v>
      </c>
      <c r="Z203" s="210" t="e">
        <f t="shared" si="329"/>
        <v>#DIV/0!</v>
      </c>
    </row>
    <row r="204" spans="1:26" x14ac:dyDescent="0.25">
      <c r="A204" s="220"/>
      <c r="B204" s="221"/>
      <c r="C204" s="109"/>
      <c r="D204" s="229"/>
      <c r="E204" s="65"/>
      <c r="F204" s="227"/>
      <c r="G204" s="65"/>
      <c r="H204" s="65"/>
      <c r="I204" s="65"/>
      <c r="J204" s="65"/>
      <c r="K204" s="176">
        <f t="shared" si="321"/>
        <v>0</v>
      </c>
      <c r="L204" s="177">
        <f t="shared" si="322"/>
        <v>0</v>
      </c>
      <c r="M204" s="209">
        <f t="shared" si="396"/>
        <v>0</v>
      </c>
      <c r="N204" s="211" t="e">
        <f t="shared" si="397"/>
        <v>#DIV/0!</v>
      </c>
      <c r="O204" s="211" t="e">
        <f t="shared" si="398"/>
        <v>#DIV/0!</v>
      </c>
      <c r="P204" s="176">
        <f t="shared" si="399"/>
        <v>0</v>
      </c>
      <c r="Q204" s="212">
        <f t="shared" si="400"/>
        <v>0</v>
      </c>
      <c r="R204" s="249"/>
      <c r="S204" s="249"/>
      <c r="T204" s="249"/>
      <c r="U204" s="249"/>
      <c r="V204" s="249"/>
      <c r="X204" s="176">
        <f t="shared" si="327"/>
        <v>0</v>
      </c>
      <c r="Y204" s="210" t="e">
        <f t="shared" si="328"/>
        <v>#DIV/0!</v>
      </c>
      <c r="Z204" s="210" t="e">
        <f t="shared" si="329"/>
        <v>#DIV/0!</v>
      </c>
    </row>
    <row r="205" spans="1:26" x14ac:dyDescent="0.25">
      <c r="A205" s="220"/>
      <c r="B205" s="221"/>
      <c r="C205" s="109"/>
      <c r="D205" s="229"/>
      <c r="E205" s="65"/>
      <c r="F205" s="227"/>
      <c r="G205" s="65"/>
      <c r="H205" s="65"/>
      <c r="I205" s="65"/>
      <c r="J205" s="65"/>
      <c r="K205" s="176">
        <f t="shared" si="321"/>
        <v>0</v>
      </c>
      <c r="L205" s="177">
        <f t="shared" si="322"/>
        <v>0</v>
      </c>
      <c r="M205" s="209">
        <f t="shared" si="396"/>
        <v>0</v>
      </c>
      <c r="N205" s="211" t="e">
        <f t="shared" si="397"/>
        <v>#DIV/0!</v>
      </c>
      <c r="O205" s="211" t="e">
        <f t="shared" si="398"/>
        <v>#DIV/0!</v>
      </c>
      <c r="P205" s="176">
        <f t="shared" si="399"/>
        <v>0</v>
      </c>
      <c r="Q205" s="212">
        <f t="shared" si="400"/>
        <v>0</v>
      </c>
      <c r="R205" s="249"/>
      <c r="S205" s="249"/>
      <c r="T205" s="249"/>
      <c r="U205" s="249"/>
      <c r="V205" s="249"/>
      <c r="X205" s="176">
        <f t="shared" si="327"/>
        <v>0</v>
      </c>
      <c r="Y205" s="210" t="e">
        <f t="shared" si="328"/>
        <v>#DIV/0!</v>
      </c>
      <c r="Z205" s="210" t="e">
        <f t="shared" si="329"/>
        <v>#DIV/0!</v>
      </c>
    </row>
    <row r="206" spans="1:26" x14ac:dyDescent="0.25">
      <c r="A206" s="220"/>
      <c r="B206" s="221"/>
      <c r="C206" s="109"/>
      <c r="D206" s="229"/>
      <c r="E206" s="65"/>
      <c r="F206" s="227"/>
      <c r="G206" s="65"/>
      <c r="H206" s="65"/>
      <c r="I206" s="65"/>
      <c r="J206" s="65"/>
      <c r="K206" s="176">
        <f t="shared" si="321"/>
        <v>0</v>
      </c>
      <c r="L206" s="177">
        <f t="shared" si="322"/>
        <v>0</v>
      </c>
      <c r="M206" s="209">
        <f t="shared" si="396"/>
        <v>0</v>
      </c>
      <c r="N206" s="211" t="e">
        <f t="shared" si="397"/>
        <v>#DIV/0!</v>
      </c>
      <c r="O206" s="211" t="e">
        <f t="shared" si="398"/>
        <v>#DIV/0!</v>
      </c>
      <c r="P206" s="176">
        <f t="shared" si="399"/>
        <v>0</v>
      </c>
      <c r="Q206" s="212">
        <f t="shared" si="400"/>
        <v>0</v>
      </c>
      <c r="R206" s="249"/>
      <c r="S206" s="249"/>
      <c r="T206" s="249"/>
      <c r="U206" s="249"/>
      <c r="V206" s="249"/>
      <c r="X206" s="176">
        <f t="shared" si="327"/>
        <v>0</v>
      </c>
      <c r="Y206" s="210" t="e">
        <f t="shared" si="328"/>
        <v>#DIV/0!</v>
      </c>
      <c r="Z206" s="210" t="e">
        <f t="shared" si="329"/>
        <v>#DIV/0!</v>
      </c>
    </row>
    <row r="207" spans="1:26" x14ac:dyDescent="0.25">
      <c r="A207" s="220"/>
      <c r="B207" s="221"/>
      <c r="C207" s="109"/>
      <c r="D207" s="229"/>
      <c r="E207" s="65"/>
      <c r="F207" s="227"/>
      <c r="G207" s="65"/>
      <c r="H207" s="65"/>
      <c r="I207" s="65"/>
      <c r="J207" s="65"/>
      <c r="K207" s="176">
        <f t="shared" si="321"/>
        <v>0</v>
      </c>
      <c r="L207" s="177">
        <f t="shared" si="322"/>
        <v>0</v>
      </c>
      <c r="M207" s="209">
        <f t="shared" si="396"/>
        <v>0</v>
      </c>
      <c r="N207" s="211" t="e">
        <f t="shared" si="397"/>
        <v>#DIV/0!</v>
      </c>
      <c r="O207" s="211" t="e">
        <f t="shared" si="398"/>
        <v>#DIV/0!</v>
      </c>
      <c r="P207" s="176">
        <f t="shared" si="399"/>
        <v>0</v>
      </c>
      <c r="Q207" s="212">
        <f t="shared" si="400"/>
        <v>0</v>
      </c>
      <c r="R207" s="249"/>
      <c r="S207" s="249"/>
      <c r="T207" s="249"/>
      <c r="U207" s="249"/>
      <c r="V207" s="249"/>
      <c r="X207" s="176">
        <f t="shared" si="327"/>
        <v>0</v>
      </c>
      <c r="Y207" s="210" t="e">
        <f t="shared" si="328"/>
        <v>#DIV/0!</v>
      </c>
      <c r="Z207" s="210" t="e">
        <f t="shared" si="329"/>
        <v>#DIV/0!</v>
      </c>
    </row>
    <row r="208" spans="1:26" x14ac:dyDescent="0.25">
      <c r="A208" s="220"/>
      <c r="B208" s="221"/>
      <c r="C208" s="109"/>
      <c r="D208" s="229"/>
      <c r="E208" s="65"/>
      <c r="F208" s="227"/>
      <c r="G208" s="65"/>
      <c r="H208" s="65"/>
      <c r="I208" s="65"/>
      <c r="J208" s="65"/>
      <c r="K208" s="176">
        <f t="shared" si="321"/>
        <v>0</v>
      </c>
      <c r="L208" s="177">
        <f t="shared" si="322"/>
        <v>0</v>
      </c>
      <c r="M208" s="209">
        <f t="shared" si="396"/>
        <v>0</v>
      </c>
      <c r="N208" s="211" t="e">
        <f t="shared" si="397"/>
        <v>#DIV/0!</v>
      </c>
      <c r="O208" s="211" t="e">
        <f t="shared" si="398"/>
        <v>#DIV/0!</v>
      </c>
      <c r="P208" s="176">
        <f t="shared" si="399"/>
        <v>0</v>
      </c>
      <c r="Q208" s="212">
        <f t="shared" si="400"/>
        <v>0</v>
      </c>
      <c r="R208" s="249"/>
      <c r="S208" s="249"/>
      <c r="T208" s="249"/>
      <c r="U208" s="249"/>
      <c r="V208" s="249"/>
      <c r="X208" s="176">
        <f t="shared" si="327"/>
        <v>0</v>
      </c>
      <c r="Y208" s="210" t="e">
        <f t="shared" si="328"/>
        <v>#DIV/0!</v>
      </c>
      <c r="Z208" s="210" t="e">
        <f t="shared" si="329"/>
        <v>#DIV/0!</v>
      </c>
    </row>
    <row r="209" spans="1:26" x14ac:dyDescent="0.25">
      <c r="A209" s="220"/>
      <c r="B209" s="221"/>
      <c r="C209" s="109"/>
      <c r="D209" s="229"/>
      <c r="E209" s="65"/>
      <c r="F209" s="227"/>
      <c r="G209" s="65"/>
      <c r="H209" s="65"/>
      <c r="I209" s="65"/>
      <c r="J209" s="65"/>
      <c r="K209" s="176">
        <f t="shared" si="321"/>
        <v>0</v>
      </c>
      <c r="L209" s="177">
        <f t="shared" si="322"/>
        <v>0</v>
      </c>
      <c r="M209" s="209">
        <f t="shared" si="396"/>
        <v>0</v>
      </c>
      <c r="N209" s="211" t="e">
        <f t="shared" si="397"/>
        <v>#DIV/0!</v>
      </c>
      <c r="O209" s="211" t="e">
        <f t="shared" si="398"/>
        <v>#DIV/0!</v>
      </c>
      <c r="P209" s="176">
        <f t="shared" si="399"/>
        <v>0</v>
      </c>
      <c r="Q209" s="212">
        <f t="shared" si="400"/>
        <v>0</v>
      </c>
      <c r="R209" s="249"/>
      <c r="S209" s="249"/>
      <c r="T209" s="249"/>
      <c r="U209" s="249"/>
      <c r="V209" s="249"/>
      <c r="X209" s="176">
        <f t="shared" si="327"/>
        <v>0</v>
      </c>
      <c r="Y209" s="210" t="e">
        <f t="shared" si="328"/>
        <v>#DIV/0!</v>
      </c>
      <c r="Z209" s="210" t="e">
        <f t="shared" si="329"/>
        <v>#DIV/0!</v>
      </c>
    </row>
    <row r="210" spans="1:26" x14ac:dyDescent="0.25">
      <c r="A210" s="220"/>
      <c r="B210" s="221"/>
      <c r="C210" s="109"/>
      <c r="D210" s="229"/>
      <c r="E210" s="65"/>
      <c r="F210" s="227"/>
      <c r="G210" s="65"/>
      <c r="H210" s="65"/>
      <c r="I210" s="65"/>
      <c r="J210" s="65"/>
      <c r="K210" s="176">
        <f t="shared" si="321"/>
        <v>0</v>
      </c>
      <c r="L210" s="177">
        <f t="shared" si="322"/>
        <v>0</v>
      </c>
      <c r="M210" s="209">
        <f t="shared" si="396"/>
        <v>0</v>
      </c>
      <c r="N210" s="211" t="e">
        <f t="shared" si="397"/>
        <v>#DIV/0!</v>
      </c>
      <c r="O210" s="211" t="e">
        <f t="shared" si="398"/>
        <v>#DIV/0!</v>
      </c>
      <c r="P210" s="176">
        <f t="shared" si="399"/>
        <v>0</v>
      </c>
      <c r="Q210" s="212">
        <f t="shared" si="400"/>
        <v>0</v>
      </c>
      <c r="R210" s="249"/>
      <c r="S210" s="249"/>
      <c r="T210" s="249"/>
      <c r="U210" s="249"/>
      <c r="V210" s="249"/>
      <c r="X210" s="176">
        <f t="shared" si="327"/>
        <v>0</v>
      </c>
      <c r="Y210" s="210" t="e">
        <f t="shared" si="328"/>
        <v>#DIV/0!</v>
      </c>
      <c r="Z210" s="210" t="e">
        <f t="shared" si="329"/>
        <v>#DIV/0!</v>
      </c>
    </row>
    <row r="211" spans="1:26" x14ac:dyDescent="0.25">
      <c r="A211" s="220"/>
      <c r="B211" s="221"/>
      <c r="C211" s="109"/>
      <c r="D211" s="229"/>
      <c r="E211" s="65"/>
      <c r="F211" s="227"/>
      <c r="G211" s="65"/>
      <c r="H211" s="65"/>
      <c r="I211" s="65"/>
      <c r="J211" s="65"/>
      <c r="K211" s="176">
        <f t="shared" si="321"/>
        <v>0</v>
      </c>
      <c r="L211" s="177">
        <f t="shared" si="322"/>
        <v>0</v>
      </c>
      <c r="M211" s="209">
        <f t="shared" si="396"/>
        <v>0</v>
      </c>
      <c r="N211" s="211" t="e">
        <f t="shared" si="397"/>
        <v>#DIV/0!</v>
      </c>
      <c r="O211" s="211" t="e">
        <f t="shared" si="398"/>
        <v>#DIV/0!</v>
      </c>
      <c r="P211" s="176">
        <f t="shared" si="399"/>
        <v>0</v>
      </c>
      <c r="Q211" s="212">
        <f t="shared" si="400"/>
        <v>0</v>
      </c>
      <c r="R211" s="249"/>
      <c r="S211" s="249"/>
      <c r="T211" s="249"/>
      <c r="U211" s="249"/>
      <c r="V211" s="249"/>
      <c r="X211" s="176">
        <f t="shared" si="327"/>
        <v>0</v>
      </c>
      <c r="Y211" s="210" t="e">
        <f t="shared" si="328"/>
        <v>#DIV/0!</v>
      </c>
      <c r="Z211" s="210" t="e">
        <f t="shared" si="329"/>
        <v>#DIV/0!</v>
      </c>
    </row>
    <row r="212" spans="1:26" x14ac:dyDescent="0.25">
      <c r="A212" s="220"/>
      <c r="B212" s="221"/>
      <c r="C212" s="109"/>
      <c r="D212" s="229"/>
      <c r="E212" s="65"/>
      <c r="F212" s="227"/>
      <c r="G212" s="65"/>
      <c r="H212" s="65"/>
      <c r="I212" s="65"/>
      <c r="J212" s="65"/>
      <c r="K212" s="176">
        <f t="shared" si="321"/>
        <v>0</v>
      </c>
      <c r="L212" s="177">
        <f t="shared" si="322"/>
        <v>0</v>
      </c>
      <c r="M212" s="209">
        <f t="shared" si="396"/>
        <v>0</v>
      </c>
      <c r="N212" s="211" t="e">
        <f t="shared" si="397"/>
        <v>#DIV/0!</v>
      </c>
      <c r="O212" s="211" t="e">
        <f t="shared" si="398"/>
        <v>#DIV/0!</v>
      </c>
      <c r="P212" s="176">
        <f t="shared" si="399"/>
        <v>0</v>
      </c>
      <c r="Q212" s="212">
        <f t="shared" si="400"/>
        <v>0</v>
      </c>
      <c r="R212" s="249"/>
      <c r="S212" s="249"/>
      <c r="T212" s="249"/>
      <c r="U212" s="249"/>
      <c r="V212" s="249"/>
      <c r="X212" s="176">
        <f t="shared" si="327"/>
        <v>0</v>
      </c>
      <c r="Y212" s="210" t="e">
        <f t="shared" si="328"/>
        <v>#DIV/0!</v>
      </c>
      <c r="Z212" s="210" t="e">
        <f t="shared" si="329"/>
        <v>#DIV/0!</v>
      </c>
    </row>
    <row r="213" spans="1:26" x14ac:dyDescent="0.25">
      <c r="A213" s="220"/>
      <c r="B213" s="221"/>
      <c r="C213" s="109"/>
      <c r="D213" s="229"/>
      <c r="E213" s="65"/>
      <c r="F213" s="227"/>
      <c r="G213" s="65"/>
      <c r="H213" s="65"/>
      <c r="I213" s="65"/>
      <c r="J213" s="65"/>
      <c r="K213" s="176">
        <f t="shared" si="321"/>
        <v>0</v>
      </c>
      <c r="L213" s="177">
        <f t="shared" si="322"/>
        <v>0</v>
      </c>
      <c r="M213" s="209">
        <f t="shared" si="396"/>
        <v>0</v>
      </c>
      <c r="N213" s="211" t="e">
        <f t="shared" si="397"/>
        <v>#DIV/0!</v>
      </c>
      <c r="O213" s="211" t="e">
        <f t="shared" si="398"/>
        <v>#DIV/0!</v>
      </c>
      <c r="P213" s="176">
        <f t="shared" si="399"/>
        <v>0</v>
      </c>
      <c r="Q213" s="212">
        <f t="shared" si="400"/>
        <v>0</v>
      </c>
      <c r="R213" s="249"/>
      <c r="S213" s="249"/>
      <c r="T213" s="249"/>
      <c r="U213" s="249"/>
      <c r="V213" s="249"/>
      <c r="X213" s="176">
        <f t="shared" si="327"/>
        <v>0</v>
      </c>
      <c r="Y213" s="210" t="e">
        <f t="shared" si="328"/>
        <v>#DIV/0!</v>
      </c>
      <c r="Z213" s="210" t="e">
        <f t="shared" si="329"/>
        <v>#DIV/0!</v>
      </c>
    </row>
    <row r="214" spans="1:26" x14ac:dyDescent="0.25">
      <c r="A214" s="220"/>
      <c r="B214" s="221"/>
      <c r="C214" s="109"/>
      <c r="D214" s="229"/>
      <c r="E214" s="65"/>
      <c r="F214" s="227"/>
      <c r="G214" s="65"/>
      <c r="H214" s="65"/>
      <c r="I214" s="65"/>
      <c r="J214" s="65"/>
      <c r="K214" s="176">
        <f t="shared" si="321"/>
        <v>0</v>
      </c>
      <c r="L214" s="177">
        <f t="shared" si="322"/>
        <v>0</v>
      </c>
      <c r="M214" s="209">
        <f t="shared" si="396"/>
        <v>0</v>
      </c>
      <c r="N214" s="211" t="e">
        <f t="shared" si="397"/>
        <v>#DIV/0!</v>
      </c>
      <c r="O214" s="211" t="e">
        <f t="shared" si="398"/>
        <v>#DIV/0!</v>
      </c>
      <c r="P214" s="176">
        <f t="shared" si="399"/>
        <v>0</v>
      </c>
      <c r="Q214" s="212">
        <f t="shared" si="400"/>
        <v>0</v>
      </c>
      <c r="R214" s="249"/>
      <c r="S214" s="249"/>
      <c r="T214" s="249"/>
      <c r="U214" s="249"/>
      <c r="V214" s="249"/>
      <c r="X214" s="176">
        <f t="shared" si="327"/>
        <v>0</v>
      </c>
      <c r="Y214" s="210" t="e">
        <f t="shared" si="328"/>
        <v>#DIV/0!</v>
      </c>
      <c r="Z214" s="210" t="e">
        <f t="shared" si="329"/>
        <v>#DIV/0!</v>
      </c>
    </row>
    <row r="215" spans="1:26" x14ac:dyDescent="0.25">
      <c r="A215" s="220"/>
      <c r="B215" s="221"/>
      <c r="C215" s="109"/>
      <c r="D215" s="229"/>
      <c r="E215" s="65"/>
      <c r="F215" s="227"/>
      <c r="G215" s="65"/>
      <c r="H215" s="65"/>
      <c r="I215" s="65"/>
      <c r="J215" s="65"/>
      <c r="K215" s="176">
        <f t="shared" ref="K215:K266" si="401">H215*I215%</f>
        <v>0</v>
      </c>
      <c r="L215" s="177">
        <f t="shared" ref="L215:L266" si="402">H215*J215%</f>
        <v>0</v>
      </c>
      <c r="M215" s="209">
        <f t="shared" ref="M215:M266" si="403">$R$4*H215/SUM($H$4:$H$9)</f>
        <v>0</v>
      </c>
      <c r="N215" s="211" t="e">
        <f t="shared" ref="N215:N266" si="404">P215/M215*100</f>
        <v>#DIV/0!</v>
      </c>
      <c r="O215" s="211" t="e">
        <f t="shared" ref="O215:O266" si="405">Q215/M215*100</f>
        <v>#DIV/0!</v>
      </c>
      <c r="P215" s="176">
        <f t="shared" ref="P215:P266" si="406">$U$4*K215/SUM($K$4:$K$9)</f>
        <v>0</v>
      </c>
      <c r="Q215" s="212">
        <f t="shared" ref="Q215:Q266" si="407">$V$4*L215/SUM($L$4:$L$9)</f>
        <v>0</v>
      </c>
      <c r="R215" s="249"/>
      <c r="S215" s="249"/>
      <c r="T215" s="249"/>
      <c r="U215" s="249"/>
      <c r="V215" s="249"/>
      <c r="X215" s="176">
        <f t="shared" ref="X215:X266" si="408">ROUND(M215,0)</f>
        <v>0</v>
      </c>
      <c r="Y215" s="210" t="e">
        <f t="shared" ref="Y215:Y266" si="409">ROUND(N215,2)</f>
        <v>#DIV/0!</v>
      </c>
      <c r="Z215" s="210" t="e">
        <f t="shared" ref="Z215:Z266" si="410">ROUND(O215,2)</f>
        <v>#DIV/0!</v>
      </c>
    </row>
    <row r="216" spans="1:26" x14ac:dyDescent="0.25">
      <c r="A216" s="220"/>
      <c r="B216" s="221"/>
      <c r="C216" s="109"/>
      <c r="D216" s="229"/>
      <c r="E216" s="65"/>
      <c r="F216" s="227"/>
      <c r="G216" s="65"/>
      <c r="H216" s="65"/>
      <c r="I216" s="65"/>
      <c r="J216" s="65"/>
      <c r="K216" s="176">
        <f t="shared" si="401"/>
        <v>0</v>
      </c>
      <c r="L216" s="177">
        <f t="shared" si="402"/>
        <v>0</v>
      </c>
      <c r="M216" s="209">
        <f t="shared" si="403"/>
        <v>0</v>
      </c>
      <c r="N216" s="211" t="e">
        <f t="shared" si="404"/>
        <v>#DIV/0!</v>
      </c>
      <c r="O216" s="211" t="e">
        <f t="shared" si="405"/>
        <v>#DIV/0!</v>
      </c>
      <c r="P216" s="176">
        <f t="shared" si="406"/>
        <v>0</v>
      </c>
      <c r="Q216" s="212">
        <f t="shared" si="407"/>
        <v>0</v>
      </c>
      <c r="R216" s="249"/>
      <c r="S216" s="249"/>
      <c r="T216" s="249"/>
      <c r="U216" s="249"/>
      <c r="V216" s="249"/>
      <c r="X216" s="176">
        <f t="shared" si="408"/>
        <v>0</v>
      </c>
      <c r="Y216" s="210" t="e">
        <f t="shared" si="409"/>
        <v>#DIV/0!</v>
      </c>
      <c r="Z216" s="210" t="e">
        <f t="shared" si="410"/>
        <v>#DIV/0!</v>
      </c>
    </row>
    <row r="217" spans="1:26" x14ac:dyDescent="0.25">
      <c r="A217" s="220"/>
      <c r="B217" s="221"/>
      <c r="C217" s="109"/>
      <c r="D217" s="229"/>
      <c r="E217" s="65"/>
      <c r="F217" s="227"/>
      <c r="G217" s="65"/>
      <c r="H217" s="65"/>
      <c r="I217" s="65"/>
      <c r="J217" s="65"/>
      <c r="K217" s="176">
        <f t="shared" si="401"/>
        <v>0</v>
      </c>
      <c r="L217" s="177">
        <f t="shared" si="402"/>
        <v>0</v>
      </c>
      <c r="M217" s="209">
        <f t="shared" si="403"/>
        <v>0</v>
      </c>
      <c r="N217" s="211" t="e">
        <f t="shared" si="404"/>
        <v>#DIV/0!</v>
      </c>
      <c r="O217" s="211" t="e">
        <f t="shared" si="405"/>
        <v>#DIV/0!</v>
      </c>
      <c r="P217" s="176">
        <f t="shared" si="406"/>
        <v>0</v>
      </c>
      <c r="Q217" s="212">
        <f t="shared" si="407"/>
        <v>0</v>
      </c>
      <c r="R217" s="249"/>
      <c r="S217" s="249"/>
      <c r="T217" s="249"/>
      <c r="U217" s="249"/>
      <c r="V217" s="249"/>
      <c r="X217" s="176">
        <f t="shared" si="408"/>
        <v>0</v>
      </c>
      <c r="Y217" s="210" t="e">
        <f t="shared" si="409"/>
        <v>#DIV/0!</v>
      </c>
      <c r="Z217" s="210" t="e">
        <f t="shared" si="410"/>
        <v>#DIV/0!</v>
      </c>
    </row>
    <row r="218" spans="1:26" x14ac:dyDescent="0.25">
      <c r="A218" s="220"/>
      <c r="B218" s="221"/>
      <c r="C218" s="109"/>
      <c r="D218" s="229"/>
      <c r="E218" s="65"/>
      <c r="F218" s="227"/>
      <c r="G218" s="65"/>
      <c r="H218" s="65"/>
      <c r="I218" s="65"/>
      <c r="J218" s="65"/>
      <c r="K218" s="176">
        <f t="shared" si="401"/>
        <v>0</v>
      </c>
      <c r="L218" s="177">
        <f t="shared" si="402"/>
        <v>0</v>
      </c>
      <c r="M218" s="209">
        <f t="shared" si="403"/>
        <v>0</v>
      </c>
      <c r="N218" s="211" t="e">
        <f t="shared" si="404"/>
        <v>#DIV/0!</v>
      </c>
      <c r="O218" s="211" t="e">
        <f t="shared" si="405"/>
        <v>#DIV/0!</v>
      </c>
      <c r="P218" s="176">
        <f t="shared" si="406"/>
        <v>0</v>
      </c>
      <c r="Q218" s="212">
        <f t="shared" si="407"/>
        <v>0</v>
      </c>
      <c r="R218" s="249"/>
      <c r="S218" s="249"/>
      <c r="T218" s="249"/>
      <c r="U218" s="249"/>
      <c r="V218" s="249"/>
      <c r="X218" s="176">
        <f t="shared" si="408"/>
        <v>0</v>
      </c>
      <c r="Y218" s="210" t="e">
        <f t="shared" si="409"/>
        <v>#DIV/0!</v>
      </c>
      <c r="Z218" s="210" t="e">
        <f t="shared" si="410"/>
        <v>#DIV/0!</v>
      </c>
    </row>
    <row r="219" spans="1:26" x14ac:dyDescent="0.25">
      <c r="A219" s="220"/>
      <c r="B219" s="221"/>
      <c r="C219" s="109"/>
      <c r="D219" s="229"/>
      <c r="E219" s="65"/>
      <c r="F219" s="227"/>
      <c r="G219" s="65"/>
      <c r="H219" s="65"/>
      <c r="I219" s="65"/>
      <c r="J219" s="65"/>
      <c r="K219" s="176">
        <f t="shared" si="401"/>
        <v>0</v>
      </c>
      <c r="L219" s="177">
        <f t="shared" si="402"/>
        <v>0</v>
      </c>
      <c r="M219" s="209">
        <f t="shared" si="403"/>
        <v>0</v>
      </c>
      <c r="N219" s="211" t="e">
        <f t="shared" si="404"/>
        <v>#DIV/0!</v>
      </c>
      <c r="O219" s="211" t="e">
        <f t="shared" si="405"/>
        <v>#DIV/0!</v>
      </c>
      <c r="P219" s="176">
        <f t="shared" si="406"/>
        <v>0</v>
      </c>
      <c r="Q219" s="212">
        <f t="shared" si="407"/>
        <v>0</v>
      </c>
      <c r="R219" s="249"/>
      <c r="S219" s="249"/>
      <c r="T219" s="249"/>
      <c r="U219" s="249"/>
      <c r="V219" s="249"/>
      <c r="X219" s="176">
        <f t="shared" si="408"/>
        <v>0</v>
      </c>
      <c r="Y219" s="210" t="e">
        <f t="shared" si="409"/>
        <v>#DIV/0!</v>
      </c>
      <c r="Z219" s="210" t="e">
        <f t="shared" si="410"/>
        <v>#DIV/0!</v>
      </c>
    </row>
    <row r="220" spans="1:26" x14ac:dyDescent="0.25">
      <c r="A220" s="220"/>
      <c r="B220" s="221"/>
      <c r="C220" s="109"/>
      <c r="D220" s="229"/>
      <c r="E220" s="65"/>
      <c r="F220" s="227"/>
      <c r="G220" s="65"/>
      <c r="H220" s="65"/>
      <c r="I220" s="65"/>
      <c r="J220" s="65"/>
      <c r="K220" s="176">
        <f t="shared" si="401"/>
        <v>0</v>
      </c>
      <c r="L220" s="177">
        <f t="shared" si="402"/>
        <v>0</v>
      </c>
      <c r="M220" s="209">
        <f t="shared" si="403"/>
        <v>0</v>
      </c>
      <c r="N220" s="211" t="e">
        <f t="shared" si="404"/>
        <v>#DIV/0!</v>
      </c>
      <c r="O220" s="211" t="e">
        <f t="shared" si="405"/>
        <v>#DIV/0!</v>
      </c>
      <c r="P220" s="176">
        <f t="shared" si="406"/>
        <v>0</v>
      </c>
      <c r="Q220" s="212">
        <f t="shared" si="407"/>
        <v>0</v>
      </c>
      <c r="R220" s="249"/>
      <c r="S220" s="249"/>
      <c r="T220" s="249"/>
      <c r="U220" s="249"/>
      <c r="V220" s="249"/>
      <c r="X220" s="176">
        <f t="shared" si="408"/>
        <v>0</v>
      </c>
      <c r="Y220" s="210" t="e">
        <f t="shared" si="409"/>
        <v>#DIV/0!</v>
      </c>
      <c r="Z220" s="210" t="e">
        <f t="shared" si="410"/>
        <v>#DIV/0!</v>
      </c>
    </row>
    <row r="221" spans="1:26" x14ac:dyDescent="0.25">
      <c r="A221" s="220"/>
      <c r="B221" s="221"/>
      <c r="C221" s="109"/>
      <c r="D221" s="229"/>
      <c r="E221" s="65"/>
      <c r="F221" s="227"/>
      <c r="G221" s="65"/>
      <c r="H221" s="65"/>
      <c r="I221" s="65"/>
      <c r="J221" s="65"/>
      <c r="K221" s="176">
        <f t="shared" si="401"/>
        <v>0</v>
      </c>
      <c r="L221" s="177">
        <f t="shared" si="402"/>
        <v>0</v>
      </c>
      <c r="M221" s="209">
        <f t="shared" si="403"/>
        <v>0</v>
      </c>
      <c r="N221" s="211" t="e">
        <f t="shared" si="404"/>
        <v>#DIV/0!</v>
      </c>
      <c r="O221" s="211" t="e">
        <f t="shared" si="405"/>
        <v>#DIV/0!</v>
      </c>
      <c r="P221" s="176">
        <f t="shared" si="406"/>
        <v>0</v>
      </c>
      <c r="Q221" s="212">
        <f t="shared" si="407"/>
        <v>0</v>
      </c>
      <c r="R221" s="249"/>
      <c r="S221" s="249"/>
      <c r="T221" s="249"/>
      <c r="U221" s="249"/>
      <c r="V221" s="249"/>
      <c r="X221" s="176">
        <f t="shared" si="408"/>
        <v>0</v>
      </c>
      <c r="Y221" s="210" t="e">
        <f t="shared" si="409"/>
        <v>#DIV/0!</v>
      </c>
      <c r="Z221" s="210" t="e">
        <f t="shared" si="410"/>
        <v>#DIV/0!</v>
      </c>
    </row>
    <row r="222" spans="1:26" x14ac:dyDescent="0.25">
      <c r="A222" s="220"/>
      <c r="B222" s="221"/>
      <c r="C222" s="109"/>
      <c r="D222" s="229"/>
      <c r="E222" s="65"/>
      <c r="F222" s="227"/>
      <c r="G222" s="65"/>
      <c r="H222" s="65"/>
      <c r="I222" s="65"/>
      <c r="J222" s="65"/>
      <c r="K222" s="176">
        <f t="shared" si="401"/>
        <v>0</v>
      </c>
      <c r="L222" s="177">
        <f t="shared" si="402"/>
        <v>0</v>
      </c>
      <c r="M222" s="209">
        <f t="shared" si="403"/>
        <v>0</v>
      </c>
      <c r="N222" s="211" t="e">
        <f t="shared" si="404"/>
        <v>#DIV/0!</v>
      </c>
      <c r="O222" s="211" t="e">
        <f t="shared" si="405"/>
        <v>#DIV/0!</v>
      </c>
      <c r="P222" s="176">
        <f t="shared" si="406"/>
        <v>0</v>
      </c>
      <c r="Q222" s="212">
        <f t="shared" si="407"/>
        <v>0</v>
      </c>
      <c r="R222" s="249"/>
      <c r="S222" s="249"/>
      <c r="T222" s="249"/>
      <c r="U222" s="249"/>
      <c r="V222" s="249"/>
      <c r="X222" s="176">
        <f t="shared" si="408"/>
        <v>0</v>
      </c>
      <c r="Y222" s="210" t="e">
        <f t="shared" si="409"/>
        <v>#DIV/0!</v>
      </c>
      <c r="Z222" s="210" t="e">
        <f t="shared" si="410"/>
        <v>#DIV/0!</v>
      </c>
    </row>
    <row r="223" spans="1:26" x14ac:dyDescent="0.25">
      <c r="A223" s="220"/>
      <c r="B223" s="221"/>
      <c r="C223" s="109"/>
      <c r="D223" s="229"/>
      <c r="E223" s="65"/>
      <c r="F223" s="227"/>
      <c r="G223" s="65"/>
      <c r="H223" s="65"/>
      <c r="I223" s="65"/>
      <c r="J223" s="65"/>
      <c r="K223" s="176">
        <f t="shared" si="401"/>
        <v>0</v>
      </c>
      <c r="L223" s="177">
        <f t="shared" si="402"/>
        <v>0</v>
      </c>
      <c r="M223" s="209">
        <f t="shared" si="403"/>
        <v>0</v>
      </c>
      <c r="N223" s="211" t="e">
        <f t="shared" si="404"/>
        <v>#DIV/0!</v>
      </c>
      <c r="O223" s="211" t="e">
        <f t="shared" si="405"/>
        <v>#DIV/0!</v>
      </c>
      <c r="P223" s="176">
        <f t="shared" si="406"/>
        <v>0</v>
      </c>
      <c r="Q223" s="212">
        <f t="shared" si="407"/>
        <v>0</v>
      </c>
      <c r="R223" s="249"/>
      <c r="S223" s="249"/>
      <c r="T223" s="249"/>
      <c r="U223" s="249"/>
      <c r="V223" s="249"/>
      <c r="X223" s="176">
        <f t="shared" si="408"/>
        <v>0</v>
      </c>
      <c r="Y223" s="210" t="e">
        <f t="shared" si="409"/>
        <v>#DIV/0!</v>
      </c>
      <c r="Z223" s="210" t="e">
        <f t="shared" si="410"/>
        <v>#DIV/0!</v>
      </c>
    </row>
    <row r="224" spans="1:26" x14ac:dyDescent="0.25">
      <c r="A224" s="220"/>
      <c r="B224" s="221"/>
      <c r="C224" s="109"/>
      <c r="D224" s="229"/>
      <c r="E224" s="65"/>
      <c r="F224" s="227"/>
      <c r="G224" s="65"/>
      <c r="H224" s="65"/>
      <c r="I224" s="65"/>
      <c r="J224" s="65"/>
      <c r="K224" s="176">
        <f t="shared" si="401"/>
        <v>0</v>
      </c>
      <c r="L224" s="177">
        <f t="shared" si="402"/>
        <v>0</v>
      </c>
      <c r="M224" s="209">
        <f t="shared" si="403"/>
        <v>0</v>
      </c>
      <c r="N224" s="211" t="e">
        <f t="shared" si="404"/>
        <v>#DIV/0!</v>
      </c>
      <c r="O224" s="211" t="e">
        <f t="shared" si="405"/>
        <v>#DIV/0!</v>
      </c>
      <c r="P224" s="176">
        <f t="shared" si="406"/>
        <v>0</v>
      </c>
      <c r="Q224" s="212">
        <f t="shared" si="407"/>
        <v>0</v>
      </c>
      <c r="R224" s="249"/>
      <c r="S224" s="249"/>
      <c r="T224" s="249"/>
      <c r="U224" s="249"/>
      <c r="V224" s="249"/>
      <c r="X224" s="176">
        <f t="shared" si="408"/>
        <v>0</v>
      </c>
      <c r="Y224" s="210" t="e">
        <f t="shared" si="409"/>
        <v>#DIV/0!</v>
      </c>
      <c r="Z224" s="210" t="e">
        <f t="shared" si="410"/>
        <v>#DIV/0!</v>
      </c>
    </row>
    <row r="225" spans="1:26" x14ac:dyDescent="0.25">
      <c r="A225" s="220"/>
      <c r="B225" s="221"/>
      <c r="C225" s="109"/>
      <c r="D225" s="229"/>
      <c r="E225" s="65"/>
      <c r="F225" s="227"/>
      <c r="G225" s="65"/>
      <c r="H225" s="65"/>
      <c r="I225" s="65"/>
      <c r="J225" s="65"/>
      <c r="K225" s="176">
        <f t="shared" si="401"/>
        <v>0</v>
      </c>
      <c r="L225" s="177">
        <f t="shared" si="402"/>
        <v>0</v>
      </c>
      <c r="M225" s="209">
        <f t="shared" si="403"/>
        <v>0</v>
      </c>
      <c r="N225" s="211" t="e">
        <f t="shared" si="404"/>
        <v>#DIV/0!</v>
      </c>
      <c r="O225" s="211" t="e">
        <f t="shared" si="405"/>
        <v>#DIV/0!</v>
      </c>
      <c r="P225" s="176">
        <f t="shared" si="406"/>
        <v>0</v>
      </c>
      <c r="Q225" s="212">
        <f t="shared" si="407"/>
        <v>0</v>
      </c>
      <c r="R225" s="249"/>
      <c r="S225" s="249"/>
      <c r="T225" s="249"/>
      <c r="U225" s="249"/>
      <c r="V225" s="249"/>
      <c r="X225" s="176">
        <f t="shared" si="408"/>
        <v>0</v>
      </c>
      <c r="Y225" s="210" t="e">
        <f t="shared" si="409"/>
        <v>#DIV/0!</v>
      </c>
      <c r="Z225" s="210" t="e">
        <f t="shared" si="410"/>
        <v>#DIV/0!</v>
      </c>
    </row>
    <row r="226" spans="1:26" x14ac:dyDescent="0.25">
      <c r="A226" s="220"/>
      <c r="B226" s="221"/>
      <c r="C226" s="109"/>
      <c r="D226" s="229"/>
      <c r="E226" s="65"/>
      <c r="F226" s="227"/>
      <c r="G226" s="65"/>
      <c r="H226" s="65"/>
      <c r="I226" s="65"/>
      <c r="J226" s="65"/>
      <c r="K226" s="176">
        <f t="shared" si="401"/>
        <v>0</v>
      </c>
      <c r="L226" s="177">
        <f t="shared" si="402"/>
        <v>0</v>
      </c>
      <c r="M226" s="209">
        <f t="shared" si="403"/>
        <v>0</v>
      </c>
      <c r="N226" s="211" t="e">
        <f t="shared" si="404"/>
        <v>#DIV/0!</v>
      </c>
      <c r="O226" s="211" t="e">
        <f t="shared" si="405"/>
        <v>#DIV/0!</v>
      </c>
      <c r="P226" s="176">
        <f t="shared" si="406"/>
        <v>0</v>
      </c>
      <c r="Q226" s="212">
        <f t="shared" si="407"/>
        <v>0</v>
      </c>
      <c r="R226" s="249"/>
      <c r="S226" s="249"/>
      <c r="T226" s="249"/>
      <c r="U226" s="249"/>
      <c r="V226" s="249"/>
      <c r="X226" s="176">
        <f t="shared" si="408"/>
        <v>0</v>
      </c>
      <c r="Y226" s="210" t="e">
        <f t="shared" si="409"/>
        <v>#DIV/0!</v>
      </c>
      <c r="Z226" s="210" t="e">
        <f t="shared" si="410"/>
        <v>#DIV/0!</v>
      </c>
    </row>
    <row r="227" spans="1:26" x14ac:dyDescent="0.25">
      <c r="A227" s="220"/>
      <c r="B227" s="221"/>
      <c r="C227" s="109"/>
      <c r="D227" s="229"/>
      <c r="E227" s="65"/>
      <c r="F227" s="227"/>
      <c r="G227" s="65"/>
      <c r="H227" s="65"/>
      <c r="I227" s="65"/>
      <c r="J227" s="65"/>
      <c r="K227" s="176">
        <f t="shared" si="401"/>
        <v>0</v>
      </c>
      <c r="L227" s="177">
        <f t="shared" si="402"/>
        <v>0</v>
      </c>
      <c r="M227" s="209">
        <f t="shared" si="403"/>
        <v>0</v>
      </c>
      <c r="N227" s="211" t="e">
        <f t="shared" si="404"/>
        <v>#DIV/0!</v>
      </c>
      <c r="O227" s="211" t="e">
        <f t="shared" si="405"/>
        <v>#DIV/0!</v>
      </c>
      <c r="P227" s="176">
        <f t="shared" si="406"/>
        <v>0</v>
      </c>
      <c r="Q227" s="212">
        <f t="shared" si="407"/>
        <v>0</v>
      </c>
      <c r="R227" s="249"/>
      <c r="S227" s="249"/>
      <c r="T227" s="249"/>
      <c r="U227" s="249"/>
      <c r="V227" s="249"/>
      <c r="X227" s="176">
        <f t="shared" si="408"/>
        <v>0</v>
      </c>
      <c r="Y227" s="210" t="e">
        <f t="shared" si="409"/>
        <v>#DIV/0!</v>
      </c>
      <c r="Z227" s="210" t="e">
        <f t="shared" si="410"/>
        <v>#DIV/0!</v>
      </c>
    </row>
    <row r="228" spans="1:26" x14ac:dyDescent="0.25">
      <c r="A228" s="220"/>
      <c r="B228" s="221"/>
      <c r="C228" s="109"/>
      <c r="D228" s="229"/>
      <c r="E228" s="65"/>
      <c r="F228" s="227"/>
      <c r="G228" s="65"/>
      <c r="H228" s="65"/>
      <c r="I228" s="65"/>
      <c r="J228" s="65"/>
      <c r="K228" s="176">
        <f t="shared" si="401"/>
        <v>0</v>
      </c>
      <c r="L228" s="177">
        <f t="shared" si="402"/>
        <v>0</v>
      </c>
      <c r="M228" s="209">
        <f t="shared" si="403"/>
        <v>0</v>
      </c>
      <c r="N228" s="211" t="e">
        <f t="shared" si="404"/>
        <v>#DIV/0!</v>
      </c>
      <c r="O228" s="211" t="e">
        <f t="shared" si="405"/>
        <v>#DIV/0!</v>
      </c>
      <c r="P228" s="176">
        <f t="shared" si="406"/>
        <v>0</v>
      </c>
      <c r="Q228" s="212">
        <f t="shared" si="407"/>
        <v>0</v>
      </c>
      <c r="R228" s="249"/>
      <c r="S228" s="249"/>
      <c r="T228" s="249"/>
      <c r="U228" s="249"/>
      <c r="V228" s="249"/>
      <c r="X228" s="176">
        <f t="shared" si="408"/>
        <v>0</v>
      </c>
      <c r="Y228" s="210" t="e">
        <f t="shared" si="409"/>
        <v>#DIV/0!</v>
      </c>
      <c r="Z228" s="210" t="e">
        <f t="shared" si="410"/>
        <v>#DIV/0!</v>
      </c>
    </row>
    <row r="229" spans="1:26" x14ac:dyDescent="0.25">
      <c r="A229" s="220"/>
      <c r="B229" s="221"/>
      <c r="C229" s="109"/>
      <c r="D229" s="229"/>
      <c r="E229" s="65"/>
      <c r="F229" s="227"/>
      <c r="G229" s="65"/>
      <c r="H229" s="65"/>
      <c r="I229" s="65"/>
      <c r="J229" s="65"/>
      <c r="K229" s="176">
        <f t="shared" si="401"/>
        <v>0</v>
      </c>
      <c r="L229" s="177">
        <f t="shared" si="402"/>
        <v>0</v>
      </c>
      <c r="M229" s="209">
        <f t="shared" si="403"/>
        <v>0</v>
      </c>
      <c r="N229" s="211" t="e">
        <f t="shared" si="404"/>
        <v>#DIV/0!</v>
      </c>
      <c r="O229" s="211" t="e">
        <f t="shared" si="405"/>
        <v>#DIV/0!</v>
      </c>
      <c r="P229" s="176">
        <f t="shared" si="406"/>
        <v>0</v>
      </c>
      <c r="Q229" s="212">
        <f t="shared" si="407"/>
        <v>0</v>
      </c>
      <c r="R229" s="249"/>
      <c r="S229" s="249"/>
      <c r="T229" s="249"/>
      <c r="U229" s="249"/>
      <c r="V229" s="249"/>
      <c r="X229" s="176">
        <f t="shared" si="408"/>
        <v>0</v>
      </c>
      <c r="Y229" s="210" t="e">
        <f t="shared" si="409"/>
        <v>#DIV/0!</v>
      </c>
      <c r="Z229" s="210" t="e">
        <f t="shared" si="410"/>
        <v>#DIV/0!</v>
      </c>
    </row>
    <row r="230" spans="1:26" x14ac:dyDescent="0.25">
      <c r="A230" s="220"/>
      <c r="B230" s="221"/>
      <c r="C230" s="109"/>
      <c r="D230" s="229"/>
      <c r="E230" s="65"/>
      <c r="F230" s="227"/>
      <c r="G230" s="65"/>
      <c r="H230" s="65"/>
      <c r="I230" s="65"/>
      <c r="J230" s="65"/>
      <c r="K230" s="176">
        <f t="shared" si="401"/>
        <v>0</v>
      </c>
      <c r="L230" s="177">
        <f t="shared" si="402"/>
        <v>0</v>
      </c>
      <c r="M230" s="209">
        <f t="shared" si="403"/>
        <v>0</v>
      </c>
      <c r="N230" s="211" t="e">
        <f t="shared" si="404"/>
        <v>#DIV/0!</v>
      </c>
      <c r="O230" s="211" t="e">
        <f t="shared" si="405"/>
        <v>#DIV/0!</v>
      </c>
      <c r="P230" s="176">
        <f t="shared" si="406"/>
        <v>0</v>
      </c>
      <c r="Q230" s="212">
        <f t="shared" si="407"/>
        <v>0</v>
      </c>
      <c r="R230" s="249"/>
      <c r="S230" s="249"/>
      <c r="T230" s="249"/>
      <c r="U230" s="249"/>
      <c r="V230" s="249"/>
      <c r="X230" s="176">
        <f t="shared" si="408"/>
        <v>0</v>
      </c>
      <c r="Y230" s="210" t="e">
        <f t="shared" si="409"/>
        <v>#DIV/0!</v>
      </c>
      <c r="Z230" s="210" t="e">
        <f t="shared" si="410"/>
        <v>#DIV/0!</v>
      </c>
    </row>
    <row r="231" spans="1:26" x14ac:dyDescent="0.25">
      <c r="A231" s="220"/>
      <c r="B231" s="221"/>
      <c r="C231" s="109"/>
      <c r="D231" s="229"/>
      <c r="E231" s="65"/>
      <c r="F231" s="227"/>
      <c r="G231" s="65"/>
      <c r="H231" s="65"/>
      <c r="I231" s="65"/>
      <c r="J231" s="65"/>
      <c r="K231" s="176">
        <f t="shared" si="401"/>
        <v>0</v>
      </c>
      <c r="L231" s="177">
        <f t="shared" si="402"/>
        <v>0</v>
      </c>
      <c r="M231" s="209">
        <f t="shared" si="403"/>
        <v>0</v>
      </c>
      <c r="N231" s="211" t="e">
        <f t="shared" si="404"/>
        <v>#DIV/0!</v>
      </c>
      <c r="O231" s="211" t="e">
        <f t="shared" si="405"/>
        <v>#DIV/0!</v>
      </c>
      <c r="P231" s="176">
        <f t="shared" si="406"/>
        <v>0</v>
      </c>
      <c r="Q231" s="212">
        <f t="shared" si="407"/>
        <v>0</v>
      </c>
      <c r="R231" s="249"/>
      <c r="S231" s="249"/>
      <c r="T231" s="249"/>
      <c r="U231" s="249"/>
      <c r="V231" s="249"/>
      <c r="X231" s="176">
        <f t="shared" si="408"/>
        <v>0</v>
      </c>
      <c r="Y231" s="210" t="e">
        <f t="shared" si="409"/>
        <v>#DIV/0!</v>
      </c>
      <c r="Z231" s="210" t="e">
        <f t="shared" si="410"/>
        <v>#DIV/0!</v>
      </c>
    </row>
    <row r="232" spans="1:26" x14ac:dyDescent="0.25">
      <c r="A232" s="220"/>
      <c r="B232" s="221"/>
      <c r="C232" s="109"/>
      <c r="D232" s="229"/>
      <c r="E232" s="65"/>
      <c r="F232" s="227"/>
      <c r="G232" s="65"/>
      <c r="H232" s="65"/>
      <c r="I232" s="65"/>
      <c r="J232" s="65"/>
      <c r="K232" s="176">
        <f t="shared" si="401"/>
        <v>0</v>
      </c>
      <c r="L232" s="177">
        <f t="shared" si="402"/>
        <v>0</v>
      </c>
      <c r="M232" s="209">
        <f t="shared" si="403"/>
        <v>0</v>
      </c>
      <c r="N232" s="211" t="e">
        <f t="shared" si="404"/>
        <v>#DIV/0!</v>
      </c>
      <c r="O232" s="211" t="e">
        <f t="shared" si="405"/>
        <v>#DIV/0!</v>
      </c>
      <c r="P232" s="176">
        <f t="shared" si="406"/>
        <v>0</v>
      </c>
      <c r="Q232" s="212">
        <f t="shared" si="407"/>
        <v>0</v>
      </c>
      <c r="R232" s="249"/>
      <c r="S232" s="249"/>
      <c r="T232" s="249"/>
      <c r="U232" s="249"/>
      <c r="V232" s="249"/>
      <c r="X232" s="176">
        <f t="shared" si="408"/>
        <v>0</v>
      </c>
      <c r="Y232" s="210" t="e">
        <f t="shared" si="409"/>
        <v>#DIV/0!</v>
      </c>
      <c r="Z232" s="210" t="e">
        <f t="shared" si="410"/>
        <v>#DIV/0!</v>
      </c>
    </row>
    <row r="233" spans="1:26" x14ac:dyDescent="0.25">
      <c r="A233" s="220"/>
      <c r="B233" s="221"/>
      <c r="C233" s="109"/>
      <c r="D233" s="229"/>
      <c r="E233" s="65"/>
      <c r="F233" s="227"/>
      <c r="G233" s="65"/>
      <c r="H233" s="65"/>
      <c r="I233" s="65"/>
      <c r="J233" s="65"/>
      <c r="K233" s="176">
        <f t="shared" si="401"/>
        <v>0</v>
      </c>
      <c r="L233" s="177">
        <f t="shared" si="402"/>
        <v>0</v>
      </c>
      <c r="M233" s="209">
        <f t="shared" si="403"/>
        <v>0</v>
      </c>
      <c r="N233" s="211" t="e">
        <f t="shared" si="404"/>
        <v>#DIV/0!</v>
      </c>
      <c r="O233" s="211" t="e">
        <f t="shared" si="405"/>
        <v>#DIV/0!</v>
      </c>
      <c r="P233" s="176">
        <f t="shared" si="406"/>
        <v>0</v>
      </c>
      <c r="Q233" s="212">
        <f t="shared" si="407"/>
        <v>0</v>
      </c>
      <c r="R233" s="249"/>
      <c r="S233" s="249"/>
      <c r="T233" s="249"/>
      <c r="U233" s="249"/>
      <c r="V233" s="249"/>
      <c r="X233" s="176">
        <f t="shared" si="408"/>
        <v>0</v>
      </c>
      <c r="Y233" s="210" t="e">
        <f t="shared" si="409"/>
        <v>#DIV/0!</v>
      </c>
      <c r="Z233" s="210" t="e">
        <f t="shared" si="410"/>
        <v>#DIV/0!</v>
      </c>
    </row>
    <row r="234" spans="1:26" x14ac:dyDescent="0.25">
      <c r="A234" s="220"/>
      <c r="B234" s="221"/>
      <c r="C234" s="109"/>
      <c r="D234" s="229"/>
      <c r="E234" s="65"/>
      <c r="F234" s="227"/>
      <c r="G234" s="65"/>
      <c r="H234" s="65"/>
      <c r="I234" s="65"/>
      <c r="J234" s="65"/>
      <c r="K234" s="176">
        <f t="shared" si="401"/>
        <v>0</v>
      </c>
      <c r="L234" s="177">
        <f t="shared" si="402"/>
        <v>0</v>
      </c>
      <c r="M234" s="209">
        <f t="shared" si="403"/>
        <v>0</v>
      </c>
      <c r="N234" s="211" t="e">
        <f t="shared" si="404"/>
        <v>#DIV/0!</v>
      </c>
      <c r="O234" s="211" t="e">
        <f t="shared" si="405"/>
        <v>#DIV/0!</v>
      </c>
      <c r="P234" s="176">
        <f t="shared" si="406"/>
        <v>0</v>
      </c>
      <c r="Q234" s="212">
        <f t="shared" si="407"/>
        <v>0</v>
      </c>
      <c r="R234" s="249"/>
      <c r="S234" s="249"/>
      <c r="T234" s="249"/>
      <c r="U234" s="249"/>
      <c r="V234" s="249"/>
      <c r="X234" s="176">
        <f t="shared" si="408"/>
        <v>0</v>
      </c>
      <c r="Y234" s="210" t="e">
        <f t="shared" si="409"/>
        <v>#DIV/0!</v>
      </c>
      <c r="Z234" s="210" t="e">
        <f t="shared" si="410"/>
        <v>#DIV/0!</v>
      </c>
    </row>
    <row r="235" spans="1:26" x14ac:dyDescent="0.25">
      <c r="A235" s="220"/>
      <c r="B235" s="221"/>
      <c r="C235" s="109"/>
      <c r="D235" s="229"/>
      <c r="E235" s="65"/>
      <c r="F235" s="227"/>
      <c r="G235" s="65"/>
      <c r="H235" s="65"/>
      <c r="I235" s="65"/>
      <c r="J235" s="65"/>
      <c r="K235" s="176">
        <f t="shared" si="401"/>
        <v>0</v>
      </c>
      <c r="L235" s="177">
        <f t="shared" si="402"/>
        <v>0</v>
      </c>
      <c r="M235" s="209">
        <f t="shared" si="403"/>
        <v>0</v>
      </c>
      <c r="N235" s="211" t="e">
        <f t="shared" si="404"/>
        <v>#DIV/0!</v>
      </c>
      <c r="O235" s="211" t="e">
        <f t="shared" si="405"/>
        <v>#DIV/0!</v>
      </c>
      <c r="P235" s="176">
        <f t="shared" si="406"/>
        <v>0</v>
      </c>
      <c r="Q235" s="212">
        <f t="shared" si="407"/>
        <v>0</v>
      </c>
      <c r="R235" s="249"/>
      <c r="S235" s="249"/>
      <c r="T235" s="249"/>
      <c r="U235" s="249"/>
      <c r="V235" s="249"/>
      <c r="X235" s="176">
        <f t="shared" si="408"/>
        <v>0</v>
      </c>
      <c r="Y235" s="210" t="e">
        <f t="shared" si="409"/>
        <v>#DIV/0!</v>
      </c>
      <c r="Z235" s="210" t="e">
        <f t="shared" si="410"/>
        <v>#DIV/0!</v>
      </c>
    </row>
    <row r="236" spans="1:26" x14ac:dyDescent="0.25">
      <c r="A236" s="220"/>
      <c r="B236" s="221"/>
      <c r="C236" s="109"/>
      <c r="D236" s="229"/>
      <c r="E236" s="65"/>
      <c r="F236" s="227"/>
      <c r="G236" s="65"/>
      <c r="H236" s="65"/>
      <c r="I236" s="65"/>
      <c r="J236" s="65"/>
      <c r="K236" s="176">
        <f t="shared" si="401"/>
        <v>0</v>
      </c>
      <c r="L236" s="177">
        <f t="shared" si="402"/>
        <v>0</v>
      </c>
      <c r="M236" s="209">
        <f t="shared" si="403"/>
        <v>0</v>
      </c>
      <c r="N236" s="211" t="e">
        <f t="shared" si="404"/>
        <v>#DIV/0!</v>
      </c>
      <c r="O236" s="211" t="e">
        <f t="shared" si="405"/>
        <v>#DIV/0!</v>
      </c>
      <c r="P236" s="176">
        <f t="shared" si="406"/>
        <v>0</v>
      </c>
      <c r="Q236" s="212">
        <f t="shared" si="407"/>
        <v>0</v>
      </c>
      <c r="R236" s="249"/>
      <c r="S236" s="249"/>
      <c r="T236" s="249"/>
      <c r="U236" s="249"/>
      <c r="V236" s="249"/>
      <c r="X236" s="176">
        <f t="shared" si="408"/>
        <v>0</v>
      </c>
      <c r="Y236" s="210" t="e">
        <f t="shared" si="409"/>
        <v>#DIV/0!</v>
      </c>
      <c r="Z236" s="210" t="e">
        <f t="shared" si="410"/>
        <v>#DIV/0!</v>
      </c>
    </row>
    <row r="237" spans="1:26" x14ac:dyDescent="0.25">
      <c r="A237" s="220"/>
      <c r="B237" s="221"/>
      <c r="C237" s="109"/>
      <c r="D237" s="229"/>
      <c r="E237" s="65"/>
      <c r="F237" s="227"/>
      <c r="G237" s="65"/>
      <c r="H237" s="65"/>
      <c r="I237" s="65"/>
      <c r="J237" s="65"/>
      <c r="K237" s="176">
        <f t="shared" si="401"/>
        <v>0</v>
      </c>
      <c r="L237" s="177">
        <f t="shared" si="402"/>
        <v>0</v>
      </c>
      <c r="M237" s="209">
        <f t="shared" si="403"/>
        <v>0</v>
      </c>
      <c r="N237" s="211" t="e">
        <f t="shared" si="404"/>
        <v>#DIV/0!</v>
      </c>
      <c r="O237" s="211" t="e">
        <f t="shared" si="405"/>
        <v>#DIV/0!</v>
      </c>
      <c r="P237" s="176">
        <f t="shared" si="406"/>
        <v>0</v>
      </c>
      <c r="Q237" s="212">
        <f t="shared" si="407"/>
        <v>0</v>
      </c>
      <c r="R237" s="249"/>
      <c r="S237" s="249"/>
      <c r="T237" s="249"/>
      <c r="U237" s="249"/>
      <c r="V237" s="249"/>
      <c r="X237" s="176">
        <f t="shared" si="408"/>
        <v>0</v>
      </c>
      <c r="Y237" s="210" t="e">
        <f t="shared" si="409"/>
        <v>#DIV/0!</v>
      </c>
      <c r="Z237" s="210" t="e">
        <f t="shared" si="410"/>
        <v>#DIV/0!</v>
      </c>
    </row>
    <row r="238" spans="1:26" x14ac:dyDescent="0.25">
      <c r="A238" s="220"/>
      <c r="B238" s="221"/>
      <c r="C238" s="109"/>
      <c r="D238" s="229"/>
      <c r="E238" s="65"/>
      <c r="F238" s="227"/>
      <c r="G238" s="65"/>
      <c r="H238" s="65"/>
      <c r="I238" s="65"/>
      <c r="J238" s="65"/>
      <c r="K238" s="176">
        <f t="shared" si="401"/>
        <v>0</v>
      </c>
      <c r="L238" s="177">
        <f t="shared" si="402"/>
        <v>0</v>
      </c>
      <c r="M238" s="209">
        <f t="shared" si="403"/>
        <v>0</v>
      </c>
      <c r="N238" s="211" t="e">
        <f t="shared" si="404"/>
        <v>#DIV/0!</v>
      </c>
      <c r="O238" s="211" t="e">
        <f t="shared" si="405"/>
        <v>#DIV/0!</v>
      </c>
      <c r="P238" s="176">
        <f t="shared" si="406"/>
        <v>0</v>
      </c>
      <c r="Q238" s="212">
        <f t="shared" si="407"/>
        <v>0</v>
      </c>
      <c r="R238" s="249"/>
      <c r="S238" s="249"/>
      <c r="T238" s="249"/>
      <c r="U238" s="249"/>
      <c r="V238" s="249"/>
      <c r="X238" s="176">
        <f t="shared" si="408"/>
        <v>0</v>
      </c>
      <c r="Y238" s="210" t="e">
        <f t="shared" si="409"/>
        <v>#DIV/0!</v>
      </c>
      <c r="Z238" s="210" t="e">
        <f t="shared" si="410"/>
        <v>#DIV/0!</v>
      </c>
    </row>
    <row r="239" spans="1:26" x14ac:dyDescent="0.25">
      <c r="A239" s="220"/>
      <c r="B239" s="221"/>
      <c r="C239" s="109"/>
      <c r="D239" s="229"/>
      <c r="E239" s="65"/>
      <c r="F239" s="227"/>
      <c r="G239" s="65"/>
      <c r="H239" s="65"/>
      <c r="I239" s="65"/>
      <c r="J239" s="65"/>
      <c r="K239" s="176">
        <f t="shared" si="401"/>
        <v>0</v>
      </c>
      <c r="L239" s="177">
        <f t="shared" si="402"/>
        <v>0</v>
      </c>
      <c r="M239" s="209">
        <f t="shared" si="403"/>
        <v>0</v>
      </c>
      <c r="N239" s="211" t="e">
        <f t="shared" si="404"/>
        <v>#DIV/0!</v>
      </c>
      <c r="O239" s="211" t="e">
        <f t="shared" si="405"/>
        <v>#DIV/0!</v>
      </c>
      <c r="P239" s="176">
        <f t="shared" si="406"/>
        <v>0</v>
      </c>
      <c r="Q239" s="212">
        <f t="shared" si="407"/>
        <v>0</v>
      </c>
      <c r="R239" s="249"/>
      <c r="S239" s="249"/>
      <c r="T239" s="249"/>
      <c r="U239" s="249"/>
      <c r="V239" s="249"/>
      <c r="X239" s="176">
        <f t="shared" si="408"/>
        <v>0</v>
      </c>
      <c r="Y239" s="210" t="e">
        <f t="shared" si="409"/>
        <v>#DIV/0!</v>
      </c>
      <c r="Z239" s="210" t="e">
        <f t="shared" si="410"/>
        <v>#DIV/0!</v>
      </c>
    </row>
    <row r="240" spans="1:26" x14ac:dyDescent="0.25">
      <c r="A240" s="220"/>
      <c r="B240" s="221"/>
      <c r="C240" s="109"/>
      <c r="D240" s="229"/>
      <c r="E240" s="65"/>
      <c r="F240" s="227"/>
      <c r="G240" s="65"/>
      <c r="H240" s="65"/>
      <c r="I240" s="65"/>
      <c r="J240" s="65"/>
      <c r="K240" s="176">
        <f t="shared" si="401"/>
        <v>0</v>
      </c>
      <c r="L240" s="177">
        <f t="shared" si="402"/>
        <v>0</v>
      </c>
      <c r="M240" s="209">
        <f t="shared" si="403"/>
        <v>0</v>
      </c>
      <c r="N240" s="211" t="e">
        <f t="shared" si="404"/>
        <v>#DIV/0!</v>
      </c>
      <c r="O240" s="211" t="e">
        <f t="shared" si="405"/>
        <v>#DIV/0!</v>
      </c>
      <c r="P240" s="176">
        <f t="shared" si="406"/>
        <v>0</v>
      </c>
      <c r="Q240" s="212">
        <f t="shared" si="407"/>
        <v>0</v>
      </c>
      <c r="R240" s="249"/>
      <c r="S240" s="249"/>
      <c r="T240" s="249"/>
      <c r="U240" s="249"/>
      <c r="V240" s="249"/>
      <c r="X240" s="176">
        <f t="shared" si="408"/>
        <v>0</v>
      </c>
      <c r="Y240" s="210" t="e">
        <f t="shared" si="409"/>
        <v>#DIV/0!</v>
      </c>
      <c r="Z240" s="210" t="e">
        <f t="shared" si="410"/>
        <v>#DIV/0!</v>
      </c>
    </row>
    <row r="241" spans="1:26" x14ac:dyDescent="0.25">
      <c r="A241" s="220"/>
      <c r="B241" s="221"/>
      <c r="C241" s="109"/>
      <c r="D241" s="229"/>
      <c r="E241" s="65"/>
      <c r="F241" s="227"/>
      <c r="G241" s="65"/>
      <c r="H241" s="65"/>
      <c r="I241" s="65"/>
      <c r="J241" s="65"/>
      <c r="K241" s="176">
        <f t="shared" si="401"/>
        <v>0</v>
      </c>
      <c r="L241" s="177">
        <f t="shared" si="402"/>
        <v>0</v>
      </c>
      <c r="M241" s="209">
        <f t="shared" si="403"/>
        <v>0</v>
      </c>
      <c r="N241" s="211" t="e">
        <f t="shared" si="404"/>
        <v>#DIV/0!</v>
      </c>
      <c r="O241" s="211" t="e">
        <f t="shared" si="405"/>
        <v>#DIV/0!</v>
      </c>
      <c r="P241" s="176">
        <f t="shared" si="406"/>
        <v>0</v>
      </c>
      <c r="Q241" s="212">
        <f t="shared" si="407"/>
        <v>0</v>
      </c>
      <c r="R241" s="249"/>
      <c r="S241" s="249"/>
      <c r="T241" s="249"/>
      <c r="U241" s="249"/>
      <c r="V241" s="249"/>
      <c r="X241" s="176">
        <f t="shared" si="408"/>
        <v>0</v>
      </c>
      <c r="Y241" s="210" t="e">
        <f t="shared" si="409"/>
        <v>#DIV/0!</v>
      </c>
      <c r="Z241" s="210" t="e">
        <f t="shared" si="410"/>
        <v>#DIV/0!</v>
      </c>
    </row>
    <row r="242" spans="1:26" x14ac:dyDescent="0.25">
      <c r="A242" s="220"/>
      <c r="B242" s="221"/>
      <c r="C242" s="109"/>
      <c r="D242" s="229"/>
      <c r="E242" s="65"/>
      <c r="F242" s="227"/>
      <c r="G242" s="65"/>
      <c r="H242" s="65"/>
      <c r="I242" s="65"/>
      <c r="J242" s="65"/>
      <c r="K242" s="176">
        <f t="shared" si="401"/>
        <v>0</v>
      </c>
      <c r="L242" s="177">
        <f t="shared" si="402"/>
        <v>0</v>
      </c>
      <c r="M242" s="209">
        <f t="shared" si="403"/>
        <v>0</v>
      </c>
      <c r="N242" s="211" t="e">
        <f t="shared" si="404"/>
        <v>#DIV/0!</v>
      </c>
      <c r="O242" s="211" t="e">
        <f t="shared" si="405"/>
        <v>#DIV/0!</v>
      </c>
      <c r="P242" s="176">
        <f t="shared" si="406"/>
        <v>0</v>
      </c>
      <c r="Q242" s="212">
        <f t="shared" si="407"/>
        <v>0</v>
      </c>
      <c r="R242" s="249"/>
      <c r="S242" s="249"/>
      <c r="T242" s="249"/>
      <c r="U242" s="249"/>
      <c r="V242" s="249"/>
      <c r="X242" s="176">
        <f t="shared" si="408"/>
        <v>0</v>
      </c>
      <c r="Y242" s="210" t="e">
        <f t="shared" si="409"/>
        <v>#DIV/0!</v>
      </c>
      <c r="Z242" s="210" t="e">
        <f t="shared" si="410"/>
        <v>#DIV/0!</v>
      </c>
    </row>
    <row r="243" spans="1:26" x14ac:dyDescent="0.25">
      <c r="A243" s="220"/>
      <c r="B243" s="221"/>
      <c r="C243" s="109"/>
      <c r="D243" s="229"/>
      <c r="E243" s="65"/>
      <c r="F243" s="227"/>
      <c r="G243" s="65"/>
      <c r="H243" s="65"/>
      <c r="I243" s="65"/>
      <c r="J243" s="65"/>
      <c r="K243" s="176">
        <f t="shared" si="401"/>
        <v>0</v>
      </c>
      <c r="L243" s="177">
        <f t="shared" si="402"/>
        <v>0</v>
      </c>
      <c r="M243" s="209">
        <f t="shared" si="403"/>
        <v>0</v>
      </c>
      <c r="N243" s="211" t="e">
        <f t="shared" si="404"/>
        <v>#DIV/0!</v>
      </c>
      <c r="O243" s="211" t="e">
        <f t="shared" si="405"/>
        <v>#DIV/0!</v>
      </c>
      <c r="P243" s="176">
        <f t="shared" si="406"/>
        <v>0</v>
      </c>
      <c r="Q243" s="212">
        <f t="shared" si="407"/>
        <v>0</v>
      </c>
      <c r="R243" s="249"/>
      <c r="S243" s="249"/>
      <c r="T243" s="249"/>
      <c r="U243" s="249"/>
      <c r="V243" s="249"/>
      <c r="X243" s="176">
        <f t="shared" si="408"/>
        <v>0</v>
      </c>
      <c r="Y243" s="210" t="e">
        <f t="shared" si="409"/>
        <v>#DIV/0!</v>
      </c>
      <c r="Z243" s="210" t="e">
        <f t="shared" si="410"/>
        <v>#DIV/0!</v>
      </c>
    </row>
    <row r="244" spans="1:26" x14ac:dyDescent="0.25">
      <c r="A244" s="220"/>
      <c r="B244" s="221"/>
      <c r="C244" s="109"/>
      <c r="D244" s="229"/>
      <c r="E244" s="65"/>
      <c r="F244" s="227"/>
      <c r="G244" s="65"/>
      <c r="H244" s="65"/>
      <c r="I244" s="65"/>
      <c r="J244" s="65"/>
      <c r="K244" s="176">
        <f t="shared" si="401"/>
        <v>0</v>
      </c>
      <c r="L244" s="177">
        <f t="shared" si="402"/>
        <v>0</v>
      </c>
      <c r="M244" s="209">
        <f t="shared" si="403"/>
        <v>0</v>
      </c>
      <c r="N244" s="211" t="e">
        <f t="shared" si="404"/>
        <v>#DIV/0!</v>
      </c>
      <c r="O244" s="211" t="e">
        <f t="shared" si="405"/>
        <v>#DIV/0!</v>
      </c>
      <c r="P244" s="176">
        <f t="shared" si="406"/>
        <v>0</v>
      </c>
      <c r="Q244" s="212">
        <f t="shared" si="407"/>
        <v>0</v>
      </c>
      <c r="R244" s="249"/>
      <c r="S244" s="249"/>
      <c r="T244" s="249"/>
      <c r="U244" s="249"/>
      <c r="V244" s="249"/>
      <c r="X244" s="176">
        <f t="shared" si="408"/>
        <v>0</v>
      </c>
      <c r="Y244" s="210" t="e">
        <f t="shared" si="409"/>
        <v>#DIV/0!</v>
      </c>
      <c r="Z244" s="210" t="e">
        <f t="shared" si="410"/>
        <v>#DIV/0!</v>
      </c>
    </row>
    <row r="245" spans="1:26" x14ac:dyDescent="0.25">
      <c r="A245" s="220"/>
      <c r="B245" s="221"/>
      <c r="C245" s="109"/>
      <c r="D245" s="229"/>
      <c r="E245" s="65"/>
      <c r="F245" s="227"/>
      <c r="G245" s="65"/>
      <c r="H245" s="65"/>
      <c r="I245" s="65"/>
      <c r="J245" s="65"/>
      <c r="K245" s="176">
        <f t="shared" si="401"/>
        <v>0</v>
      </c>
      <c r="L245" s="177">
        <f t="shared" si="402"/>
        <v>0</v>
      </c>
      <c r="M245" s="209">
        <f t="shared" si="403"/>
        <v>0</v>
      </c>
      <c r="N245" s="211" t="e">
        <f t="shared" si="404"/>
        <v>#DIV/0!</v>
      </c>
      <c r="O245" s="211" t="e">
        <f t="shared" si="405"/>
        <v>#DIV/0!</v>
      </c>
      <c r="P245" s="176">
        <f t="shared" si="406"/>
        <v>0</v>
      </c>
      <c r="Q245" s="212">
        <f t="shared" si="407"/>
        <v>0</v>
      </c>
      <c r="R245" s="249"/>
      <c r="S245" s="249"/>
      <c r="T245" s="249"/>
      <c r="U245" s="249"/>
      <c r="V245" s="249"/>
      <c r="X245" s="176">
        <f t="shared" si="408"/>
        <v>0</v>
      </c>
      <c r="Y245" s="210" t="e">
        <f t="shared" si="409"/>
        <v>#DIV/0!</v>
      </c>
      <c r="Z245" s="210" t="e">
        <f t="shared" si="410"/>
        <v>#DIV/0!</v>
      </c>
    </row>
    <row r="246" spans="1:26" x14ac:dyDescent="0.25">
      <c r="A246" s="220"/>
      <c r="B246" s="221"/>
      <c r="C246" s="109"/>
      <c r="D246" s="229"/>
      <c r="E246" s="65"/>
      <c r="F246" s="227"/>
      <c r="G246" s="65"/>
      <c r="H246" s="65"/>
      <c r="I246" s="65"/>
      <c r="J246" s="65"/>
      <c r="K246" s="176">
        <f t="shared" si="401"/>
        <v>0</v>
      </c>
      <c r="L246" s="177">
        <f t="shared" si="402"/>
        <v>0</v>
      </c>
      <c r="M246" s="209">
        <f t="shared" si="403"/>
        <v>0</v>
      </c>
      <c r="N246" s="211" t="e">
        <f t="shared" si="404"/>
        <v>#DIV/0!</v>
      </c>
      <c r="O246" s="211" t="e">
        <f t="shared" si="405"/>
        <v>#DIV/0!</v>
      </c>
      <c r="P246" s="176">
        <f t="shared" si="406"/>
        <v>0</v>
      </c>
      <c r="Q246" s="212">
        <f t="shared" si="407"/>
        <v>0</v>
      </c>
      <c r="R246" s="249"/>
      <c r="S246" s="249"/>
      <c r="T246" s="249"/>
      <c r="U246" s="249"/>
      <c r="V246" s="249"/>
      <c r="X246" s="176">
        <f t="shared" si="408"/>
        <v>0</v>
      </c>
      <c r="Y246" s="210" t="e">
        <f t="shared" si="409"/>
        <v>#DIV/0!</v>
      </c>
      <c r="Z246" s="210" t="e">
        <f t="shared" si="410"/>
        <v>#DIV/0!</v>
      </c>
    </row>
    <row r="247" spans="1:26" x14ac:dyDescent="0.25">
      <c r="A247" s="220"/>
      <c r="B247" s="221"/>
      <c r="C247" s="109"/>
      <c r="D247" s="229"/>
      <c r="E247" s="65"/>
      <c r="F247" s="227"/>
      <c r="G247" s="65"/>
      <c r="H247" s="65"/>
      <c r="I247" s="65"/>
      <c r="J247" s="65"/>
      <c r="K247" s="176">
        <f t="shared" si="401"/>
        <v>0</v>
      </c>
      <c r="L247" s="177">
        <f t="shared" si="402"/>
        <v>0</v>
      </c>
      <c r="M247" s="209">
        <f t="shared" si="403"/>
        <v>0</v>
      </c>
      <c r="N247" s="211" t="e">
        <f t="shared" si="404"/>
        <v>#DIV/0!</v>
      </c>
      <c r="O247" s="211" t="e">
        <f t="shared" si="405"/>
        <v>#DIV/0!</v>
      </c>
      <c r="P247" s="176">
        <f t="shared" si="406"/>
        <v>0</v>
      </c>
      <c r="Q247" s="212">
        <f t="shared" si="407"/>
        <v>0</v>
      </c>
      <c r="R247" s="249"/>
      <c r="S247" s="249"/>
      <c r="T247" s="249"/>
      <c r="U247" s="249"/>
      <c r="V247" s="249"/>
      <c r="X247" s="176">
        <f t="shared" si="408"/>
        <v>0</v>
      </c>
      <c r="Y247" s="210" t="e">
        <f t="shared" si="409"/>
        <v>#DIV/0!</v>
      </c>
      <c r="Z247" s="210" t="e">
        <f t="shared" si="410"/>
        <v>#DIV/0!</v>
      </c>
    </row>
    <row r="248" spans="1:26" x14ac:dyDescent="0.25">
      <c r="A248" s="220"/>
      <c r="B248" s="221"/>
      <c r="C248" s="109"/>
      <c r="D248" s="229"/>
      <c r="E248" s="65"/>
      <c r="F248" s="227"/>
      <c r="G248" s="65"/>
      <c r="H248" s="65"/>
      <c r="I248" s="65"/>
      <c r="J248" s="65"/>
      <c r="K248" s="176">
        <f t="shared" si="401"/>
        <v>0</v>
      </c>
      <c r="L248" s="177">
        <f t="shared" si="402"/>
        <v>0</v>
      </c>
      <c r="M248" s="209">
        <f t="shared" si="403"/>
        <v>0</v>
      </c>
      <c r="N248" s="211" t="e">
        <f t="shared" si="404"/>
        <v>#DIV/0!</v>
      </c>
      <c r="O248" s="211" t="e">
        <f t="shared" si="405"/>
        <v>#DIV/0!</v>
      </c>
      <c r="P248" s="176">
        <f t="shared" si="406"/>
        <v>0</v>
      </c>
      <c r="Q248" s="212">
        <f t="shared" si="407"/>
        <v>0</v>
      </c>
      <c r="R248" s="249"/>
      <c r="S248" s="249"/>
      <c r="T248" s="249"/>
      <c r="U248" s="249"/>
      <c r="V248" s="249"/>
      <c r="X248" s="176">
        <f t="shared" si="408"/>
        <v>0</v>
      </c>
      <c r="Y248" s="210" t="e">
        <f t="shared" si="409"/>
        <v>#DIV/0!</v>
      </c>
      <c r="Z248" s="210" t="e">
        <f t="shared" si="410"/>
        <v>#DIV/0!</v>
      </c>
    </row>
    <row r="249" spans="1:26" x14ac:dyDescent="0.25">
      <c r="A249" s="220"/>
      <c r="B249" s="221"/>
      <c r="C249" s="109"/>
      <c r="D249" s="229"/>
      <c r="E249" s="65"/>
      <c r="F249" s="227"/>
      <c r="G249" s="65"/>
      <c r="H249" s="65"/>
      <c r="I249" s="65"/>
      <c r="J249" s="65"/>
      <c r="K249" s="176">
        <f t="shared" si="401"/>
        <v>0</v>
      </c>
      <c r="L249" s="177">
        <f t="shared" si="402"/>
        <v>0</v>
      </c>
      <c r="M249" s="209">
        <f t="shared" si="403"/>
        <v>0</v>
      </c>
      <c r="N249" s="211" t="e">
        <f t="shared" si="404"/>
        <v>#DIV/0!</v>
      </c>
      <c r="O249" s="211" t="e">
        <f t="shared" si="405"/>
        <v>#DIV/0!</v>
      </c>
      <c r="P249" s="176">
        <f t="shared" si="406"/>
        <v>0</v>
      </c>
      <c r="Q249" s="212">
        <f t="shared" si="407"/>
        <v>0</v>
      </c>
      <c r="R249" s="249"/>
      <c r="S249" s="249"/>
      <c r="T249" s="249"/>
      <c r="U249" s="249"/>
      <c r="V249" s="249"/>
      <c r="X249" s="176">
        <f t="shared" si="408"/>
        <v>0</v>
      </c>
      <c r="Y249" s="210" t="e">
        <f t="shared" si="409"/>
        <v>#DIV/0!</v>
      </c>
      <c r="Z249" s="210" t="e">
        <f t="shared" si="410"/>
        <v>#DIV/0!</v>
      </c>
    </row>
    <row r="250" spans="1:26" x14ac:dyDescent="0.25">
      <c r="A250" s="220"/>
      <c r="B250" s="221"/>
      <c r="C250" s="109"/>
      <c r="D250" s="229"/>
      <c r="E250" s="65"/>
      <c r="F250" s="227"/>
      <c r="G250" s="65"/>
      <c r="H250" s="65"/>
      <c r="I250" s="65"/>
      <c r="J250" s="65"/>
      <c r="K250" s="176">
        <f t="shared" si="401"/>
        <v>0</v>
      </c>
      <c r="L250" s="177">
        <f t="shared" si="402"/>
        <v>0</v>
      </c>
      <c r="M250" s="209">
        <f t="shared" si="403"/>
        <v>0</v>
      </c>
      <c r="N250" s="211" t="e">
        <f t="shared" si="404"/>
        <v>#DIV/0!</v>
      </c>
      <c r="O250" s="211" t="e">
        <f t="shared" si="405"/>
        <v>#DIV/0!</v>
      </c>
      <c r="P250" s="176">
        <f t="shared" si="406"/>
        <v>0</v>
      </c>
      <c r="Q250" s="212">
        <f t="shared" si="407"/>
        <v>0</v>
      </c>
      <c r="R250" s="249"/>
      <c r="S250" s="249"/>
      <c r="T250" s="249"/>
      <c r="U250" s="249"/>
      <c r="V250" s="249"/>
      <c r="X250" s="176">
        <f t="shared" si="408"/>
        <v>0</v>
      </c>
      <c r="Y250" s="210" t="e">
        <f t="shared" si="409"/>
        <v>#DIV/0!</v>
      </c>
      <c r="Z250" s="210" t="e">
        <f t="shared" si="410"/>
        <v>#DIV/0!</v>
      </c>
    </row>
    <row r="251" spans="1:26" x14ac:dyDescent="0.25">
      <c r="A251" s="220"/>
      <c r="B251" s="221"/>
      <c r="C251" s="109"/>
      <c r="D251" s="229"/>
      <c r="E251" s="65"/>
      <c r="F251" s="227"/>
      <c r="G251" s="65"/>
      <c r="H251" s="65"/>
      <c r="I251" s="65"/>
      <c r="J251" s="65"/>
      <c r="K251" s="176">
        <f t="shared" si="401"/>
        <v>0</v>
      </c>
      <c r="L251" s="177">
        <f t="shared" si="402"/>
        <v>0</v>
      </c>
      <c r="M251" s="209">
        <f t="shared" si="403"/>
        <v>0</v>
      </c>
      <c r="N251" s="211" t="e">
        <f t="shared" si="404"/>
        <v>#DIV/0!</v>
      </c>
      <c r="O251" s="211" t="e">
        <f t="shared" si="405"/>
        <v>#DIV/0!</v>
      </c>
      <c r="P251" s="176">
        <f t="shared" si="406"/>
        <v>0</v>
      </c>
      <c r="Q251" s="212">
        <f t="shared" si="407"/>
        <v>0</v>
      </c>
      <c r="R251" s="249"/>
      <c r="S251" s="249"/>
      <c r="T251" s="249"/>
      <c r="U251" s="249"/>
      <c r="V251" s="249"/>
      <c r="X251" s="176">
        <f t="shared" si="408"/>
        <v>0</v>
      </c>
      <c r="Y251" s="210" t="e">
        <f t="shared" si="409"/>
        <v>#DIV/0!</v>
      </c>
      <c r="Z251" s="210" t="e">
        <f t="shared" si="410"/>
        <v>#DIV/0!</v>
      </c>
    </row>
    <row r="252" spans="1:26" x14ac:dyDescent="0.25">
      <c r="A252" s="220"/>
      <c r="B252" s="221"/>
      <c r="C252" s="109"/>
      <c r="D252" s="229"/>
      <c r="E252" s="65"/>
      <c r="F252" s="227"/>
      <c r="G252" s="65"/>
      <c r="H252" s="65"/>
      <c r="I252" s="65"/>
      <c r="J252" s="65"/>
      <c r="K252" s="176">
        <f t="shared" si="401"/>
        <v>0</v>
      </c>
      <c r="L252" s="177">
        <f t="shared" si="402"/>
        <v>0</v>
      </c>
      <c r="M252" s="209">
        <f t="shared" si="403"/>
        <v>0</v>
      </c>
      <c r="N252" s="211" t="e">
        <f t="shared" si="404"/>
        <v>#DIV/0!</v>
      </c>
      <c r="O252" s="211" t="e">
        <f t="shared" si="405"/>
        <v>#DIV/0!</v>
      </c>
      <c r="P252" s="176">
        <f t="shared" si="406"/>
        <v>0</v>
      </c>
      <c r="Q252" s="212">
        <f t="shared" si="407"/>
        <v>0</v>
      </c>
      <c r="R252" s="249"/>
      <c r="S252" s="249"/>
      <c r="T252" s="249"/>
      <c r="U252" s="249"/>
      <c r="V252" s="249"/>
      <c r="X252" s="176">
        <f t="shared" si="408"/>
        <v>0</v>
      </c>
      <c r="Y252" s="210" t="e">
        <f t="shared" si="409"/>
        <v>#DIV/0!</v>
      </c>
      <c r="Z252" s="210" t="e">
        <f t="shared" si="410"/>
        <v>#DIV/0!</v>
      </c>
    </row>
    <row r="253" spans="1:26" x14ac:dyDescent="0.25">
      <c r="A253" s="220"/>
      <c r="B253" s="221"/>
      <c r="C253" s="109"/>
      <c r="D253" s="229"/>
      <c r="E253" s="65"/>
      <c r="F253" s="227"/>
      <c r="G253" s="65"/>
      <c r="H253" s="65"/>
      <c r="I253" s="65"/>
      <c r="J253" s="65"/>
      <c r="K253" s="176">
        <f t="shared" si="401"/>
        <v>0</v>
      </c>
      <c r="L253" s="177">
        <f t="shared" si="402"/>
        <v>0</v>
      </c>
      <c r="M253" s="209">
        <f t="shared" si="403"/>
        <v>0</v>
      </c>
      <c r="N253" s="211" t="e">
        <f t="shared" si="404"/>
        <v>#DIV/0!</v>
      </c>
      <c r="O253" s="211" t="e">
        <f t="shared" si="405"/>
        <v>#DIV/0!</v>
      </c>
      <c r="P253" s="176">
        <f t="shared" si="406"/>
        <v>0</v>
      </c>
      <c r="Q253" s="212">
        <f t="shared" si="407"/>
        <v>0</v>
      </c>
      <c r="R253" s="249"/>
      <c r="S253" s="249"/>
      <c r="T253" s="249"/>
      <c r="U253" s="249"/>
      <c r="V253" s="249"/>
      <c r="X253" s="176">
        <f t="shared" si="408"/>
        <v>0</v>
      </c>
      <c r="Y253" s="210" t="e">
        <f t="shared" si="409"/>
        <v>#DIV/0!</v>
      </c>
      <c r="Z253" s="210" t="e">
        <f t="shared" si="410"/>
        <v>#DIV/0!</v>
      </c>
    </row>
    <row r="254" spans="1:26" x14ac:dyDescent="0.25">
      <c r="A254" s="220"/>
      <c r="B254" s="221"/>
      <c r="C254" s="109"/>
      <c r="D254" s="229"/>
      <c r="E254" s="65"/>
      <c r="F254" s="227"/>
      <c r="G254" s="65"/>
      <c r="H254" s="65"/>
      <c r="I254" s="65"/>
      <c r="J254" s="65"/>
      <c r="K254" s="176">
        <f t="shared" si="401"/>
        <v>0</v>
      </c>
      <c r="L254" s="177">
        <f t="shared" si="402"/>
        <v>0</v>
      </c>
      <c r="M254" s="209">
        <f t="shared" si="403"/>
        <v>0</v>
      </c>
      <c r="N254" s="211" t="e">
        <f t="shared" si="404"/>
        <v>#DIV/0!</v>
      </c>
      <c r="O254" s="211" t="e">
        <f t="shared" si="405"/>
        <v>#DIV/0!</v>
      </c>
      <c r="P254" s="176">
        <f t="shared" si="406"/>
        <v>0</v>
      </c>
      <c r="Q254" s="212">
        <f t="shared" si="407"/>
        <v>0</v>
      </c>
      <c r="R254" s="249"/>
      <c r="S254" s="249"/>
      <c r="T254" s="249"/>
      <c r="U254" s="249"/>
      <c r="V254" s="249"/>
      <c r="X254" s="176">
        <f t="shared" si="408"/>
        <v>0</v>
      </c>
      <c r="Y254" s="210" t="e">
        <f t="shared" si="409"/>
        <v>#DIV/0!</v>
      </c>
      <c r="Z254" s="210" t="e">
        <f t="shared" si="410"/>
        <v>#DIV/0!</v>
      </c>
    </row>
    <row r="255" spans="1:26" x14ac:dyDescent="0.25">
      <c r="A255" s="220"/>
      <c r="B255" s="221"/>
      <c r="C255" s="109"/>
      <c r="D255" s="229"/>
      <c r="E255" s="65"/>
      <c r="F255" s="227"/>
      <c r="G255" s="65"/>
      <c r="H255" s="65"/>
      <c r="I255" s="65"/>
      <c r="J255" s="65"/>
      <c r="K255" s="176">
        <f t="shared" si="401"/>
        <v>0</v>
      </c>
      <c r="L255" s="177">
        <f t="shared" si="402"/>
        <v>0</v>
      </c>
      <c r="M255" s="209">
        <f t="shared" si="403"/>
        <v>0</v>
      </c>
      <c r="N255" s="211" t="e">
        <f t="shared" si="404"/>
        <v>#DIV/0!</v>
      </c>
      <c r="O255" s="211" t="e">
        <f t="shared" si="405"/>
        <v>#DIV/0!</v>
      </c>
      <c r="P255" s="176">
        <f t="shared" si="406"/>
        <v>0</v>
      </c>
      <c r="Q255" s="212">
        <f t="shared" si="407"/>
        <v>0</v>
      </c>
      <c r="R255" s="249"/>
      <c r="S255" s="249"/>
      <c r="T255" s="249"/>
      <c r="U255" s="249"/>
      <c r="V255" s="249"/>
      <c r="X255" s="176">
        <f t="shared" si="408"/>
        <v>0</v>
      </c>
      <c r="Y255" s="210" t="e">
        <f t="shared" si="409"/>
        <v>#DIV/0!</v>
      </c>
      <c r="Z255" s="210" t="e">
        <f t="shared" si="410"/>
        <v>#DIV/0!</v>
      </c>
    </row>
    <row r="256" spans="1:26" x14ac:dyDescent="0.25">
      <c r="A256" s="220"/>
      <c r="B256" s="221"/>
      <c r="C256" s="109"/>
      <c r="D256" s="229"/>
      <c r="E256" s="65"/>
      <c r="F256" s="227"/>
      <c r="G256" s="65"/>
      <c r="H256" s="65"/>
      <c r="I256" s="65"/>
      <c r="J256" s="65"/>
      <c r="K256" s="176">
        <f t="shared" si="401"/>
        <v>0</v>
      </c>
      <c r="L256" s="177">
        <f t="shared" si="402"/>
        <v>0</v>
      </c>
      <c r="M256" s="209">
        <f t="shared" si="403"/>
        <v>0</v>
      </c>
      <c r="N256" s="211" t="e">
        <f t="shared" si="404"/>
        <v>#DIV/0!</v>
      </c>
      <c r="O256" s="211" t="e">
        <f t="shared" si="405"/>
        <v>#DIV/0!</v>
      </c>
      <c r="P256" s="176">
        <f t="shared" si="406"/>
        <v>0</v>
      </c>
      <c r="Q256" s="212">
        <f t="shared" si="407"/>
        <v>0</v>
      </c>
      <c r="R256" s="249"/>
      <c r="S256" s="249"/>
      <c r="T256" s="249"/>
      <c r="U256" s="249"/>
      <c r="V256" s="249"/>
      <c r="X256" s="176">
        <f t="shared" si="408"/>
        <v>0</v>
      </c>
      <c r="Y256" s="210" t="e">
        <f t="shared" si="409"/>
        <v>#DIV/0!</v>
      </c>
      <c r="Z256" s="210" t="e">
        <f t="shared" si="410"/>
        <v>#DIV/0!</v>
      </c>
    </row>
    <row r="257" spans="1:26" x14ac:dyDescent="0.25">
      <c r="A257" s="220"/>
      <c r="B257" s="221"/>
      <c r="C257" s="109"/>
      <c r="D257" s="229"/>
      <c r="E257" s="65"/>
      <c r="F257" s="227"/>
      <c r="G257" s="65"/>
      <c r="H257" s="65"/>
      <c r="I257" s="65"/>
      <c r="J257" s="65"/>
      <c r="K257" s="176">
        <f t="shared" si="401"/>
        <v>0</v>
      </c>
      <c r="L257" s="177">
        <f t="shared" si="402"/>
        <v>0</v>
      </c>
      <c r="M257" s="209">
        <f t="shared" si="403"/>
        <v>0</v>
      </c>
      <c r="N257" s="211" t="e">
        <f t="shared" si="404"/>
        <v>#DIV/0!</v>
      </c>
      <c r="O257" s="211" t="e">
        <f t="shared" si="405"/>
        <v>#DIV/0!</v>
      </c>
      <c r="P257" s="176">
        <f t="shared" si="406"/>
        <v>0</v>
      </c>
      <c r="Q257" s="212">
        <f t="shared" si="407"/>
        <v>0</v>
      </c>
      <c r="R257" s="249"/>
      <c r="S257" s="249"/>
      <c r="T257" s="249"/>
      <c r="U257" s="249"/>
      <c r="V257" s="249"/>
      <c r="X257" s="176">
        <f t="shared" si="408"/>
        <v>0</v>
      </c>
      <c r="Y257" s="210" t="e">
        <f t="shared" si="409"/>
        <v>#DIV/0!</v>
      </c>
      <c r="Z257" s="210" t="e">
        <f t="shared" si="410"/>
        <v>#DIV/0!</v>
      </c>
    </row>
    <row r="258" spans="1:26" x14ac:dyDescent="0.25">
      <c r="A258" s="220"/>
      <c r="B258" s="221"/>
      <c r="C258" s="109"/>
      <c r="D258" s="229"/>
      <c r="E258" s="65"/>
      <c r="F258" s="227"/>
      <c r="G258" s="65"/>
      <c r="H258" s="65"/>
      <c r="I258" s="65"/>
      <c r="J258" s="65"/>
      <c r="K258" s="176">
        <f t="shared" si="401"/>
        <v>0</v>
      </c>
      <c r="L258" s="177">
        <f t="shared" si="402"/>
        <v>0</v>
      </c>
      <c r="M258" s="209">
        <f t="shared" si="403"/>
        <v>0</v>
      </c>
      <c r="N258" s="211" t="e">
        <f t="shared" si="404"/>
        <v>#DIV/0!</v>
      </c>
      <c r="O258" s="211" t="e">
        <f t="shared" si="405"/>
        <v>#DIV/0!</v>
      </c>
      <c r="P258" s="176">
        <f t="shared" si="406"/>
        <v>0</v>
      </c>
      <c r="Q258" s="212">
        <f t="shared" si="407"/>
        <v>0</v>
      </c>
      <c r="R258" s="249"/>
      <c r="S258" s="249"/>
      <c r="T258" s="249"/>
      <c r="U258" s="249"/>
      <c r="V258" s="249"/>
      <c r="X258" s="176">
        <f t="shared" si="408"/>
        <v>0</v>
      </c>
      <c r="Y258" s="210" t="e">
        <f t="shared" si="409"/>
        <v>#DIV/0!</v>
      </c>
      <c r="Z258" s="210" t="e">
        <f t="shared" si="410"/>
        <v>#DIV/0!</v>
      </c>
    </row>
    <row r="259" spans="1:26" x14ac:dyDescent="0.25">
      <c r="A259" s="220"/>
      <c r="B259" s="221"/>
      <c r="C259" s="109"/>
      <c r="D259" s="229"/>
      <c r="E259" s="65"/>
      <c r="F259" s="227"/>
      <c r="G259" s="65"/>
      <c r="H259" s="65"/>
      <c r="I259" s="65"/>
      <c r="J259" s="65"/>
      <c r="K259" s="176">
        <f t="shared" si="401"/>
        <v>0</v>
      </c>
      <c r="L259" s="177">
        <f t="shared" si="402"/>
        <v>0</v>
      </c>
      <c r="M259" s="209">
        <f t="shared" si="403"/>
        <v>0</v>
      </c>
      <c r="N259" s="211" t="e">
        <f t="shared" si="404"/>
        <v>#DIV/0!</v>
      </c>
      <c r="O259" s="211" t="e">
        <f t="shared" si="405"/>
        <v>#DIV/0!</v>
      </c>
      <c r="P259" s="176">
        <f t="shared" si="406"/>
        <v>0</v>
      </c>
      <c r="Q259" s="212">
        <f t="shared" si="407"/>
        <v>0</v>
      </c>
      <c r="R259" s="249"/>
      <c r="S259" s="249"/>
      <c r="T259" s="249"/>
      <c r="U259" s="249"/>
      <c r="V259" s="249"/>
      <c r="X259" s="176">
        <f t="shared" si="408"/>
        <v>0</v>
      </c>
      <c r="Y259" s="210" t="e">
        <f t="shared" si="409"/>
        <v>#DIV/0!</v>
      </c>
      <c r="Z259" s="210" t="e">
        <f t="shared" si="410"/>
        <v>#DIV/0!</v>
      </c>
    </row>
    <row r="260" spans="1:26" x14ac:dyDescent="0.25">
      <c r="A260" s="220"/>
      <c r="B260" s="221"/>
      <c r="C260" s="109"/>
      <c r="D260" s="229"/>
      <c r="E260" s="65"/>
      <c r="F260" s="227"/>
      <c r="G260" s="65"/>
      <c r="H260" s="65"/>
      <c r="I260" s="65"/>
      <c r="J260" s="65"/>
      <c r="K260" s="176">
        <f t="shared" si="401"/>
        <v>0</v>
      </c>
      <c r="L260" s="177">
        <f t="shared" si="402"/>
        <v>0</v>
      </c>
      <c r="M260" s="209">
        <f t="shared" si="403"/>
        <v>0</v>
      </c>
      <c r="N260" s="211" t="e">
        <f t="shared" si="404"/>
        <v>#DIV/0!</v>
      </c>
      <c r="O260" s="211" t="e">
        <f t="shared" si="405"/>
        <v>#DIV/0!</v>
      </c>
      <c r="P260" s="176">
        <f t="shared" si="406"/>
        <v>0</v>
      </c>
      <c r="Q260" s="212">
        <f t="shared" si="407"/>
        <v>0</v>
      </c>
      <c r="R260" s="249"/>
      <c r="S260" s="249"/>
      <c r="T260" s="249"/>
      <c r="U260" s="249"/>
      <c r="V260" s="249"/>
      <c r="X260" s="176">
        <f t="shared" si="408"/>
        <v>0</v>
      </c>
      <c r="Y260" s="210" t="e">
        <f t="shared" si="409"/>
        <v>#DIV/0!</v>
      </c>
      <c r="Z260" s="210" t="e">
        <f t="shared" si="410"/>
        <v>#DIV/0!</v>
      </c>
    </row>
    <row r="261" spans="1:26" x14ac:dyDescent="0.25">
      <c r="A261" s="220"/>
      <c r="B261" s="221"/>
      <c r="C261" s="109"/>
      <c r="D261" s="229"/>
      <c r="E261" s="65"/>
      <c r="F261" s="227"/>
      <c r="G261" s="65"/>
      <c r="H261" s="65"/>
      <c r="I261" s="65"/>
      <c r="J261" s="65"/>
      <c r="K261" s="176">
        <f t="shared" si="401"/>
        <v>0</v>
      </c>
      <c r="L261" s="177">
        <f t="shared" si="402"/>
        <v>0</v>
      </c>
      <c r="M261" s="209">
        <f t="shared" si="403"/>
        <v>0</v>
      </c>
      <c r="N261" s="211" t="e">
        <f t="shared" si="404"/>
        <v>#DIV/0!</v>
      </c>
      <c r="O261" s="211" t="e">
        <f t="shared" si="405"/>
        <v>#DIV/0!</v>
      </c>
      <c r="P261" s="176">
        <f t="shared" si="406"/>
        <v>0</v>
      </c>
      <c r="Q261" s="212">
        <f t="shared" si="407"/>
        <v>0</v>
      </c>
      <c r="R261" s="249"/>
      <c r="S261" s="249"/>
      <c r="T261" s="249"/>
      <c r="U261" s="249"/>
      <c r="V261" s="249"/>
      <c r="X261" s="176">
        <f t="shared" si="408"/>
        <v>0</v>
      </c>
      <c r="Y261" s="210" t="e">
        <f t="shared" si="409"/>
        <v>#DIV/0!</v>
      </c>
      <c r="Z261" s="210" t="e">
        <f t="shared" si="410"/>
        <v>#DIV/0!</v>
      </c>
    </row>
    <row r="262" spans="1:26" x14ac:dyDescent="0.25">
      <c r="A262" s="220"/>
      <c r="B262" s="221"/>
      <c r="C262" s="109"/>
      <c r="D262" s="229"/>
      <c r="E262" s="65"/>
      <c r="F262" s="227"/>
      <c r="G262" s="65"/>
      <c r="H262" s="65"/>
      <c r="I262" s="65"/>
      <c r="J262" s="65"/>
      <c r="K262" s="176">
        <f t="shared" si="401"/>
        <v>0</v>
      </c>
      <c r="L262" s="177">
        <f t="shared" si="402"/>
        <v>0</v>
      </c>
      <c r="M262" s="209">
        <f t="shared" si="403"/>
        <v>0</v>
      </c>
      <c r="N262" s="211" t="e">
        <f t="shared" si="404"/>
        <v>#DIV/0!</v>
      </c>
      <c r="O262" s="211" t="e">
        <f t="shared" si="405"/>
        <v>#DIV/0!</v>
      </c>
      <c r="P262" s="176">
        <f t="shared" si="406"/>
        <v>0</v>
      </c>
      <c r="Q262" s="212">
        <f t="shared" si="407"/>
        <v>0</v>
      </c>
      <c r="R262" s="249"/>
      <c r="S262" s="249"/>
      <c r="T262" s="249"/>
      <c r="U262" s="249"/>
      <c r="V262" s="249"/>
      <c r="X262" s="176">
        <f t="shared" si="408"/>
        <v>0</v>
      </c>
      <c r="Y262" s="210" t="e">
        <f t="shared" si="409"/>
        <v>#DIV/0!</v>
      </c>
      <c r="Z262" s="210" t="e">
        <f t="shared" si="410"/>
        <v>#DIV/0!</v>
      </c>
    </row>
    <row r="263" spans="1:26" x14ac:dyDescent="0.25">
      <c r="A263" s="220"/>
      <c r="B263" s="221"/>
      <c r="C263" s="109"/>
      <c r="D263" s="229"/>
      <c r="E263" s="65"/>
      <c r="F263" s="227"/>
      <c r="G263" s="65"/>
      <c r="H263" s="65"/>
      <c r="I263" s="65"/>
      <c r="J263" s="65"/>
      <c r="K263" s="176">
        <f t="shared" si="401"/>
        <v>0</v>
      </c>
      <c r="L263" s="177">
        <f t="shared" si="402"/>
        <v>0</v>
      </c>
      <c r="M263" s="209">
        <f t="shared" si="403"/>
        <v>0</v>
      </c>
      <c r="N263" s="211" t="e">
        <f t="shared" si="404"/>
        <v>#DIV/0!</v>
      </c>
      <c r="O263" s="211" t="e">
        <f t="shared" si="405"/>
        <v>#DIV/0!</v>
      </c>
      <c r="P263" s="176">
        <f t="shared" si="406"/>
        <v>0</v>
      </c>
      <c r="Q263" s="212">
        <f t="shared" si="407"/>
        <v>0</v>
      </c>
      <c r="R263" s="249"/>
      <c r="S263" s="249"/>
      <c r="T263" s="249"/>
      <c r="U263" s="249"/>
      <c r="V263" s="249"/>
      <c r="X263" s="176">
        <f t="shared" si="408"/>
        <v>0</v>
      </c>
      <c r="Y263" s="210" t="e">
        <f t="shared" si="409"/>
        <v>#DIV/0!</v>
      </c>
      <c r="Z263" s="210" t="e">
        <f t="shared" si="410"/>
        <v>#DIV/0!</v>
      </c>
    </row>
    <row r="264" spans="1:26" x14ac:dyDescent="0.25">
      <c r="A264" s="220"/>
      <c r="B264" s="221"/>
      <c r="C264" s="109"/>
      <c r="D264" s="229"/>
      <c r="E264" s="65"/>
      <c r="F264" s="227"/>
      <c r="G264" s="65"/>
      <c r="H264" s="65"/>
      <c r="I264" s="65"/>
      <c r="J264" s="65"/>
      <c r="K264" s="176">
        <f t="shared" si="401"/>
        <v>0</v>
      </c>
      <c r="L264" s="177">
        <f t="shared" si="402"/>
        <v>0</v>
      </c>
      <c r="M264" s="209">
        <f t="shared" si="403"/>
        <v>0</v>
      </c>
      <c r="N264" s="211" t="e">
        <f t="shared" si="404"/>
        <v>#DIV/0!</v>
      </c>
      <c r="O264" s="211" t="e">
        <f t="shared" si="405"/>
        <v>#DIV/0!</v>
      </c>
      <c r="P264" s="176">
        <f t="shared" si="406"/>
        <v>0</v>
      </c>
      <c r="Q264" s="212">
        <f t="shared" si="407"/>
        <v>0</v>
      </c>
      <c r="R264" s="249"/>
      <c r="S264" s="249"/>
      <c r="T264" s="249"/>
      <c r="U264" s="249"/>
      <c r="V264" s="249"/>
      <c r="X264" s="176">
        <f t="shared" si="408"/>
        <v>0</v>
      </c>
      <c r="Y264" s="210" t="e">
        <f t="shared" si="409"/>
        <v>#DIV/0!</v>
      </c>
      <c r="Z264" s="210" t="e">
        <f t="shared" si="410"/>
        <v>#DIV/0!</v>
      </c>
    </row>
    <row r="265" spans="1:26" x14ac:dyDescent="0.25">
      <c r="A265" s="220"/>
      <c r="B265" s="221"/>
      <c r="C265" s="109"/>
      <c r="D265" s="229"/>
      <c r="E265" s="65"/>
      <c r="F265" s="227"/>
      <c r="G265" s="65"/>
      <c r="H265" s="65"/>
      <c r="I265" s="65"/>
      <c r="J265" s="65"/>
      <c r="K265" s="176">
        <f t="shared" si="401"/>
        <v>0</v>
      </c>
      <c r="L265" s="177">
        <f t="shared" si="402"/>
        <v>0</v>
      </c>
      <c r="M265" s="209">
        <f t="shared" si="403"/>
        <v>0</v>
      </c>
      <c r="N265" s="211" t="e">
        <f t="shared" si="404"/>
        <v>#DIV/0!</v>
      </c>
      <c r="O265" s="211" t="e">
        <f t="shared" si="405"/>
        <v>#DIV/0!</v>
      </c>
      <c r="P265" s="176">
        <f t="shared" si="406"/>
        <v>0</v>
      </c>
      <c r="Q265" s="212">
        <f t="shared" si="407"/>
        <v>0</v>
      </c>
      <c r="R265" s="249"/>
      <c r="S265" s="249"/>
      <c r="T265" s="249"/>
      <c r="U265" s="249"/>
      <c r="V265" s="249"/>
      <c r="X265" s="176">
        <f t="shared" si="408"/>
        <v>0</v>
      </c>
      <c r="Y265" s="210" t="e">
        <f t="shared" si="409"/>
        <v>#DIV/0!</v>
      </c>
      <c r="Z265" s="210" t="e">
        <f t="shared" si="410"/>
        <v>#DIV/0!</v>
      </c>
    </row>
    <row r="266" spans="1:26" x14ac:dyDescent="0.25">
      <c r="A266" s="220"/>
      <c r="B266" s="221"/>
      <c r="C266" s="109"/>
      <c r="D266" s="229"/>
      <c r="E266" s="65"/>
      <c r="F266" s="227"/>
      <c r="G266" s="65"/>
      <c r="H266" s="65"/>
      <c r="I266" s="65"/>
      <c r="J266" s="65"/>
      <c r="K266" s="176">
        <f t="shared" si="401"/>
        <v>0</v>
      </c>
      <c r="L266" s="177">
        <f t="shared" si="402"/>
        <v>0</v>
      </c>
      <c r="M266" s="209">
        <f t="shared" si="403"/>
        <v>0</v>
      </c>
      <c r="N266" s="211" t="e">
        <f t="shared" si="404"/>
        <v>#DIV/0!</v>
      </c>
      <c r="O266" s="211" t="e">
        <f t="shared" si="405"/>
        <v>#DIV/0!</v>
      </c>
      <c r="P266" s="176">
        <f t="shared" si="406"/>
        <v>0</v>
      </c>
      <c r="Q266" s="212">
        <f t="shared" si="407"/>
        <v>0</v>
      </c>
      <c r="R266" s="249"/>
      <c r="S266" s="249"/>
      <c r="T266" s="249"/>
      <c r="U266" s="249"/>
      <c r="V266" s="249"/>
      <c r="X266" s="176">
        <f t="shared" si="408"/>
        <v>0</v>
      </c>
      <c r="Y266" s="210" t="e">
        <f t="shared" si="409"/>
        <v>#DIV/0!</v>
      </c>
      <c r="Z266" s="210" t="e">
        <f t="shared" si="410"/>
        <v>#DIV/0!</v>
      </c>
    </row>
    <row r="267" spans="1:26" x14ac:dyDescent="0.25">
      <c r="A267" s="230"/>
      <c r="B267" s="231"/>
      <c r="C267" s="15"/>
      <c r="D267"/>
      <c r="E267"/>
      <c r="F267" s="15"/>
      <c r="G267"/>
      <c r="H267"/>
      <c r="I267"/>
      <c r="J267"/>
    </row>
    <row r="268" spans="1:26" x14ac:dyDescent="0.25">
      <c r="A268" s="230"/>
      <c r="B268" s="231"/>
      <c r="C268" s="15"/>
      <c r="D268"/>
      <c r="E268"/>
      <c r="F268" s="15"/>
      <c r="G268"/>
      <c r="H268"/>
      <c r="I268"/>
      <c r="J268"/>
    </row>
    <row r="269" spans="1:26" x14ac:dyDescent="0.25">
      <c r="A269" s="230"/>
      <c r="B269" s="231"/>
      <c r="C269" s="15"/>
      <c r="D269"/>
      <c r="E269"/>
      <c r="F269" s="15"/>
      <c r="G269"/>
      <c r="H269"/>
      <c r="I269"/>
      <c r="J269"/>
    </row>
    <row r="270" spans="1:26" x14ac:dyDescent="0.25">
      <c r="A270" s="230"/>
      <c r="B270" s="231"/>
      <c r="C270" s="15"/>
      <c r="D270"/>
      <c r="E270"/>
      <c r="F270" s="15"/>
      <c r="G270"/>
      <c r="H270"/>
      <c r="I270"/>
      <c r="J270"/>
    </row>
    <row r="271" spans="1:26" x14ac:dyDescent="0.25">
      <c r="A271" s="230"/>
      <c r="B271" s="231"/>
      <c r="C271" s="15"/>
      <c r="D271"/>
      <c r="E271"/>
      <c r="F271" s="15"/>
      <c r="G271"/>
      <c r="H271"/>
      <c r="I271"/>
      <c r="J271"/>
    </row>
    <row r="272" spans="1:26" x14ac:dyDescent="0.25">
      <c r="A272" s="230"/>
      <c r="B272" s="231"/>
      <c r="C272" s="15"/>
      <c r="D272"/>
      <c r="E272"/>
      <c r="F272" s="15"/>
      <c r="G272"/>
      <c r="H272"/>
      <c r="I272"/>
      <c r="J272"/>
    </row>
    <row r="273" spans="1:10" x14ac:dyDescent="0.25">
      <c r="A273" s="230"/>
      <c r="B273" s="231"/>
      <c r="C273" s="15"/>
      <c r="D273"/>
      <c r="E273"/>
      <c r="F273" s="15"/>
      <c r="G273"/>
      <c r="H273"/>
      <c r="I273"/>
      <c r="J273"/>
    </row>
    <row r="274" spans="1:10" x14ac:dyDescent="0.25">
      <c r="A274" s="230"/>
      <c r="B274" s="231"/>
      <c r="C274" s="15"/>
      <c r="D274"/>
      <c r="E274"/>
      <c r="F274" s="15"/>
      <c r="G274"/>
      <c r="H274"/>
      <c r="I274"/>
      <c r="J274"/>
    </row>
    <row r="275" spans="1:10" x14ac:dyDescent="0.25">
      <c r="A275" s="230"/>
      <c r="B275" s="231"/>
      <c r="C275" s="15"/>
      <c r="D275"/>
      <c r="E275"/>
      <c r="F275" s="15"/>
      <c r="G275"/>
      <c r="H275"/>
      <c r="I275"/>
      <c r="J275"/>
    </row>
    <row r="276" spans="1:10" x14ac:dyDescent="0.25">
      <c r="A276" s="230"/>
      <c r="B276" s="231"/>
      <c r="C276" s="15"/>
      <c r="D276"/>
      <c r="E276"/>
      <c r="F276" s="15"/>
      <c r="G276"/>
      <c r="H276"/>
      <c r="I276"/>
      <c r="J276"/>
    </row>
    <row r="277" spans="1:10" x14ac:dyDescent="0.25">
      <c r="A277" s="230"/>
      <c r="B277" s="231"/>
      <c r="C277" s="15"/>
      <c r="D277"/>
      <c r="E277"/>
      <c r="F277" s="15"/>
      <c r="G277"/>
      <c r="H277"/>
      <c r="I277"/>
      <c r="J277"/>
    </row>
    <row r="278" spans="1:10" x14ac:dyDescent="0.25">
      <c r="A278" s="230"/>
      <c r="B278" s="231"/>
      <c r="C278" s="15"/>
      <c r="D278"/>
      <c r="E278"/>
      <c r="F278" s="15"/>
      <c r="G278"/>
      <c r="H278"/>
      <c r="I278"/>
      <c r="J278"/>
    </row>
    <row r="279" spans="1:10" x14ac:dyDescent="0.25">
      <c r="A279" s="230"/>
      <c r="B279" s="231"/>
      <c r="C279" s="15"/>
      <c r="D279"/>
      <c r="E279"/>
      <c r="F279" s="15"/>
      <c r="G279"/>
      <c r="H279"/>
      <c r="I279"/>
      <c r="J279"/>
    </row>
    <row r="280" spans="1:10" x14ac:dyDescent="0.25">
      <c r="A280" s="230"/>
      <c r="B280" s="231"/>
      <c r="C280" s="15"/>
      <c r="D280"/>
      <c r="E280"/>
      <c r="F280" s="15"/>
      <c r="G280"/>
      <c r="H280"/>
      <c r="I280"/>
      <c r="J280"/>
    </row>
    <row r="281" spans="1:10" x14ac:dyDescent="0.25">
      <c r="A281" s="230"/>
      <c r="B281" s="231"/>
      <c r="C281" s="15"/>
      <c r="D281"/>
      <c r="E281"/>
      <c r="F281" s="15"/>
      <c r="G281"/>
      <c r="H281"/>
      <c r="I281"/>
      <c r="J281"/>
    </row>
    <row r="282" spans="1:10" x14ac:dyDescent="0.25">
      <c r="A282" s="230"/>
      <c r="B282" s="231"/>
      <c r="C282" s="15"/>
      <c r="D282"/>
      <c r="E282"/>
      <c r="F282" s="15"/>
      <c r="G282"/>
      <c r="H282"/>
      <c r="I282"/>
      <c r="J282"/>
    </row>
    <row r="283" spans="1:10" x14ac:dyDescent="0.25">
      <c r="A283" s="230"/>
      <c r="B283" s="231"/>
      <c r="C283" s="15"/>
      <c r="D283"/>
      <c r="E283"/>
      <c r="F283" s="15"/>
      <c r="G283"/>
      <c r="H283"/>
      <c r="I283"/>
      <c r="J283"/>
    </row>
    <row r="284" spans="1:10" x14ac:dyDescent="0.25">
      <c r="A284" s="230"/>
      <c r="B284" s="231"/>
      <c r="C284" s="15"/>
      <c r="D284"/>
      <c r="E284"/>
      <c r="F284" s="15"/>
      <c r="G284"/>
      <c r="H284"/>
      <c r="I284"/>
      <c r="J284"/>
    </row>
    <row r="285" spans="1:10" x14ac:dyDescent="0.25">
      <c r="A285" s="230"/>
      <c r="B285" s="231"/>
      <c r="C285" s="15"/>
      <c r="D285"/>
      <c r="E285"/>
      <c r="F285" s="15"/>
      <c r="G285"/>
      <c r="H285"/>
      <c r="I285"/>
      <c r="J285"/>
    </row>
    <row r="286" spans="1:10" x14ac:dyDescent="0.25">
      <c r="A286" s="230"/>
      <c r="B286" s="231"/>
      <c r="C286" s="15"/>
      <c r="D286"/>
      <c r="E286"/>
      <c r="F286" s="15"/>
      <c r="G286"/>
      <c r="H286"/>
      <c r="I286"/>
      <c r="J286"/>
    </row>
    <row r="287" spans="1:10" x14ac:dyDescent="0.25">
      <c r="A287" s="230"/>
      <c r="B287" s="231"/>
      <c r="C287" s="15"/>
      <c r="D287"/>
      <c r="E287"/>
      <c r="F287" s="15"/>
      <c r="G287"/>
      <c r="H287"/>
      <c r="I287"/>
      <c r="J287"/>
    </row>
    <row r="288" spans="1:10" x14ac:dyDescent="0.25">
      <c r="A288" s="230"/>
      <c r="B288" s="231"/>
      <c r="C288" s="15"/>
      <c r="D288"/>
      <c r="E288"/>
      <c r="F288" s="15"/>
      <c r="G288"/>
      <c r="H288"/>
      <c r="I288"/>
      <c r="J288"/>
    </row>
    <row r="289" spans="1:10" x14ac:dyDescent="0.25">
      <c r="A289" s="230"/>
      <c r="B289" s="231"/>
      <c r="C289" s="15"/>
      <c r="D289"/>
      <c r="E289"/>
      <c r="F289" s="15"/>
      <c r="G289"/>
      <c r="H289"/>
      <c r="I289"/>
      <c r="J289"/>
    </row>
    <row r="290" spans="1:10" x14ac:dyDescent="0.25">
      <c r="A290" s="230"/>
      <c r="B290" s="231"/>
      <c r="C290" s="15"/>
      <c r="D290"/>
      <c r="E290"/>
      <c r="F290" s="15"/>
      <c r="G290"/>
      <c r="H290"/>
      <c r="I290"/>
      <c r="J290"/>
    </row>
    <row r="291" spans="1:10" x14ac:dyDescent="0.25">
      <c r="A291" s="230"/>
      <c r="B291" s="231"/>
      <c r="C291" s="15"/>
      <c r="D291"/>
      <c r="E291"/>
      <c r="F291" s="15"/>
      <c r="G291"/>
      <c r="H291"/>
      <c r="I291"/>
      <c r="J291"/>
    </row>
    <row r="292" spans="1:10" x14ac:dyDescent="0.25">
      <c r="A292" s="230"/>
      <c r="B292" s="231"/>
      <c r="C292" s="15"/>
      <c r="D292"/>
      <c r="E292"/>
      <c r="F292" s="15"/>
      <c r="G292"/>
      <c r="H292"/>
      <c r="I292"/>
      <c r="J292"/>
    </row>
    <row r="293" spans="1:10" x14ac:dyDescent="0.25">
      <c r="A293" s="230"/>
      <c r="B293" s="231"/>
      <c r="C293" s="15"/>
      <c r="D293"/>
      <c r="E293"/>
      <c r="F293" s="15"/>
      <c r="G293"/>
      <c r="H293"/>
      <c r="I293"/>
      <c r="J293"/>
    </row>
    <row r="294" spans="1:10" x14ac:dyDescent="0.25">
      <c r="A294" s="230"/>
      <c r="B294" s="231"/>
      <c r="C294" s="15"/>
      <c r="D294"/>
      <c r="E294"/>
      <c r="F294" s="15"/>
      <c r="G294"/>
      <c r="H294"/>
      <c r="I294"/>
      <c r="J294"/>
    </row>
    <row r="295" spans="1:10" x14ac:dyDescent="0.25">
      <c r="A295" s="230"/>
      <c r="B295" s="231"/>
      <c r="C295" s="15"/>
      <c r="D295"/>
      <c r="E295"/>
      <c r="F295" s="15"/>
      <c r="G295"/>
      <c r="H295"/>
      <c r="I295"/>
      <c r="J295"/>
    </row>
    <row r="296" spans="1:10" x14ac:dyDescent="0.25">
      <c r="A296" s="230"/>
      <c r="B296" s="231"/>
      <c r="C296" s="15"/>
      <c r="D296"/>
      <c r="E296"/>
      <c r="F296" s="15"/>
      <c r="G296"/>
      <c r="H296"/>
      <c r="I296"/>
      <c r="J296"/>
    </row>
    <row r="297" spans="1:10" x14ac:dyDescent="0.25">
      <c r="A297" s="230"/>
      <c r="B297" s="231"/>
      <c r="C297" s="15"/>
      <c r="D297"/>
      <c r="E297"/>
      <c r="F297" s="15"/>
      <c r="G297"/>
      <c r="H297"/>
      <c r="I297"/>
      <c r="J297"/>
    </row>
    <row r="298" spans="1:10" x14ac:dyDescent="0.25">
      <c r="A298" s="230"/>
      <c r="B298" s="231"/>
      <c r="C298" s="15"/>
      <c r="D298"/>
      <c r="E298"/>
      <c r="F298" s="15"/>
      <c r="G298"/>
      <c r="H298"/>
      <c r="I298"/>
      <c r="J298"/>
    </row>
    <row r="299" spans="1:10" x14ac:dyDescent="0.25">
      <c r="A299" s="230"/>
      <c r="B299" s="231"/>
      <c r="C299" s="15"/>
      <c r="D299"/>
      <c r="E299"/>
      <c r="F299" s="15"/>
      <c r="G299"/>
      <c r="H299"/>
      <c r="I299"/>
      <c r="J299"/>
    </row>
    <row r="300" spans="1:10" x14ac:dyDescent="0.25">
      <c r="A300" s="230"/>
      <c r="B300" s="231"/>
      <c r="C300" s="15"/>
      <c r="D300"/>
      <c r="E300"/>
      <c r="F300" s="15"/>
      <c r="G300"/>
      <c r="H300"/>
      <c r="I300"/>
      <c r="J300"/>
    </row>
    <row r="301" spans="1:10" x14ac:dyDescent="0.25">
      <c r="A301" s="230"/>
      <c r="B301" s="231"/>
      <c r="C301" s="15"/>
      <c r="D301"/>
      <c r="E301"/>
      <c r="F301" s="15"/>
      <c r="G301"/>
      <c r="H301"/>
      <c r="I301"/>
      <c r="J301"/>
    </row>
    <row r="302" spans="1:10" x14ac:dyDescent="0.25">
      <c r="A302" s="230"/>
      <c r="B302" s="231"/>
      <c r="C302" s="15"/>
      <c r="D302"/>
      <c r="E302"/>
      <c r="F302" s="15"/>
      <c r="G302"/>
      <c r="H302"/>
      <c r="I302"/>
      <c r="J302"/>
    </row>
    <row r="303" spans="1:10" x14ac:dyDescent="0.25">
      <c r="A303" s="230"/>
      <c r="B303" s="231"/>
      <c r="C303" s="15"/>
      <c r="D303"/>
      <c r="E303"/>
      <c r="F303" s="15"/>
      <c r="G303"/>
      <c r="H303"/>
      <c r="I303"/>
      <c r="J303"/>
    </row>
    <row r="304" spans="1:10" x14ac:dyDescent="0.25">
      <c r="A304" s="230"/>
      <c r="B304" s="231"/>
      <c r="C304" s="15"/>
      <c r="D304"/>
      <c r="E304"/>
      <c r="F304" s="15"/>
      <c r="G304"/>
      <c r="H304"/>
      <c r="I304"/>
      <c r="J304"/>
    </row>
    <row r="305" spans="1:10" x14ac:dyDescent="0.25">
      <c r="A305" s="230"/>
      <c r="B305" s="231"/>
      <c r="C305" s="15"/>
      <c r="D305"/>
      <c r="E305"/>
      <c r="F305" s="15"/>
      <c r="G305"/>
      <c r="H305"/>
      <c r="I305"/>
      <c r="J305"/>
    </row>
    <row r="306" spans="1:10" x14ac:dyDescent="0.25">
      <c r="A306" s="230"/>
      <c r="B306" s="231"/>
      <c r="C306" s="15"/>
      <c r="D306"/>
      <c r="E306"/>
      <c r="F306" s="15"/>
      <c r="G306"/>
      <c r="H306"/>
      <c r="I306"/>
      <c r="J306"/>
    </row>
    <row r="307" spans="1:10" x14ac:dyDescent="0.25">
      <c r="A307" s="230"/>
      <c r="B307" s="231"/>
      <c r="C307" s="15"/>
      <c r="D307"/>
      <c r="E307"/>
      <c r="F307" s="15"/>
      <c r="G307"/>
      <c r="H307"/>
      <c r="I307"/>
      <c r="J307"/>
    </row>
    <row r="308" spans="1:10" x14ac:dyDescent="0.25">
      <c r="A308" s="230"/>
      <c r="B308" s="231"/>
      <c r="C308" s="15"/>
      <c r="D308"/>
      <c r="E308"/>
      <c r="F308" s="15"/>
      <c r="G308"/>
      <c r="H308"/>
      <c r="I308"/>
      <c r="J308"/>
    </row>
    <row r="309" spans="1:10" x14ac:dyDescent="0.25">
      <c r="A309" s="230"/>
      <c r="B309" s="231"/>
      <c r="C309" s="15"/>
      <c r="D309"/>
      <c r="E309"/>
      <c r="F309" s="15"/>
      <c r="G309"/>
      <c r="H309"/>
      <c r="I309"/>
      <c r="J309"/>
    </row>
    <row r="310" spans="1:10" x14ac:dyDescent="0.25">
      <c r="A310" s="230"/>
      <c r="B310" s="231"/>
      <c r="C310" s="15"/>
      <c r="D310"/>
      <c r="E310"/>
      <c r="F310" s="15"/>
      <c r="G310"/>
      <c r="H310"/>
      <c r="I310"/>
      <c r="J310"/>
    </row>
    <row r="311" spans="1:10" x14ac:dyDescent="0.25">
      <c r="A311" s="230"/>
      <c r="B311" s="231"/>
      <c r="C311" s="15"/>
      <c r="D311"/>
      <c r="E311"/>
      <c r="F311" s="15"/>
      <c r="G311"/>
      <c r="H311"/>
      <c r="I311"/>
      <c r="J311"/>
    </row>
    <row r="312" spans="1:10" x14ac:dyDescent="0.25">
      <c r="A312" s="230"/>
      <c r="B312" s="231"/>
      <c r="C312" s="15"/>
      <c r="D312"/>
      <c r="E312"/>
      <c r="F312" s="15"/>
      <c r="G312"/>
      <c r="H312"/>
      <c r="I312"/>
      <c r="J312"/>
    </row>
    <row r="313" spans="1:10" x14ac:dyDescent="0.25">
      <c r="A313" s="230"/>
      <c r="B313" s="231"/>
      <c r="C313" s="15"/>
      <c r="D313"/>
      <c r="E313"/>
      <c r="F313" s="15"/>
      <c r="G313"/>
      <c r="H313"/>
      <c r="I313"/>
      <c r="J313"/>
    </row>
    <row r="314" spans="1:10" x14ac:dyDescent="0.25">
      <c r="A314" s="230"/>
      <c r="B314" s="231"/>
      <c r="C314" s="15"/>
      <c r="D314"/>
      <c r="E314"/>
      <c r="F314" s="15"/>
      <c r="G314"/>
      <c r="H314"/>
      <c r="I314"/>
      <c r="J314"/>
    </row>
    <row r="315" spans="1:10" x14ac:dyDescent="0.25">
      <c r="A315" s="230"/>
      <c r="B315" s="231"/>
      <c r="C315" s="15"/>
      <c r="D315"/>
      <c r="E315"/>
      <c r="F315" s="15"/>
      <c r="G315"/>
      <c r="H315"/>
      <c r="I315"/>
      <c r="J315"/>
    </row>
    <row r="316" spans="1:10" x14ac:dyDescent="0.25">
      <c r="A316" s="230"/>
      <c r="B316" s="231"/>
      <c r="C316" s="15"/>
      <c r="D316"/>
      <c r="E316"/>
      <c r="F316" s="15"/>
      <c r="G316"/>
      <c r="H316"/>
      <c r="I316"/>
      <c r="J316"/>
    </row>
    <row r="317" spans="1:10" x14ac:dyDescent="0.25">
      <c r="A317" s="230"/>
      <c r="B317" s="231"/>
      <c r="C317" s="15"/>
      <c r="D317"/>
      <c r="E317"/>
      <c r="F317" s="15"/>
      <c r="G317"/>
      <c r="H317"/>
      <c r="I317"/>
      <c r="J317"/>
    </row>
    <row r="318" spans="1:10" x14ac:dyDescent="0.25">
      <c r="A318" s="230"/>
      <c r="B318" s="231"/>
      <c r="C318" s="15"/>
      <c r="D318"/>
      <c r="E318"/>
      <c r="F318" s="15"/>
      <c r="G318"/>
      <c r="H318"/>
      <c r="I318"/>
      <c r="J318"/>
    </row>
    <row r="319" spans="1:10" x14ac:dyDescent="0.25">
      <c r="A319" s="230"/>
      <c r="B319" s="231"/>
      <c r="C319" s="15"/>
      <c r="D319"/>
      <c r="E319"/>
      <c r="F319" s="15"/>
      <c r="G319"/>
      <c r="H319"/>
      <c r="I319"/>
      <c r="J319"/>
    </row>
    <row r="320" spans="1:10" x14ac:dyDescent="0.25">
      <c r="A320" s="230"/>
      <c r="B320" s="231"/>
      <c r="C320" s="15"/>
      <c r="D320"/>
      <c r="E320"/>
      <c r="F320" s="15"/>
      <c r="G320"/>
      <c r="H320"/>
      <c r="I320"/>
      <c r="J320"/>
    </row>
    <row r="321" spans="1:10" x14ac:dyDescent="0.25">
      <c r="A321" s="230"/>
      <c r="B321" s="231"/>
      <c r="C321" s="15"/>
      <c r="D321"/>
      <c r="E321"/>
      <c r="F321" s="15"/>
      <c r="G321"/>
      <c r="H321"/>
      <c r="I321"/>
      <c r="J321"/>
    </row>
    <row r="322" spans="1:10" x14ac:dyDescent="0.25">
      <c r="A322" s="230"/>
      <c r="B322" s="231"/>
      <c r="C322" s="15"/>
      <c r="D322"/>
      <c r="E322"/>
      <c r="F322" s="15"/>
      <c r="G322"/>
      <c r="H322"/>
      <c r="I322"/>
      <c r="J322"/>
    </row>
    <row r="323" spans="1:10" x14ac:dyDescent="0.25">
      <c r="A323" s="230"/>
      <c r="B323" s="231"/>
      <c r="C323" s="15"/>
      <c r="D323"/>
      <c r="E323"/>
      <c r="F323" s="15"/>
      <c r="G323"/>
      <c r="H323"/>
      <c r="I323"/>
      <c r="J323"/>
    </row>
    <row r="324" spans="1:10" x14ac:dyDescent="0.25">
      <c r="A324" s="230"/>
      <c r="B324" s="231"/>
      <c r="C324" s="15"/>
      <c r="D324"/>
      <c r="E324"/>
      <c r="F324" s="15"/>
      <c r="G324"/>
      <c r="H324"/>
      <c r="I324"/>
      <c r="J324"/>
    </row>
    <row r="325" spans="1:10" x14ac:dyDescent="0.25">
      <c r="A325" s="230"/>
      <c r="B325" s="231"/>
      <c r="C325" s="15"/>
      <c r="D325"/>
      <c r="E325"/>
      <c r="F325" s="15"/>
      <c r="G325"/>
      <c r="H325"/>
      <c r="I325"/>
      <c r="J325"/>
    </row>
    <row r="326" spans="1:10" x14ac:dyDescent="0.25">
      <c r="A326" s="230"/>
      <c r="B326" s="231"/>
      <c r="C326" s="15"/>
      <c r="D326"/>
      <c r="E326"/>
      <c r="F326" s="15"/>
      <c r="G326"/>
      <c r="H326"/>
      <c r="I326"/>
      <c r="J326"/>
    </row>
    <row r="327" spans="1:10" x14ac:dyDescent="0.25">
      <c r="A327" s="230"/>
      <c r="B327" s="231"/>
      <c r="C327" s="15"/>
      <c r="D327"/>
      <c r="E327"/>
      <c r="F327" s="15"/>
      <c r="G327"/>
      <c r="H327"/>
      <c r="I327"/>
      <c r="J327"/>
    </row>
    <row r="328" spans="1:10" x14ac:dyDescent="0.25">
      <c r="A328" s="230"/>
      <c r="B328" s="231"/>
      <c r="C328" s="15"/>
      <c r="D328"/>
      <c r="E328"/>
      <c r="F328" s="15"/>
      <c r="G328"/>
      <c r="H328"/>
      <c r="I328"/>
      <c r="J328"/>
    </row>
    <row r="329" spans="1:10" x14ac:dyDescent="0.25">
      <c r="A329" s="230"/>
      <c r="B329" s="231"/>
      <c r="C329" s="15"/>
      <c r="D329"/>
      <c r="E329"/>
      <c r="F329" s="15"/>
      <c r="G329"/>
      <c r="H329"/>
      <c r="I329"/>
      <c r="J329"/>
    </row>
    <row r="330" spans="1:10" x14ac:dyDescent="0.25">
      <c r="A330" s="230"/>
      <c r="B330" s="231"/>
      <c r="C330" s="15"/>
      <c r="D330"/>
      <c r="E330"/>
      <c r="F330" s="15"/>
      <c r="G330"/>
      <c r="H330"/>
      <c r="I330"/>
      <c r="J330"/>
    </row>
    <row r="331" spans="1:10" x14ac:dyDescent="0.25">
      <c r="A331" s="230"/>
      <c r="B331" s="231"/>
      <c r="C331" s="15"/>
      <c r="D331"/>
      <c r="E331"/>
      <c r="F331" s="15"/>
      <c r="G331"/>
      <c r="H331"/>
      <c r="I331"/>
      <c r="J331"/>
    </row>
    <row r="332" spans="1:10" x14ac:dyDescent="0.25">
      <c r="A332" s="230"/>
      <c r="B332" s="231"/>
      <c r="C332" s="15"/>
      <c r="D332"/>
      <c r="E332"/>
      <c r="F332" s="15"/>
      <c r="G332"/>
      <c r="H332"/>
      <c r="I332"/>
      <c r="J332"/>
    </row>
    <row r="333" spans="1:10" x14ac:dyDescent="0.25">
      <c r="A333" s="230"/>
      <c r="B333" s="231"/>
      <c r="C333" s="15"/>
      <c r="D333"/>
      <c r="E333"/>
      <c r="F333" s="15"/>
      <c r="G333"/>
      <c r="H333"/>
      <c r="I333"/>
      <c r="J333"/>
    </row>
    <row r="334" spans="1:10" x14ac:dyDescent="0.25">
      <c r="A334" s="230"/>
      <c r="B334" s="231"/>
      <c r="C334" s="15"/>
      <c r="D334"/>
      <c r="E334"/>
      <c r="F334" s="15"/>
      <c r="G334"/>
      <c r="H334"/>
      <c r="I334"/>
      <c r="J334"/>
    </row>
    <row r="335" spans="1:10" x14ac:dyDescent="0.25">
      <c r="A335" s="230"/>
      <c r="B335" s="231"/>
      <c r="C335" s="15"/>
      <c r="D335"/>
      <c r="E335"/>
      <c r="F335" s="15"/>
      <c r="G335"/>
      <c r="H335"/>
      <c r="I335"/>
      <c r="J335"/>
    </row>
    <row r="336" spans="1:10" x14ac:dyDescent="0.25">
      <c r="A336" s="230"/>
      <c r="B336" s="231"/>
      <c r="C336" s="15"/>
      <c r="D336"/>
      <c r="E336"/>
      <c r="F336" s="15"/>
      <c r="G336"/>
      <c r="H336"/>
      <c r="I336"/>
      <c r="J336"/>
    </row>
    <row r="337" spans="1:10" x14ac:dyDescent="0.25">
      <c r="A337" s="230"/>
      <c r="B337" s="231"/>
      <c r="C337" s="15"/>
      <c r="D337"/>
      <c r="E337"/>
      <c r="F337" s="15"/>
      <c r="G337"/>
      <c r="H337"/>
      <c r="I337"/>
      <c r="J337"/>
    </row>
    <row r="338" spans="1:10" x14ac:dyDescent="0.25">
      <c r="A338" s="230"/>
      <c r="B338" s="231"/>
      <c r="C338" s="15"/>
      <c r="D338"/>
      <c r="E338"/>
      <c r="F338" s="15"/>
      <c r="G338"/>
      <c r="H338"/>
      <c r="I338"/>
      <c r="J338"/>
    </row>
    <row r="339" spans="1:10" x14ac:dyDescent="0.25">
      <c r="A339" s="230"/>
      <c r="B339" s="231"/>
      <c r="C339" s="15"/>
      <c r="D339"/>
      <c r="E339"/>
      <c r="F339" s="15"/>
      <c r="G339"/>
      <c r="H339"/>
      <c r="I339"/>
      <c r="J339"/>
    </row>
    <row r="340" spans="1:10" x14ac:dyDescent="0.25">
      <c r="A340" s="230"/>
      <c r="B340" s="231"/>
      <c r="C340" s="15"/>
      <c r="D340"/>
      <c r="E340"/>
      <c r="F340" s="15"/>
      <c r="G340"/>
      <c r="H340"/>
      <c r="I340"/>
      <c r="J340"/>
    </row>
    <row r="341" spans="1:10" x14ac:dyDescent="0.25">
      <c r="A341" s="230"/>
      <c r="B341" s="231"/>
      <c r="C341" s="15"/>
      <c r="D341"/>
      <c r="E341"/>
      <c r="F341" s="15"/>
      <c r="G341"/>
      <c r="H341"/>
      <c r="I341"/>
      <c r="J341"/>
    </row>
    <row r="342" spans="1:10" x14ac:dyDescent="0.25">
      <c r="A342" s="230"/>
      <c r="B342" s="231"/>
      <c r="C342" s="15"/>
      <c r="D342"/>
      <c r="E342"/>
      <c r="F342" s="15"/>
      <c r="G342"/>
      <c r="H342"/>
      <c r="I342"/>
      <c r="J342"/>
    </row>
    <row r="343" spans="1:10" x14ac:dyDescent="0.25">
      <c r="A343" s="230"/>
      <c r="B343" s="231"/>
      <c r="C343" s="15"/>
      <c r="D343"/>
      <c r="E343"/>
      <c r="F343" s="15"/>
      <c r="G343"/>
      <c r="H343"/>
      <c r="I343"/>
      <c r="J343"/>
    </row>
    <row r="344" spans="1:10" x14ac:dyDescent="0.25">
      <c r="A344" s="230"/>
      <c r="B344" s="231"/>
      <c r="C344" s="15"/>
      <c r="D344"/>
      <c r="E344"/>
      <c r="F344" s="15"/>
      <c r="G344"/>
      <c r="H344"/>
      <c r="I344"/>
      <c r="J344"/>
    </row>
    <row r="345" spans="1:10" x14ac:dyDescent="0.25">
      <c r="A345" s="230"/>
      <c r="B345" s="231"/>
      <c r="C345" s="15"/>
      <c r="D345"/>
      <c r="E345"/>
      <c r="F345" s="15"/>
      <c r="G345"/>
      <c r="H345"/>
      <c r="I345"/>
      <c r="J345"/>
    </row>
    <row r="346" spans="1:10" x14ac:dyDescent="0.25">
      <c r="A346" s="230"/>
      <c r="B346" s="231"/>
      <c r="C346" s="15"/>
      <c r="D346"/>
      <c r="E346"/>
      <c r="F346" s="15"/>
      <c r="G346"/>
      <c r="H346"/>
      <c r="I346"/>
      <c r="J346"/>
    </row>
    <row r="347" spans="1:10" x14ac:dyDescent="0.25">
      <c r="A347" s="230"/>
      <c r="B347" s="231"/>
      <c r="C347" s="15"/>
      <c r="D347"/>
      <c r="E347"/>
      <c r="F347" s="15"/>
      <c r="G347"/>
      <c r="H347"/>
      <c r="I347"/>
      <c r="J347"/>
    </row>
    <row r="348" spans="1:10" x14ac:dyDescent="0.25">
      <c r="A348" s="230"/>
      <c r="B348" s="231"/>
      <c r="C348" s="15"/>
      <c r="D348"/>
      <c r="E348"/>
      <c r="F348" s="15"/>
      <c r="G348"/>
      <c r="H348"/>
      <c r="I348"/>
      <c r="J348"/>
    </row>
    <row r="349" spans="1:10" x14ac:dyDescent="0.25">
      <c r="A349" s="230"/>
      <c r="B349" s="231"/>
      <c r="C349" s="15"/>
      <c r="D349"/>
      <c r="E349"/>
      <c r="F349" s="15"/>
      <c r="G349"/>
      <c r="H349"/>
      <c r="I349"/>
      <c r="J349"/>
    </row>
    <row r="350" spans="1:10" x14ac:dyDescent="0.25">
      <c r="A350" s="230"/>
      <c r="B350" s="231"/>
      <c r="C350" s="15"/>
      <c r="D350"/>
      <c r="E350"/>
      <c r="F350" s="15"/>
      <c r="G350"/>
      <c r="H350"/>
      <c r="I350"/>
      <c r="J350"/>
    </row>
    <row r="351" spans="1:10" x14ac:dyDescent="0.25">
      <c r="A351" s="230"/>
      <c r="B351" s="231"/>
      <c r="C351" s="15"/>
      <c r="D351"/>
      <c r="E351"/>
      <c r="F351" s="15"/>
      <c r="G351"/>
      <c r="H351"/>
      <c r="I351"/>
      <c r="J351"/>
    </row>
    <row r="352" spans="1:10" x14ac:dyDescent="0.25">
      <c r="A352" s="230"/>
      <c r="B352" s="231"/>
      <c r="C352" s="15"/>
      <c r="D352"/>
      <c r="E352"/>
      <c r="F352" s="15"/>
      <c r="G352"/>
      <c r="H352"/>
      <c r="I352"/>
      <c r="J352"/>
    </row>
    <row r="353" spans="1:10" x14ac:dyDescent="0.25">
      <c r="A353" s="230"/>
      <c r="B353" s="231"/>
      <c r="C353" s="15"/>
      <c r="D353"/>
      <c r="E353"/>
      <c r="F353" s="15"/>
      <c r="G353"/>
      <c r="H353"/>
      <c r="I353"/>
      <c r="J353"/>
    </row>
    <row r="354" spans="1:10" x14ac:dyDescent="0.25">
      <c r="A354" s="230"/>
      <c r="B354" s="231"/>
      <c r="C354" s="15"/>
      <c r="D354"/>
      <c r="E354"/>
      <c r="F354" s="15"/>
      <c r="G354"/>
      <c r="H354"/>
      <c r="I354"/>
      <c r="J354"/>
    </row>
    <row r="355" spans="1:10" x14ac:dyDescent="0.25">
      <c r="A355" s="230"/>
      <c r="B355" s="231"/>
      <c r="C355" s="15"/>
      <c r="D355"/>
      <c r="E355"/>
      <c r="F355" s="15"/>
      <c r="G355"/>
      <c r="H355"/>
      <c r="I355"/>
      <c r="J355"/>
    </row>
    <row r="356" spans="1:10" x14ac:dyDescent="0.25">
      <c r="A356" s="230"/>
      <c r="B356" s="231"/>
      <c r="C356" s="15"/>
      <c r="D356"/>
      <c r="E356"/>
      <c r="F356" s="15"/>
      <c r="G356"/>
      <c r="H356"/>
      <c r="I356"/>
      <c r="J356"/>
    </row>
    <row r="357" spans="1:10" x14ac:dyDescent="0.25">
      <c r="A357" s="230"/>
      <c r="B357" s="231"/>
      <c r="C357" s="15"/>
      <c r="D357"/>
      <c r="E357"/>
      <c r="F357" s="15"/>
      <c r="G357"/>
      <c r="H357"/>
      <c r="I357"/>
      <c r="J357"/>
    </row>
    <row r="358" spans="1:10" x14ac:dyDescent="0.25">
      <c r="A358" s="230"/>
      <c r="B358" s="231"/>
      <c r="C358" s="15"/>
      <c r="D358"/>
      <c r="E358"/>
      <c r="F358" s="15"/>
      <c r="G358"/>
      <c r="H358"/>
      <c r="I358"/>
      <c r="J358"/>
    </row>
    <row r="359" spans="1:10" x14ac:dyDescent="0.25">
      <c r="A359" s="230"/>
      <c r="B359" s="231"/>
      <c r="C359" s="15"/>
      <c r="D359"/>
      <c r="E359"/>
      <c r="F359" s="15"/>
      <c r="G359"/>
      <c r="H359"/>
      <c r="I359"/>
      <c r="J359"/>
    </row>
    <row r="360" spans="1:10" x14ac:dyDescent="0.25">
      <c r="A360" s="230"/>
      <c r="B360" s="231"/>
      <c r="C360" s="15"/>
      <c r="D360"/>
      <c r="E360"/>
      <c r="F360" s="15"/>
      <c r="G360"/>
      <c r="H360"/>
      <c r="I360"/>
      <c r="J360"/>
    </row>
    <row r="361" spans="1:10" x14ac:dyDescent="0.25">
      <c r="A361" s="230"/>
      <c r="B361" s="231"/>
      <c r="C361" s="15"/>
      <c r="D361"/>
      <c r="E361"/>
      <c r="F361" s="15"/>
      <c r="G361"/>
      <c r="H361"/>
      <c r="I361"/>
      <c r="J361"/>
    </row>
    <row r="362" spans="1:10" x14ac:dyDescent="0.25">
      <c r="A362" s="230"/>
      <c r="B362" s="231"/>
      <c r="C362" s="15"/>
      <c r="D362"/>
      <c r="E362"/>
      <c r="F362" s="15"/>
      <c r="G362"/>
      <c r="H362"/>
      <c r="I362"/>
      <c r="J362"/>
    </row>
    <row r="363" spans="1:10" x14ac:dyDescent="0.25">
      <c r="A363" s="230"/>
      <c r="B363" s="231"/>
      <c r="C363" s="15"/>
      <c r="D363"/>
      <c r="E363"/>
      <c r="F363" s="15"/>
      <c r="G363"/>
      <c r="H363"/>
      <c r="I363"/>
      <c r="J363"/>
    </row>
    <row r="364" spans="1:10" x14ac:dyDescent="0.25">
      <c r="A364" s="230"/>
      <c r="B364" s="231"/>
      <c r="C364" s="15"/>
      <c r="D364"/>
      <c r="E364"/>
      <c r="F364" s="15"/>
      <c r="G364"/>
      <c r="H364"/>
      <c r="I364"/>
      <c r="J364"/>
    </row>
    <row r="365" spans="1:10" x14ac:dyDescent="0.25">
      <c r="A365" s="230"/>
      <c r="B365" s="231"/>
      <c r="C365" s="15"/>
      <c r="D365"/>
      <c r="E365"/>
      <c r="F365" s="15"/>
      <c r="G365"/>
      <c r="H365"/>
      <c r="I365"/>
      <c r="J365"/>
    </row>
    <row r="366" spans="1:10" x14ac:dyDescent="0.25">
      <c r="A366" s="230"/>
      <c r="B366" s="231"/>
      <c r="C366" s="15"/>
      <c r="D366"/>
      <c r="E366"/>
      <c r="F366" s="15"/>
      <c r="G366"/>
      <c r="H366"/>
      <c r="I366"/>
      <c r="J366"/>
    </row>
    <row r="367" spans="1:10" x14ac:dyDescent="0.25">
      <c r="A367" s="230"/>
      <c r="B367" s="231"/>
      <c r="C367" s="15"/>
      <c r="D367"/>
      <c r="E367"/>
      <c r="F367" s="15"/>
      <c r="G367"/>
      <c r="H367"/>
      <c r="I367"/>
      <c r="J367"/>
    </row>
    <row r="368" spans="1:10" x14ac:dyDescent="0.25">
      <c r="A368" s="230"/>
      <c r="B368" s="231"/>
      <c r="C368" s="15"/>
      <c r="D368"/>
      <c r="E368"/>
      <c r="F368" s="15"/>
      <c r="G368"/>
      <c r="H368"/>
      <c r="I368"/>
      <c r="J368"/>
    </row>
    <row r="369" spans="1:10" x14ac:dyDescent="0.25">
      <c r="A369" s="230"/>
      <c r="B369" s="231"/>
      <c r="C369" s="15"/>
      <c r="D369"/>
      <c r="E369"/>
      <c r="F369" s="15"/>
      <c r="G369"/>
      <c r="H369"/>
      <c r="I369"/>
      <c r="J369"/>
    </row>
    <row r="370" spans="1:10" x14ac:dyDescent="0.25">
      <c r="A370" s="230"/>
      <c r="B370" s="231"/>
      <c r="C370" s="15"/>
      <c r="D370"/>
      <c r="E370"/>
      <c r="F370" s="15"/>
      <c r="G370"/>
      <c r="H370"/>
      <c r="I370"/>
      <c r="J370"/>
    </row>
    <row r="371" spans="1:10" x14ac:dyDescent="0.25">
      <c r="A371" s="230"/>
      <c r="B371" s="231"/>
      <c r="C371" s="15"/>
      <c r="D371"/>
      <c r="E371"/>
      <c r="F371" s="15"/>
      <c r="G371"/>
      <c r="H371"/>
      <c r="I371"/>
      <c r="J371"/>
    </row>
    <row r="372" spans="1:10" x14ac:dyDescent="0.25">
      <c r="A372" s="230"/>
      <c r="B372" s="231"/>
      <c r="C372" s="15"/>
      <c r="D372"/>
      <c r="E372"/>
      <c r="F372" s="15"/>
      <c r="G372"/>
      <c r="H372"/>
      <c r="I372"/>
      <c r="J372"/>
    </row>
    <row r="373" spans="1:10" x14ac:dyDescent="0.25">
      <c r="A373" s="230"/>
      <c r="B373" s="231"/>
      <c r="C373" s="15"/>
      <c r="D373"/>
      <c r="E373"/>
      <c r="F373" s="15"/>
      <c r="G373"/>
      <c r="H373"/>
      <c r="I373"/>
      <c r="J373"/>
    </row>
    <row r="374" spans="1:10" x14ac:dyDescent="0.25">
      <c r="A374" s="230"/>
      <c r="B374" s="231"/>
      <c r="C374" s="15"/>
      <c r="D374"/>
      <c r="E374"/>
      <c r="F374" s="15"/>
      <c r="G374"/>
      <c r="H374"/>
      <c r="I374"/>
      <c r="J374"/>
    </row>
    <row r="375" spans="1:10" x14ac:dyDescent="0.25">
      <c r="A375" s="230"/>
      <c r="B375" s="231"/>
      <c r="C375" s="15"/>
      <c r="D375"/>
      <c r="E375"/>
      <c r="F375" s="15"/>
      <c r="G375"/>
      <c r="H375"/>
      <c r="I375"/>
      <c r="J375"/>
    </row>
    <row r="376" spans="1:10" x14ac:dyDescent="0.25">
      <c r="A376" s="230"/>
      <c r="B376" s="231"/>
      <c r="C376" s="15"/>
      <c r="D376"/>
      <c r="E376"/>
      <c r="F376" s="15"/>
      <c r="G376"/>
      <c r="H376"/>
      <c r="I376"/>
      <c r="J376"/>
    </row>
    <row r="377" spans="1:10" x14ac:dyDescent="0.25">
      <c r="A377" s="230"/>
      <c r="B377" s="231"/>
      <c r="C377" s="15"/>
      <c r="D377"/>
      <c r="E377"/>
      <c r="F377" s="15"/>
      <c r="G377"/>
      <c r="H377"/>
      <c r="I377"/>
      <c r="J377"/>
    </row>
    <row r="378" spans="1:10" x14ac:dyDescent="0.25">
      <c r="A378" s="230"/>
      <c r="B378" s="231"/>
      <c r="C378" s="15"/>
      <c r="D378"/>
      <c r="E378"/>
      <c r="F378" s="15"/>
      <c r="G378"/>
      <c r="H378"/>
      <c r="I378"/>
      <c r="J378"/>
    </row>
    <row r="379" spans="1:10" x14ac:dyDescent="0.25">
      <c r="A379" s="230"/>
      <c r="B379" s="231"/>
      <c r="C379" s="15"/>
      <c r="D379"/>
      <c r="E379"/>
      <c r="F379" s="15"/>
      <c r="G379"/>
      <c r="H379"/>
      <c r="I379"/>
      <c r="J379"/>
    </row>
    <row r="380" spans="1:10" x14ac:dyDescent="0.25">
      <c r="A380" s="230"/>
      <c r="B380" s="231"/>
      <c r="C380" s="15"/>
      <c r="D380"/>
      <c r="E380"/>
      <c r="F380" s="15"/>
      <c r="G380"/>
      <c r="H380"/>
      <c r="I380"/>
      <c r="J380"/>
    </row>
    <row r="381" spans="1:10" x14ac:dyDescent="0.25">
      <c r="A381" s="230"/>
      <c r="B381" s="231"/>
      <c r="C381" s="15"/>
      <c r="D381"/>
      <c r="E381"/>
      <c r="F381" s="15"/>
      <c r="G381"/>
      <c r="H381"/>
      <c r="I381"/>
      <c r="J381"/>
    </row>
    <row r="382" spans="1:10" x14ac:dyDescent="0.25">
      <c r="A382" s="230"/>
      <c r="B382" s="231"/>
      <c r="C382" s="15"/>
      <c r="D382"/>
      <c r="E382"/>
      <c r="F382" s="15"/>
      <c r="G382"/>
      <c r="H382"/>
      <c r="I382"/>
      <c r="J382"/>
    </row>
    <row r="383" spans="1:10" x14ac:dyDescent="0.25">
      <c r="A383" s="230"/>
      <c r="B383" s="231"/>
      <c r="C383" s="15"/>
      <c r="D383"/>
      <c r="E383"/>
      <c r="F383" s="15"/>
      <c r="G383"/>
      <c r="H383"/>
      <c r="I383"/>
      <c r="J383"/>
    </row>
    <row r="384" spans="1:10" x14ac:dyDescent="0.25">
      <c r="A384" s="230"/>
      <c r="B384" s="231"/>
      <c r="C384" s="15"/>
      <c r="D384"/>
      <c r="E384"/>
      <c r="F384" s="15"/>
      <c r="G384"/>
      <c r="H384"/>
      <c r="I384"/>
      <c r="J384"/>
    </row>
    <row r="385" spans="1:10" x14ac:dyDescent="0.25">
      <c r="A385" s="230"/>
      <c r="B385" s="231"/>
      <c r="C385" s="15"/>
      <c r="D385"/>
      <c r="E385"/>
      <c r="F385" s="15"/>
      <c r="G385"/>
      <c r="H385"/>
      <c r="I385"/>
      <c r="J385"/>
    </row>
    <row r="386" spans="1:10" x14ac:dyDescent="0.25">
      <c r="A386" s="230"/>
      <c r="B386" s="231"/>
      <c r="C386" s="15"/>
      <c r="D386"/>
      <c r="E386"/>
      <c r="F386" s="15"/>
      <c r="G386"/>
      <c r="H386"/>
      <c r="I386"/>
      <c r="J386"/>
    </row>
    <row r="387" spans="1:10" x14ac:dyDescent="0.25">
      <c r="A387" s="230"/>
      <c r="B387" s="231"/>
      <c r="C387" s="15"/>
      <c r="D387"/>
      <c r="E387"/>
      <c r="F387" s="15"/>
      <c r="G387"/>
      <c r="H387"/>
      <c r="I387"/>
      <c r="J387"/>
    </row>
    <row r="388" spans="1:10" x14ac:dyDescent="0.25">
      <c r="A388" s="230"/>
      <c r="B388" s="231"/>
      <c r="C388" s="15"/>
      <c r="D388"/>
      <c r="E388"/>
      <c r="F388" s="15"/>
      <c r="G388"/>
      <c r="H388"/>
      <c r="I388"/>
      <c r="J388"/>
    </row>
    <row r="389" spans="1:10" x14ac:dyDescent="0.25">
      <c r="A389" s="230"/>
      <c r="B389" s="231"/>
      <c r="C389" s="15"/>
      <c r="D389"/>
      <c r="E389"/>
      <c r="F389" s="15"/>
      <c r="G389"/>
      <c r="H389"/>
      <c r="I389"/>
      <c r="J389"/>
    </row>
    <row r="390" spans="1:10" x14ac:dyDescent="0.25">
      <c r="A390" s="230"/>
      <c r="B390" s="231"/>
      <c r="C390" s="15"/>
      <c r="D390"/>
      <c r="E390"/>
      <c r="F390" s="15"/>
      <c r="G390"/>
      <c r="H390"/>
      <c r="I390"/>
      <c r="J390"/>
    </row>
    <row r="391" spans="1:10" x14ac:dyDescent="0.25">
      <c r="A391" s="230"/>
      <c r="B391" s="231"/>
      <c r="C391" s="15"/>
      <c r="D391"/>
      <c r="E391"/>
      <c r="F391" s="15"/>
      <c r="G391"/>
      <c r="H391"/>
      <c r="I391"/>
      <c r="J391"/>
    </row>
    <row r="392" spans="1:10" x14ac:dyDescent="0.25">
      <c r="A392" s="230"/>
      <c r="B392" s="231"/>
      <c r="C392" s="15"/>
      <c r="D392"/>
      <c r="E392"/>
      <c r="F392" s="15"/>
      <c r="G392"/>
      <c r="H392"/>
      <c r="I392"/>
      <c r="J392"/>
    </row>
    <row r="393" spans="1:10" x14ac:dyDescent="0.25">
      <c r="A393" s="230"/>
      <c r="B393" s="231"/>
      <c r="C393" s="15"/>
      <c r="D393"/>
      <c r="E393"/>
      <c r="F393" s="15"/>
      <c r="G393"/>
      <c r="H393"/>
      <c r="I393"/>
      <c r="J393"/>
    </row>
    <row r="394" spans="1:10" x14ac:dyDescent="0.25">
      <c r="A394" s="230"/>
      <c r="B394" s="231"/>
      <c r="C394" s="15"/>
      <c r="D394"/>
      <c r="E394"/>
      <c r="F394" s="15"/>
      <c r="G394"/>
      <c r="H394"/>
      <c r="I394"/>
      <c r="J394"/>
    </row>
    <row r="395" spans="1:10" x14ac:dyDescent="0.25">
      <c r="A395" s="230"/>
      <c r="B395" s="231"/>
      <c r="C395" s="15"/>
      <c r="D395"/>
      <c r="E395"/>
      <c r="F395" s="15"/>
      <c r="G395"/>
      <c r="H395"/>
      <c r="I395"/>
      <c r="J395"/>
    </row>
    <row r="396" spans="1:10" x14ac:dyDescent="0.25">
      <c r="A396" s="230"/>
      <c r="B396" s="231"/>
      <c r="C396" s="15"/>
      <c r="D396"/>
      <c r="E396"/>
      <c r="F396" s="15"/>
      <c r="G396"/>
      <c r="H396"/>
      <c r="I396"/>
      <c r="J396"/>
    </row>
    <row r="397" spans="1:10" x14ac:dyDescent="0.25">
      <c r="A397" s="230"/>
      <c r="B397" s="231"/>
      <c r="C397" s="15"/>
      <c r="D397"/>
      <c r="E397"/>
      <c r="F397" s="15"/>
      <c r="G397"/>
      <c r="H397"/>
      <c r="I397"/>
      <c r="J397"/>
    </row>
    <row r="398" spans="1:10" x14ac:dyDescent="0.25">
      <c r="A398" s="230"/>
      <c r="B398" s="231"/>
      <c r="C398" s="15"/>
      <c r="D398"/>
      <c r="E398"/>
      <c r="F398" s="15"/>
      <c r="G398"/>
      <c r="H398"/>
      <c r="I398"/>
      <c r="J398"/>
    </row>
    <row r="399" spans="1:10" x14ac:dyDescent="0.25">
      <c r="A399" s="230"/>
      <c r="B399" s="231"/>
      <c r="C399" s="15"/>
      <c r="D399"/>
      <c r="E399"/>
      <c r="F399" s="15"/>
      <c r="G399"/>
      <c r="H399"/>
      <c r="I399"/>
      <c r="J399"/>
    </row>
    <row r="400" spans="1:10" x14ac:dyDescent="0.25">
      <c r="A400" s="230"/>
      <c r="B400" s="231"/>
      <c r="C400" s="15"/>
      <c r="D400"/>
      <c r="E400"/>
      <c r="F400" s="15"/>
      <c r="G400"/>
      <c r="H400"/>
      <c r="I400"/>
      <c r="J400"/>
    </row>
    <row r="401" spans="1:10" x14ac:dyDescent="0.25">
      <c r="A401" s="230"/>
      <c r="B401" s="231"/>
      <c r="C401" s="15"/>
      <c r="D401"/>
      <c r="E401"/>
      <c r="F401" s="15"/>
      <c r="G401"/>
      <c r="H401"/>
      <c r="I401"/>
      <c r="J401"/>
    </row>
    <row r="402" spans="1:10" x14ac:dyDescent="0.25">
      <c r="A402" s="230"/>
      <c r="B402" s="231"/>
      <c r="C402" s="15"/>
      <c r="D402"/>
      <c r="E402"/>
      <c r="F402" s="15"/>
      <c r="G402"/>
      <c r="H402"/>
      <c r="I402"/>
      <c r="J402"/>
    </row>
    <row r="403" spans="1:10" x14ac:dyDescent="0.25">
      <c r="A403" s="230"/>
      <c r="B403" s="231"/>
      <c r="C403" s="15"/>
      <c r="D403"/>
      <c r="E403"/>
      <c r="F403" s="15"/>
      <c r="G403"/>
      <c r="H403"/>
      <c r="I403"/>
      <c r="J403"/>
    </row>
    <row r="404" spans="1:10" x14ac:dyDescent="0.25">
      <c r="A404" s="230"/>
      <c r="B404" s="231"/>
      <c r="C404" s="15"/>
      <c r="D404"/>
      <c r="E404"/>
      <c r="F404" s="15"/>
      <c r="G404"/>
      <c r="H404"/>
      <c r="I404"/>
      <c r="J404"/>
    </row>
    <row r="405" spans="1:10" x14ac:dyDescent="0.25">
      <c r="A405" s="230"/>
      <c r="B405" s="231"/>
      <c r="C405" s="15"/>
      <c r="D405"/>
      <c r="E405"/>
      <c r="F405" s="15"/>
      <c r="G405"/>
      <c r="H405"/>
      <c r="I405"/>
      <c r="J405"/>
    </row>
    <row r="406" spans="1:10" x14ac:dyDescent="0.25">
      <c r="A406" s="230"/>
      <c r="B406" s="231"/>
      <c r="C406" s="15"/>
      <c r="D406"/>
      <c r="E406"/>
      <c r="F406" s="15"/>
      <c r="G406"/>
      <c r="H406"/>
      <c r="I406"/>
      <c r="J406"/>
    </row>
    <row r="407" spans="1:10" x14ac:dyDescent="0.25">
      <c r="A407" s="230"/>
      <c r="B407" s="231"/>
      <c r="C407" s="15"/>
      <c r="D407"/>
      <c r="E407"/>
      <c r="F407" s="15"/>
      <c r="G407"/>
      <c r="H407"/>
      <c r="I407"/>
      <c r="J407"/>
    </row>
    <row r="408" spans="1:10" x14ac:dyDescent="0.25">
      <c r="A408" s="230"/>
      <c r="B408" s="231"/>
      <c r="C408" s="15"/>
      <c r="D408"/>
      <c r="E408"/>
      <c r="F408" s="15"/>
      <c r="G408"/>
      <c r="H408"/>
      <c r="I408"/>
      <c r="J408"/>
    </row>
    <row r="409" spans="1:10" x14ac:dyDescent="0.25">
      <c r="A409" s="230"/>
      <c r="B409" s="231"/>
      <c r="C409" s="15"/>
      <c r="D409"/>
      <c r="E409"/>
      <c r="F409" s="15"/>
      <c r="G409"/>
      <c r="H409"/>
      <c r="I409"/>
      <c r="J409"/>
    </row>
    <row r="410" spans="1:10" x14ac:dyDescent="0.25">
      <c r="A410" s="230"/>
      <c r="B410" s="231"/>
      <c r="C410" s="15"/>
      <c r="D410"/>
      <c r="E410"/>
      <c r="F410" s="15"/>
      <c r="G410"/>
      <c r="H410"/>
      <c r="I410"/>
      <c r="J410"/>
    </row>
    <row r="411" spans="1:10" x14ac:dyDescent="0.25">
      <c r="A411" s="230"/>
      <c r="B411" s="231"/>
      <c r="C411" s="15"/>
      <c r="D411"/>
      <c r="E411"/>
      <c r="F411" s="15"/>
      <c r="G411"/>
      <c r="H411"/>
      <c r="I411"/>
      <c r="J411"/>
    </row>
    <row r="412" spans="1:10" x14ac:dyDescent="0.25">
      <c r="A412" s="230"/>
      <c r="B412" s="231"/>
      <c r="C412" s="15"/>
      <c r="D412"/>
      <c r="E412"/>
      <c r="F412" s="15"/>
      <c r="G412"/>
      <c r="H412"/>
      <c r="I412"/>
      <c r="J412"/>
    </row>
    <row r="413" spans="1:10" x14ac:dyDescent="0.25">
      <c r="A413" s="230"/>
      <c r="B413" s="231"/>
      <c r="C413" s="15"/>
      <c r="D413"/>
      <c r="E413"/>
      <c r="F413" s="15"/>
      <c r="G413"/>
      <c r="H413"/>
      <c r="I413"/>
      <c r="J413"/>
    </row>
    <row r="414" spans="1:10" x14ac:dyDescent="0.25">
      <c r="A414" s="230"/>
      <c r="B414" s="231"/>
      <c r="C414" s="15"/>
      <c r="D414"/>
      <c r="E414"/>
      <c r="F414" s="15"/>
      <c r="G414"/>
      <c r="H414"/>
      <c r="I414"/>
      <c r="J414"/>
    </row>
    <row r="415" spans="1:10" x14ac:dyDescent="0.25">
      <c r="A415" s="230"/>
      <c r="B415" s="231"/>
      <c r="C415" s="15"/>
      <c r="D415"/>
      <c r="E415"/>
      <c r="F415" s="15"/>
      <c r="G415"/>
      <c r="H415"/>
      <c r="I415"/>
      <c r="J415"/>
    </row>
    <row r="416" spans="1:10" x14ac:dyDescent="0.25">
      <c r="A416" s="230"/>
      <c r="B416" s="231"/>
      <c r="C416" s="15"/>
      <c r="D416"/>
      <c r="E416"/>
      <c r="F416" s="15"/>
      <c r="G416"/>
      <c r="H416"/>
      <c r="I416"/>
      <c r="J416"/>
    </row>
    <row r="417" spans="1:10" x14ac:dyDescent="0.25">
      <c r="A417" s="230"/>
      <c r="B417" s="231"/>
      <c r="C417" s="15"/>
      <c r="D417"/>
      <c r="E417"/>
      <c r="F417" s="15"/>
      <c r="G417"/>
      <c r="H417"/>
      <c r="I417"/>
      <c r="J417"/>
    </row>
    <row r="418" spans="1:10" x14ac:dyDescent="0.25">
      <c r="A418" s="230"/>
      <c r="B418" s="231"/>
      <c r="C418" s="15"/>
      <c r="D418"/>
      <c r="E418"/>
      <c r="F418" s="15"/>
      <c r="G418"/>
      <c r="H418"/>
      <c r="I418"/>
      <c r="J418"/>
    </row>
    <row r="419" spans="1:10" x14ac:dyDescent="0.25">
      <c r="A419" s="230"/>
      <c r="B419" s="231"/>
      <c r="C419" s="15"/>
      <c r="D419"/>
      <c r="E419"/>
      <c r="F419" s="15"/>
      <c r="G419"/>
      <c r="H419"/>
      <c r="I419"/>
      <c r="J419"/>
    </row>
    <row r="420" spans="1:10" x14ac:dyDescent="0.25">
      <c r="A420" s="230"/>
      <c r="B420" s="231"/>
      <c r="C420" s="15"/>
      <c r="D420"/>
      <c r="E420"/>
      <c r="F420" s="15"/>
      <c r="G420"/>
      <c r="H420"/>
      <c r="I420"/>
      <c r="J420"/>
    </row>
    <row r="421" spans="1:10" x14ac:dyDescent="0.25">
      <c r="A421" s="230"/>
      <c r="B421" s="231"/>
      <c r="C421" s="15"/>
      <c r="D421"/>
      <c r="E421"/>
      <c r="F421" s="15"/>
      <c r="G421"/>
      <c r="H421"/>
      <c r="I421"/>
      <c r="J421"/>
    </row>
    <row r="422" spans="1:10" x14ac:dyDescent="0.25">
      <c r="A422" s="230"/>
      <c r="B422" s="231"/>
      <c r="C422" s="15"/>
      <c r="D422"/>
      <c r="E422"/>
      <c r="F422" s="15"/>
      <c r="G422"/>
      <c r="H422"/>
      <c r="I422"/>
      <c r="J422"/>
    </row>
    <row r="423" spans="1:10" x14ac:dyDescent="0.25">
      <c r="A423" s="230"/>
      <c r="B423" s="231"/>
      <c r="C423" s="15"/>
      <c r="D423"/>
      <c r="E423"/>
      <c r="F423" s="15"/>
      <c r="G423"/>
      <c r="H423"/>
      <c r="I423"/>
      <c r="J423"/>
    </row>
    <row r="424" spans="1:10" x14ac:dyDescent="0.25">
      <c r="A424" s="230"/>
      <c r="B424" s="231"/>
      <c r="C424" s="15"/>
      <c r="D424"/>
      <c r="E424"/>
      <c r="F424" s="15"/>
      <c r="G424"/>
      <c r="H424"/>
      <c r="I424"/>
      <c r="J424"/>
    </row>
    <row r="425" spans="1:10" x14ac:dyDescent="0.25">
      <c r="A425" s="230"/>
      <c r="B425" s="231"/>
      <c r="C425" s="15"/>
      <c r="D425"/>
      <c r="E425"/>
      <c r="F425" s="15"/>
      <c r="G425"/>
      <c r="H425"/>
      <c r="I425"/>
      <c r="J425"/>
    </row>
    <row r="426" spans="1:10" x14ac:dyDescent="0.25">
      <c r="A426" s="230"/>
      <c r="B426" s="231"/>
      <c r="C426" s="15"/>
      <c r="D426"/>
      <c r="E426"/>
      <c r="F426" s="15"/>
      <c r="G426"/>
      <c r="H426"/>
      <c r="I426"/>
      <c r="J426"/>
    </row>
    <row r="427" spans="1:10" x14ac:dyDescent="0.25">
      <c r="A427" s="230"/>
      <c r="B427" s="231"/>
      <c r="C427" s="15"/>
      <c r="D427"/>
      <c r="E427"/>
      <c r="F427" s="15"/>
      <c r="G427"/>
      <c r="H427"/>
      <c r="I427"/>
      <c r="J427"/>
    </row>
    <row r="428" spans="1:10" x14ac:dyDescent="0.25">
      <c r="A428" s="230"/>
      <c r="B428" s="231"/>
      <c r="C428" s="15"/>
      <c r="D428"/>
      <c r="E428"/>
      <c r="F428" s="15"/>
      <c r="G428"/>
      <c r="H428"/>
      <c r="I428"/>
      <c r="J428"/>
    </row>
    <row r="429" spans="1:10" x14ac:dyDescent="0.25">
      <c r="A429" s="230"/>
      <c r="B429" s="231"/>
      <c r="C429" s="15"/>
      <c r="D429"/>
      <c r="E429"/>
      <c r="F429" s="15"/>
      <c r="G429"/>
      <c r="H429"/>
      <c r="I429"/>
      <c r="J429"/>
    </row>
    <row r="430" spans="1:10" x14ac:dyDescent="0.25">
      <c r="A430" s="230"/>
      <c r="B430" s="231"/>
      <c r="C430" s="15"/>
      <c r="D430"/>
      <c r="E430"/>
      <c r="F430" s="15"/>
      <c r="G430"/>
      <c r="H430"/>
      <c r="I430"/>
      <c r="J430"/>
    </row>
    <row r="431" spans="1:10" x14ac:dyDescent="0.25">
      <c r="A431" s="230"/>
      <c r="B431" s="231"/>
      <c r="C431" s="15"/>
      <c r="D431"/>
      <c r="E431"/>
      <c r="F431" s="15"/>
      <c r="G431"/>
      <c r="H431"/>
      <c r="I431"/>
      <c r="J431"/>
    </row>
    <row r="432" spans="1:10" x14ac:dyDescent="0.25">
      <c r="A432" s="230"/>
      <c r="B432" s="231"/>
      <c r="C432" s="15"/>
      <c r="D432"/>
      <c r="E432"/>
      <c r="F432" s="15"/>
      <c r="G432"/>
      <c r="H432"/>
      <c r="I432"/>
      <c r="J432"/>
    </row>
    <row r="433" spans="1:10" x14ac:dyDescent="0.25">
      <c r="A433" s="230"/>
      <c r="B433" s="231"/>
      <c r="C433" s="15"/>
      <c r="D433"/>
      <c r="E433"/>
      <c r="F433" s="15"/>
      <c r="G433"/>
      <c r="H433"/>
      <c r="I433"/>
      <c r="J433"/>
    </row>
    <row r="434" spans="1:10" x14ac:dyDescent="0.25">
      <c r="A434" s="230"/>
      <c r="B434" s="231"/>
      <c r="C434" s="15"/>
      <c r="D434"/>
      <c r="E434"/>
      <c r="F434" s="15"/>
      <c r="G434"/>
      <c r="H434"/>
      <c r="I434"/>
      <c r="J434"/>
    </row>
    <row r="435" spans="1:10" x14ac:dyDescent="0.25">
      <c r="A435" s="230"/>
      <c r="B435" s="231"/>
      <c r="C435" s="15"/>
      <c r="D435"/>
      <c r="E435"/>
      <c r="F435" s="15"/>
      <c r="G435"/>
      <c r="H435"/>
      <c r="I435"/>
      <c r="J435"/>
    </row>
    <row r="436" spans="1:10" x14ac:dyDescent="0.25">
      <c r="A436" s="230"/>
      <c r="B436" s="231"/>
      <c r="C436" s="15"/>
      <c r="D436"/>
      <c r="E436"/>
      <c r="F436" s="15"/>
      <c r="G436"/>
      <c r="H436"/>
      <c r="I436"/>
      <c r="J436"/>
    </row>
    <row r="437" spans="1:10" x14ac:dyDescent="0.25">
      <c r="A437" s="230"/>
      <c r="B437" s="231"/>
      <c r="C437" s="15"/>
      <c r="D437"/>
      <c r="E437"/>
      <c r="F437" s="15"/>
      <c r="G437"/>
      <c r="H437"/>
      <c r="I437"/>
      <c r="J437"/>
    </row>
    <row r="438" spans="1:10" x14ac:dyDescent="0.25">
      <c r="A438" s="230"/>
      <c r="B438" s="231"/>
      <c r="C438" s="15"/>
      <c r="D438"/>
      <c r="E438"/>
      <c r="F438" s="15"/>
      <c r="G438"/>
      <c r="H438"/>
      <c r="I438"/>
      <c r="J438"/>
    </row>
    <row r="439" spans="1:10" x14ac:dyDescent="0.25">
      <c r="A439" s="230"/>
      <c r="B439" s="231"/>
      <c r="C439" s="15"/>
      <c r="D439"/>
      <c r="E439"/>
      <c r="F439" s="15"/>
      <c r="G439"/>
      <c r="H439"/>
      <c r="I439"/>
      <c r="J439"/>
    </row>
    <row r="440" spans="1:10" x14ac:dyDescent="0.25">
      <c r="A440" s="230"/>
      <c r="B440" s="231"/>
      <c r="C440" s="15"/>
      <c r="D440"/>
      <c r="E440"/>
      <c r="F440" s="15"/>
      <c r="G440"/>
      <c r="H440"/>
      <c r="I440"/>
      <c r="J440"/>
    </row>
    <row r="441" spans="1:10" x14ac:dyDescent="0.25">
      <c r="A441" s="230"/>
      <c r="B441" s="231"/>
      <c r="C441" s="15"/>
      <c r="D441"/>
      <c r="E441"/>
      <c r="F441" s="15"/>
      <c r="G441"/>
      <c r="H441"/>
      <c r="I441"/>
      <c r="J441"/>
    </row>
    <row r="442" spans="1:10" x14ac:dyDescent="0.25">
      <c r="A442" s="230"/>
      <c r="B442" s="231"/>
      <c r="C442" s="15"/>
      <c r="D442"/>
      <c r="E442"/>
      <c r="F442" s="15"/>
      <c r="G442"/>
      <c r="H442"/>
      <c r="I442"/>
      <c r="J442"/>
    </row>
    <row r="443" spans="1:10" x14ac:dyDescent="0.25">
      <c r="A443" s="230"/>
      <c r="B443" s="231"/>
      <c r="C443" s="15"/>
      <c r="D443"/>
      <c r="E443"/>
      <c r="F443" s="15"/>
      <c r="G443"/>
      <c r="H443"/>
      <c r="I443"/>
      <c r="J443"/>
    </row>
    <row r="444" spans="1:10" x14ac:dyDescent="0.25">
      <c r="A444" s="230"/>
      <c r="B444" s="231"/>
      <c r="C444" s="15"/>
      <c r="D444"/>
      <c r="E444"/>
      <c r="F444" s="15"/>
      <c r="G444"/>
      <c r="H444"/>
      <c r="I444"/>
      <c r="J444"/>
    </row>
    <row r="445" spans="1:10" x14ac:dyDescent="0.25">
      <c r="A445" s="230"/>
      <c r="B445" s="231"/>
      <c r="C445" s="15"/>
      <c r="D445"/>
      <c r="E445"/>
      <c r="F445" s="15"/>
      <c r="G445"/>
      <c r="H445"/>
      <c r="I445"/>
      <c r="J445"/>
    </row>
    <row r="446" spans="1:10" x14ac:dyDescent="0.25">
      <c r="A446" s="230"/>
      <c r="B446" s="231"/>
      <c r="C446" s="15"/>
      <c r="D446"/>
      <c r="E446"/>
      <c r="F446" s="15"/>
      <c r="G446"/>
      <c r="H446"/>
      <c r="I446"/>
      <c r="J446"/>
    </row>
    <row r="447" spans="1:10" x14ac:dyDescent="0.25">
      <c r="A447" s="230"/>
      <c r="B447" s="231"/>
      <c r="C447" s="15"/>
      <c r="D447"/>
      <c r="E447"/>
      <c r="F447" s="15"/>
      <c r="G447"/>
      <c r="H447"/>
      <c r="I447"/>
      <c r="J447"/>
    </row>
    <row r="448" spans="1:10" x14ac:dyDescent="0.25">
      <c r="A448" s="230"/>
      <c r="B448" s="231"/>
      <c r="C448" s="15"/>
      <c r="D448"/>
      <c r="E448"/>
      <c r="F448" s="15"/>
      <c r="G448"/>
      <c r="H448"/>
      <c r="I448"/>
      <c r="J448"/>
    </row>
    <row r="449" spans="1:10" x14ac:dyDescent="0.25">
      <c r="A449" s="230"/>
      <c r="B449" s="231"/>
      <c r="C449" s="15"/>
      <c r="D449"/>
      <c r="E449"/>
      <c r="F449" s="15"/>
      <c r="G449"/>
      <c r="H449"/>
      <c r="I449"/>
      <c r="J449"/>
    </row>
    <row r="450" spans="1:10" x14ac:dyDescent="0.25">
      <c r="A450" s="230"/>
      <c r="B450" s="231"/>
      <c r="C450" s="15"/>
      <c r="D450"/>
      <c r="E450"/>
      <c r="F450" s="15"/>
      <c r="G450"/>
      <c r="H450"/>
      <c r="I450"/>
      <c r="J450"/>
    </row>
    <row r="451" spans="1:10" x14ac:dyDescent="0.25">
      <c r="A451" s="230"/>
      <c r="B451" s="231"/>
      <c r="C451" s="15"/>
      <c r="D451"/>
      <c r="E451"/>
      <c r="F451" s="15"/>
      <c r="G451"/>
      <c r="H451"/>
      <c r="I451"/>
      <c r="J451"/>
    </row>
    <row r="452" spans="1:10" x14ac:dyDescent="0.25">
      <c r="A452" s="230"/>
      <c r="B452" s="231"/>
      <c r="C452" s="15"/>
      <c r="D452"/>
      <c r="E452"/>
      <c r="F452" s="15"/>
      <c r="G452"/>
      <c r="H452"/>
      <c r="I452"/>
      <c r="J452"/>
    </row>
    <row r="453" spans="1:10" x14ac:dyDescent="0.25">
      <c r="A453" s="230"/>
      <c r="B453" s="231"/>
      <c r="C453" s="15"/>
      <c r="D453"/>
      <c r="E453"/>
      <c r="F453" s="15"/>
      <c r="G453"/>
      <c r="H453"/>
      <c r="I453"/>
      <c r="J453"/>
    </row>
    <row r="454" spans="1:10" x14ac:dyDescent="0.25">
      <c r="A454" s="230"/>
      <c r="B454" s="231"/>
      <c r="C454" s="15"/>
      <c r="D454"/>
      <c r="E454"/>
      <c r="F454" s="15"/>
      <c r="G454"/>
      <c r="H454"/>
      <c r="I454"/>
      <c r="J454"/>
    </row>
    <row r="455" spans="1:10" x14ac:dyDescent="0.25">
      <c r="A455" s="230"/>
      <c r="B455" s="231"/>
      <c r="C455" s="15"/>
      <c r="D455"/>
      <c r="E455"/>
      <c r="F455" s="15"/>
      <c r="G455"/>
      <c r="H455"/>
      <c r="I455"/>
      <c r="J455"/>
    </row>
    <row r="456" spans="1:10" x14ac:dyDescent="0.25">
      <c r="A456" s="230"/>
      <c r="B456" s="231"/>
      <c r="C456" s="15"/>
      <c r="D456"/>
      <c r="E456"/>
      <c r="F456" s="15"/>
      <c r="G456"/>
      <c r="H456"/>
      <c r="I456"/>
      <c r="J456"/>
    </row>
    <row r="457" spans="1:10" x14ac:dyDescent="0.25">
      <c r="A457" s="230"/>
      <c r="B457" s="231"/>
      <c r="C457" s="15"/>
      <c r="D457"/>
      <c r="E457"/>
      <c r="F457" s="15"/>
      <c r="G457"/>
      <c r="H457"/>
      <c r="I457"/>
      <c r="J457"/>
    </row>
    <row r="458" spans="1:10" x14ac:dyDescent="0.25">
      <c r="A458" s="230"/>
      <c r="B458" s="231"/>
      <c r="C458" s="15"/>
      <c r="D458"/>
      <c r="E458"/>
      <c r="F458" s="15"/>
      <c r="G458"/>
      <c r="H458"/>
      <c r="I458"/>
      <c r="J458"/>
    </row>
    <row r="459" spans="1:10" x14ac:dyDescent="0.25">
      <c r="A459" s="230"/>
      <c r="B459" s="231"/>
      <c r="C459" s="15"/>
      <c r="D459"/>
      <c r="E459"/>
      <c r="F459" s="15"/>
      <c r="G459"/>
      <c r="H459"/>
      <c r="I459"/>
      <c r="J459"/>
    </row>
    <row r="460" spans="1:10" x14ac:dyDescent="0.25">
      <c r="A460" s="230"/>
      <c r="B460" s="231"/>
      <c r="C460" s="15"/>
      <c r="D460"/>
      <c r="E460"/>
      <c r="F460" s="15"/>
      <c r="G460"/>
      <c r="H460"/>
      <c r="I460"/>
      <c r="J460"/>
    </row>
    <row r="461" spans="1:10" x14ac:dyDescent="0.25">
      <c r="A461" s="230"/>
      <c r="B461" s="231"/>
      <c r="C461" s="15"/>
      <c r="D461"/>
      <c r="E461"/>
      <c r="F461" s="15"/>
      <c r="G461"/>
      <c r="H461"/>
      <c r="I461"/>
      <c r="J461"/>
    </row>
    <row r="462" spans="1:10" x14ac:dyDescent="0.25">
      <c r="A462" s="230"/>
      <c r="B462" s="231"/>
      <c r="C462" s="15"/>
      <c r="D462"/>
      <c r="E462"/>
      <c r="F462" s="15"/>
      <c r="G462"/>
      <c r="H462"/>
      <c r="I462"/>
      <c r="J462"/>
    </row>
    <row r="463" spans="1:10" x14ac:dyDescent="0.25">
      <c r="A463" s="230"/>
      <c r="B463" s="231"/>
      <c r="C463" s="15"/>
      <c r="D463"/>
      <c r="E463"/>
      <c r="F463" s="15"/>
      <c r="G463"/>
      <c r="H463"/>
      <c r="I463"/>
      <c r="J463"/>
    </row>
    <row r="464" spans="1:10" x14ac:dyDescent="0.25">
      <c r="A464" s="230"/>
      <c r="B464" s="231"/>
      <c r="C464" s="15"/>
      <c r="D464"/>
      <c r="E464"/>
      <c r="F464" s="15"/>
      <c r="G464"/>
      <c r="H464"/>
      <c r="I464"/>
      <c r="J464"/>
    </row>
    <row r="465" spans="1:10" x14ac:dyDescent="0.25">
      <c r="A465" s="230"/>
      <c r="B465" s="231"/>
      <c r="C465" s="15"/>
      <c r="D465"/>
      <c r="E465"/>
      <c r="F465" s="15"/>
      <c r="G465"/>
      <c r="H465"/>
      <c r="I465"/>
      <c r="J465"/>
    </row>
    <row r="466" spans="1:10" x14ac:dyDescent="0.25">
      <c r="A466" s="230"/>
      <c r="B466" s="231"/>
      <c r="C466" s="15"/>
      <c r="D466"/>
      <c r="E466"/>
      <c r="F466" s="15"/>
      <c r="G466"/>
      <c r="H466"/>
      <c r="I466"/>
      <c r="J466"/>
    </row>
    <row r="467" spans="1:10" x14ac:dyDescent="0.25">
      <c r="A467" s="230"/>
      <c r="B467" s="231"/>
      <c r="C467" s="15"/>
      <c r="D467"/>
      <c r="E467"/>
      <c r="F467" s="15"/>
      <c r="G467"/>
      <c r="H467"/>
      <c r="I467"/>
      <c r="J467"/>
    </row>
    <row r="468" spans="1:10" x14ac:dyDescent="0.25">
      <c r="A468" s="230"/>
      <c r="B468" s="231"/>
      <c r="C468" s="15"/>
      <c r="D468"/>
      <c r="E468"/>
      <c r="F468" s="15"/>
      <c r="G468"/>
      <c r="H468"/>
      <c r="I468"/>
      <c r="J468"/>
    </row>
    <row r="469" spans="1:10" x14ac:dyDescent="0.25">
      <c r="A469" s="230"/>
      <c r="B469" s="231"/>
      <c r="C469" s="15"/>
      <c r="D469"/>
      <c r="E469"/>
      <c r="F469" s="15"/>
      <c r="G469"/>
      <c r="H469"/>
      <c r="I469"/>
      <c r="J469"/>
    </row>
    <row r="470" spans="1:10" x14ac:dyDescent="0.25">
      <c r="A470" s="230"/>
      <c r="B470" s="231"/>
      <c r="C470" s="15"/>
      <c r="D470"/>
      <c r="E470"/>
      <c r="F470" s="15"/>
      <c r="G470"/>
      <c r="H470"/>
      <c r="I470"/>
      <c r="J470"/>
    </row>
    <row r="471" spans="1:10" x14ac:dyDescent="0.25">
      <c r="A471" s="230"/>
      <c r="B471" s="231"/>
      <c r="C471" s="15"/>
      <c r="D471"/>
      <c r="E471"/>
      <c r="F471" s="15"/>
      <c r="G471"/>
      <c r="H471"/>
      <c r="I471"/>
      <c r="J471"/>
    </row>
    <row r="472" spans="1:10" x14ac:dyDescent="0.25">
      <c r="A472" s="230"/>
      <c r="B472" s="231"/>
      <c r="C472" s="15"/>
      <c r="D472"/>
      <c r="E472"/>
      <c r="F472" s="15"/>
      <c r="G472"/>
      <c r="H472"/>
      <c r="I472"/>
      <c r="J472"/>
    </row>
    <row r="473" spans="1:10" x14ac:dyDescent="0.25">
      <c r="A473" s="230"/>
      <c r="B473" s="231"/>
      <c r="C473" s="15"/>
      <c r="D473"/>
      <c r="E473"/>
      <c r="F473" s="15"/>
      <c r="G473"/>
      <c r="H473"/>
      <c r="I473"/>
      <c r="J473"/>
    </row>
    <row r="474" spans="1:10" x14ac:dyDescent="0.25">
      <c r="A474" s="230"/>
      <c r="B474" s="231"/>
      <c r="C474" s="15"/>
      <c r="D474"/>
      <c r="E474"/>
      <c r="F474" s="15"/>
      <c r="G474"/>
      <c r="H474"/>
      <c r="I474"/>
      <c r="J474"/>
    </row>
    <row r="475" spans="1:10" x14ac:dyDescent="0.25">
      <c r="A475" s="230"/>
      <c r="B475" s="231"/>
      <c r="C475" s="15"/>
      <c r="D475"/>
      <c r="E475"/>
      <c r="F475" s="15"/>
      <c r="G475"/>
      <c r="H475"/>
      <c r="I475"/>
      <c r="J475"/>
    </row>
    <row r="476" spans="1:10" x14ac:dyDescent="0.25">
      <c r="A476" s="230"/>
      <c r="B476" s="231"/>
      <c r="C476" s="15"/>
      <c r="D476"/>
      <c r="E476"/>
      <c r="F476" s="15"/>
      <c r="G476"/>
      <c r="H476"/>
      <c r="I476"/>
      <c r="J476"/>
    </row>
    <row r="477" spans="1:10" x14ac:dyDescent="0.25">
      <c r="A477" s="230"/>
      <c r="B477" s="231"/>
      <c r="C477" s="15"/>
      <c r="D477"/>
      <c r="E477"/>
      <c r="F477" s="15"/>
      <c r="G477"/>
      <c r="H477"/>
      <c r="I477"/>
      <c r="J477"/>
    </row>
    <row r="478" spans="1:10" x14ac:dyDescent="0.25">
      <c r="A478" s="230"/>
      <c r="B478" s="231"/>
      <c r="C478" s="15"/>
      <c r="D478"/>
      <c r="E478"/>
      <c r="F478" s="15"/>
      <c r="G478"/>
      <c r="H478"/>
      <c r="I478"/>
      <c r="J478"/>
    </row>
    <row r="479" spans="1:10" x14ac:dyDescent="0.25">
      <c r="A479" s="230"/>
      <c r="B479" s="231"/>
      <c r="C479" s="15"/>
      <c r="D479"/>
      <c r="E479"/>
      <c r="F479" s="15"/>
      <c r="G479"/>
      <c r="H479"/>
      <c r="I479"/>
      <c r="J479"/>
    </row>
    <row r="480" spans="1:10" x14ac:dyDescent="0.25">
      <c r="A480" s="230"/>
      <c r="B480" s="231"/>
      <c r="C480" s="15"/>
      <c r="D480"/>
      <c r="E480"/>
      <c r="F480" s="15"/>
      <c r="G480"/>
      <c r="H480"/>
      <c r="I480"/>
      <c r="J480"/>
    </row>
    <row r="481" spans="1:10" x14ac:dyDescent="0.25">
      <c r="A481" s="230"/>
      <c r="B481" s="231"/>
      <c r="C481" s="15"/>
      <c r="D481"/>
      <c r="E481"/>
      <c r="F481" s="15"/>
      <c r="G481"/>
      <c r="H481"/>
      <c r="I481"/>
      <c r="J481"/>
    </row>
    <row r="482" spans="1:10" x14ac:dyDescent="0.25">
      <c r="A482" s="230"/>
      <c r="B482" s="231"/>
      <c r="C482" s="15"/>
      <c r="D482"/>
      <c r="E482"/>
      <c r="F482" s="15"/>
      <c r="G482"/>
      <c r="H482"/>
      <c r="I482"/>
      <c r="J482"/>
    </row>
    <row r="483" spans="1:10" x14ac:dyDescent="0.25">
      <c r="A483" s="230"/>
      <c r="B483" s="231"/>
      <c r="C483" s="15"/>
      <c r="D483"/>
      <c r="E483"/>
      <c r="F483" s="15"/>
      <c r="G483"/>
      <c r="H483"/>
      <c r="I483"/>
      <c r="J483"/>
    </row>
    <row r="484" spans="1:10" x14ac:dyDescent="0.25">
      <c r="A484" s="230"/>
      <c r="B484" s="231"/>
      <c r="C484" s="15"/>
      <c r="D484"/>
      <c r="E484"/>
      <c r="F484" s="15"/>
      <c r="G484"/>
      <c r="H484"/>
      <c r="I484"/>
      <c r="J484"/>
    </row>
    <row r="485" spans="1:10" x14ac:dyDescent="0.25">
      <c r="A485" s="230"/>
      <c r="B485" s="231"/>
      <c r="C485" s="15"/>
      <c r="D485"/>
      <c r="E485"/>
      <c r="F485" s="15"/>
      <c r="G485"/>
      <c r="H485"/>
      <c r="I485"/>
      <c r="J485"/>
    </row>
    <row r="486" spans="1:10" x14ac:dyDescent="0.25">
      <c r="A486" s="230"/>
      <c r="B486" s="231"/>
      <c r="C486" s="15"/>
      <c r="D486"/>
      <c r="E486"/>
      <c r="F486" s="15"/>
      <c r="G486"/>
      <c r="H486"/>
      <c r="I486"/>
      <c r="J486"/>
    </row>
    <row r="487" spans="1:10" x14ac:dyDescent="0.25">
      <c r="A487" s="230"/>
      <c r="B487" s="231"/>
      <c r="C487" s="15"/>
      <c r="D487"/>
      <c r="E487"/>
      <c r="F487" s="15"/>
      <c r="G487"/>
      <c r="H487"/>
      <c r="I487"/>
      <c r="J487"/>
    </row>
    <row r="488" spans="1:10" x14ac:dyDescent="0.25">
      <c r="A488" s="230"/>
      <c r="B488" s="231"/>
      <c r="C488" s="15"/>
      <c r="D488"/>
      <c r="E488"/>
      <c r="F488" s="15"/>
      <c r="G488"/>
      <c r="H488"/>
      <c r="I488"/>
      <c r="J488"/>
    </row>
    <row r="489" spans="1:10" x14ac:dyDescent="0.25">
      <c r="A489" s="230"/>
      <c r="B489" s="231"/>
      <c r="C489" s="15"/>
      <c r="D489"/>
      <c r="E489"/>
      <c r="F489" s="15"/>
      <c r="G489"/>
      <c r="H489"/>
      <c r="I489"/>
      <c r="J489"/>
    </row>
    <row r="490" spans="1:10" x14ac:dyDescent="0.25">
      <c r="A490" s="230"/>
      <c r="B490" s="231"/>
      <c r="C490" s="15"/>
      <c r="D490"/>
      <c r="E490"/>
      <c r="F490" s="15"/>
      <c r="G490"/>
      <c r="H490"/>
      <c r="I490"/>
      <c r="J490"/>
    </row>
    <row r="491" spans="1:10" x14ac:dyDescent="0.25">
      <c r="A491" s="230"/>
      <c r="B491" s="231"/>
      <c r="C491" s="15"/>
      <c r="D491"/>
      <c r="E491"/>
      <c r="F491" s="15"/>
      <c r="G491"/>
      <c r="H491"/>
      <c r="I491"/>
      <c r="J491"/>
    </row>
    <row r="492" spans="1:10" x14ac:dyDescent="0.25">
      <c r="A492" s="230"/>
      <c r="B492" s="231"/>
      <c r="C492" s="15"/>
      <c r="D492"/>
      <c r="E492"/>
      <c r="F492" s="15"/>
      <c r="G492"/>
      <c r="H492"/>
      <c r="I492"/>
      <c r="J492"/>
    </row>
    <row r="493" spans="1:10" x14ac:dyDescent="0.25">
      <c r="A493" s="230"/>
      <c r="B493" s="231"/>
      <c r="C493" s="15"/>
      <c r="D493"/>
      <c r="E493"/>
      <c r="F493" s="15"/>
      <c r="G493"/>
      <c r="H493"/>
      <c r="I493"/>
      <c r="J493"/>
    </row>
    <row r="494" spans="1:10" x14ac:dyDescent="0.25">
      <c r="A494" s="230"/>
      <c r="B494" s="231"/>
      <c r="C494" s="15"/>
      <c r="D494"/>
      <c r="E494"/>
      <c r="F494" s="15"/>
      <c r="G494"/>
      <c r="H494"/>
      <c r="I494"/>
      <c r="J494"/>
    </row>
    <row r="495" spans="1:10" x14ac:dyDescent="0.25">
      <c r="A495" s="230"/>
      <c r="B495" s="231"/>
      <c r="C495" s="15"/>
      <c r="D495"/>
      <c r="E495"/>
      <c r="F495" s="15"/>
      <c r="G495"/>
      <c r="H495"/>
      <c r="I495"/>
      <c r="J495"/>
    </row>
    <row r="496" spans="1:10" x14ac:dyDescent="0.25">
      <c r="A496" s="230"/>
      <c r="B496" s="231"/>
      <c r="C496" s="15"/>
      <c r="D496"/>
      <c r="E496"/>
      <c r="F496" s="15"/>
      <c r="G496"/>
      <c r="H496"/>
      <c r="I496"/>
      <c r="J496"/>
    </row>
    <row r="497" spans="1:10" x14ac:dyDescent="0.25">
      <c r="A497" s="230"/>
      <c r="B497" s="231"/>
      <c r="C497" s="15"/>
      <c r="D497"/>
      <c r="E497"/>
      <c r="F497" s="15"/>
      <c r="G497"/>
      <c r="H497"/>
      <c r="I497"/>
      <c r="J497"/>
    </row>
    <row r="498" spans="1:10" x14ac:dyDescent="0.25">
      <c r="A498" s="230"/>
      <c r="B498" s="231"/>
      <c r="C498" s="15"/>
      <c r="D498"/>
      <c r="E498"/>
      <c r="F498" s="15"/>
      <c r="G498"/>
      <c r="H498"/>
      <c r="I498"/>
      <c r="J498"/>
    </row>
    <row r="499" spans="1:10" x14ac:dyDescent="0.25">
      <c r="A499" s="230"/>
      <c r="B499" s="231"/>
      <c r="C499" s="15"/>
      <c r="D499"/>
      <c r="E499"/>
      <c r="F499" s="15"/>
      <c r="G499"/>
      <c r="H499"/>
      <c r="I499"/>
      <c r="J499"/>
    </row>
    <row r="500" spans="1:10" x14ac:dyDescent="0.25">
      <c r="A500" s="230"/>
      <c r="B500" s="231"/>
      <c r="C500" s="15"/>
      <c r="D500"/>
      <c r="E500"/>
      <c r="F500" s="15"/>
      <c r="G500"/>
      <c r="H500"/>
      <c r="I500"/>
      <c r="J500"/>
    </row>
    <row r="501" spans="1:10" x14ac:dyDescent="0.25">
      <c r="A501" s="230"/>
      <c r="B501" s="231"/>
      <c r="C501" s="15"/>
      <c r="D501"/>
      <c r="E501"/>
      <c r="F501" s="15"/>
      <c r="G501"/>
      <c r="H501"/>
      <c r="I501"/>
      <c r="J501"/>
    </row>
    <row r="502" spans="1:10" x14ac:dyDescent="0.25">
      <c r="A502" s="230"/>
      <c r="B502" s="231"/>
      <c r="C502" s="15"/>
      <c r="D502"/>
      <c r="E502"/>
      <c r="F502" s="15"/>
      <c r="G502"/>
      <c r="H502"/>
      <c r="I502"/>
      <c r="J502"/>
    </row>
    <row r="503" spans="1:10" x14ac:dyDescent="0.25">
      <c r="A503" s="230"/>
      <c r="B503" s="231"/>
      <c r="C503" s="15"/>
      <c r="D503"/>
      <c r="E503"/>
      <c r="F503" s="15"/>
      <c r="G503"/>
      <c r="H503"/>
      <c r="I503"/>
      <c r="J503"/>
    </row>
    <row r="504" spans="1:10" x14ac:dyDescent="0.25">
      <c r="A504" s="230"/>
      <c r="B504" s="231"/>
      <c r="C504" s="15"/>
      <c r="D504"/>
      <c r="E504"/>
      <c r="F504" s="15"/>
      <c r="G504"/>
      <c r="H504"/>
      <c r="I504"/>
      <c r="J504"/>
    </row>
    <row r="505" spans="1:10" x14ac:dyDescent="0.25">
      <c r="A505" s="230"/>
      <c r="B505" s="231"/>
      <c r="C505" s="15"/>
      <c r="D505"/>
      <c r="E505"/>
      <c r="F505" s="15"/>
      <c r="G505"/>
      <c r="H505"/>
      <c r="I505"/>
      <c r="J505"/>
    </row>
    <row r="506" spans="1:10" x14ac:dyDescent="0.25">
      <c r="A506" s="230"/>
      <c r="B506" s="231"/>
      <c r="C506" s="15"/>
      <c r="D506"/>
      <c r="E506"/>
      <c r="F506" s="15"/>
      <c r="G506"/>
      <c r="H506"/>
      <c r="I506"/>
      <c r="J506"/>
    </row>
    <row r="507" spans="1:10" x14ac:dyDescent="0.25">
      <c r="A507" s="230"/>
      <c r="B507" s="231"/>
      <c r="C507" s="15"/>
      <c r="D507"/>
      <c r="E507"/>
      <c r="F507" s="15"/>
      <c r="G507"/>
      <c r="H507"/>
      <c r="I507"/>
      <c r="J507"/>
    </row>
    <row r="508" spans="1:10" x14ac:dyDescent="0.25">
      <c r="A508" s="230"/>
      <c r="B508" s="231"/>
      <c r="C508" s="15"/>
      <c r="D508"/>
      <c r="E508"/>
      <c r="F508" s="15"/>
      <c r="G508"/>
      <c r="H508"/>
      <c r="I508"/>
      <c r="J508"/>
    </row>
    <row r="509" spans="1:10" x14ac:dyDescent="0.25">
      <c r="A509" s="230"/>
      <c r="B509" s="231"/>
      <c r="C509" s="15"/>
      <c r="D509"/>
      <c r="E509"/>
      <c r="F509" s="15"/>
      <c r="G509"/>
      <c r="H509"/>
      <c r="I509"/>
      <c r="J509"/>
    </row>
    <row r="510" spans="1:10" x14ac:dyDescent="0.25">
      <c r="A510" s="230"/>
      <c r="B510" s="231"/>
      <c r="C510" s="15"/>
      <c r="D510"/>
      <c r="E510"/>
      <c r="F510" s="15"/>
      <c r="G510"/>
      <c r="H510"/>
      <c r="I510"/>
      <c r="J510"/>
    </row>
    <row r="511" spans="1:10" x14ac:dyDescent="0.25">
      <c r="A511" s="230"/>
      <c r="B511" s="231"/>
      <c r="C511" s="15"/>
      <c r="D511"/>
      <c r="E511"/>
      <c r="F511" s="15"/>
      <c r="G511"/>
      <c r="H511"/>
      <c r="I511"/>
      <c r="J511"/>
    </row>
    <row r="512" spans="1:10" x14ac:dyDescent="0.25">
      <c r="A512" s="230"/>
      <c r="B512" s="231"/>
      <c r="C512" s="15"/>
      <c r="D512"/>
      <c r="E512"/>
      <c r="F512" s="15"/>
      <c r="G512"/>
      <c r="H512"/>
      <c r="I512"/>
      <c r="J512"/>
    </row>
    <row r="513" spans="1:10" x14ac:dyDescent="0.25">
      <c r="A513" s="230"/>
      <c r="B513" s="231"/>
      <c r="C513" s="15"/>
      <c r="D513"/>
      <c r="E513"/>
      <c r="F513" s="15"/>
      <c r="G513"/>
      <c r="H513"/>
      <c r="I513"/>
      <c r="J513"/>
    </row>
    <row r="514" spans="1:10" x14ac:dyDescent="0.25">
      <c r="A514" s="230"/>
      <c r="B514" s="231"/>
      <c r="C514" s="15"/>
      <c r="D514"/>
      <c r="E514"/>
      <c r="F514" s="15"/>
      <c r="G514"/>
      <c r="H514"/>
      <c r="I514"/>
      <c r="J514"/>
    </row>
    <row r="515" spans="1:10" x14ac:dyDescent="0.25">
      <c r="A515" s="230"/>
      <c r="B515" s="231"/>
      <c r="C515" s="15"/>
      <c r="D515"/>
      <c r="E515"/>
      <c r="F515" s="15"/>
      <c r="G515"/>
      <c r="H515"/>
      <c r="I515"/>
      <c r="J515"/>
    </row>
    <row r="516" spans="1:10" x14ac:dyDescent="0.25">
      <c r="A516" s="230"/>
      <c r="B516" s="231"/>
      <c r="C516" s="15"/>
      <c r="D516"/>
      <c r="E516"/>
      <c r="F516" s="15"/>
      <c r="G516"/>
      <c r="H516"/>
      <c r="I516"/>
      <c r="J516"/>
    </row>
    <row r="517" spans="1:10" x14ac:dyDescent="0.25">
      <c r="A517" s="230"/>
      <c r="B517" s="231"/>
      <c r="C517" s="15"/>
      <c r="D517"/>
      <c r="E517"/>
      <c r="F517" s="15"/>
      <c r="G517"/>
      <c r="H517"/>
      <c r="I517"/>
      <c r="J517"/>
    </row>
    <row r="518" spans="1:10" x14ac:dyDescent="0.25">
      <c r="A518" s="230"/>
      <c r="B518" s="231"/>
      <c r="C518" s="15"/>
      <c r="D518"/>
      <c r="E518"/>
      <c r="F518" s="15"/>
      <c r="G518"/>
      <c r="H518"/>
      <c r="I518"/>
      <c r="J518"/>
    </row>
    <row r="519" spans="1:10" x14ac:dyDescent="0.25">
      <c r="A519" s="230"/>
      <c r="B519" s="231"/>
      <c r="C519" s="15"/>
      <c r="D519"/>
      <c r="E519"/>
      <c r="F519" s="15"/>
      <c r="G519"/>
      <c r="H519"/>
      <c r="I519"/>
      <c r="J519"/>
    </row>
    <row r="520" spans="1:10" x14ac:dyDescent="0.25">
      <c r="A520" s="230"/>
      <c r="B520" s="231"/>
      <c r="C520" s="15"/>
      <c r="D520"/>
      <c r="E520"/>
      <c r="F520" s="15"/>
      <c r="G520"/>
      <c r="H520"/>
      <c r="I520"/>
      <c r="J520"/>
    </row>
    <row r="521" spans="1:10" x14ac:dyDescent="0.25">
      <c r="A521" s="230"/>
      <c r="B521" s="231"/>
      <c r="C521" s="15"/>
      <c r="D521"/>
      <c r="E521"/>
      <c r="F521" s="15"/>
      <c r="G521"/>
      <c r="H521"/>
      <c r="I521"/>
      <c r="J521"/>
    </row>
    <row r="522" spans="1:10" x14ac:dyDescent="0.25">
      <c r="A522" s="230"/>
      <c r="B522" s="231"/>
      <c r="C522" s="15"/>
      <c r="D522"/>
      <c r="E522"/>
      <c r="F522" s="15"/>
      <c r="G522"/>
      <c r="H522"/>
      <c r="I522"/>
      <c r="J522"/>
    </row>
    <row r="523" spans="1:10" x14ac:dyDescent="0.25">
      <c r="A523" s="230"/>
      <c r="B523" s="231"/>
      <c r="C523" s="15"/>
      <c r="D523"/>
      <c r="E523"/>
      <c r="F523" s="15"/>
      <c r="G523"/>
      <c r="H523"/>
      <c r="I523"/>
      <c r="J523"/>
    </row>
    <row r="524" spans="1:10" x14ac:dyDescent="0.25">
      <c r="A524" s="230"/>
      <c r="B524" s="231"/>
      <c r="C524" s="15"/>
      <c r="D524"/>
      <c r="E524"/>
      <c r="F524" s="15"/>
      <c r="G524"/>
      <c r="H524"/>
      <c r="I524"/>
      <c r="J524"/>
    </row>
    <row r="525" spans="1:10" x14ac:dyDescent="0.25">
      <c r="A525" s="230"/>
      <c r="B525" s="231"/>
      <c r="C525" s="15"/>
      <c r="D525"/>
      <c r="E525"/>
      <c r="F525" s="15"/>
      <c r="G525"/>
      <c r="H525"/>
      <c r="I525"/>
      <c r="J525"/>
    </row>
    <row r="526" spans="1:10" x14ac:dyDescent="0.25">
      <c r="A526" s="230"/>
      <c r="B526" s="231"/>
      <c r="C526" s="15"/>
      <c r="D526"/>
      <c r="E526"/>
      <c r="F526" s="15"/>
      <c r="G526"/>
      <c r="H526"/>
      <c r="I526"/>
      <c r="J526"/>
    </row>
    <row r="527" spans="1:10" x14ac:dyDescent="0.25">
      <c r="A527" s="230"/>
      <c r="B527" s="231"/>
      <c r="C527" s="15"/>
      <c r="D527"/>
      <c r="E527"/>
      <c r="F527" s="15"/>
      <c r="G527"/>
      <c r="H527"/>
      <c r="I527"/>
      <c r="J527"/>
    </row>
    <row r="528" spans="1:10" x14ac:dyDescent="0.25">
      <c r="A528" s="230"/>
      <c r="B528" s="231"/>
      <c r="C528" s="15"/>
      <c r="D528"/>
      <c r="E528"/>
      <c r="F528" s="15"/>
      <c r="G528"/>
      <c r="H528"/>
      <c r="I528"/>
      <c r="J528"/>
    </row>
    <row r="529" spans="1:10" x14ac:dyDescent="0.25">
      <c r="A529" s="230"/>
      <c r="B529" s="231"/>
      <c r="C529" s="15"/>
      <c r="D529"/>
      <c r="E529"/>
      <c r="F529" s="15"/>
      <c r="G529"/>
      <c r="H529"/>
      <c r="I529"/>
      <c r="J529"/>
    </row>
    <row r="530" spans="1:10" x14ac:dyDescent="0.25">
      <c r="A530" s="230"/>
      <c r="B530" s="231"/>
      <c r="C530" s="15"/>
      <c r="D530"/>
      <c r="E530"/>
      <c r="F530" s="15"/>
      <c r="G530"/>
      <c r="H530"/>
      <c r="I530"/>
      <c r="J530"/>
    </row>
    <row r="531" spans="1:10" x14ac:dyDescent="0.25">
      <c r="A531" s="230"/>
      <c r="B531" s="231"/>
      <c r="C531" s="15"/>
      <c r="D531"/>
      <c r="E531"/>
      <c r="F531" s="15"/>
      <c r="G531"/>
      <c r="H531"/>
      <c r="I531"/>
      <c r="J531"/>
    </row>
    <row r="532" spans="1:10" x14ac:dyDescent="0.25">
      <c r="A532" s="230"/>
      <c r="B532" s="231"/>
      <c r="C532" s="15"/>
      <c r="D532"/>
      <c r="E532"/>
      <c r="F532" s="15"/>
      <c r="G532"/>
      <c r="H532"/>
      <c r="I532"/>
      <c r="J532"/>
    </row>
    <row r="533" spans="1:10" x14ac:dyDescent="0.25">
      <c r="A533" s="230"/>
      <c r="B533" s="231"/>
      <c r="C533" s="15"/>
      <c r="D533"/>
      <c r="E533"/>
      <c r="F533" s="15"/>
      <c r="G533"/>
      <c r="H533"/>
      <c r="I533"/>
      <c r="J533"/>
    </row>
    <row r="534" spans="1:10" x14ac:dyDescent="0.25">
      <c r="A534" s="230"/>
      <c r="B534" s="231"/>
      <c r="C534" s="15"/>
      <c r="D534"/>
      <c r="E534"/>
      <c r="F534" s="15"/>
      <c r="G534"/>
      <c r="H534"/>
      <c r="I534"/>
      <c r="J534"/>
    </row>
    <row r="535" spans="1:10" x14ac:dyDescent="0.25">
      <c r="A535" s="230"/>
      <c r="B535" s="231"/>
      <c r="C535" s="15"/>
      <c r="D535"/>
      <c r="E535"/>
      <c r="F535" s="15"/>
      <c r="G535"/>
      <c r="H535"/>
      <c r="I535"/>
      <c r="J535"/>
    </row>
    <row r="536" spans="1:10" x14ac:dyDescent="0.25">
      <c r="A536" s="230"/>
      <c r="B536" s="231"/>
      <c r="C536" s="15"/>
      <c r="D536"/>
      <c r="E536"/>
      <c r="F536" s="15"/>
      <c r="G536"/>
      <c r="H536"/>
      <c r="I536"/>
      <c r="J536"/>
    </row>
    <row r="537" spans="1:10" x14ac:dyDescent="0.25">
      <c r="A537" s="230"/>
      <c r="B537" s="231"/>
      <c r="C537" s="15"/>
      <c r="D537"/>
      <c r="E537"/>
      <c r="F537" s="15"/>
      <c r="G537"/>
      <c r="H537"/>
      <c r="I537"/>
      <c r="J537"/>
    </row>
    <row r="538" spans="1:10" x14ac:dyDescent="0.25">
      <c r="A538" s="230"/>
      <c r="B538" s="231"/>
      <c r="C538" s="15"/>
      <c r="D538"/>
      <c r="E538"/>
      <c r="F538" s="15"/>
      <c r="G538"/>
      <c r="H538"/>
      <c r="I538"/>
      <c r="J538"/>
    </row>
    <row r="539" spans="1:10" x14ac:dyDescent="0.25">
      <c r="A539" s="230"/>
      <c r="B539" s="231"/>
      <c r="C539" s="15"/>
      <c r="D539"/>
      <c r="E539"/>
      <c r="F539" s="15"/>
      <c r="G539"/>
      <c r="H539"/>
      <c r="I539"/>
      <c r="J539"/>
    </row>
    <row r="540" spans="1:10" x14ac:dyDescent="0.25">
      <c r="A540" s="230"/>
      <c r="B540" s="231"/>
      <c r="C540" s="15"/>
      <c r="D540"/>
      <c r="E540"/>
      <c r="F540" s="15"/>
      <c r="G540"/>
      <c r="H540"/>
      <c r="I540"/>
      <c r="J540"/>
    </row>
    <row r="541" spans="1:10" x14ac:dyDescent="0.25">
      <c r="A541" s="230"/>
      <c r="B541" s="231"/>
      <c r="C541" s="15"/>
      <c r="D541"/>
      <c r="E541"/>
      <c r="F541" s="15"/>
      <c r="G541"/>
      <c r="H541"/>
      <c r="I541"/>
      <c r="J541"/>
    </row>
    <row r="542" spans="1:10" x14ac:dyDescent="0.25">
      <c r="A542" s="230"/>
      <c r="B542" s="231"/>
      <c r="C542" s="15"/>
      <c r="D542"/>
      <c r="E542"/>
      <c r="F542" s="15"/>
      <c r="G542"/>
      <c r="H542"/>
      <c r="I542"/>
      <c r="J542"/>
    </row>
    <row r="543" spans="1:10" x14ac:dyDescent="0.25">
      <c r="A543" s="230"/>
      <c r="B543" s="231"/>
      <c r="C543" s="15"/>
      <c r="D543"/>
      <c r="E543"/>
      <c r="F543" s="15"/>
      <c r="G543"/>
      <c r="H543"/>
      <c r="I543"/>
      <c r="J543"/>
    </row>
    <row r="544" spans="1:10" x14ac:dyDescent="0.25">
      <c r="A544" s="230"/>
      <c r="B544" s="231"/>
      <c r="C544" s="15"/>
      <c r="D544"/>
      <c r="E544"/>
      <c r="F544" s="15"/>
      <c r="G544"/>
      <c r="H544"/>
      <c r="I544"/>
      <c r="J544"/>
    </row>
    <row r="545" spans="1:10" x14ac:dyDescent="0.25">
      <c r="A545" s="230"/>
      <c r="B545" s="231"/>
      <c r="C545" s="15"/>
      <c r="D545"/>
      <c r="E545"/>
      <c r="F545" s="15"/>
      <c r="G545"/>
      <c r="H545"/>
      <c r="I545"/>
      <c r="J545"/>
    </row>
    <row r="546" spans="1:10" x14ac:dyDescent="0.25">
      <c r="A546" s="230"/>
      <c r="B546" s="231"/>
      <c r="C546" s="15"/>
      <c r="D546"/>
      <c r="E546"/>
      <c r="F546" s="15"/>
      <c r="G546"/>
      <c r="H546"/>
      <c r="I546"/>
      <c r="J546"/>
    </row>
    <row r="547" spans="1:10" x14ac:dyDescent="0.25">
      <c r="A547" s="230"/>
      <c r="B547" s="231"/>
      <c r="C547" s="15"/>
      <c r="D547"/>
      <c r="E547"/>
      <c r="F547" s="15"/>
      <c r="G547"/>
      <c r="H547"/>
      <c r="I547"/>
      <c r="J547"/>
    </row>
    <row r="548" spans="1:10" x14ac:dyDescent="0.25">
      <c r="A548" s="230"/>
      <c r="B548" s="231"/>
      <c r="C548" s="15"/>
      <c r="D548"/>
      <c r="E548"/>
      <c r="F548" s="15"/>
      <c r="G548"/>
      <c r="H548"/>
      <c r="I548"/>
      <c r="J548"/>
    </row>
    <row r="549" spans="1:10" x14ac:dyDescent="0.25">
      <c r="A549" s="230"/>
      <c r="B549" s="231"/>
      <c r="C549" s="15"/>
      <c r="D549"/>
      <c r="E549"/>
      <c r="F549" s="15"/>
      <c r="G549"/>
      <c r="H549"/>
      <c r="I549"/>
      <c r="J549"/>
    </row>
    <row r="550" spans="1:10" x14ac:dyDescent="0.25">
      <c r="A550" s="230"/>
      <c r="B550" s="231"/>
      <c r="C550" s="15"/>
      <c r="D550"/>
      <c r="E550"/>
      <c r="F550" s="15"/>
      <c r="G550"/>
      <c r="H550"/>
      <c r="I550"/>
      <c r="J550"/>
    </row>
    <row r="551" spans="1:10" x14ac:dyDescent="0.25">
      <c r="A551" s="230"/>
      <c r="B551" s="231"/>
      <c r="C551" s="15"/>
      <c r="D551"/>
      <c r="E551"/>
      <c r="F551" s="15"/>
      <c r="G551"/>
      <c r="H551"/>
      <c r="I551"/>
      <c r="J551"/>
    </row>
    <row r="552" spans="1:10" x14ac:dyDescent="0.25">
      <c r="A552" s="230"/>
      <c r="B552" s="231"/>
      <c r="C552" s="15"/>
      <c r="D552"/>
      <c r="E552"/>
      <c r="F552" s="15"/>
      <c r="G552"/>
      <c r="H552"/>
      <c r="I552"/>
      <c r="J552"/>
    </row>
    <row r="553" spans="1:10" x14ac:dyDescent="0.25">
      <c r="A553" s="230"/>
      <c r="B553" s="231"/>
      <c r="C553" s="15"/>
      <c r="D553"/>
      <c r="E553"/>
      <c r="F553" s="15"/>
      <c r="G553"/>
      <c r="H553"/>
      <c r="I553"/>
      <c r="J553"/>
    </row>
    <row r="554" spans="1:10" x14ac:dyDescent="0.25">
      <c r="A554" s="230"/>
      <c r="B554" s="231"/>
      <c r="C554" s="15"/>
      <c r="D554"/>
      <c r="E554"/>
      <c r="F554" s="15"/>
      <c r="G554"/>
      <c r="H554"/>
      <c r="I554"/>
      <c r="J554"/>
    </row>
    <row r="555" spans="1:10" x14ac:dyDescent="0.25">
      <c r="A555" s="230"/>
      <c r="B555" s="231"/>
      <c r="C555" s="15"/>
      <c r="D555"/>
      <c r="E555"/>
      <c r="F555" s="15"/>
      <c r="G555"/>
      <c r="H555"/>
      <c r="I555"/>
      <c r="J555"/>
    </row>
    <row r="556" spans="1:10" x14ac:dyDescent="0.25">
      <c r="A556" s="230"/>
      <c r="B556" s="231"/>
      <c r="C556" s="15"/>
      <c r="D556"/>
      <c r="E556"/>
      <c r="F556" s="15"/>
      <c r="G556"/>
      <c r="H556"/>
      <c r="I556"/>
      <c r="J556"/>
    </row>
    <row r="557" spans="1:10" x14ac:dyDescent="0.25">
      <c r="A557" s="230"/>
      <c r="B557" s="231"/>
      <c r="C557" s="15"/>
      <c r="D557"/>
      <c r="E557"/>
      <c r="F557" s="15"/>
      <c r="G557"/>
      <c r="H557"/>
      <c r="I557"/>
      <c r="J557"/>
    </row>
    <row r="558" spans="1:10" x14ac:dyDescent="0.25">
      <c r="A558" s="230"/>
      <c r="B558" s="231"/>
      <c r="C558" s="15"/>
      <c r="D558"/>
      <c r="E558"/>
      <c r="F558" s="15"/>
      <c r="G558"/>
      <c r="H558"/>
      <c r="I558"/>
      <c r="J558"/>
    </row>
    <row r="559" spans="1:10" x14ac:dyDescent="0.25">
      <c r="A559" s="230"/>
      <c r="B559" s="231"/>
      <c r="C559" s="15"/>
      <c r="D559"/>
      <c r="E559"/>
      <c r="F559" s="15"/>
      <c r="G559"/>
      <c r="H559"/>
      <c r="I559"/>
      <c r="J559"/>
    </row>
    <row r="560" spans="1:10" x14ac:dyDescent="0.25">
      <c r="A560" s="230"/>
      <c r="B560" s="231"/>
      <c r="C560" s="15"/>
      <c r="D560"/>
      <c r="E560"/>
      <c r="F560" s="15"/>
      <c r="G560"/>
      <c r="H560"/>
      <c r="I560"/>
      <c r="J560"/>
    </row>
    <row r="561" spans="1:10" x14ac:dyDescent="0.25">
      <c r="A561" s="230"/>
      <c r="B561" s="231"/>
      <c r="C561" s="15"/>
      <c r="D561"/>
      <c r="E561"/>
      <c r="F561" s="15"/>
      <c r="G561"/>
      <c r="H561"/>
      <c r="I561"/>
      <c r="J561"/>
    </row>
    <row r="562" spans="1:10" x14ac:dyDescent="0.25">
      <c r="A562" s="230"/>
      <c r="B562" s="231"/>
      <c r="C562" s="15"/>
      <c r="D562"/>
      <c r="E562"/>
      <c r="F562" s="15"/>
      <c r="G562"/>
      <c r="H562"/>
      <c r="I562"/>
      <c r="J562"/>
    </row>
    <row r="563" spans="1:10" x14ac:dyDescent="0.25">
      <c r="A563" s="230"/>
      <c r="B563" s="231"/>
      <c r="C563" s="15"/>
      <c r="D563"/>
      <c r="E563"/>
      <c r="F563" s="15"/>
      <c r="G563"/>
      <c r="H563"/>
      <c r="I563"/>
      <c r="J563"/>
    </row>
    <row r="564" spans="1:10" x14ac:dyDescent="0.25">
      <c r="A564" s="230"/>
      <c r="B564" s="231"/>
      <c r="C564" s="15"/>
      <c r="D564"/>
      <c r="E564"/>
      <c r="F564" s="15"/>
      <c r="G564"/>
      <c r="H564"/>
      <c r="I564"/>
      <c r="J564"/>
    </row>
    <row r="565" spans="1:10" x14ac:dyDescent="0.25">
      <c r="A565" s="230"/>
      <c r="B565" s="231"/>
      <c r="C565" s="15"/>
      <c r="D565"/>
      <c r="E565"/>
      <c r="F565" s="15"/>
      <c r="G565"/>
      <c r="H565"/>
      <c r="I565"/>
      <c r="J565"/>
    </row>
    <row r="566" spans="1:10" x14ac:dyDescent="0.25">
      <c r="A566" s="230"/>
      <c r="B566" s="231"/>
      <c r="C566" s="15"/>
      <c r="D566"/>
      <c r="E566"/>
      <c r="F566" s="15"/>
      <c r="G566"/>
      <c r="H566"/>
      <c r="I566"/>
      <c r="J566"/>
    </row>
    <row r="567" spans="1:10" x14ac:dyDescent="0.25">
      <c r="A567" s="230"/>
      <c r="B567" s="231"/>
      <c r="C567" s="15"/>
      <c r="D567"/>
      <c r="E567"/>
      <c r="F567" s="15"/>
      <c r="G567"/>
      <c r="H567"/>
      <c r="I567"/>
      <c r="J567"/>
    </row>
    <row r="568" spans="1:10" x14ac:dyDescent="0.25">
      <c r="A568" s="230"/>
      <c r="B568" s="231"/>
      <c r="C568" s="15"/>
      <c r="D568"/>
      <c r="E568"/>
      <c r="F568" s="15"/>
      <c r="G568"/>
      <c r="H568"/>
      <c r="I568"/>
      <c r="J568"/>
    </row>
    <row r="569" spans="1:10" x14ac:dyDescent="0.25">
      <c r="A569" s="230"/>
      <c r="B569" s="231"/>
      <c r="C569" s="15"/>
      <c r="D569"/>
      <c r="E569"/>
      <c r="F569" s="15"/>
      <c r="G569"/>
      <c r="H569"/>
      <c r="I569"/>
      <c r="J569"/>
    </row>
    <row r="570" spans="1:10" x14ac:dyDescent="0.25">
      <c r="A570" s="230"/>
      <c r="B570" s="231"/>
      <c r="C570" s="15"/>
      <c r="D570"/>
      <c r="E570"/>
      <c r="F570" s="15"/>
      <c r="G570"/>
      <c r="H570"/>
      <c r="I570"/>
      <c r="J570"/>
    </row>
    <row r="571" spans="1:10" x14ac:dyDescent="0.25">
      <c r="A571" s="230"/>
      <c r="B571" s="231"/>
      <c r="C571" s="15"/>
      <c r="D571"/>
      <c r="E571"/>
      <c r="F571" s="15"/>
      <c r="G571"/>
      <c r="H571"/>
      <c r="I571"/>
      <c r="J571"/>
    </row>
    <row r="572" spans="1:10" x14ac:dyDescent="0.25">
      <c r="A572" s="230"/>
      <c r="B572" s="231"/>
      <c r="C572" s="15"/>
      <c r="D572"/>
      <c r="E572"/>
      <c r="F572" s="15"/>
      <c r="G572"/>
      <c r="H572"/>
      <c r="I572"/>
      <c r="J572"/>
    </row>
    <row r="573" spans="1:10" x14ac:dyDescent="0.25">
      <c r="A573" s="230"/>
      <c r="B573" s="231"/>
      <c r="C573" s="15"/>
      <c r="D573"/>
      <c r="E573"/>
      <c r="F573" s="15"/>
      <c r="G573"/>
      <c r="H573"/>
      <c r="I573"/>
      <c r="J573"/>
    </row>
    <row r="574" spans="1:10" x14ac:dyDescent="0.25">
      <c r="A574" s="230"/>
      <c r="B574" s="231"/>
      <c r="C574" s="15"/>
      <c r="D574"/>
      <c r="E574"/>
      <c r="F574" s="15"/>
      <c r="G574"/>
      <c r="H574"/>
      <c r="I574"/>
      <c r="J574"/>
    </row>
    <row r="575" spans="1:10" x14ac:dyDescent="0.25">
      <c r="A575" s="230"/>
      <c r="B575" s="231"/>
      <c r="C575" s="15"/>
      <c r="D575"/>
      <c r="E575"/>
      <c r="F575" s="15"/>
      <c r="G575"/>
      <c r="H575"/>
      <c r="I575"/>
      <c r="J575"/>
    </row>
    <row r="576" spans="1:10" x14ac:dyDescent="0.25">
      <c r="A576" s="230"/>
      <c r="B576" s="231"/>
      <c r="C576" s="15"/>
      <c r="D576"/>
      <c r="E576"/>
      <c r="F576" s="15"/>
      <c r="G576"/>
      <c r="H576"/>
      <c r="I576"/>
      <c r="J576"/>
    </row>
    <row r="577" spans="1:10" x14ac:dyDescent="0.25">
      <c r="A577" s="230"/>
      <c r="B577" s="231"/>
      <c r="C577" s="15"/>
      <c r="D577"/>
      <c r="E577"/>
      <c r="F577" s="15"/>
      <c r="G577"/>
      <c r="H577"/>
      <c r="I577"/>
      <c r="J577"/>
    </row>
    <row r="578" spans="1:10" x14ac:dyDescent="0.25">
      <c r="A578" s="230"/>
      <c r="B578" s="231"/>
      <c r="C578" s="15"/>
      <c r="D578"/>
      <c r="E578"/>
      <c r="F578" s="15"/>
      <c r="G578"/>
      <c r="H578"/>
      <c r="I578"/>
      <c r="J578"/>
    </row>
    <row r="579" spans="1:10" x14ac:dyDescent="0.25">
      <c r="A579" s="230"/>
      <c r="B579" s="231"/>
      <c r="C579" s="15"/>
      <c r="D579"/>
      <c r="E579"/>
      <c r="F579" s="15"/>
      <c r="G579"/>
      <c r="H579"/>
      <c r="I579"/>
      <c r="J579"/>
    </row>
    <row r="580" spans="1:10" x14ac:dyDescent="0.25">
      <c r="A580" s="230"/>
      <c r="B580" s="231"/>
      <c r="C580" s="15"/>
      <c r="D580"/>
      <c r="E580"/>
      <c r="F580" s="15"/>
      <c r="G580"/>
      <c r="H580"/>
      <c r="I580"/>
      <c r="J580"/>
    </row>
    <row r="581" spans="1:10" x14ac:dyDescent="0.25">
      <c r="A581" s="230"/>
      <c r="B581" s="231"/>
      <c r="C581" s="15"/>
      <c r="D581"/>
      <c r="E581"/>
      <c r="F581" s="15"/>
      <c r="G581"/>
      <c r="H581"/>
      <c r="I581"/>
      <c r="J581"/>
    </row>
    <row r="582" spans="1:10" x14ac:dyDescent="0.25">
      <c r="A582" s="230"/>
      <c r="B582" s="231"/>
      <c r="C582" s="15"/>
      <c r="D582"/>
      <c r="E582"/>
      <c r="F582" s="15"/>
      <c r="G582"/>
      <c r="H582"/>
      <c r="I582"/>
      <c r="J582"/>
    </row>
    <row r="583" spans="1:10" x14ac:dyDescent="0.25">
      <c r="A583" s="230"/>
      <c r="B583" s="231"/>
      <c r="C583" s="15"/>
      <c r="D583"/>
      <c r="E583"/>
      <c r="F583" s="15"/>
      <c r="G583"/>
      <c r="H583"/>
      <c r="I583"/>
      <c r="J583"/>
    </row>
    <row r="584" spans="1:10" x14ac:dyDescent="0.25">
      <c r="A584" s="230"/>
      <c r="B584" s="231"/>
      <c r="C584" s="15"/>
      <c r="D584"/>
      <c r="E584"/>
      <c r="F584" s="15"/>
      <c r="G584"/>
      <c r="H584"/>
      <c r="I584"/>
      <c r="J584"/>
    </row>
    <row r="585" spans="1:10" x14ac:dyDescent="0.25">
      <c r="A585" s="230"/>
      <c r="B585" s="231"/>
      <c r="C585" s="15"/>
      <c r="D585"/>
      <c r="E585"/>
      <c r="F585" s="15"/>
      <c r="G585"/>
      <c r="H585"/>
      <c r="I585"/>
      <c r="J585"/>
    </row>
    <row r="586" spans="1:10" x14ac:dyDescent="0.25">
      <c r="A586" s="230"/>
      <c r="B586" s="231"/>
      <c r="C586" s="15"/>
      <c r="D586"/>
      <c r="E586"/>
      <c r="F586" s="15"/>
      <c r="G586"/>
      <c r="H586"/>
      <c r="I586"/>
      <c r="J586"/>
    </row>
    <row r="587" spans="1:10" x14ac:dyDescent="0.25">
      <c r="A587" s="230"/>
      <c r="B587" s="231"/>
      <c r="C587" s="15"/>
      <c r="D587"/>
      <c r="E587"/>
      <c r="F587" s="15"/>
      <c r="G587"/>
      <c r="H587"/>
      <c r="I587"/>
      <c r="J587"/>
    </row>
    <row r="588" spans="1:10" x14ac:dyDescent="0.25">
      <c r="A588" s="230"/>
      <c r="B588" s="231"/>
      <c r="C588" s="15"/>
      <c r="D588"/>
      <c r="E588"/>
      <c r="F588" s="15"/>
      <c r="G588"/>
      <c r="H588"/>
      <c r="I588"/>
      <c r="J588"/>
    </row>
    <row r="589" spans="1:10" x14ac:dyDescent="0.25">
      <c r="A589" s="230"/>
      <c r="B589" s="231"/>
      <c r="C589" s="15"/>
      <c r="D589"/>
      <c r="E589"/>
      <c r="F589" s="15"/>
      <c r="G589"/>
      <c r="H589"/>
      <c r="I589"/>
      <c r="J589"/>
    </row>
    <row r="590" spans="1:10" x14ac:dyDescent="0.25">
      <c r="A590" s="230"/>
      <c r="B590" s="231"/>
      <c r="C590" s="15"/>
      <c r="D590"/>
      <c r="E590"/>
      <c r="F590" s="15"/>
      <c r="G590"/>
      <c r="H590"/>
      <c r="I590"/>
      <c r="J590"/>
    </row>
    <row r="591" spans="1:10" x14ac:dyDescent="0.25">
      <c r="A591" s="230"/>
      <c r="B591" s="231"/>
      <c r="C591" s="15"/>
      <c r="D591"/>
      <c r="E591"/>
      <c r="F591" s="15"/>
      <c r="G591"/>
      <c r="H591"/>
      <c r="I591"/>
      <c r="J591"/>
    </row>
    <row r="592" spans="1:10" x14ac:dyDescent="0.25">
      <c r="A592" s="230"/>
      <c r="B592" s="231"/>
      <c r="C592" s="15"/>
      <c r="D592"/>
      <c r="E592"/>
      <c r="F592" s="15"/>
      <c r="G592"/>
      <c r="H592"/>
      <c r="I592"/>
      <c r="J592"/>
    </row>
    <row r="593" spans="1:10" x14ac:dyDescent="0.25">
      <c r="A593" s="230"/>
      <c r="B593" s="231"/>
      <c r="C593" s="15"/>
      <c r="D593"/>
      <c r="E593"/>
      <c r="F593" s="15"/>
      <c r="G593"/>
      <c r="H593"/>
      <c r="I593"/>
      <c r="J593"/>
    </row>
    <row r="594" spans="1:10" x14ac:dyDescent="0.25">
      <c r="A594" s="230"/>
      <c r="B594" s="231"/>
      <c r="C594" s="15"/>
      <c r="D594"/>
      <c r="E594"/>
      <c r="F594" s="15"/>
      <c r="G594"/>
      <c r="H594"/>
      <c r="I594"/>
      <c r="J594"/>
    </row>
    <row r="595" spans="1:10" x14ac:dyDescent="0.25">
      <c r="A595" s="230"/>
      <c r="B595" s="231"/>
      <c r="C595" s="15"/>
      <c r="D595"/>
      <c r="E595"/>
      <c r="F595" s="15"/>
      <c r="G595"/>
      <c r="H595"/>
      <c r="I595"/>
      <c r="J595"/>
    </row>
    <row r="596" spans="1:10" x14ac:dyDescent="0.25">
      <c r="A596" s="230"/>
      <c r="B596" s="231"/>
      <c r="C596" s="15"/>
      <c r="D596"/>
      <c r="E596"/>
      <c r="F596" s="15"/>
      <c r="G596"/>
      <c r="H596"/>
      <c r="I596"/>
      <c r="J596"/>
    </row>
    <row r="597" spans="1:10" x14ac:dyDescent="0.25">
      <c r="A597" s="230"/>
      <c r="B597" s="231"/>
      <c r="C597" s="15"/>
      <c r="D597"/>
      <c r="E597"/>
      <c r="F597" s="15"/>
      <c r="G597"/>
      <c r="H597"/>
      <c r="I597"/>
      <c r="J597"/>
    </row>
    <row r="598" spans="1:10" x14ac:dyDescent="0.25">
      <c r="A598" s="230"/>
      <c r="B598" s="231"/>
      <c r="C598" s="15"/>
      <c r="D598"/>
      <c r="E598"/>
      <c r="F598" s="15"/>
      <c r="G598"/>
      <c r="H598"/>
      <c r="I598"/>
      <c r="J598"/>
    </row>
    <row r="599" spans="1:10" x14ac:dyDescent="0.25">
      <c r="A599" s="230"/>
      <c r="B599" s="231"/>
      <c r="C599" s="15"/>
      <c r="D599"/>
      <c r="E599"/>
      <c r="F599" s="15"/>
      <c r="G599"/>
      <c r="H599"/>
      <c r="I599"/>
      <c r="J599"/>
    </row>
    <row r="600" spans="1:10" x14ac:dyDescent="0.25">
      <c r="A600" s="230"/>
      <c r="B600" s="231"/>
      <c r="C600" s="15"/>
      <c r="D600"/>
      <c r="E600"/>
      <c r="F600" s="15"/>
      <c r="G600"/>
      <c r="H600"/>
      <c r="I600"/>
      <c r="J600"/>
    </row>
    <row r="601" spans="1:10" x14ac:dyDescent="0.25">
      <c r="A601" s="230"/>
      <c r="B601" s="231"/>
      <c r="C601" s="15"/>
      <c r="D601"/>
      <c r="E601"/>
      <c r="F601" s="15"/>
      <c r="G601"/>
      <c r="H601"/>
      <c r="I601"/>
      <c r="J601"/>
    </row>
    <row r="602" spans="1:10" x14ac:dyDescent="0.25">
      <c r="A602" s="230"/>
      <c r="B602" s="231"/>
      <c r="C602" s="15"/>
      <c r="D602"/>
      <c r="E602"/>
      <c r="F602" s="15"/>
      <c r="G602"/>
      <c r="H602"/>
      <c r="I602"/>
      <c r="J602"/>
    </row>
    <row r="603" spans="1:10" x14ac:dyDescent="0.25">
      <c r="A603" s="230"/>
      <c r="B603" s="231"/>
      <c r="C603" s="15"/>
      <c r="D603"/>
      <c r="E603"/>
      <c r="F603" s="15"/>
      <c r="G603"/>
      <c r="H603"/>
      <c r="I603"/>
      <c r="J603"/>
    </row>
    <row r="604" spans="1:10" x14ac:dyDescent="0.25">
      <c r="A604" s="230"/>
      <c r="B604" s="231"/>
      <c r="C604" s="15"/>
      <c r="D604"/>
      <c r="E604"/>
      <c r="F604" s="15"/>
      <c r="G604"/>
      <c r="H604"/>
      <c r="I604"/>
      <c r="J604"/>
    </row>
    <row r="605" spans="1:10" x14ac:dyDescent="0.25">
      <c r="A605" s="230"/>
      <c r="B605" s="231"/>
      <c r="C605" s="15"/>
      <c r="D605"/>
      <c r="E605"/>
      <c r="F605" s="15"/>
      <c r="G605"/>
      <c r="H605"/>
      <c r="I605"/>
      <c r="J605"/>
    </row>
    <row r="606" spans="1:10" x14ac:dyDescent="0.25">
      <c r="A606" s="230"/>
      <c r="B606" s="231"/>
      <c r="C606" s="15"/>
      <c r="D606"/>
      <c r="E606"/>
      <c r="F606" s="15"/>
      <c r="G606"/>
      <c r="H606"/>
      <c r="I606"/>
      <c r="J606"/>
    </row>
    <row r="607" spans="1:10" x14ac:dyDescent="0.25">
      <c r="A607" s="230"/>
      <c r="B607" s="231"/>
      <c r="C607" s="15"/>
      <c r="D607"/>
      <c r="E607"/>
      <c r="F607" s="15"/>
      <c r="G607"/>
      <c r="H607"/>
      <c r="I607"/>
      <c r="J607"/>
    </row>
    <row r="608" spans="1:10" x14ac:dyDescent="0.25">
      <c r="A608" s="230"/>
      <c r="B608" s="231"/>
      <c r="C608" s="15"/>
      <c r="D608"/>
      <c r="E608"/>
      <c r="F608" s="15"/>
      <c r="G608"/>
      <c r="H608"/>
      <c r="I608"/>
      <c r="J608"/>
    </row>
    <row r="609" spans="1:10" x14ac:dyDescent="0.25">
      <c r="A609" s="230"/>
      <c r="B609" s="231"/>
      <c r="C609" s="15"/>
      <c r="D609"/>
      <c r="E609"/>
      <c r="F609" s="15"/>
      <c r="G609"/>
      <c r="H609"/>
      <c r="I609"/>
      <c r="J609"/>
    </row>
    <row r="610" spans="1:10" x14ac:dyDescent="0.25">
      <c r="A610" s="230"/>
      <c r="B610" s="231"/>
      <c r="C610" s="15"/>
      <c r="D610"/>
      <c r="E610"/>
      <c r="F610" s="15"/>
      <c r="G610"/>
      <c r="H610"/>
      <c r="I610"/>
      <c r="J610"/>
    </row>
    <row r="611" spans="1:10" x14ac:dyDescent="0.25">
      <c r="A611" s="230"/>
      <c r="B611" s="231"/>
      <c r="C611" s="15"/>
      <c r="D611"/>
      <c r="E611"/>
      <c r="F611" s="15"/>
      <c r="G611"/>
      <c r="H611"/>
      <c r="I611"/>
      <c r="J611"/>
    </row>
    <row r="612" spans="1:10" x14ac:dyDescent="0.25">
      <c r="A612" s="230"/>
      <c r="B612" s="231"/>
      <c r="C612" s="15"/>
      <c r="D612"/>
      <c r="E612"/>
      <c r="F612" s="15"/>
      <c r="G612"/>
      <c r="H612"/>
      <c r="I612"/>
      <c r="J612"/>
    </row>
    <row r="613" spans="1:10" x14ac:dyDescent="0.25">
      <c r="A613" s="230"/>
      <c r="B613" s="231"/>
      <c r="C613" s="15"/>
      <c r="D613"/>
      <c r="E613"/>
      <c r="F613" s="15"/>
      <c r="G613"/>
      <c r="H613"/>
      <c r="I613"/>
      <c r="J613"/>
    </row>
    <row r="614" spans="1:10" x14ac:dyDescent="0.25">
      <c r="A614" s="230"/>
      <c r="B614" s="231"/>
      <c r="C614" s="15"/>
      <c r="D614"/>
      <c r="E614"/>
      <c r="F614" s="15"/>
      <c r="G614"/>
      <c r="H614"/>
      <c r="I614"/>
      <c r="J614"/>
    </row>
    <row r="615" spans="1:10" x14ac:dyDescent="0.25">
      <c r="A615" s="230"/>
      <c r="B615" s="231"/>
      <c r="C615" s="15"/>
      <c r="D615"/>
      <c r="E615"/>
      <c r="F615" s="15"/>
      <c r="G615"/>
      <c r="H615"/>
      <c r="I615"/>
      <c r="J615"/>
    </row>
    <row r="616" spans="1:10" x14ac:dyDescent="0.25">
      <c r="A616" s="230"/>
      <c r="B616" s="231"/>
      <c r="C616" s="15"/>
      <c r="D616"/>
      <c r="E616"/>
      <c r="F616" s="15"/>
      <c r="G616"/>
      <c r="H616"/>
      <c r="I616"/>
      <c r="J616"/>
    </row>
    <row r="617" spans="1:10" x14ac:dyDescent="0.25">
      <c r="A617" s="230"/>
      <c r="B617" s="231"/>
      <c r="C617" s="15"/>
      <c r="D617"/>
      <c r="E617"/>
      <c r="F617" s="15"/>
      <c r="G617"/>
      <c r="H617"/>
      <c r="I617"/>
      <c r="J617"/>
    </row>
    <row r="618" spans="1:10" x14ac:dyDescent="0.25">
      <c r="A618" s="230"/>
      <c r="B618" s="231"/>
      <c r="C618" s="15"/>
      <c r="D618"/>
      <c r="E618"/>
      <c r="F618" s="15"/>
      <c r="G618"/>
      <c r="H618"/>
      <c r="I618"/>
      <c r="J618"/>
    </row>
    <row r="619" spans="1:10" x14ac:dyDescent="0.25">
      <c r="A619" s="230"/>
      <c r="B619" s="231"/>
      <c r="C619" s="15"/>
      <c r="D619"/>
      <c r="E619"/>
      <c r="F619" s="15"/>
      <c r="G619"/>
      <c r="H619"/>
      <c r="I619"/>
      <c r="J619"/>
    </row>
    <row r="620" spans="1:10" x14ac:dyDescent="0.25">
      <c r="A620" s="230"/>
      <c r="B620" s="231"/>
      <c r="C620" s="15"/>
      <c r="D620"/>
      <c r="E620"/>
      <c r="F620" s="15"/>
      <c r="G620"/>
      <c r="H620"/>
      <c r="I620"/>
      <c r="J620"/>
    </row>
    <row r="621" spans="1:10" x14ac:dyDescent="0.25">
      <c r="A621" s="230"/>
      <c r="B621" s="231"/>
      <c r="C621" s="15"/>
      <c r="D621"/>
      <c r="E621"/>
      <c r="F621" s="15"/>
      <c r="G621"/>
      <c r="H621"/>
      <c r="I621"/>
      <c r="J621"/>
    </row>
    <row r="622" spans="1:10" x14ac:dyDescent="0.25">
      <c r="A622" s="230"/>
      <c r="B622" s="231"/>
      <c r="C622" s="15"/>
      <c r="D622"/>
      <c r="E622"/>
      <c r="F622" s="15"/>
      <c r="G622"/>
      <c r="H622"/>
      <c r="I622"/>
      <c r="J622"/>
    </row>
    <row r="623" spans="1:10" x14ac:dyDescent="0.25">
      <c r="A623" s="230"/>
      <c r="B623" s="231"/>
      <c r="C623" s="15"/>
      <c r="D623"/>
      <c r="E623"/>
      <c r="F623" s="15"/>
      <c r="G623"/>
      <c r="H623"/>
      <c r="I623"/>
      <c r="J623"/>
    </row>
    <row r="624" spans="1:10" x14ac:dyDescent="0.25">
      <c r="A624" s="230"/>
      <c r="B624" s="231"/>
      <c r="C624" s="15"/>
      <c r="D624"/>
      <c r="E624"/>
      <c r="F624" s="15"/>
      <c r="G624"/>
      <c r="H624"/>
      <c r="I624"/>
      <c r="J624"/>
    </row>
    <row r="625" spans="1:10" x14ac:dyDescent="0.25">
      <c r="A625" s="230"/>
      <c r="B625" s="231"/>
      <c r="C625" s="15"/>
      <c r="D625"/>
      <c r="E625"/>
      <c r="F625" s="15"/>
      <c r="G625"/>
      <c r="H625"/>
      <c r="I625"/>
      <c r="J625"/>
    </row>
    <row r="626" spans="1:10" x14ac:dyDescent="0.25">
      <c r="A626" s="230"/>
      <c r="B626" s="231"/>
      <c r="C626" s="15"/>
      <c r="D626"/>
      <c r="E626"/>
      <c r="F626" s="15"/>
      <c r="G626"/>
      <c r="H626"/>
      <c r="I626"/>
      <c r="J626"/>
    </row>
    <row r="627" spans="1:10" x14ac:dyDescent="0.25">
      <c r="A627" s="230"/>
      <c r="B627" s="231"/>
      <c r="C627" s="15"/>
      <c r="D627"/>
      <c r="E627"/>
      <c r="F627" s="15"/>
      <c r="G627"/>
      <c r="H627"/>
      <c r="I627"/>
      <c r="J627"/>
    </row>
    <row r="628" spans="1:10" x14ac:dyDescent="0.25">
      <c r="A628" s="230"/>
      <c r="B628" s="231"/>
      <c r="C628" s="15"/>
      <c r="D628"/>
      <c r="E628"/>
      <c r="F628" s="15"/>
      <c r="G628"/>
      <c r="H628"/>
      <c r="I628"/>
      <c r="J628"/>
    </row>
    <row r="629" spans="1:10" x14ac:dyDescent="0.25">
      <c r="A629" s="230"/>
      <c r="B629" s="231"/>
      <c r="C629" s="15"/>
      <c r="D629"/>
      <c r="E629"/>
      <c r="F629" s="15"/>
      <c r="G629"/>
      <c r="H629"/>
      <c r="I629"/>
      <c r="J629"/>
    </row>
    <row r="630" spans="1:10" x14ac:dyDescent="0.25">
      <c r="A630" s="230"/>
      <c r="B630" s="231"/>
      <c r="C630" s="15"/>
      <c r="D630"/>
      <c r="E630"/>
      <c r="F630" s="15"/>
      <c r="G630"/>
      <c r="H630"/>
      <c r="I630"/>
      <c r="J630"/>
    </row>
    <row r="631" spans="1:10" x14ac:dyDescent="0.25">
      <c r="A631" s="230"/>
      <c r="B631" s="231"/>
      <c r="C631" s="15"/>
      <c r="D631"/>
      <c r="E631"/>
      <c r="F631" s="15"/>
      <c r="G631"/>
      <c r="H631"/>
      <c r="I631"/>
      <c r="J631"/>
    </row>
    <row r="632" spans="1:10" x14ac:dyDescent="0.25">
      <c r="A632" s="230"/>
      <c r="B632" s="231"/>
      <c r="C632" s="15"/>
      <c r="D632"/>
      <c r="E632"/>
      <c r="F632" s="15"/>
      <c r="G632"/>
      <c r="H632"/>
      <c r="I632"/>
      <c r="J632"/>
    </row>
    <row r="633" spans="1:10" x14ac:dyDescent="0.25">
      <c r="A633" s="230"/>
      <c r="B633" s="231"/>
      <c r="C633" s="15"/>
      <c r="D633"/>
      <c r="E633"/>
      <c r="F633" s="15"/>
      <c r="G633"/>
      <c r="H633"/>
      <c r="I633"/>
      <c r="J633"/>
    </row>
    <row r="634" spans="1:10" x14ac:dyDescent="0.25">
      <c r="A634" s="230"/>
      <c r="B634" s="231"/>
      <c r="C634" s="15"/>
      <c r="D634"/>
      <c r="E634"/>
      <c r="F634" s="15"/>
      <c r="G634"/>
      <c r="H634"/>
      <c r="I634"/>
      <c r="J634"/>
    </row>
    <row r="635" spans="1:10" x14ac:dyDescent="0.25">
      <c r="A635" s="230"/>
      <c r="B635" s="231"/>
      <c r="C635" s="15"/>
      <c r="D635"/>
      <c r="E635"/>
      <c r="F635" s="15"/>
      <c r="G635"/>
      <c r="H635"/>
      <c r="I635"/>
      <c r="J635"/>
    </row>
    <row r="636" spans="1:10" x14ac:dyDescent="0.25">
      <c r="A636" s="230"/>
      <c r="B636" s="231"/>
      <c r="C636" s="15"/>
      <c r="D636"/>
      <c r="E636"/>
      <c r="F636" s="15"/>
      <c r="G636"/>
      <c r="H636"/>
      <c r="I636"/>
      <c r="J636"/>
    </row>
    <row r="637" spans="1:10" x14ac:dyDescent="0.25">
      <c r="A637" s="230"/>
      <c r="B637" s="231"/>
      <c r="C637" s="15"/>
      <c r="D637"/>
      <c r="E637"/>
      <c r="F637" s="15"/>
      <c r="G637"/>
      <c r="H637"/>
      <c r="I637"/>
      <c r="J637"/>
    </row>
    <row r="638" spans="1:10" x14ac:dyDescent="0.25">
      <c r="A638" s="230"/>
      <c r="B638" s="231"/>
      <c r="C638" s="15"/>
      <c r="D638"/>
      <c r="E638"/>
      <c r="F638" s="15"/>
      <c r="G638"/>
      <c r="H638"/>
      <c r="I638"/>
      <c r="J638"/>
    </row>
    <row r="639" spans="1:10" x14ac:dyDescent="0.25">
      <c r="A639" s="230"/>
      <c r="B639" s="231"/>
      <c r="C639" s="15"/>
      <c r="D639"/>
      <c r="E639"/>
      <c r="F639" s="15"/>
      <c r="G639"/>
      <c r="H639"/>
      <c r="I639"/>
      <c r="J639"/>
    </row>
    <row r="640" spans="1:10" x14ac:dyDescent="0.25">
      <c r="A640" s="230"/>
      <c r="B640" s="231"/>
      <c r="C640" s="15"/>
      <c r="D640"/>
      <c r="E640"/>
      <c r="F640" s="15"/>
      <c r="G640"/>
      <c r="H640"/>
      <c r="I640"/>
      <c r="J640"/>
    </row>
    <row r="641" spans="1:10" x14ac:dyDescent="0.25">
      <c r="A641" s="230"/>
      <c r="B641" s="231"/>
      <c r="C641" s="15"/>
      <c r="D641"/>
      <c r="E641"/>
      <c r="F641" s="15"/>
      <c r="G641"/>
      <c r="H641"/>
      <c r="I641"/>
      <c r="J641"/>
    </row>
    <row r="642" spans="1:10" x14ac:dyDescent="0.25">
      <c r="A642" s="230"/>
      <c r="B642" s="231"/>
      <c r="C642" s="15"/>
      <c r="D642"/>
      <c r="E642"/>
      <c r="F642" s="15"/>
      <c r="G642"/>
      <c r="H642"/>
      <c r="I642"/>
      <c r="J642"/>
    </row>
    <row r="643" spans="1:10" x14ac:dyDescent="0.25">
      <c r="A643" s="230"/>
      <c r="B643" s="231"/>
      <c r="C643" s="15"/>
      <c r="D643"/>
      <c r="E643"/>
      <c r="F643" s="15"/>
      <c r="G643"/>
      <c r="H643"/>
      <c r="I643"/>
      <c r="J643"/>
    </row>
    <row r="644" spans="1:10" x14ac:dyDescent="0.25">
      <c r="A644" s="230"/>
      <c r="B644" s="231"/>
      <c r="C644" s="15"/>
      <c r="D644"/>
      <c r="E644"/>
      <c r="F644" s="15"/>
      <c r="G644"/>
      <c r="H644"/>
      <c r="I644"/>
      <c r="J644"/>
    </row>
    <row r="645" spans="1:10" x14ac:dyDescent="0.25">
      <c r="A645" s="230"/>
      <c r="B645" s="231"/>
      <c r="C645" s="15"/>
      <c r="D645"/>
      <c r="E645"/>
      <c r="F645" s="15"/>
      <c r="G645"/>
      <c r="H645"/>
      <c r="I645"/>
      <c r="J645"/>
    </row>
    <row r="646" spans="1:10" x14ac:dyDescent="0.25">
      <c r="A646" s="230"/>
      <c r="B646" s="231"/>
      <c r="C646" s="15"/>
      <c r="D646"/>
      <c r="E646"/>
      <c r="F646" s="15"/>
      <c r="G646"/>
      <c r="H646"/>
      <c r="I646"/>
      <c r="J646"/>
    </row>
    <row r="647" spans="1:10" x14ac:dyDescent="0.25">
      <c r="A647" s="230"/>
      <c r="B647" s="231"/>
      <c r="C647" s="15"/>
      <c r="D647"/>
      <c r="E647"/>
      <c r="F647" s="15"/>
      <c r="G647"/>
      <c r="H647"/>
      <c r="I647"/>
      <c r="J647"/>
    </row>
    <row r="648" spans="1:10" x14ac:dyDescent="0.25">
      <c r="A648" s="230"/>
      <c r="B648" s="231"/>
      <c r="C648" s="15"/>
      <c r="D648"/>
      <c r="E648"/>
      <c r="F648" s="15"/>
      <c r="G648"/>
      <c r="H648"/>
      <c r="I648"/>
      <c r="J648"/>
    </row>
    <row r="649" spans="1:10" x14ac:dyDescent="0.25">
      <c r="A649" s="230"/>
      <c r="B649" s="231"/>
      <c r="C649" s="15"/>
      <c r="D649"/>
      <c r="E649"/>
      <c r="F649" s="15"/>
      <c r="G649"/>
      <c r="H649"/>
      <c r="I649"/>
      <c r="J649"/>
    </row>
    <row r="650" spans="1:10" x14ac:dyDescent="0.25">
      <c r="A650" s="230"/>
      <c r="B650" s="231"/>
      <c r="C650" s="15"/>
      <c r="D650"/>
      <c r="E650"/>
      <c r="F650" s="15"/>
      <c r="G650"/>
      <c r="H650"/>
      <c r="I650"/>
      <c r="J650"/>
    </row>
    <row r="651" spans="1:10" x14ac:dyDescent="0.25">
      <c r="A651" s="230"/>
      <c r="B651" s="231"/>
      <c r="C651" s="15"/>
      <c r="D651"/>
      <c r="E651"/>
      <c r="F651" s="15"/>
      <c r="G651"/>
      <c r="H651"/>
      <c r="I651"/>
      <c r="J651"/>
    </row>
    <row r="652" spans="1:10" x14ac:dyDescent="0.25">
      <c r="A652" s="230"/>
      <c r="B652" s="231"/>
      <c r="C652" s="15"/>
      <c r="D652"/>
      <c r="E652"/>
      <c r="F652" s="15"/>
      <c r="G652"/>
      <c r="H652"/>
      <c r="I652"/>
      <c r="J652"/>
    </row>
    <row r="653" spans="1:10" x14ac:dyDescent="0.25">
      <c r="A653" s="230"/>
      <c r="B653" s="231"/>
      <c r="C653" s="15"/>
      <c r="D653"/>
      <c r="E653"/>
      <c r="F653" s="15"/>
      <c r="G653"/>
      <c r="H653"/>
      <c r="I653"/>
      <c r="J653"/>
    </row>
    <row r="654" spans="1:10" x14ac:dyDescent="0.25">
      <c r="A654" s="230"/>
      <c r="B654" s="231"/>
      <c r="C654" s="15"/>
      <c r="D654"/>
      <c r="E654"/>
      <c r="F654" s="15"/>
      <c r="G654"/>
      <c r="H654"/>
      <c r="I654"/>
      <c r="J654"/>
    </row>
    <row r="655" spans="1:10" x14ac:dyDescent="0.25">
      <c r="A655" s="230"/>
      <c r="B655" s="231"/>
      <c r="C655" s="15"/>
      <c r="D655"/>
      <c r="E655"/>
      <c r="F655" s="15"/>
      <c r="G655"/>
      <c r="H655"/>
      <c r="I655"/>
      <c r="J655"/>
    </row>
    <row r="656" spans="1:10" x14ac:dyDescent="0.25">
      <c r="A656" s="230"/>
      <c r="B656" s="231"/>
      <c r="C656" s="15"/>
      <c r="D656"/>
      <c r="E656"/>
      <c r="F656" s="15"/>
      <c r="G656"/>
      <c r="H656"/>
      <c r="I656"/>
      <c r="J656"/>
    </row>
    <row r="657" spans="1:10" x14ac:dyDescent="0.25">
      <c r="A657" s="230"/>
      <c r="B657" s="231"/>
      <c r="C657" s="15"/>
      <c r="D657"/>
      <c r="E657"/>
      <c r="F657" s="15"/>
      <c r="G657"/>
      <c r="H657"/>
      <c r="I657"/>
      <c r="J657"/>
    </row>
    <row r="658" spans="1:10" x14ac:dyDescent="0.25">
      <c r="A658" s="230"/>
      <c r="B658" s="231"/>
      <c r="C658" s="15"/>
      <c r="D658"/>
      <c r="E658"/>
      <c r="F658" s="15"/>
      <c r="G658"/>
      <c r="H658"/>
      <c r="I658"/>
      <c r="J658"/>
    </row>
    <row r="659" spans="1:10" x14ac:dyDescent="0.25">
      <c r="A659" s="230"/>
      <c r="B659" s="231"/>
      <c r="C659" s="15"/>
      <c r="D659"/>
      <c r="E659"/>
      <c r="F659" s="15"/>
      <c r="G659"/>
      <c r="H659"/>
      <c r="I659"/>
      <c r="J659"/>
    </row>
    <row r="660" spans="1:10" x14ac:dyDescent="0.25">
      <c r="A660" s="230"/>
      <c r="B660" s="231"/>
      <c r="C660" s="15"/>
      <c r="D660"/>
      <c r="E660"/>
      <c r="F660" s="15"/>
      <c r="G660"/>
      <c r="H660"/>
      <c r="I660"/>
      <c r="J660"/>
    </row>
    <row r="661" spans="1:10" x14ac:dyDescent="0.25">
      <c r="A661" s="230"/>
      <c r="B661" s="231"/>
      <c r="C661" s="15"/>
      <c r="D661"/>
      <c r="E661"/>
      <c r="F661" s="15"/>
      <c r="G661"/>
      <c r="H661"/>
      <c r="I661"/>
      <c r="J661"/>
    </row>
    <row r="662" spans="1:10" x14ac:dyDescent="0.25">
      <c r="A662" s="230"/>
      <c r="B662" s="231"/>
      <c r="C662" s="15"/>
      <c r="D662"/>
      <c r="E662"/>
      <c r="F662" s="15"/>
      <c r="G662"/>
      <c r="H662"/>
      <c r="I662"/>
      <c r="J662"/>
    </row>
    <row r="663" spans="1:10" x14ac:dyDescent="0.25">
      <c r="A663" s="230"/>
      <c r="B663" s="231"/>
      <c r="C663" s="15"/>
      <c r="D663"/>
      <c r="E663"/>
      <c r="F663" s="15"/>
      <c r="G663"/>
      <c r="H663"/>
      <c r="I663"/>
      <c r="J663"/>
    </row>
    <row r="664" spans="1:10" x14ac:dyDescent="0.25">
      <c r="A664" s="230"/>
      <c r="B664" s="231"/>
      <c r="C664" s="15"/>
      <c r="D664"/>
      <c r="E664"/>
      <c r="F664" s="15"/>
      <c r="G664"/>
      <c r="H664"/>
      <c r="I664"/>
      <c r="J664"/>
    </row>
    <row r="665" spans="1:10" x14ac:dyDescent="0.25">
      <c r="A665" s="230"/>
      <c r="B665" s="231"/>
      <c r="C665" s="15"/>
      <c r="D665"/>
      <c r="E665"/>
      <c r="F665" s="15"/>
      <c r="G665"/>
      <c r="H665"/>
      <c r="I665"/>
      <c r="J665"/>
    </row>
    <row r="666" spans="1:10" x14ac:dyDescent="0.25">
      <c r="A666" s="230"/>
      <c r="B666" s="231"/>
      <c r="C666" s="15"/>
      <c r="D666"/>
      <c r="E666"/>
      <c r="F666" s="15"/>
      <c r="G666"/>
      <c r="H666"/>
      <c r="I666"/>
      <c r="J666"/>
    </row>
    <row r="667" spans="1:10" x14ac:dyDescent="0.25">
      <c r="A667" s="230"/>
      <c r="B667" s="231"/>
      <c r="C667" s="15"/>
      <c r="D667"/>
      <c r="E667"/>
      <c r="F667" s="15"/>
      <c r="G667"/>
      <c r="H667"/>
      <c r="I667"/>
      <c r="J667"/>
    </row>
    <row r="668" spans="1:10" x14ac:dyDescent="0.25">
      <c r="A668" s="230"/>
      <c r="B668" s="231"/>
      <c r="C668" s="15"/>
      <c r="D668"/>
      <c r="E668"/>
      <c r="F668" s="15"/>
      <c r="G668"/>
      <c r="H668"/>
      <c r="I668"/>
      <c r="J668"/>
    </row>
    <row r="669" spans="1:10" x14ac:dyDescent="0.25">
      <c r="A669" s="230"/>
      <c r="B669" s="231"/>
      <c r="C669" s="15"/>
      <c r="D669"/>
      <c r="E669"/>
      <c r="F669" s="15"/>
      <c r="G669"/>
      <c r="H669"/>
      <c r="I669"/>
      <c r="J669"/>
    </row>
    <row r="670" spans="1:10" x14ac:dyDescent="0.25">
      <c r="A670" s="230"/>
      <c r="B670" s="231"/>
      <c r="C670" s="15"/>
      <c r="D670"/>
      <c r="E670"/>
      <c r="F670" s="15"/>
      <c r="G670"/>
      <c r="H670"/>
      <c r="I670"/>
      <c r="J670"/>
    </row>
    <row r="671" spans="1:10" x14ac:dyDescent="0.25">
      <c r="A671" s="230"/>
      <c r="B671" s="231"/>
      <c r="C671" s="15"/>
      <c r="D671"/>
      <c r="E671"/>
      <c r="F671" s="15"/>
      <c r="G671"/>
      <c r="H671"/>
      <c r="I671"/>
      <c r="J671"/>
    </row>
    <row r="672" spans="1:10" x14ac:dyDescent="0.25">
      <c r="A672" s="230"/>
      <c r="B672" s="231"/>
      <c r="C672" s="15"/>
      <c r="D672"/>
      <c r="E672"/>
      <c r="F672" s="15"/>
      <c r="G672"/>
      <c r="H672"/>
      <c r="I672"/>
      <c r="J672"/>
    </row>
    <row r="673" spans="1:10" x14ac:dyDescent="0.25">
      <c r="A673" s="230"/>
      <c r="B673" s="231"/>
      <c r="C673" s="15"/>
      <c r="D673"/>
      <c r="E673"/>
      <c r="F673" s="15"/>
      <c r="G673"/>
      <c r="H673"/>
      <c r="I673"/>
      <c r="J673"/>
    </row>
    <row r="674" spans="1:10" x14ac:dyDescent="0.25">
      <c r="A674" s="230"/>
      <c r="B674" s="231"/>
      <c r="C674" s="15"/>
      <c r="D674"/>
      <c r="E674"/>
      <c r="F674" s="15"/>
      <c r="G674"/>
      <c r="H674"/>
      <c r="I674"/>
      <c r="J674"/>
    </row>
    <row r="675" spans="1:10" x14ac:dyDescent="0.25">
      <c r="A675" s="230"/>
      <c r="B675" s="231"/>
      <c r="C675" s="15"/>
      <c r="D675"/>
      <c r="E675"/>
      <c r="F675" s="15"/>
      <c r="G675"/>
      <c r="H675"/>
      <c r="I675"/>
      <c r="J675"/>
    </row>
    <row r="676" spans="1:10" x14ac:dyDescent="0.25">
      <c r="A676" s="230"/>
      <c r="B676" s="231"/>
      <c r="C676" s="15"/>
      <c r="D676"/>
      <c r="E676"/>
      <c r="F676" s="15"/>
      <c r="G676"/>
      <c r="H676"/>
      <c r="I676"/>
      <c r="J676"/>
    </row>
    <row r="677" spans="1:10" x14ac:dyDescent="0.25">
      <c r="A677" s="230"/>
      <c r="B677" s="231"/>
      <c r="C677" s="15"/>
      <c r="D677"/>
      <c r="E677"/>
      <c r="F677" s="15"/>
      <c r="G677"/>
      <c r="H677"/>
      <c r="I677"/>
      <c r="J677"/>
    </row>
    <row r="678" spans="1:10" x14ac:dyDescent="0.25">
      <c r="A678" s="230"/>
      <c r="B678" s="231"/>
      <c r="C678" s="15"/>
      <c r="D678"/>
      <c r="E678"/>
      <c r="F678" s="15"/>
      <c r="G678"/>
      <c r="H678"/>
      <c r="I678"/>
      <c r="J678"/>
    </row>
    <row r="679" spans="1:10" x14ac:dyDescent="0.25">
      <c r="A679" s="230"/>
      <c r="B679" s="231"/>
      <c r="C679" s="15"/>
      <c r="D679"/>
      <c r="E679"/>
      <c r="F679" s="15"/>
      <c r="G679"/>
      <c r="H679"/>
      <c r="I679"/>
      <c r="J679"/>
    </row>
    <row r="680" spans="1:10" x14ac:dyDescent="0.25">
      <c r="A680" s="230"/>
      <c r="B680" s="231"/>
      <c r="C680" s="15"/>
      <c r="D680"/>
      <c r="E680"/>
      <c r="F680" s="15"/>
      <c r="G680"/>
      <c r="H680"/>
      <c r="I680"/>
      <c r="J680"/>
    </row>
    <row r="681" spans="1:10" x14ac:dyDescent="0.25">
      <c r="A681" s="230"/>
      <c r="B681" s="231"/>
      <c r="C681" s="15"/>
      <c r="D681"/>
      <c r="E681"/>
      <c r="F681" s="15"/>
      <c r="G681"/>
      <c r="H681"/>
      <c r="I681"/>
      <c r="J681"/>
    </row>
    <row r="682" spans="1:10" x14ac:dyDescent="0.25">
      <c r="A682" s="230"/>
      <c r="B682" s="231"/>
      <c r="C682" s="15"/>
      <c r="D682"/>
      <c r="E682"/>
      <c r="F682" s="15"/>
      <c r="G682"/>
      <c r="H682"/>
      <c r="I682"/>
      <c r="J682"/>
    </row>
    <row r="683" spans="1:10" x14ac:dyDescent="0.25">
      <c r="A683" s="230"/>
      <c r="B683" s="231"/>
      <c r="C683" s="15"/>
      <c r="D683"/>
      <c r="E683"/>
      <c r="F683" s="15"/>
      <c r="G683"/>
      <c r="H683"/>
      <c r="I683"/>
      <c r="J683"/>
    </row>
    <row r="684" spans="1:10" x14ac:dyDescent="0.25">
      <c r="A684" s="230"/>
      <c r="B684" s="231"/>
      <c r="C684" s="15"/>
      <c r="D684"/>
      <c r="E684"/>
      <c r="F684" s="15"/>
      <c r="G684"/>
      <c r="H684"/>
      <c r="I684"/>
      <c r="J684"/>
    </row>
    <row r="685" spans="1:10" x14ac:dyDescent="0.25">
      <c r="A685" s="230"/>
      <c r="B685" s="231"/>
      <c r="C685" s="15"/>
      <c r="D685"/>
      <c r="E685"/>
      <c r="F685" s="15"/>
      <c r="G685"/>
      <c r="H685"/>
      <c r="I685"/>
      <c r="J685"/>
    </row>
    <row r="686" spans="1:10" x14ac:dyDescent="0.25">
      <c r="A686" s="230"/>
      <c r="B686" s="231"/>
      <c r="C686" s="15"/>
      <c r="D686"/>
      <c r="E686"/>
      <c r="F686" s="15"/>
      <c r="G686"/>
      <c r="H686"/>
      <c r="I686"/>
      <c r="J686"/>
    </row>
    <row r="687" spans="1:10" x14ac:dyDescent="0.25">
      <c r="A687" s="230"/>
      <c r="B687" s="231"/>
      <c r="C687" s="15"/>
      <c r="D687"/>
      <c r="E687"/>
      <c r="F687" s="15"/>
      <c r="G687"/>
      <c r="H687"/>
      <c r="I687"/>
      <c r="J687"/>
    </row>
    <row r="688" spans="1:10" x14ac:dyDescent="0.25">
      <c r="A688" s="230"/>
      <c r="B688" s="231"/>
      <c r="C688" s="15"/>
      <c r="D688"/>
      <c r="E688"/>
      <c r="F688" s="15"/>
      <c r="G688"/>
      <c r="H688"/>
      <c r="I688"/>
      <c r="J688"/>
    </row>
    <row r="689" spans="1:10" x14ac:dyDescent="0.25">
      <c r="A689" s="230"/>
      <c r="B689" s="231"/>
      <c r="C689" s="15"/>
      <c r="D689"/>
      <c r="E689"/>
      <c r="F689" s="15"/>
      <c r="G689"/>
      <c r="H689"/>
      <c r="I689"/>
      <c r="J689"/>
    </row>
    <row r="690" spans="1:10" x14ac:dyDescent="0.25">
      <c r="A690" s="230"/>
      <c r="B690" s="231"/>
      <c r="C690" s="15"/>
      <c r="D690"/>
      <c r="E690"/>
      <c r="F690" s="15"/>
      <c r="G690"/>
      <c r="H690"/>
      <c r="I690"/>
      <c r="J690"/>
    </row>
    <row r="691" spans="1:10" x14ac:dyDescent="0.25">
      <c r="A691" s="230"/>
      <c r="B691" s="231"/>
      <c r="C691" s="15"/>
      <c r="D691"/>
      <c r="E691"/>
      <c r="F691" s="15"/>
      <c r="G691"/>
      <c r="H691"/>
      <c r="I691"/>
      <c r="J691"/>
    </row>
    <row r="692" spans="1:10" x14ac:dyDescent="0.25">
      <c r="A692" s="230"/>
      <c r="B692" s="231"/>
      <c r="C692" s="15"/>
      <c r="D692"/>
      <c r="E692"/>
      <c r="F692" s="15"/>
      <c r="G692"/>
      <c r="H692"/>
      <c r="I692"/>
      <c r="J692"/>
    </row>
    <row r="693" spans="1:10" x14ac:dyDescent="0.25">
      <c r="A693" s="230"/>
      <c r="B693" s="231"/>
      <c r="C693" s="15"/>
      <c r="D693"/>
      <c r="E693"/>
      <c r="F693" s="15"/>
      <c r="G693"/>
      <c r="H693"/>
      <c r="I693"/>
      <c r="J693"/>
    </row>
    <row r="694" spans="1:10" x14ac:dyDescent="0.25">
      <c r="A694" s="230"/>
      <c r="B694" s="231"/>
      <c r="C694" s="15"/>
      <c r="D694"/>
      <c r="E694"/>
      <c r="F694" s="15"/>
      <c r="G694"/>
      <c r="H694"/>
      <c r="I694"/>
      <c r="J694"/>
    </row>
    <row r="695" spans="1:10" x14ac:dyDescent="0.25">
      <c r="A695" s="230"/>
      <c r="B695" s="231"/>
      <c r="C695" s="15"/>
      <c r="D695"/>
      <c r="E695"/>
      <c r="F695" s="15"/>
      <c r="G695"/>
      <c r="H695"/>
      <c r="I695"/>
      <c r="J695"/>
    </row>
    <row r="696" spans="1:10" x14ac:dyDescent="0.25">
      <c r="A696" s="230"/>
      <c r="B696" s="231"/>
      <c r="C696" s="15"/>
      <c r="D696"/>
      <c r="E696"/>
      <c r="F696" s="15"/>
      <c r="G696"/>
      <c r="H696"/>
      <c r="I696"/>
      <c r="J696"/>
    </row>
    <row r="697" spans="1:10" x14ac:dyDescent="0.25">
      <c r="A697" s="230"/>
      <c r="B697" s="231"/>
      <c r="C697" s="15"/>
      <c r="D697"/>
      <c r="E697"/>
      <c r="F697" s="15"/>
      <c r="G697"/>
      <c r="H697"/>
      <c r="I697"/>
      <c r="J697"/>
    </row>
    <row r="698" spans="1:10" x14ac:dyDescent="0.25">
      <c r="A698" s="230"/>
      <c r="B698" s="231"/>
      <c r="C698" s="15"/>
      <c r="D698"/>
      <c r="E698"/>
      <c r="F698" s="15"/>
      <c r="G698"/>
      <c r="H698"/>
      <c r="I698"/>
      <c r="J698"/>
    </row>
    <row r="699" spans="1:10" x14ac:dyDescent="0.25">
      <c r="A699" s="230"/>
      <c r="B699" s="231"/>
      <c r="C699" s="15"/>
      <c r="D699"/>
      <c r="E699"/>
      <c r="F699" s="15"/>
      <c r="G699"/>
      <c r="H699"/>
      <c r="I699"/>
      <c r="J699"/>
    </row>
    <row r="700" spans="1:10" x14ac:dyDescent="0.25">
      <c r="A700" s="230"/>
      <c r="B700" s="231"/>
      <c r="C700" s="15"/>
      <c r="D700"/>
      <c r="E700"/>
      <c r="F700" s="15"/>
      <c r="G700"/>
      <c r="H700"/>
      <c r="I700"/>
      <c r="J700"/>
    </row>
    <row r="701" spans="1:10" x14ac:dyDescent="0.25">
      <c r="A701" s="230"/>
      <c r="B701" s="231"/>
      <c r="C701" s="15"/>
      <c r="D701"/>
      <c r="E701"/>
      <c r="F701" s="15"/>
      <c r="G701"/>
      <c r="H701"/>
      <c r="I701"/>
      <c r="J701"/>
    </row>
    <row r="702" spans="1:10" x14ac:dyDescent="0.25">
      <c r="A702" s="230"/>
      <c r="B702" s="231"/>
      <c r="C702" s="15"/>
      <c r="D702"/>
      <c r="E702"/>
      <c r="F702" s="15"/>
      <c r="G702"/>
      <c r="H702"/>
      <c r="I702"/>
      <c r="J702"/>
    </row>
    <row r="703" spans="1:10" x14ac:dyDescent="0.25">
      <c r="A703" s="230"/>
      <c r="B703" s="231"/>
      <c r="C703" s="15"/>
      <c r="D703"/>
      <c r="E703"/>
      <c r="F703" s="15"/>
      <c r="G703"/>
      <c r="H703"/>
      <c r="I703"/>
      <c r="J703"/>
    </row>
    <row r="704" spans="1:10" x14ac:dyDescent="0.25">
      <c r="A704" s="230"/>
      <c r="B704" s="231"/>
      <c r="C704" s="15"/>
      <c r="D704"/>
      <c r="E704"/>
      <c r="F704" s="15"/>
      <c r="G704"/>
      <c r="H704"/>
      <c r="I704"/>
      <c r="J704"/>
    </row>
    <row r="705" spans="1:10" x14ac:dyDescent="0.25">
      <c r="A705" s="230"/>
      <c r="B705" s="231"/>
      <c r="C705" s="15"/>
      <c r="D705"/>
      <c r="E705"/>
      <c r="F705" s="15"/>
      <c r="G705"/>
      <c r="H705"/>
      <c r="I705"/>
      <c r="J705"/>
    </row>
    <row r="706" spans="1:10" x14ac:dyDescent="0.25">
      <c r="A706" s="230"/>
      <c r="B706" s="231"/>
      <c r="C706" s="15"/>
      <c r="D706"/>
      <c r="E706"/>
      <c r="F706" s="15"/>
      <c r="G706"/>
      <c r="H706"/>
      <c r="I706"/>
      <c r="J706"/>
    </row>
    <row r="707" spans="1:10" x14ac:dyDescent="0.25">
      <c r="A707" s="230"/>
      <c r="B707" s="231"/>
      <c r="C707" s="15"/>
      <c r="D707"/>
      <c r="E707"/>
      <c r="F707" s="15"/>
      <c r="G707"/>
      <c r="H707"/>
      <c r="I707"/>
      <c r="J707"/>
    </row>
    <row r="708" spans="1:10" x14ac:dyDescent="0.25">
      <c r="A708" s="230"/>
      <c r="B708" s="231"/>
      <c r="C708" s="15"/>
      <c r="D708"/>
      <c r="E708"/>
      <c r="F708" s="15"/>
      <c r="G708"/>
      <c r="H708"/>
      <c r="I708"/>
      <c r="J708"/>
    </row>
    <row r="709" spans="1:10" x14ac:dyDescent="0.25">
      <c r="A709" s="230"/>
      <c r="B709" s="231"/>
      <c r="C709" s="15"/>
      <c r="D709"/>
      <c r="E709"/>
      <c r="F709" s="15"/>
      <c r="G709"/>
      <c r="H709"/>
      <c r="I709"/>
      <c r="J709"/>
    </row>
    <row r="710" spans="1:10" x14ac:dyDescent="0.25">
      <c r="A710" s="230"/>
      <c r="B710" s="231"/>
      <c r="C710" s="15"/>
      <c r="D710"/>
      <c r="E710"/>
      <c r="F710" s="15"/>
      <c r="G710"/>
      <c r="H710"/>
      <c r="I710"/>
      <c r="J710"/>
    </row>
    <row r="711" spans="1:10" x14ac:dyDescent="0.25">
      <c r="A711" s="230"/>
      <c r="B711" s="231"/>
      <c r="C711" s="15"/>
      <c r="D711"/>
      <c r="E711"/>
      <c r="F711" s="15"/>
      <c r="G711"/>
      <c r="H711"/>
      <c r="I711"/>
      <c r="J711"/>
    </row>
    <row r="712" spans="1:10" x14ac:dyDescent="0.25">
      <c r="A712" s="230"/>
      <c r="B712" s="231"/>
      <c r="C712" s="15"/>
      <c r="D712"/>
      <c r="E712"/>
      <c r="F712" s="15"/>
      <c r="G712"/>
      <c r="H712"/>
      <c r="I712"/>
      <c r="J712"/>
    </row>
    <row r="713" spans="1:10" x14ac:dyDescent="0.25">
      <c r="A713" s="230"/>
      <c r="B713" s="231"/>
      <c r="C713" s="15"/>
      <c r="D713"/>
      <c r="E713"/>
      <c r="F713" s="15"/>
      <c r="G713"/>
      <c r="H713"/>
      <c r="I713"/>
      <c r="J713"/>
    </row>
    <row r="714" spans="1:10" x14ac:dyDescent="0.25">
      <c r="A714" s="230"/>
      <c r="B714" s="231"/>
      <c r="C714" s="15"/>
      <c r="D714"/>
      <c r="E714"/>
      <c r="F714" s="15"/>
      <c r="G714"/>
      <c r="H714"/>
      <c r="I714"/>
      <c r="J714"/>
    </row>
    <row r="715" spans="1:10" x14ac:dyDescent="0.25">
      <c r="A715" s="230"/>
      <c r="B715" s="231"/>
      <c r="C715" s="15"/>
      <c r="D715"/>
      <c r="E715"/>
      <c r="F715" s="15"/>
      <c r="G715"/>
      <c r="H715"/>
      <c r="I715"/>
      <c r="J715"/>
    </row>
    <row r="716" spans="1:10" x14ac:dyDescent="0.25">
      <c r="A716" s="230"/>
      <c r="B716" s="231"/>
      <c r="C716" s="15"/>
      <c r="D716"/>
      <c r="E716"/>
      <c r="F716" s="15"/>
      <c r="G716"/>
      <c r="H716"/>
      <c r="I716"/>
      <c r="J716"/>
    </row>
    <row r="717" spans="1:10" x14ac:dyDescent="0.25">
      <c r="A717" s="230"/>
      <c r="B717" s="231"/>
      <c r="C717" s="15"/>
      <c r="D717"/>
      <c r="E717"/>
      <c r="F717" s="15"/>
      <c r="G717"/>
      <c r="H717"/>
      <c r="I717"/>
      <c r="J717"/>
    </row>
    <row r="718" spans="1:10" x14ac:dyDescent="0.25">
      <c r="A718" s="230"/>
      <c r="B718" s="231"/>
      <c r="C718" s="15"/>
      <c r="D718"/>
      <c r="E718"/>
      <c r="F718" s="15"/>
      <c r="G718"/>
      <c r="H718"/>
      <c r="I718"/>
      <c r="J718"/>
    </row>
    <row r="719" spans="1:10" x14ac:dyDescent="0.25">
      <c r="A719" s="230"/>
      <c r="B719" s="231"/>
      <c r="C719" s="15"/>
      <c r="D719"/>
      <c r="E719"/>
      <c r="F719" s="15"/>
      <c r="G719"/>
      <c r="H719"/>
      <c r="I719"/>
      <c r="J719"/>
    </row>
    <row r="720" spans="1:10" x14ac:dyDescent="0.25">
      <c r="A720" s="230"/>
      <c r="B720" s="231"/>
      <c r="C720" s="15"/>
      <c r="D720"/>
      <c r="E720"/>
      <c r="F720" s="15"/>
      <c r="G720"/>
      <c r="H720"/>
      <c r="I720"/>
      <c r="J720"/>
    </row>
    <row r="721" spans="1:10" x14ac:dyDescent="0.25">
      <c r="A721" s="230"/>
      <c r="B721" s="231"/>
      <c r="C721" s="15"/>
      <c r="D721"/>
      <c r="E721"/>
      <c r="F721" s="15"/>
      <c r="G721"/>
      <c r="H721"/>
      <c r="I721"/>
      <c r="J721"/>
    </row>
    <row r="722" spans="1:10" x14ac:dyDescent="0.25">
      <c r="A722" s="230"/>
      <c r="B722" s="231"/>
      <c r="C722" s="15"/>
      <c r="D722"/>
      <c r="E722"/>
      <c r="F722" s="15"/>
      <c r="G722"/>
      <c r="H722"/>
      <c r="I722"/>
      <c r="J722"/>
    </row>
    <row r="723" spans="1:10" x14ac:dyDescent="0.25">
      <c r="A723" s="230"/>
      <c r="B723" s="231"/>
      <c r="C723" s="15"/>
      <c r="D723"/>
      <c r="E723"/>
      <c r="F723" s="15"/>
      <c r="G723"/>
      <c r="H723"/>
      <c r="I723"/>
      <c r="J723"/>
    </row>
    <row r="724" spans="1:10" x14ac:dyDescent="0.25">
      <c r="A724" s="230"/>
      <c r="B724" s="231"/>
      <c r="C724" s="15"/>
      <c r="D724"/>
      <c r="E724"/>
      <c r="F724" s="15"/>
      <c r="G724"/>
      <c r="H724"/>
      <c r="I724"/>
      <c r="J724"/>
    </row>
    <row r="725" spans="1:10" x14ac:dyDescent="0.25">
      <c r="A725" s="230"/>
      <c r="B725" s="231"/>
      <c r="C725" s="15"/>
      <c r="D725"/>
      <c r="E725"/>
      <c r="F725" s="15"/>
      <c r="G725"/>
      <c r="H725"/>
      <c r="I725"/>
      <c r="J725"/>
    </row>
    <row r="726" spans="1:10" x14ac:dyDescent="0.25">
      <c r="A726" s="230"/>
      <c r="B726" s="231"/>
      <c r="C726" s="15"/>
      <c r="D726"/>
      <c r="E726"/>
      <c r="F726" s="15"/>
      <c r="G726"/>
      <c r="H726"/>
      <c r="I726"/>
      <c r="J726"/>
    </row>
    <row r="727" spans="1:10" x14ac:dyDescent="0.25">
      <c r="A727" s="230"/>
      <c r="B727" s="231"/>
      <c r="C727" s="15"/>
      <c r="D727"/>
      <c r="E727"/>
      <c r="F727" s="15"/>
      <c r="G727"/>
      <c r="H727"/>
      <c r="I727"/>
      <c r="J727"/>
    </row>
    <row r="728" spans="1:10" x14ac:dyDescent="0.25">
      <c r="A728" s="230"/>
      <c r="B728" s="231"/>
      <c r="C728" s="15"/>
      <c r="D728"/>
      <c r="E728"/>
      <c r="F728" s="15"/>
      <c r="G728"/>
      <c r="H728"/>
      <c r="I728"/>
      <c r="J728"/>
    </row>
    <row r="729" spans="1:10" x14ac:dyDescent="0.25">
      <c r="A729" s="230"/>
      <c r="B729" s="231"/>
      <c r="C729" s="15"/>
      <c r="D729"/>
      <c r="E729"/>
      <c r="F729" s="15"/>
      <c r="G729"/>
      <c r="H729"/>
      <c r="I729"/>
      <c r="J729"/>
    </row>
    <row r="730" spans="1:10" x14ac:dyDescent="0.25">
      <c r="A730" s="230"/>
      <c r="B730" s="231"/>
      <c r="C730" s="15"/>
      <c r="D730"/>
      <c r="E730"/>
      <c r="F730" s="15"/>
      <c r="G730"/>
      <c r="H730"/>
      <c r="I730"/>
      <c r="J730"/>
    </row>
    <row r="731" spans="1:10" x14ac:dyDescent="0.25">
      <c r="A731" s="230"/>
      <c r="B731" s="231"/>
      <c r="C731" s="15"/>
      <c r="D731"/>
      <c r="E731"/>
      <c r="F731" s="15"/>
      <c r="G731"/>
      <c r="H731"/>
      <c r="I731"/>
      <c r="J731"/>
    </row>
    <row r="732" spans="1:10" x14ac:dyDescent="0.25">
      <c r="A732" s="230"/>
      <c r="B732" s="231"/>
      <c r="C732" s="15"/>
      <c r="D732"/>
      <c r="E732"/>
      <c r="F732" s="15"/>
      <c r="G732"/>
      <c r="H732"/>
      <c r="I732"/>
      <c r="J732"/>
    </row>
    <row r="733" spans="1:10" x14ac:dyDescent="0.25">
      <c r="A733" s="230"/>
      <c r="B733" s="231"/>
      <c r="C733" s="15"/>
      <c r="D733"/>
      <c r="E733"/>
      <c r="F733" s="15"/>
      <c r="G733"/>
      <c r="H733"/>
      <c r="I733"/>
      <c r="J733"/>
    </row>
    <row r="734" spans="1:10" x14ac:dyDescent="0.25">
      <c r="A734" s="230"/>
      <c r="B734" s="231"/>
      <c r="C734" s="15"/>
      <c r="D734"/>
      <c r="E734"/>
      <c r="F734" s="15"/>
      <c r="G734"/>
      <c r="H734"/>
      <c r="I734"/>
      <c r="J734"/>
    </row>
    <row r="735" spans="1:10" x14ac:dyDescent="0.25">
      <c r="A735" s="230"/>
      <c r="B735" s="231"/>
      <c r="C735" s="15"/>
      <c r="D735"/>
      <c r="E735"/>
      <c r="F735" s="15"/>
      <c r="G735"/>
      <c r="H735"/>
      <c r="I735"/>
      <c r="J735"/>
    </row>
    <row r="736" spans="1:10" x14ac:dyDescent="0.25">
      <c r="A736" s="230"/>
      <c r="B736" s="231"/>
      <c r="C736" s="15"/>
      <c r="D736"/>
      <c r="E736"/>
      <c r="F736" s="15"/>
      <c r="G736"/>
      <c r="H736"/>
      <c r="I736"/>
      <c r="J736"/>
    </row>
    <row r="737" spans="1:10" x14ac:dyDescent="0.25">
      <c r="A737" s="230"/>
      <c r="B737" s="231"/>
      <c r="C737" s="15"/>
      <c r="D737"/>
      <c r="E737"/>
      <c r="F737" s="15"/>
      <c r="G737"/>
      <c r="H737"/>
      <c r="I737"/>
      <c r="J737"/>
    </row>
    <row r="738" spans="1:10" x14ac:dyDescent="0.25">
      <c r="A738" s="230"/>
      <c r="B738" s="231"/>
      <c r="C738" s="15"/>
      <c r="D738"/>
      <c r="E738"/>
      <c r="F738" s="15"/>
      <c r="G738"/>
      <c r="H738"/>
      <c r="I738"/>
      <c r="J738"/>
    </row>
    <row r="739" spans="1:10" x14ac:dyDescent="0.25">
      <c r="A739" s="230"/>
      <c r="B739" s="231"/>
      <c r="C739" s="15"/>
      <c r="D739"/>
      <c r="E739"/>
      <c r="F739" s="15"/>
      <c r="G739"/>
      <c r="H739"/>
      <c r="I739"/>
      <c r="J739"/>
    </row>
    <row r="740" spans="1:10" x14ac:dyDescent="0.25">
      <c r="A740" s="230"/>
      <c r="B740" s="231"/>
      <c r="C740" s="15"/>
      <c r="D740"/>
      <c r="E740"/>
      <c r="F740" s="15"/>
      <c r="G740"/>
      <c r="H740"/>
      <c r="I740"/>
      <c r="J740"/>
    </row>
    <row r="741" spans="1:10" x14ac:dyDescent="0.25">
      <c r="A741" s="230"/>
      <c r="B741" s="231"/>
      <c r="C741" s="15"/>
      <c r="D741"/>
      <c r="E741"/>
      <c r="F741" s="15"/>
      <c r="G741"/>
      <c r="H741"/>
      <c r="I741"/>
      <c r="J741"/>
    </row>
    <row r="742" spans="1:10" x14ac:dyDescent="0.25">
      <c r="A742" s="230"/>
      <c r="B742" s="231"/>
      <c r="C742" s="15"/>
      <c r="D742"/>
      <c r="E742"/>
      <c r="F742" s="15"/>
      <c r="G742"/>
      <c r="H742"/>
      <c r="I742"/>
      <c r="J742"/>
    </row>
    <row r="743" spans="1:10" x14ac:dyDescent="0.25">
      <c r="A743" s="230"/>
      <c r="B743" s="231"/>
      <c r="C743" s="15"/>
      <c r="D743"/>
      <c r="E743"/>
      <c r="F743" s="15"/>
      <c r="G743"/>
      <c r="H743"/>
      <c r="I743"/>
      <c r="J743"/>
    </row>
    <row r="744" spans="1:10" x14ac:dyDescent="0.25">
      <c r="A744" s="230"/>
      <c r="B744" s="231"/>
      <c r="C744" s="15"/>
      <c r="D744"/>
      <c r="E744"/>
      <c r="F744" s="15"/>
      <c r="G744"/>
      <c r="H744"/>
      <c r="I744"/>
      <c r="J744"/>
    </row>
    <row r="745" spans="1:10" x14ac:dyDescent="0.25">
      <c r="A745" s="230"/>
      <c r="B745" s="231"/>
      <c r="C745" s="15"/>
      <c r="D745"/>
      <c r="E745"/>
      <c r="F745" s="15"/>
      <c r="G745"/>
      <c r="H745"/>
      <c r="I745"/>
      <c r="J745"/>
    </row>
    <row r="746" spans="1:10" x14ac:dyDescent="0.25">
      <c r="A746" s="230"/>
      <c r="B746" s="231"/>
      <c r="C746" s="15"/>
      <c r="D746"/>
      <c r="E746"/>
      <c r="F746" s="15"/>
      <c r="G746"/>
      <c r="H746"/>
      <c r="I746"/>
      <c r="J746"/>
    </row>
    <row r="747" spans="1:10" x14ac:dyDescent="0.25">
      <c r="A747" s="230"/>
      <c r="B747" s="231"/>
      <c r="C747" s="15"/>
      <c r="D747"/>
      <c r="E747"/>
      <c r="F747" s="15"/>
      <c r="G747"/>
      <c r="H747"/>
      <c r="I747"/>
      <c r="J747"/>
    </row>
    <row r="748" spans="1:10" x14ac:dyDescent="0.25">
      <c r="A748" s="230"/>
      <c r="B748" s="231"/>
      <c r="C748" s="15"/>
      <c r="D748"/>
      <c r="E748"/>
      <c r="F748" s="15"/>
      <c r="G748"/>
      <c r="H748"/>
      <c r="I748"/>
      <c r="J748"/>
    </row>
    <row r="749" spans="1:10" x14ac:dyDescent="0.25">
      <c r="A749" s="230"/>
      <c r="B749" s="231"/>
      <c r="C749" s="15"/>
      <c r="D749"/>
      <c r="E749"/>
      <c r="F749" s="15"/>
      <c r="G749"/>
      <c r="H749"/>
      <c r="I749"/>
      <c r="J749"/>
    </row>
    <row r="750" spans="1:10" x14ac:dyDescent="0.25">
      <c r="A750" s="230"/>
      <c r="B750" s="231"/>
      <c r="C750" s="15"/>
      <c r="D750"/>
      <c r="E750"/>
      <c r="F750" s="15"/>
      <c r="G750"/>
      <c r="H750"/>
      <c r="I750"/>
      <c r="J750"/>
    </row>
    <row r="751" spans="1:10" x14ac:dyDescent="0.25">
      <c r="A751" s="230"/>
      <c r="B751" s="231"/>
      <c r="C751" s="15"/>
      <c r="D751"/>
      <c r="E751"/>
      <c r="F751" s="15"/>
      <c r="G751"/>
      <c r="H751"/>
      <c r="I751"/>
      <c r="J751"/>
    </row>
    <row r="752" spans="1:10" x14ac:dyDescent="0.25">
      <c r="A752" s="230"/>
      <c r="B752" s="231"/>
      <c r="C752" s="15"/>
      <c r="D752"/>
      <c r="E752"/>
      <c r="F752" s="15"/>
      <c r="G752"/>
      <c r="H752"/>
      <c r="I752"/>
      <c r="J752"/>
    </row>
    <row r="753" spans="1:10" x14ac:dyDescent="0.25">
      <c r="A753" s="230"/>
      <c r="B753" s="231"/>
      <c r="C753" s="15"/>
      <c r="D753"/>
      <c r="E753"/>
      <c r="F753" s="15"/>
      <c r="G753"/>
      <c r="H753"/>
      <c r="I753"/>
      <c r="J753"/>
    </row>
    <row r="754" spans="1:10" x14ac:dyDescent="0.25">
      <c r="A754" s="230"/>
      <c r="B754" s="231"/>
      <c r="C754" s="15"/>
      <c r="D754"/>
      <c r="E754"/>
      <c r="F754" s="15"/>
      <c r="G754"/>
      <c r="H754"/>
      <c r="I754"/>
      <c r="J754"/>
    </row>
    <row r="755" spans="1:10" x14ac:dyDescent="0.25">
      <c r="A755" s="230"/>
      <c r="B755" s="231"/>
      <c r="C755" s="15"/>
      <c r="D755"/>
      <c r="E755"/>
      <c r="F755" s="15"/>
      <c r="G755"/>
      <c r="H755"/>
      <c r="I755"/>
      <c r="J755"/>
    </row>
    <row r="756" spans="1:10" x14ac:dyDescent="0.25">
      <c r="A756" s="230"/>
      <c r="B756" s="231"/>
      <c r="C756" s="15"/>
      <c r="D756"/>
      <c r="E756"/>
      <c r="F756" s="15"/>
      <c r="G756"/>
      <c r="H756"/>
      <c r="I756"/>
      <c r="J756"/>
    </row>
    <row r="757" spans="1:10" x14ac:dyDescent="0.25">
      <c r="A757" s="230"/>
      <c r="B757" s="231"/>
      <c r="C757" s="15"/>
      <c r="D757"/>
      <c r="E757"/>
      <c r="F757" s="15"/>
      <c r="G757"/>
      <c r="H757"/>
      <c r="I757"/>
      <c r="J757"/>
    </row>
    <row r="758" spans="1:10" x14ac:dyDescent="0.25">
      <c r="A758" s="230"/>
      <c r="B758" s="231"/>
      <c r="C758" s="15"/>
      <c r="D758"/>
      <c r="E758"/>
      <c r="F758" s="15"/>
      <c r="G758"/>
      <c r="H758"/>
      <c r="I758"/>
      <c r="J758"/>
    </row>
    <row r="759" spans="1:10" x14ac:dyDescent="0.25">
      <c r="A759" s="230"/>
      <c r="B759" s="231"/>
      <c r="C759" s="15"/>
      <c r="D759"/>
      <c r="E759"/>
      <c r="F759" s="15"/>
      <c r="G759"/>
      <c r="H759"/>
      <c r="I759"/>
      <c r="J759"/>
    </row>
    <row r="760" spans="1:10" x14ac:dyDescent="0.25">
      <c r="A760" s="230"/>
      <c r="B760" s="231"/>
      <c r="C760" s="15"/>
      <c r="D760"/>
      <c r="E760"/>
      <c r="F760" s="15"/>
      <c r="G760"/>
      <c r="H760"/>
      <c r="I760"/>
      <c r="J760"/>
    </row>
    <row r="761" spans="1:10" x14ac:dyDescent="0.25">
      <c r="A761" s="230"/>
      <c r="B761" s="231"/>
      <c r="C761" s="15"/>
      <c r="D761"/>
      <c r="E761"/>
      <c r="F761" s="15"/>
      <c r="G761"/>
      <c r="H761"/>
      <c r="I761"/>
      <c r="J761"/>
    </row>
    <row r="762" spans="1:10" x14ac:dyDescent="0.25">
      <c r="A762" s="230"/>
      <c r="B762" s="231"/>
      <c r="C762" s="15"/>
      <c r="D762"/>
      <c r="E762"/>
      <c r="F762" s="15"/>
      <c r="G762"/>
      <c r="H762"/>
      <c r="I762"/>
      <c r="J762"/>
    </row>
    <row r="763" spans="1:10" x14ac:dyDescent="0.25">
      <c r="A763" s="230"/>
      <c r="B763" s="231"/>
      <c r="C763" s="15"/>
      <c r="D763"/>
      <c r="E763"/>
      <c r="F763" s="15"/>
      <c r="G763"/>
      <c r="H763"/>
      <c r="I763"/>
      <c r="J763"/>
    </row>
    <row r="764" spans="1:10" x14ac:dyDescent="0.25">
      <c r="A764" s="230"/>
      <c r="B764" s="231"/>
      <c r="C764" s="15"/>
      <c r="D764"/>
      <c r="E764"/>
      <c r="F764" s="15"/>
      <c r="G764"/>
      <c r="H764"/>
      <c r="I764"/>
      <c r="J764"/>
    </row>
    <row r="765" spans="1:10" x14ac:dyDescent="0.25">
      <c r="A765" s="230"/>
      <c r="B765" s="231"/>
      <c r="C765" s="15"/>
      <c r="D765"/>
      <c r="E765"/>
      <c r="F765" s="15"/>
      <c r="G765"/>
      <c r="H765"/>
      <c r="I765"/>
      <c r="J765"/>
    </row>
    <row r="766" spans="1:10" x14ac:dyDescent="0.25">
      <c r="A766" s="230"/>
      <c r="B766" s="231"/>
      <c r="C766" s="15"/>
      <c r="D766"/>
      <c r="E766"/>
      <c r="F766" s="15"/>
      <c r="G766"/>
      <c r="H766"/>
      <c r="I766"/>
      <c r="J766"/>
    </row>
    <row r="767" spans="1:10" x14ac:dyDescent="0.25">
      <c r="A767" s="230"/>
      <c r="B767" s="231"/>
      <c r="C767" s="15"/>
      <c r="D767"/>
      <c r="E767"/>
      <c r="F767" s="15"/>
      <c r="G767"/>
      <c r="H767"/>
      <c r="I767"/>
      <c r="J767"/>
    </row>
    <row r="768" spans="1:10" x14ac:dyDescent="0.25">
      <c r="A768" s="230"/>
      <c r="B768" s="231"/>
      <c r="C768" s="15"/>
      <c r="D768"/>
      <c r="E768"/>
      <c r="F768" s="15"/>
      <c r="G768"/>
      <c r="H768"/>
      <c r="I768"/>
      <c r="J768"/>
    </row>
    <row r="769" spans="1:10" x14ac:dyDescent="0.25">
      <c r="A769" s="230"/>
      <c r="B769" s="231"/>
      <c r="C769" s="15"/>
      <c r="D769"/>
      <c r="E769"/>
      <c r="F769" s="15"/>
      <c r="G769"/>
      <c r="H769"/>
      <c r="I769"/>
      <c r="J769"/>
    </row>
    <row r="770" spans="1:10" x14ac:dyDescent="0.25">
      <c r="A770" s="230"/>
      <c r="B770" s="231"/>
      <c r="C770" s="15"/>
      <c r="D770"/>
      <c r="E770"/>
      <c r="F770" s="15"/>
      <c r="G770"/>
      <c r="H770"/>
      <c r="I770"/>
      <c r="J770"/>
    </row>
    <row r="771" spans="1:10" x14ac:dyDescent="0.25">
      <c r="A771" s="230"/>
      <c r="B771" s="231"/>
      <c r="C771" s="15"/>
      <c r="D771"/>
      <c r="E771"/>
      <c r="F771" s="15"/>
      <c r="G771"/>
      <c r="H771"/>
      <c r="I771"/>
      <c r="J771"/>
    </row>
    <row r="772" spans="1:10" x14ac:dyDescent="0.25">
      <c r="A772" s="230"/>
      <c r="B772" s="231"/>
      <c r="C772" s="15"/>
      <c r="D772"/>
      <c r="E772"/>
      <c r="F772" s="15"/>
      <c r="G772"/>
      <c r="H772"/>
      <c r="I772"/>
      <c r="J772"/>
    </row>
    <row r="773" spans="1:10" x14ac:dyDescent="0.25">
      <c r="A773" s="230"/>
      <c r="B773" s="231"/>
      <c r="C773" s="15"/>
      <c r="D773"/>
      <c r="E773"/>
      <c r="F773" s="15"/>
      <c r="G773"/>
      <c r="H773"/>
      <c r="I773"/>
      <c r="J773"/>
    </row>
    <row r="774" spans="1:10" x14ac:dyDescent="0.25">
      <c r="A774" s="230"/>
      <c r="B774" s="231"/>
      <c r="C774" s="15"/>
      <c r="D774"/>
      <c r="E774"/>
      <c r="F774" s="15"/>
      <c r="G774"/>
      <c r="H774"/>
      <c r="I774"/>
      <c r="J774"/>
    </row>
    <row r="775" spans="1:10" x14ac:dyDescent="0.25">
      <c r="A775" s="230"/>
      <c r="B775" s="231"/>
      <c r="C775" s="15"/>
      <c r="D775"/>
      <c r="E775"/>
      <c r="F775" s="15"/>
      <c r="G775"/>
      <c r="H775"/>
      <c r="I775"/>
      <c r="J775"/>
    </row>
    <row r="776" spans="1:10" x14ac:dyDescent="0.25">
      <c r="A776" s="230"/>
      <c r="B776" s="231"/>
      <c r="C776" s="15"/>
      <c r="D776"/>
      <c r="E776"/>
      <c r="F776" s="15"/>
      <c r="G776"/>
      <c r="H776"/>
      <c r="I776"/>
      <c r="J776"/>
    </row>
    <row r="777" spans="1:10" x14ac:dyDescent="0.25">
      <c r="A777" s="230"/>
      <c r="B777" s="231"/>
      <c r="C777" s="15"/>
      <c r="D777"/>
      <c r="E777"/>
      <c r="F777" s="15"/>
      <c r="G777"/>
      <c r="H777"/>
      <c r="I777"/>
      <c r="J777"/>
    </row>
    <row r="778" spans="1:10" x14ac:dyDescent="0.25">
      <c r="A778" s="230"/>
      <c r="B778" s="231"/>
      <c r="C778" s="15"/>
      <c r="D778"/>
      <c r="E778"/>
      <c r="F778" s="15"/>
      <c r="G778"/>
      <c r="H778"/>
      <c r="I778"/>
      <c r="J778"/>
    </row>
    <row r="779" spans="1:10" x14ac:dyDescent="0.25">
      <c r="A779" s="230"/>
      <c r="B779" s="231"/>
      <c r="C779" s="15"/>
      <c r="D779"/>
      <c r="E779"/>
      <c r="F779" s="15"/>
      <c r="G779"/>
      <c r="H779"/>
      <c r="I779"/>
      <c r="J779"/>
    </row>
    <row r="780" spans="1:10" x14ac:dyDescent="0.25">
      <c r="A780" s="230"/>
      <c r="B780" s="231"/>
      <c r="C780" s="15"/>
      <c r="D780"/>
      <c r="E780"/>
      <c r="F780" s="15"/>
      <c r="G780"/>
      <c r="H780"/>
      <c r="I780"/>
      <c r="J780"/>
    </row>
    <row r="781" spans="1:10" x14ac:dyDescent="0.25">
      <c r="A781" s="230"/>
      <c r="B781" s="231"/>
      <c r="C781" s="15"/>
      <c r="D781"/>
      <c r="E781"/>
      <c r="F781" s="15"/>
      <c r="G781"/>
      <c r="H781"/>
      <c r="I781"/>
      <c r="J781"/>
    </row>
    <row r="782" spans="1:10" x14ac:dyDescent="0.25">
      <c r="A782" s="230"/>
      <c r="B782" s="231"/>
      <c r="C782" s="15"/>
      <c r="D782"/>
      <c r="E782"/>
      <c r="F782" s="15"/>
      <c r="G782"/>
      <c r="H782"/>
      <c r="I782"/>
      <c r="J782"/>
    </row>
    <row r="783" spans="1:10" x14ac:dyDescent="0.25">
      <c r="A783" s="230"/>
      <c r="B783" s="231"/>
      <c r="C783" s="15"/>
      <c r="D783"/>
      <c r="E783"/>
      <c r="F783" s="15"/>
      <c r="G783"/>
      <c r="H783"/>
      <c r="I783"/>
      <c r="J783"/>
    </row>
    <row r="784" spans="1:10" x14ac:dyDescent="0.25">
      <c r="A784" s="230"/>
      <c r="B784" s="231"/>
      <c r="C784" s="15"/>
      <c r="D784"/>
      <c r="E784"/>
      <c r="F784" s="15"/>
      <c r="G784"/>
      <c r="H784"/>
      <c r="I784"/>
      <c r="J784"/>
    </row>
    <row r="785" spans="1:10" x14ac:dyDescent="0.25">
      <c r="A785" s="230"/>
      <c r="B785" s="231"/>
      <c r="C785" s="15"/>
      <c r="D785"/>
      <c r="E785"/>
      <c r="F785" s="15"/>
      <c r="G785"/>
      <c r="H785"/>
      <c r="I785"/>
      <c r="J785"/>
    </row>
    <row r="786" spans="1:10" x14ac:dyDescent="0.25">
      <c r="A786" s="230"/>
      <c r="B786" s="231"/>
      <c r="C786" s="15"/>
      <c r="D786"/>
      <c r="E786"/>
      <c r="F786" s="15"/>
      <c r="G786"/>
      <c r="H786"/>
      <c r="I786"/>
      <c r="J786"/>
    </row>
    <row r="787" spans="1:10" x14ac:dyDescent="0.25">
      <c r="A787" s="230"/>
      <c r="B787" s="231"/>
      <c r="C787" s="15"/>
      <c r="D787"/>
      <c r="E787"/>
      <c r="F787" s="15"/>
      <c r="G787"/>
      <c r="H787"/>
      <c r="I787"/>
      <c r="J787"/>
    </row>
    <row r="788" spans="1:10" x14ac:dyDescent="0.25">
      <c r="A788" s="230"/>
      <c r="B788" s="231"/>
      <c r="C788" s="15"/>
      <c r="D788"/>
      <c r="E788"/>
      <c r="F788" s="15"/>
      <c r="G788"/>
      <c r="H788"/>
      <c r="I788"/>
      <c r="J788"/>
    </row>
    <row r="789" spans="1:10" x14ac:dyDescent="0.25">
      <c r="A789" s="230"/>
      <c r="B789" s="231"/>
      <c r="C789" s="15"/>
      <c r="D789"/>
      <c r="E789"/>
      <c r="F789" s="15"/>
      <c r="G789"/>
      <c r="H789"/>
      <c r="I789"/>
      <c r="J789"/>
    </row>
    <row r="790" spans="1:10" x14ac:dyDescent="0.25">
      <c r="A790" s="230"/>
      <c r="B790" s="231"/>
      <c r="C790" s="15"/>
      <c r="D790"/>
      <c r="E790"/>
      <c r="F790" s="15"/>
      <c r="G790"/>
      <c r="H790"/>
      <c r="I790"/>
      <c r="J790"/>
    </row>
    <row r="791" spans="1:10" x14ac:dyDescent="0.25">
      <c r="A791" s="230"/>
      <c r="B791" s="231"/>
      <c r="C791" s="15"/>
      <c r="D791"/>
      <c r="E791"/>
      <c r="F791" s="15"/>
      <c r="G791"/>
      <c r="H791"/>
      <c r="I791"/>
      <c r="J791"/>
    </row>
    <row r="792" spans="1:10" x14ac:dyDescent="0.25">
      <c r="A792" s="230"/>
      <c r="B792" s="231"/>
      <c r="C792" s="15"/>
      <c r="D792"/>
      <c r="E792"/>
      <c r="F792" s="15"/>
      <c r="G792"/>
      <c r="H792"/>
      <c r="I792"/>
      <c r="J792"/>
    </row>
    <row r="793" spans="1:10" x14ac:dyDescent="0.25">
      <c r="A793" s="230"/>
      <c r="B793" s="231"/>
      <c r="C793" s="15"/>
      <c r="D793"/>
      <c r="E793"/>
      <c r="F793" s="15"/>
      <c r="G793"/>
      <c r="H793"/>
      <c r="I793"/>
      <c r="J793"/>
    </row>
    <row r="794" spans="1:10" x14ac:dyDescent="0.25">
      <c r="A794" s="230"/>
      <c r="B794" s="231"/>
      <c r="C794" s="15"/>
      <c r="D794"/>
      <c r="E794"/>
      <c r="F794" s="15"/>
      <c r="G794"/>
      <c r="H794"/>
      <c r="I794"/>
      <c r="J794"/>
    </row>
    <row r="795" spans="1:10" x14ac:dyDescent="0.25">
      <c r="A795" s="230"/>
      <c r="B795" s="231"/>
      <c r="C795" s="15"/>
      <c r="D795"/>
      <c r="E795"/>
      <c r="F795" s="15"/>
      <c r="G795"/>
      <c r="H795"/>
      <c r="I795"/>
      <c r="J795"/>
    </row>
    <row r="796" spans="1:10" x14ac:dyDescent="0.25">
      <c r="A796" s="230"/>
      <c r="B796" s="231"/>
      <c r="C796" s="15"/>
      <c r="D796"/>
      <c r="E796"/>
      <c r="F796" s="15"/>
      <c r="G796"/>
      <c r="H796"/>
      <c r="I796"/>
      <c r="J796"/>
    </row>
    <row r="797" spans="1:10" x14ac:dyDescent="0.25">
      <c r="A797" s="230"/>
      <c r="B797" s="231"/>
      <c r="C797" s="15"/>
      <c r="D797"/>
      <c r="E797"/>
      <c r="F797" s="15"/>
      <c r="G797"/>
      <c r="H797"/>
      <c r="I797"/>
      <c r="J797"/>
    </row>
    <row r="798" spans="1:10" x14ac:dyDescent="0.25">
      <c r="A798" s="230"/>
      <c r="B798" s="231"/>
      <c r="C798" s="15"/>
      <c r="D798"/>
      <c r="E798"/>
      <c r="F798" s="15"/>
      <c r="G798"/>
      <c r="H798"/>
      <c r="I798"/>
      <c r="J798"/>
    </row>
    <row r="799" spans="1:10" x14ac:dyDescent="0.25">
      <c r="A799" s="230"/>
      <c r="B799" s="231"/>
      <c r="C799" s="15"/>
      <c r="D799"/>
      <c r="E799"/>
      <c r="F799" s="15"/>
      <c r="G799"/>
      <c r="H799"/>
      <c r="I799"/>
      <c r="J799"/>
    </row>
    <row r="800" spans="1:10" x14ac:dyDescent="0.25">
      <c r="A800" s="230"/>
      <c r="B800" s="231"/>
      <c r="C800" s="15"/>
      <c r="D800"/>
      <c r="E800"/>
      <c r="F800" s="15"/>
      <c r="G800"/>
      <c r="H800"/>
      <c r="I800"/>
      <c r="J800"/>
    </row>
    <row r="801" spans="1:10" x14ac:dyDescent="0.25">
      <c r="A801" s="230"/>
      <c r="B801" s="231"/>
      <c r="C801" s="15"/>
      <c r="D801"/>
      <c r="E801"/>
      <c r="F801" s="15"/>
      <c r="G801"/>
      <c r="H801"/>
      <c r="I801"/>
      <c r="J801"/>
    </row>
    <row r="802" spans="1:10" x14ac:dyDescent="0.25">
      <c r="A802" s="230"/>
      <c r="B802" s="231"/>
      <c r="C802" s="15"/>
      <c r="D802"/>
      <c r="E802"/>
      <c r="F802" s="15"/>
      <c r="G802"/>
      <c r="H802"/>
      <c r="I802"/>
      <c r="J802"/>
    </row>
    <row r="803" spans="1:10" x14ac:dyDescent="0.25">
      <c r="A803" s="230"/>
      <c r="B803" s="231"/>
      <c r="C803" s="15"/>
      <c r="D803"/>
      <c r="E803"/>
      <c r="F803" s="15"/>
      <c r="G803"/>
      <c r="H803"/>
      <c r="I803"/>
      <c r="J803"/>
    </row>
    <row r="804" spans="1:10" x14ac:dyDescent="0.25">
      <c r="A804" s="230"/>
      <c r="B804" s="231"/>
      <c r="C804" s="15"/>
      <c r="D804"/>
      <c r="E804"/>
      <c r="F804" s="15"/>
      <c r="G804"/>
      <c r="H804"/>
      <c r="I804"/>
      <c r="J804"/>
    </row>
    <row r="805" spans="1:10" x14ac:dyDescent="0.25">
      <c r="A805" s="230"/>
      <c r="B805" s="231"/>
      <c r="C805" s="15"/>
      <c r="D805"/>
      <c r="E805"/>
      <c r="F805" s="15"/>
      <c r="G805"/>
      <c r="H805"/>
      <c r="I805"/>
      <c r="J805"/>
    </row>
    <row r="806" spans="1:10" x14ac:dyDescent="0.25">
      <c r="A806" s="230"/>
      <c r="B806" s="231"/>
      <c r="C806" s="15"/>
      <c r="D806"/>
      <c r="E806"/>
      <c r="F806" s="15"/>
      <c r="G806"/>
      <c r="H806"/>
      <c r="I806"/>
      <c r="J806"/>
    </row>
    <row r="807" spans="1:10" x14ac:dyDescent="0.25">
      <c r="A807" s="230"/>
      <c r="B807" s="231"/>
      <c r="C807" s="15"/>
      <c r="D807"/>
      <c r="E807"/>
      <c r="F807" s="15"/>
      <c r="G807"/>
      <c r="H807"/>
      <c r="I807"/>
      <c r="J807"/>
    </row>
    <row r="808" spans="1:10" x14ac:dyDescent="0.25">
      <c r="A808" s="230"/>
      <c r="B808" s="231"/>
      <c r="C808" s="15"/>
      <c r="D808"/>
      <c r="E808"/>
      <c r="F808" s="15"/>
      <c r="G808"/>
      <c r="H808"/>
      <c r="I808"/>
      <c r="J808"/>
    </row>
    <row r="809" spans="1:10" x14ac:dyDescent="0.25">
      <c r="A809" s="230"/>
      <c r="B809" s="231"/>
      <c r="C809" s="15"/>
      <c r="D809"/>
      <c r="E809"/>
      <c r="F809" s="15"/>
      <c r="G809"/>
      <c r="H809"/>
      <c r="I809"/>
      <c r="J809"/>
    </row>
    <row r="810" spans="1:10" x14ac:dyDescent="0.25">
      <c r="A810" s="230"/>
      <c r="B810" s="231"/>
      <c r="C810" s="15"/>
      <c r="D810"/>
      <c r="E810"/>
      <c r="F810" s="15"/>
      <c r="G810"/>
      <c r="H810"/>
      <c r="I810"/>
      <c r="J810"/>
    </row>
    <row r="811" spans="1:10" x14ac:dyDescent="0.25">
      <c r="A811" s="230"/>
      <c r="B811" s="231"/>
      <c r="C811" s="15"/>
      <c r="D811"/>
      <c r="E811"/>
      <c r="F811" s="15"/>
      <c r="G811"/>
      <c r="H811"/>
      <c r="I811"/>
      <c r="J811"/>
    </row>
    <row r="812" spans="1:10" x14ac:dyDescent="0.25">
      <c r="A812" s="230"/>
      <c r="B812" s="231"/>
      <c r="C812" s="15"/>
      <c r="D812"/>
      <c r="E812"/>
      <c r="F812" s="15"/>
      <c r="G812"/>
      <c r="H812"/>
      <c r="I812"/>
      <c r="J812"/>
    </row>
    <row r="813" spans="1:10" x14ac:dyDescent="0.25">
      <c r="A813" s="230"/>
      <c r="B813" s="231"/>
      <c r="C813" s="15"/>
      <c r="D813"/>
      <c r="E813"/>
      <c r="F813" s="15"/>
      <c r="G813"/>
      <c r="H813"/>
      <c r="I813"/>
      <c r="J813"/>
    </row>
    <row r="814" spans="1:10" x14ac:dyDescent="0.25">
      <c r="A814" s="230"/>
      <c r="B814" s="231"/>
      <c r="C814" s="15"/>
      <c r="D814"/>
      <c r="E814"/>
      <c r="F814" s="15"/>
      <c r="G814"/>
      <c r="H814"/>
      <c r="I814"/>
      <c r="J814"/>
    </row>
    <row r="815" spans="1:10" x14ac:dyDescent="0.25">
      <c r="A815" s="230"/>
      <c r="B815" s="231"/>
      <c r="C815" s="15"/>
      <c r="D815"/>
      <c r="E815"/>
      <c r="F815" s="15"/>
      <c r="G815"/>
      <c r="H815"/>
      <c r="I815"/>
      <c r="J815"/>
    </row>
    <row r="816" spans="1:10" x14ac:dyDescent="0.25">
      <c r="A816" s="230"/>
      <c r="B816" s="231"/>
      <c r="C816" s="15"/>
      <c r="D816"/>
      <c r="E816"/>
      <c r="F816" s="15"/>
      <c r="G816"/>
      <c r="H816"/>
      <c r="I816"/>
      <c r="J816"/>
    </row>
    <row r="817" spans="1:10" x14ac:dyDescent="0.25">
      <c r="A817" s="230"/>
      <c r="B817" s="231"/>
      <c r="C817" s="15"/>
      <c r="D817"/>
      <c r="E817"/>
      <c r="F817" s="15"/>
      <c r="G817"/>
      <c r="H817"/>
      <c r="I817"/>
      <c r="J817"/>
    </row>
    <row r="818" spans="1:10" x14ac:dyDescent="0.25">
      <c r="A818" s="230"/>
      <c r="B818" s="231"/>
      <c r="C818" s="15"/>
      <c r="D818"/>
      <c r="E818"/>
      <c r="F818" s="15"/>
      <c r="G818"/>
      <c r="H818"/>
      <c r="I818"/>
      <c r="J818"/>
    </row>
    <row r="819" spans="1:10" x14ac:dyDescent="0.25">
      <c r="A819" s="230"/>
      <c r="B819" s="231"/>
      <c r="C819" s="15"/>
      <c r="D819"/>
      <c r="E819"/>
      <c r="F819" s="15"/>
      <c r="G819"/>
      <c r="H819"/>
      <c r="I819"/>
      <c r="J819"/>
    </row>
    <row r="820" spans="1:10" x14ac:dyDescent="0.25">
      <c r="A820" s="230"/>
      <c r="B820" s="231"/>
      <c r="C820" s="15"/>
      <c r="D820"/>
      <c r="E820"/>
      <c r="F820" s="15"/>
      <c r="G820"/>
      <c r="H820"/>
      <c r="I820"/>
      <c r="J820"/>
    </row>
    <row r="821" spans="1:10" x14ac:dyDescent="0.25">
      <c r="A821" s="230"/>
      <c r="B821" s="231"/>
      <c r="C821" s="15"/>
      <c r="D821"/>
      <c r="E821"/>
      <c r="F821" s="15"/>
      <c r="G821"/>
      <c r="H821"/>
      <c r="I821"/>
      <c r="J821"/>
    </row>
    <row r="822" spans="1:10" x14ac:dyDescent="0.25">
      <c r="A822" s="230"/>
      <c r="B822" s="231"/>
      <c r="C822" s="15"/>
      <c r="D822"/>
      <c r="E822"/>
      <c r="F822" s="15"/>
      <c r="G822"/>
      <c r="H822"/>
      <c r="I822"/>
      <c r="J822"/>
    </row>
    <row r="823" spans="1:10" x14ac:dyDescent="0.25">
      <c r="A823" s="230"/>
      <c r="B823" s="231"/>
      <c r="C823" s="15"/>
      <c r="D823"/>
      <c r="E823"/>
      <c r="F823" s="15"/>
      <c r="G823"/>
      <c r="H823"/>
      <c r="I823"/>
      <c r="J823"/>
    </row>
    <row r="824" spans="1:10" x14ac:dyDescent="0.25">
      <c r="A824" s="230"/>
      <c r="B824" s="231"/>
      <c r="C824" s="15"/>
      <c r="D824"/>
      <c r="E824"/>
      <c r="F824" s="15"/>
      <c r="G824"/>
      <c r="H824"/>
      <c r="I824"/>
      <c r="J824"/>
    </row>
    <row r="825" spans="1:10" x14ac:dyDescent="0.25">
      <c r="A825" s="230"/>
      <c r="B825" s="231"/>
      <c r="C825" s="15"/>
      <c r="D825"/>
      <c r="E825"/>
      <c r="F825" s="15"/>
      <c r="G825"/>
      <c r="H825"/>
      <c r="I825"/>
      <c r="J825"/>
    </row>
    <row r="826" spans="1:10" x14ac:dyDescent="0.25">
      <c r="A826" s="230"/>
      <c r="B826" s="231"/>
      <c r="C826" s="15"/>
      <c r="D826"/>
      <c r="E826"/>
      <c r="F826" s="15"/>
      <c r="G826"/>
      <c r="H826"/>
      <c r="I826"/>
      <c r="J826"/>
    </row>
    <row r="827" spans="1:10" x14ac:dyDescent="0.25">
      <c r="A827" s="230"/>
      <c r="B827" s="231"/>
      <c r="C827" s="15"/>
      <c r="D827"/>
      <c r="E827"/>
      <c r="F827" s="15"/>
      <c r="G827"/>
      <c r="H827"/>
      <c r="I827"/>
      <c r="J827"/>
    </row>
    <row r="828" spans="1:10" x14ac:dyDescent="0.25">
      <c r="A828" s="230"/>
      <c r="B828" s="231"/>
      <c r="C828" s="15"/>
      <c r="D828"/>
      <c r="E828"/>
      <c r="F828" s="15"/>
      <c r="G828"/>
      <c r="H828"/>
      <c r="I828"/>
      <c r="J828"/>
    </row>
    <row r="829" spans="1:10" x14ac:dyDescent="0.25">
      <c r="A829" s="230"/>
      <c r="B829" s="231"/>
      <c r="C829" s="15"/>
      <c r="D829"/>
      <c r="E829"/>
      <c r="F829" s="15"/>
      <c r="G829"/>
      <c r="H829"/>
      <c r="I829"/>
      <c r="J829"/>
    </row>
    <row r="830" spans="1:10" x14ac:dyDescent="0.25">
      <c r="A830" s="230"/>
      <c r="B830" s="231"/>
      <c r="C830" s="15"/>
      <c r="D830"/>
      <c r="E830"/>
      <c r="F830" s="15"/>
      <c r="G830"/>
      <c r="H830"/>
      <c r="I830"/>
      <c r="J830"/>
    </row>
    <row r="831" spans="1:10" x14ac:dyDescent="0.25">
      <c r="A831" s="230"/>
      <c r="B831" s="231"/>
      <c r="C831" s="15"/>
      <c r="D831"/>
      <c r="E831"/>
      <c r="F831" s="15"/>
      <c r="G831"/>
      <c r="H831"/>
      <c r="I831"/>
      <c r="J831"/>
    </row>
    <row r="832" spans="1:10" x14ac:dyDescent="0.25">
      <c r="A832" s="230"/>
      <c r="B832" s="231"/>
      <c r="C832" s="15"/>
      <c r="D832"/>
      <c r="E832"/>
      <c r="F832" s="15"/>
      <c r="G832"/>
      <c r="H832"/>
      <c r="I832"/>
      <c r="J832"/>
    </row>
    <row r="833" spans="1:10" x14ac:dyDescent="0.25">
      <c r="A833" s="230"/>
      <c r="B833" s="231"/>
      <c r="C833" s="15"/>
      <c r="D833"/>
      <c r="E833"/>
      <c r="F833" s="15"/>
      <c r="G833"/>
      <c r="H833"/>
      <c r="I833"/>
      <c r="J833"/>
    </row>
    <row r="834" spans="1:10" x14ac:dyDescent="0.25">
      <c r="A834" s="230"/>
      <c r="B834" s="231"/>
      <c r="C834" s="15"/>
      <c r="D834"/>
      <c r="E834"/>
      <c r="F834" s="15"/>
      <c r="G834"/>
      <c r="H834"/>
      <c r="I834"/>
      <c r="J834"/>
    </row>
    <row r="835" spans="1:10" x14ac:dyDescent="0.25">
      <c r="A835" s="230"/>
      <c r="B835" s="231"/>
      <c r="C835" s="15"/>
      <c r="D835"/>
      <c r="E835"/>
      <c r="F835" s="15"/>
      <c r="G835"/>
      <c r="H835"/>
      <c r="I835"/>
      <c r="J835"/>
    </row>
    <row r="836" spans="1:10" x14ac:dyDescent="0.25">
      <c r="A836" s="230"/>
      <c r="B836" s="231"/>
      <c r="C836" s="15"/>
      <c r="D836"/>
      <c r="E836"/>
      <c r="F836" s="15"/>
      <c r="G836"/>
      <c r="H836"/>
      <c r="I836"/>
      <c r="J836"/>
    </row>
    <row r="837" spans="1:10" x14ac:dyDescent="0.25">
      <c r="A837" s="230"/>
      <c r="B837" s="231"/>
      <c r="C837" s="15"/>
      <c r="D837"/>
      <c r="E837"/>
      <c r="F837" s="15"/>
      <c r="G837"/>
      <c r="H837"/>
      <c r="I837"/>
      <c r="J837"/>
    </row>
    <row r="838" spans="1:10" x14ac:dyDescent="0.25">
      <c r="A838" s="230"/>
      <c r="B838" s="231"/>
      <c r="C838" s="15"/>
      <c r="D838"/>
      <c r="E838"/>
      <c r="F838" s="15"/>
      <c r="G838"/>
      <c r="H838"/>
      <c r="I838"/>
      <c r="J838"/>
    </row>
    <row r="839" spans="1:10" x14ac:dyDescent="0.25">
      <c r="A839" s="230"/>
      <c r="B839" s="231"/>
      <c r="C839" s="15"/>
      <c r="D839"/>
      <c r="E839"/>
      <c r="F839" s="15"/>
      <c r="G839"/>
      <c r="H839"/>
      <c r="I839"/>
      <c r="J839"/>
    </row>
    <row r="840" spans="1:10" x14ac:dyDescent="0.25">
      <c r="A840" s="230"/>
      <c r="B840" s="231"/>
      <c r="C840" s="15"/>
      <c r="D840"/>
      <c r="E840"/>
      <c r="F840" s="15"/>
      <c r="G840"/>
      <c r="H840"/>
      <c r="I840"/>
      <c r="J840"/>
    </row>
    <row r="841" spans="1:10" x14ac:dyDescent="0.25">
      <c r="A841" s="230"/>
      <c r="B841" s="231"/>
      <c r="C841" s="15"/>
      <c r="D841"/>
      <c r="E841"/>
      <c r="F841" s="15"/>
      <c r="G841"/>
      <c r="H841"/>
      <c r="I841"/>
      <c r="J841"/>
    </row>
    <row r="842" spans="1:10" x14ac:dyDescent="0.25">
      <c r="A842" s="230"/>
      <c r="B842" s="231"/>
      <c r="C842" s="15"/>
      <c r="D842"/>
      <c r="E842"/>
      <c r="F842" s="15"/>
      <c r="G842"/>
      <c r="H842"/>
      <c r="I842"/>
      <c r="J842"/>
    </row>
    <row r="843" spans="1:10" x14ac:dyDescent="0.25">
      <c r="A843" s="230"/>
      <c r="B843" s="231"/>
      <c r="C843" s="15"/>
      <c r="D843"/>
      <c r="E843"/>
      <c r="F843" s="15"/>
      <c r="G843"/>
      <c r="H843"/>
      <c r="I843"/>
      <c r="J843"/>
    </row>
    <row r="844" spans="1:10" x14ac:dyDescent="0.25">
      <c r="A844" s="230"/>
      <c r="B844" s="231"/>
      <c r="C844" s="15"/>
      <c r="D844"/>
      <c r="E844"/>
      <c r="F844" s="15"/>
      <c r="G844"/>
      <c r="H844"/>
      <c r="I844"/>
      <c r="J844"/>
    </row>
    <row r="845" spans="1:10" x14ac:dyDescent="0.25">
      <c r="A845" s="230"/>
      <c r="B845" s="231"/>
      <c r="C845" s="15"/>
      <c r="D845"/>
      <c r="E845"/>
      <c r="F845" s="15"/>
      <c r="G845"/>
      <c r="H845"/>
      <c r="I845"/>
      <c r="J845"/>
    </row>
    <row r="846" spans="1:10" x14ac:dyDescent="0.25">
      <c r="A846" s="230"/>
      <c r="B846" s="231"/>
      <c r="C846" s="15"/>
      <c r="D846"/>
      <c r="E846"/>
      <c r="F846" s="15"/>
      <c r="G846"/>
      <c r="H846"/>
      <c r="I846"/>
      <c r="J846"/>
    </row>
    <row r="847" spans="1:10" x14ac:dyDescent="0.25">
      <c r="A847" s="230"/>
      <c r="B847" s="231"/>
      <c r="C847" s="15"/>
      <c r="D847"/>
      <c r="E847"/>
      <c r="F847" s="15"/>
      <c r="G847"/>
      <c r="H847"/>
      <c r="I847"/>
      <c r="J847"/>
    </row>
    <row r="848" spans="1:10" x14ac:dyDescent="0.25">
      <c r="A848" s="230"/>
      <c r="B848" s="231"/>
      <c r="C848" s="15"/>
      <c r="D848"/>
      <c r="E848"/>
      <c r="F848" s="15"/>
      <c r="G848"/>
      <c r="H848"/>
      <c r="I848"/>
      <c r="J848"/>
    </row>
    <row r="849" spans="1:10" x14ac:dyDescent="0.25">
      <c r="A849" s="230"/>
      <c r="B849" s="231"/>
      <c r="C849" s="15"/>
      <c r="D849"/>
      <c r="E849"/>
      <c r="F849" s="15"/>
      <c r="G849"/>
      <c r="H849"/>
      <c r="I849"/>
      <c r="J849"/>
    </row>
    <row r="850" spans="1:10" x14ac:dyDescent="0.25">
      <c r="A850" s="230"/>
      <c r="B850" s="231"/>
      <c r="C850" s="15"/>
      <c r="D850"/>
      <c r="E850"/>
      <c r="F850" s="15"/>
      <c r="G850"/>
      <c r="H850"/>
      <c r="I850"/>
      <c r="J850"/>
    </row>
    <row r="851" spans="1:10" x14ac:dyDescent="0.25">
      <c r="A851" s="230"/>
      <c r="B851" s="231"/>
      <c r="C851" s="15"/>
      <c r="D851"/>
      <c r="E851"/>
      <c r="F851" s="15"/>
      <c r="G851"/>
      <c r="H851"/>
      <c r="I851"/>
      <c r="J851"/>
    </row>
    <row r="852" spans="1:10" x14ac:dyDescent="0.25">
      <c r="A852" s="230"/>
      <c r="B852" s="231"/>
      <c r="C852" s="15"/>
      <c r="D852"/>
      <c r="E852"/>
      <c r="F852" s="15"/>
      <c r="G852"/>
      <c r="H852"/>
      <c r="I852"/>
      <c r="J852"/>
    </row>
    <row r="853" spans="1:10" x14ac:dyDescent="0.25">
      <c r="A853" s="230"/>
      <c r="B853" s="231"/>
      <c r="C853" s="15"/>
      <c r="D853"/>
      <c r="E853"/>
      <c r="F853" s="15"/>
      <c r="G853"/>
      <c r="H853"/>
      <c r="I853"/>
      <c r="J853"/>
    </row>
    <row r="854" spans="1:10" x14ac:dyDescent="0.25">
      <c r="A854" s="230"/>
      <c r="B854" s="231"/>
      <c r="C854" s="15"/>
      <c r="D854"/>
      <c r="E854"/>
      <c r="F854" s="15"/>
      <c r="G854"/>
      <c r="H854"/>
      <c r="I854"/>
      <c r="J854"/>
    </row>
    <row r="855" spans="1:10" x14ac:dyDescent="0.25">
      <c r="A855" s="230"/>
      <c r="B855" s="231"/>
      <c r="C855" s="15"/>
      <c r="D855"/>
      <c r="E855"/>
      <c r="F855" s="15"/>
      <c r="G855"/>
      <c r="H855"/>
      <c r="I855"/>
      <c r="J855"/>
    </row>
    <row r="856" spans="1:10" x14ac:dyDescent="0.25">
      <c r="A856" s="230"/>
      <c r="B856" s="231"/>
      <c r="C856" s="15"/>
      <c r="D856"/>
      <c r="E856"/>
      <c r="F856" s="15"/>
      <c r="G856"/>
      <c r="H856"/>
      <c r="I856"/>
      <c r="J856"/>
    </row>
    <row r="857" spans="1:10" x14ac:dyDescent="0.25">
      <c r="A857" s="230"/>
      <c r="B857" s="231"/>
      <c r="C857" s="15"/>
      <c r="D857"/>
      <c r="E857"/>
      <c r="F857" s="15"/>
      <c r="G857"/>
      <c r="H857"/>
      <c r="I857"/>
      <c r="J857"/>
    </row>
    <row r="858" spans="1:10" x14ac:dyDescent="0.25">
      <c r="A858" s="230"/>
      <c r="B858" s="231"/>
      <c r="C858" s="15"/>
      <c r="D858"/>
      <c r="E858"/>
      <c r="F858" s="15"/>
      <c r="G858"/>
      <c r="H858"/>
      <c r="I858"/>
      <c r="J858"/>
    </row>
    <row r="859" spans="1:10" x14ac:dyDescent="0.25">
      <c r="A859" s="230"/>
      <c r="B859" s="231"/>
      <c r="C859" s="15"/>
      <c r="D859"/>
      <c r="E859"/>
      <c r="F859" s="15"/>
      <c r="G859"/>
      <c r="H859"/>
      <c r="I859"/>
      <c r="J859"/>
    </row>
    <row r="860" spans="1:10" x14ac:dyDescent="0.25">
      <c r="A860" s="230"/>
      <c r="B860" s="231"/>
      <c r="C860" s="15"/>
      <c r="D860"/>
      <c r="E860"/>
      <c r="F860" s="15"/>
      <c r="G860"/>
      <c r="H860"/>
      <c r="I860"/>
      <c r="J860"/>
    </row>
    <row r="861" spans="1:10" x14ac:dyDescent="0.25">
      <c r="A861" s="230"/>
      <c r="B861" s="231"/>
      <c r="C861" s="15"/>
      <c r="D861"/>
      <c r="E861"/>
      <c r="F861" s="15"/>
      <c r="G861"/>
      <c r="H861"/>
      <c r="I861"/>
      <c r="J861"/>
    </row>
    <row r="862" spans="1:10" x14ac:dyDescent="0.25">
      <c r="A862" s="230"/>
      <c r="B862" s="231"/>
      <c r="C862" s="15"/>
      <c r="D862"/>
      <c r="E862"/>
      <c r="F862" s="15"/>
      <c r="G862"/>
      <c r="H862"/>
      <c r="I862"/>
      <c r="J862"/>
    </row>
    <row r="863" spans="1:10" x14ac:dyDescent="0.25">
      <c r="A863" s="230"/>
      <c r="B863" s="231"/>
      <c r="C863" s="15"/>
      <c r="D863"/>
      <c r="E863"/>
      <c r="F863" s="15"/>
      <c r="G863"/>
      <c r="H863"/>
      <c r="I863"/>
      <c r="J863"/>
    </row>
    <row r="864" spans="1:10" x14ac:dyDescent="0.25">
      <c r="A864" s="230"/>
      <c r="B864" s="231"/>
      <c r="C864" s="15"/>
      <c r="D864"/>
      <c r="E864"/>
      <c r="F864" s="15"/>
      <c r="G864"/>
      <c r="H864"/>
      <c r="I864"/>
      <c r="J864"/>
    </row>
    <row r="865" spans="1:10" x14ac:dyDescent="0.25">
      <c r="A865" s="230"/>
      <c r="B865" s="231"/>
      <c r="C865" s="15"/>
      <c r="D865"/>
      <c r="E865"/>
      <c r="F865" s="15"/>
      <c r="G865"/>
      <c r="H865"/>
      <c r="I865"/>
      <c r="J865"/>
    </row>
    <row r="866" spans="1:10" x14ac:dyDescent="0.25">
      <c r="A866" s="230"/>
      <c r="B866" s="231"/>
      <c r="C866" s="15"/>
      <c r="D866"/>
      <c r="E866"/>
      <c r="F866" s="15"/>
      <c r="G866"/>
      <c r="H866"/>
      <c r="I866"/>
      <c r="J866"/>
    </row>
    <row r="867" spans="1:10" x14ac:dyDescent="0.25">
      <c r="A867" s="230"/>
      <c r="B867" s="231"/>
      <c r="C867" s="15"/>
      <c r="D867"/>
      <c r="E867"/>
      <c r="F867" s="15"/>
      <c r="G867"/>
      <c r="H867"/>
      <c r="I867"/>
      <c r="J867"/>
    </row>
    <row r="868" spans="1:10" x14ac:dyDescent="0.25">
      <c r="A868" s="230"/>
      <c r="B868" s="231"/>
      <c r="C868" s="15"/>
      <c r="D868"/>
      <c r="E868"/>
      <c r="F868" s="15"/>
      <c r="G868"/>
      <c r="H868"/>
      <c r="I868"/>
      <c r="J868"/>
    </row>
    <row r="869" spans="1:10" x14ac:dyDescent="0.25">
      <c r="A869" s="230"/>
      <c r="B869" s="231"/>
      <c r="C869" s="15"/>
      <c r="D869"/>
      <c r="E869"/>
      <c r="F869" s="15"/>
      <c r="G869"/>
      <c r="H869"/>
      <c r="I869"/>
      <c r="J869"/>
    </row>
    <row r="870" spans="1:10" x14ac:dyDescent="0.25">
      <c r="A870" s="230"/>
      <c r="B870" s="231"/>
      <c r="C870" s="15"/>
      <c r="D870"/>
      <c r="E870"/>
      <c r="F870" s="15"/>
      <c r="G870"/>
      <c r="H870"/>
      <c r="I870"/>
      <c r="J870"/>
    </row>
    <row r="871" spans="1:10" x14ac:dyDescent="0.25">
      <c r="A871" s="230"/>
      <c r="B871" s="231"/>
      <c r="C871" s="15"/>
      <c r="D871"/>
      <c r="E871"/>
      <c r="F871" s="15"/>
      <c r="G871"/>
      <c r="H871"/>
      <c r="I871"/>
      <c r="J871"/>
    </row>
    <row r="872" spans="1:10" x14ac:dyDescent="0.25">
      <c r="A872" s="230"/>
      <c r="B872" s="231"/>
      <c r="C872" s="15"/>
      <c r="D872"/>
      <c r="E872"/>
      <c r="F872" s="15"/>
      <c r="G872"/>
      <c r="H872"/>
      <c r="I872"/>
      <c r="J872"/>
    </row>
    <row r="873" spans="1:10" x14ac:dyDescent="0.25">
      <c r="A873" s="230"/>
      <c r="B873" s="231"/>
      <c r="C873" s="15"/>
      <c r="D873"/>
      <c r="E873"/>
      <c r="F873" s="15"/>
      <c r="G873"/>
      <c r="H873"/>
      <c r="I873"/>
      <c r="J873"/>
    </row>
    <row r="874" spans="1:10" x14ac:dyDescent="0.25">
      <c r="A874" s="230"/>
      <c r="B874" s="231"/>
      <c r="C874" s="15"/>
      <c r="D874"/>
      <c r="E874"/>
      <c r="F874" s="15"/>
      <c r="G874"/>
      <c r="H874"/>
      <c r="I874"/>
      <c r="J874"/>
    </row>
    <row r="875" spans="1:10" x14ac:dyDescent="0.25">
      <c r="A875" s="230"/>
      <c r="B875" s="231"/>
      <c r="C875" s="15"/>
      <c r="D875"/>
      <c r="E875"/>
      <c r="F875" s="15"/>
      <c r="G875"/>
      <c r="H875"/>
      <c r="I875"/>
      <c r="J875"/>
    </row>
    <row r="876" spans="1:10" x14ac:dyDescent="0.25">
      <c r="A876" s="230"/>
      <c r="B876" s="231"/>
      <c r="C876" s="15"/>
      <c r="D876"/>
      <c r="E876"/>
      <c r="F876" s="15"/>
      <c r="G876"/>
      <c r="H876"/>
      <c r="I876"/>
      <c r="J876"/>
    </row>
    <row r="877" spans="1:10" x14ac:dyDescent="0.25">
      <c r="A877" s="230"/>
      <c r="B877" s="231"/>
      <c r="C877" s="15"/>
      <c r="D877"/>
      <c r="E877"/>
      <c r="F877" s="15"/>
      <c r="G877"/>
      <c r="H877"/>
      <c r="I877"/>
      <c r="J877"/>
    </row>
    <row r="878" spans="1:10" x14ac:dyDescent="0.25">
      <c r="A878" s="230"/>
      <c r="B878" s="231"/>
      <c r="C878" s="15"/>
      <c r="D878"/>
      <c r="E878"/>
      <c r="F878" s="15"/>
      <c r="G878"/>
      <c r="H878"/>
      <c r="I878"/>
      <c r="J878"/>
    </row>
    <row r="879" spans="1:10" x14ac:dyDescent="0.25">
      <c r="A879" s="230"/>
      <c r="B879" s="231"/>
      <c r="C879" s="15"/>
      <c r="D879"/>
      <c r="E879"/>
      <c r="F879" s="15"/>
      <c r="G879"/>
      <c r="H879"/>
      <c r="I879"/>
      <c r="J879"/>
    </row>
    <row r="880" spans="1:10" x14ac:dyDescent="0.25">
      <c r="A880" s="230"/>
      <c r="B880" s="231"/>
      <c r="C880" s="15"/>
      <c r="D880"/>
      <c r="E880"/>
      <c r="F880" s="15"/>
      <c r="G880"/>
      <c r="H880"/>
      <c r="I880"/>
      <c r="J880"/>
    </row>
    <row r="881" spans="1:10" x14ac:dyDescent="0.25">
      <c r="A881" s="230"/>
      <c r="B881" s="231"/>
      <c r="C881" s="15"/>
      <c r="D881"/>
      <c r="E881"/>
      <c r="F881" s="15"/>
      <c r="G881"/>
      <c r="H881"/>
      <c r="I881"/>
      <c r="J881"/>
    </row>
    <row r="882" spans="1:10" x14ac:dyDescent="0.25">
      <c r="A882" s="230"/>
      <c r="B882" s="231"/>
      <c r="C882" s="15"/>
      <c r="D882"/>
      <c r="E882"/>
      <c r="F882" s="15"/>
      <c r="G882"/>
      <c r="H882"/>
      <c r="I882"/>
      <c r="J882"/>
    </row>
    <row r="883" spans="1:10" x14ac:dyDescent="0.25">
      <c r="A883" s="230"/>
      <c r="B883" s="231"/>
      <c r="C883" s="15"/>
      <c r="D883"/>
      <c r="E883"/>
      <c r="F883" s="15"/>
      <c r="G883"/>
      <c r="H883"/>
      <c r="I883"/>
      <c r="J883"/>
    </row>
    <row r="884" spans="1:10" x14ac:dyDescent="0.25">
      <c r="A884" s="230"/>
      <c r="B884" s="231"/>
      <c r="C884" s="15"/>
      <c r="D884"/>
      <c r="E884"/>
      <c r="F884" s="15"/>
      <c r="G884"/>
      <c r="H884"/>
      <c r="I884"/>
      <c r="J884"/>
    </row>
    <row r="885" spans="1:10" x14ac:dyDescent="0.25">
      <c r="A885" s="230"/>
      <c r="B885" s="231"/>
      <c r="C885" s="15"/>
      <c r="D885"/>
      <c r="E885"/>
      <c r="F885" s="15"/>
      <c r="G885"/>
      <c r="H885"/>
      <c r="I885"/>
      <c r="J885"/>
    </row>
    <row r="886" spans="1:10" x14ac:dyDescent="0.25">
      <c r="A886" s="230"/>
      <c r="B886" s="231"/>
      <c r="C886" s="15"/>
      <c r="D886"/>
      <c r="E886"/>
      <c r="F886" s="15"/>
      <c r="G886"/>
      <c r="H886"/>
      <c r="I886"/>
      <c r="J886"/>
    </row>
    <row r="887" spans="1:10" x14ac:dyDescent="0.25">
      <c r="A887" s="230"/>
      <c r="B887" s="231"/>
      <c r="C887" s="15"/>
      <c r="D887"/>
      <c r="E887"/>
      <c r="F887" s="15"/>
      <c r="G887"/>
      <c r="H887"/>
      <c r="I887"/>
      <c r="J887"/>
    </row>
    <row r="888" spans="1:10" x14ac:dyDescent="0.25">
      <c r="A888" s="230"/>
      <c r="B888" s="231"/>
      <c r="C888" s="15"/>
      <c r="D888"/>
      <c r="E888"/>
      <c r="F888" s="15"/>
      <c r="G888"/>
      <c r="H888"/>
      <c r="I888"/>
      <c r="J888"/>
    </row>
    <row r="889" spans="1:10" x14ac:dyDescent="0.25">
      <c r="A889" s="230"/>
      <c r="B889" s="231"/>
      <c r="C889" s="15"/>
      <c r="D889"/>
      <c r="E889"/>
      <c r="F889" s="15"/>
      <c r="G889"/>
      <c r="H889"/>
      <c r="I889"/>
      <c r="J889"/>
    </row>
    <row r="890" spans="1:10" x14ac:dyDescent="0.25">
      <c r="A890" s="230"/>
      <c r="B890" s="231"/>
      <c r="C890" s="15"/>
      <c r="D890"/>
      <c r="E890"/>
      <c r="F890" s="15"/>
      <c r="G890"/>
      <c r="H890"/>
      <c r="I890"/>
      <c r="J890"/>
    </row>
    <row r="891" spans="1:10" x14ac:dyDescent="0.25">
      <c r="A891" s="230"/>
      <c r="B891" s="231"/>
      <c r="C891" s="15"/>
      <c r="D891"/>
      <c r="E891"/>
      <c r="F891" s="15"/>
      <c r="G891"/>
      <c r="H891"/>
      <c r="I891"/>
      <c r="J891"/>
    </row>
    <row r="892" spans="1:10" x14ac:dyDescent="0.25">
      <c r="A892" s="230"/>
      <c r="B892" s="231"/>
      <c r="C892" s="15"/>
      <c r="D892"/>
      <c r="E892"/>
      <c r="F892" s="15"/>
      <c r="G892"/>
      <c r="H892"/>
      <c r="I892"/>
      <c r="J892"/>
    </row>
    <row r="893" spans="1:10" x14ac:dyDescent="0.25">
      <c r="A893" s="230"/>
      <c r="B893" s="231"/>
      <c r="C893" s="15"/>
      <c r="D893"/>
      <c r="E893"/>
      <c r="F893" s="15"/>
      <c r="G893"/>
      <c r="H893"/>
      <c r="I893"/>
      <c r="J893"/>
    </row>
    <row r="894" spans="1:10" x14ac:dyDescent="0.25">
      <c r="A894" s="230"/>
      <c r="B894" s="231"/>
      <c r="C894" s="15"/>
      <c r="D894"/>
      <c r="E894"/>
      <c r="F894" s="15"/>
      <c r="G894"/>
      <c r="H894"/>
      <c r="I894"/>
      <c r="J894"/>
    </row>
    <row r="895" spans="1:10" x14ac:dyDescent="0.25">
      <c r="A895" s="230"/>
      <c r="B895" s="231"/>
      <c r="C895" s="15"/>
      <c r="D895"/>
      <c r="E895"/>
      <c r="F895" s="15"/>
      <c r="G895"/>
      <c r="H895"/>
      <c r="I895"/>
      <c r="J895"/>
    </row>
    <row r="896" spans="1:10" x14ac:dyDescent="0.25">
      <c r="A896" s="230"/>
      <c r="B896" s="231"/>
      <c r="C896" s="15"/>
      <c r="D896"/>
      <c r="E896"/>
      <c r="F896" s="15"/>
      <c r="G896"/>
      <c r="H896"/>
      <c r="I896"/>
      <c r="J896"/>
    </row>
    <row r="897" spans="1:10" x14ac:dyDescent="0.25">
      <c r="A897" s="230"/>
      <c r="B897" s="231"/>
      <c r="C897" s="15"/>
      <c r="D897"/>
      <c r="E897"/>
      <c r="F897" s="15"/>
      <c r="G897"/>
      <c r="H897"/>
      <c r="I897"/>
      <c r="J897"/>
    </row>
    <row r="898" spans="1:10" x14ac:dyDescent="0.25">
      <c r="A898" s="230"/>
      <c r="B898" s="231"/>
      <c r="C898" s="15"/>
      <c r="D898"/>
      <c r="E898"/>
      <c r="F898" s="15"/>
      <c r="G898"/>
      <c r="H898"/>
      <c r="I898"/>
      <c r="J898"/>
    </row>
    <row r="899" spans="1:10" x14ac:dyDescent="0.25">
      <c r="A899" s="230"/>
      <c r="B899" s="231"/>
      <c r="C899" s="15"/>
      <c r="D899"/>
      <c r="E899"/>
      <c r="F899" s="15"/>
      <c r="G899"/>
      <c r="H899"/>
      <c r="I899"/>
      <c r="J899"/>
    </row>
    <row r="900" spans="1:10" x14ac:dyDescent="0.25">
      <c r="A900" s="230"/>
      <c r="B900" s="231"/>
      <c r="C900" s="15"/>
      <c r="D900"/>
      <c r="E900"/>
      <c r="F900" s="15"/>
      <c r="G900"/>
      <c r="H900"/>
      <c r="I900"/>
      <c r="J900"/>
    </row>
    <row r="901" spans="1:10" x14ac:dyDescent="0.25">
      <c r="A901" s="230"/>
      <c r="B901" s="231"/>
      <c r="C901" s="15"/>
      <c r="D901"/>
      <c r="E901"/>
      <c r="F901" s="15"/>
      <c r="G901"/>
      <c r="H901"/>
      <c r="I901"/>
      <c r="J901"/>
    </row>
    <row r="902" spans="1:10" x14ac:dyDescent="0.25">
      <c r="A902" s="230"/>
      <c r="B902" s="231"/>
      <c r="C902" s="15"/>
      <c r="D902"/>
      <c r="E902"/>
      <c r="F902" s="15"/>
      <c r="G902"/>
      <c r="H902"/>
      <c r="I902"/>
      <c r="J902"/>
    </row>
    <row r="903" spans="1:10" x14ac:dyDescent="0.25">
      <c r="A903" s="230"/>
      <c r="B903" s="231"/>
      <c r="C903" s="15"/>
      <c r="D903"/>
      <c r="E903"/>
      <c r="F903" s="15"/>
      <c r="G903"/>
      <c r="H903"/>
      <c r="I903"/>
      <c r="J903"/>
    </row>
    <row r="904" spans="1:10" x14ac:dyDescent="0.25">
      <c r="A904" s="230"/>
      <c r="B904" s="231"/>
      <c r="C904" s="15"/>
      <c r="D904"/>
      <c r="E904"/>
      <c r="F904" s="15"/>
      <c r="G904"/>
      <c r="H904"/>
      <c r="I904"/>
      <c r="J904"/>
    </row>
    <row r="905" spans="1:10" x14ac:dyDescent="0.25">
      <c r="A905" s="230"/>
      <c r="B905" s="231"/>
      <c r="C905" s="15"/>
      <c r="D905"/>
      <c r="E905"/>
      <c r="F905" s="15"/>
      <c r="G905"/>
      <c r="H905"/>
      <c r="I905"/>
      <c r="J905"/>
    </row>
    <row r="906" spans="1:10" x14ac:dyDescent="0.25">
      <c r="A906" s="230"/>
      <c r="B906" s="231"/>
      <c r="C906" s="15"/>
      <c r="D906"/>
      <c r="E906"/>
      <c r="F906" s="15"/>
      <c r="G906"/>
      <c r="H906"/>
      <c r="I906"/>
      <c r="J906"/>
    </row>
    <row r="907" spans="1:10" x14ac:dyDescent="0.25">
      <c r="A907" s="230"/>
      <c r="B907" s="231"/>
      <c r="C907" s="15"/>
      <c r="D907"/>
      <c r="E907"/>
      <c r="F907" s="15"/>
      <c r="G907"/>
      <c r="H907"/>
      <c r="I907"/>
      <c r="J907"/>
    </row>
    <row r="908" spans="1:10" x14ac:dyDescent="0.25">
      <c r="A908" s="230"/>
      <c r="B908" s="231"/>
      <c r="C908" s="15"/>
      <c r="D908"/>
      <c r="E908"/>
      <c r="F908" s="15"/>
      <c r="G908"/>
      <c r="H908"/>
      <c r="I908"/>
      <c r="J908"/>
    </row>
    <row r="909" spans="1:10" x14ac:dyDescent="0.25">
      <c r="A909" s="230"/>
      <c r="B909" s="231"/>
      <c r="C909" s="15"/>
      <c r="D909"/>
      <c r="E909"/>
      <c r="F909" s="15"/>
      <c r="G909"/>
      <c r="H909"/>
      <c r="I909"/>
      <c r="J909"/>
    </row>
    <row r="910" spans="1:10" x14ac:dyDescent="0.25">
      <c r="A910" s="230"/>
      <c r="B910" s="231"/>
      <c r="C910" s="15"/>
      <c r="D910"/>
      <c r="E910"/>
      <c r="F910" s="15"/>
      <c r="G910"/>
      <c r="H910"/>
      <c r="I910"/>
      <c r="J910"/>
    </row>
    <row r="911" spans="1:10" x14ac:dyDescent="0.25">
      <c r="A911" s="230"/>
      <c r="B911" s="231"/>
      <c r="C911" s="15"/>
      <c r="D911"/>
      <c r="E911"/>
      <c r="F911" s="15"/>
      <c r="G911"/>
      <c r="H911"/>
      <c r="I911"/>
      <c r="J911"/>
    </row>
    <row r="912" spans="1:10" x14ac:dyDescent="0.25">
      <c r="A912" s="230"/>
      <c r="B912" s="231"/>
      <c r="C912" s="15"/>
      <c r="D912"/>
      <c r="E912"/>
      <c r="F912" s="15"/>
      <c r="G912"/>
      <c r="H912"/>
      <c r="I912"/>
      <c r="J912"/>
    </row>
    <row r="913" spans="1:10" x14ac:dyDescent="0.25">
      <c r="A913" s="230"/>
      <c r="B913" s="231"/>
      <c r="C913" s="15"/>
      <c r="D913"/>
      <c r="E913"/>
      <c r="F913" s="15"/>
      <c r="G913"/>
      <c r="H913"/>
      <c r="I913"/>
      <c r="J913"/>
    </row>
    <row r="914" spans="1:10" x14ac:dyDescent="0.25">
      <c r="A914" s="230"/>
      <c r="B914" s="231"/>
      <c r="C914" s="15"/>
      <c r="D914"/>
      <c r="E914"/>
      <c r="F914" s="15"/>
      <c r="G914"/>
      <c r="H914"/>
      <c r="I914"/>
      <c r="J914"/>
    </row>
    <row r="915" spans="1:10" x14ac:dyDescent="0.25">
      <c r="A915" s="230"/>
      <c r="B915" s="231"/>
      <c r="C915" s="15"/>
      <c r="D915"/>
      <c r="E915"/>
      <c r="F915" s="15"/>
      <c r="G915"/>
      <c r="H915"/>
      <c r="I915"/>
      <c r="J915"/>
    </row>
    <row r="916" spans="1:10" x14ac:dyDescent="0.25">
      <c r="A916" s="230"/>
      <c r="B916" s="231"/>
      <c r="C916" s="15"/>
      <c r="D916"/>
      <c r="E916"/>
      <c r="F916" s="15"/>
      <c r="G916"/>
      <c r="H916"/>
      <c r="I916"/>
      <c r="J916"/>
    </row>
    <row r="917" spans="1:10" x14ac:dyDescent="0.25">
      <c r="A917" s="230"/>
      <c r="B917" s="231"/>
      <c r="C917" s="15"/>
      <c r="D917"/>
      <c r="E917"/>
      <c r="F917" s="15"/>
      <c r="G917"/>
      <c r="H917"/>
      <c r="I917"/>
      <c r="J917"/>
    </row>
    <row r="918" spans="1:10" x14ac:dyDescent="0.25">
      <c r="A918" s="230"/>
      <c r="B918" s="231"/>
      <c r="C918" s="15"/>
      <c r="D918"/>
      <c r="E918"/>
      <c r="F918" s="15"/>
      <c r="G918"/>
      <c r="H918"/>
      <c r="I918"/>
      <c r="J918"/>
    </row>
    <row r="919" spans="1:10" x14ac:dyDescent="0.25">
      <c r="A919" s="230"/>
      <c r="B919" s="231"/>
      <c r="C919" s="15"/>
      <c r="D919"/>
      <c r="E919"/>
      <c r="F919" s="15"/>
      <c r="G919"/>
      <c r="H919"/>
      <c r="I919"/>
      <c r="J919"/>
    </row>
    <row r="920" spans="1:10" x14ac:dyDescent="0.25">
      <c r="A920" s="230"/>
      <c r="B920" s="231"/>
      <c r="C920" s="15"/>
      <c r="D920"/>
      <c r="E920"/>
      <c r="F920" s="15"/>
      <c r="G920"/>
      <c r="H920"/>
      <c r="I920"/>
      <c r="J920"/>
    </row>
    <row r="921" spans="1:10" x14ac:dyDescent="0.25">
      <c r="A921" s="230"/>
      <c r="B921" s="231"/>
      <c r="C921" s="15"/>
      <c r="D921"/>
      <c r="E921"/>
      <c r="F921" s="15"/>
      <c r="G921"/>
      <c r="H921"/>
      <c r="I921"/>
      <c r="J921"/>
    </row>
    <row r="922" spans="1:10" x14ac:dyDescent="0.25">
      <c r="A922" s="230"/>
      <c r="B922" s="231"/>
      <c r="C922" s="15"/>
      <c r="D922"/>
      <c r="E922"/>
      <c r="F922" s="15"/>
      <c r="G922"/>
      <c r="H922"/>
      <c r="I922"/>
      <c r="J922"/>
    </row>
    <row r="923" spans="1:10" x14ac:dyDescent="0.25">
      <c r="A923" s="230"/>
      <c r="B923" s="231"/>
      <c r="C923" s="15"/>
      <c r="D923"/>
      <c r="E923"/>
      <c r="F923" s="15"/>
      <c r="G923"/>
      <c r="H923"/>
      <c r="I923"/>
      <c r="J923"/>
    </row>
    <row r="924" spans="1:10" x14ac:dyDescent="0.25">
      <c r="A924" s="230"/>
      <c r="B924" s="231"/>
      <c r="C924" s="15"/>
      <c r="D924"/>
      <c r="E924"/>
      <c r="F924" s="15"/>
      <c r="G924"/>
      <c r="H924"/>
      <c r="I924"/>
      <c r="J924"/>
    </row>
    <row r="925" spans="1:10" x14ac:dyDescent="0.25">
      <c r="A925" s="230"/>
      <c r="B925" s="231"/>
      <c r="C925" s="15"/>
      <c r="D925"/>
      <c r="E925"/>
      <c r="F925" s="15"/>
      <c r="G925"/>
      <c r="H925"/>
      <c r="I925"/>
      <c r="J925"/>
    </row>
    <row r="926" spans="1:10" x14ac:dyDescent="0.25">
      <c r="A926" s="230"/>
      <c r="B926" s="231"/>
      <c r="C926" s="15"/>
      <c r="D926"/>
      <c r="E926"/>
      <c r="F926" s="15"/>
      <c r="G926"/>
      <c r="H926"/>
      <c r="I926"/>
      <c r="J926"/>
    </row>
    <row r="927" spans="1:10" x14ac:dyDescent="0.25">
      <c r="A927" s="230"/>
      <c r="B927" s="231"/>
      <c r="C927" s="15"/>
      <c r="D927"/>
      <c r="E927"/>
      <c r="F927" s="15"/>
      <c r="G927"/>
      <c r="H927"/>
      <c r="I927"/>
      <c r="J927"/>
    </row>
    <row r="928" spans="1:10" x14ac:dyDescent="0.25">
      <c r="A928" s="230"/>
      <c r="B928" s="231"/>
      <c r="C928" s="15"/>
      <c r="D928"/>
      <c r="E928"/>
      <c r="F928" s="15"/>
      <c r="G928"/>
      <c r="H928"/>
      <c r="I928"/>
      <c r="J928"/>
    </row>
    <row r="929" spans="1:10" x14ac:dyDescent="0.25">
      <c r="A929" s="230"/>
      <c r="B929" s="231"/>
      <c r="C929" s="15"/>
      <c r="D929"/>
      <c r="E929"/>
      <c r="F929" s="15"/>
      <c r="G929"/>
      <c r="H929"/>
      <c r="I929"/>
      <c r="J929"/>
    </row>
    <row r="930" spans="1:10" x14ac:dyDescent="0.25">
      <c r="A930" s="230"/>
      <c r="B930" s="231"/>
      <c r="C930" s="15"/>
      <c r="D930"/>
      <c r="E930"/>
      <c r="F930" s="15"/>
      <c r="G930"/>
      <c r="H930"/>
      <c r="I930"/>
      <c r="J930"/>
    </row>
  </sheetData>
  <autoFilter ref="A3:AD266" xr:uid="{00000000-0009-0000-0000-000004000000}"/>
  <mergeCells count="334">
    <mergeCell ref="R175:R177"/>
    <mergeCell ref="S175:S177"/>
    <mergeCell ref="T175:T177"/>
    <mergeCell ref="U175:U177"/>
    <mergeCell ref="V175:V177"/>
    <mergeCell ref="R170:R172"/>
    <mergeCell ref="S170:S172"/>
    <mergeCell ref="T170:T172"/>
    <mergeCell ref="U170:U172"/>
    <mergeCell ref="V170:V172"/>
    <mergeCell ref="R173:R174"/>
    <mergeCell ref="S173:S174"/>
    <mergeCell ref="T173:T174"/>
    <mergeCell ref="U173:U174"/>
    <mergeCell ref="V173:V174"/>
    <mergeCell ref="R166:R167"/>
    <mergeCell ref="S166:S167"/>
    <mergeCell ref="T166:T167"/>
    <mergeCell ref="U166:U167"/>
    <mergeCell ref="V166:V167"/>
    <mergeCell ref="R168:R169"/>
    <mergeCell ref="S168:S169"/>
    <mergeCell ref="T168:T169"/>
    <mergeCell ref="U168:U169"/>
    <mergeCell ref="V168:V169"/>
    <mergeCell ref="R163:R165"/>
    <mergeCell ref="S163:S165"/>
    <mergeCell ref="T163:T165"/>
    <mergeCell ref="U163:U165"/>
    <mergeCell ref="V163:V165"/>
    <mergeCell ref="R146:R148"/>
    <mergeCell ref="S146:S148"/>
    <mergeCell ref="T146:T148"/>
    <mergeCell ref="U146:U148"/>
    <mergeCell ref="V146:V148"/>
    <mergeCell ref="R149:R150"/>
    <mergeCell ref="S149:S150"/>
    <mergeCell ref="T149:T150"/>
    <mergeCell ref="U149:U150"/>
    <mergeCell ref="V149:V150"/>
    <mergeCell ref="R151:R153"/>
    <mergeCell ref="S151:S153"/>
    <mergeCell ref="T151:T153"/>
    <mergeCell ref="U151:U153"/>
    <mergeCell ref="V151:V153"/>
    <mergeCell ref="R160:R162"/>
    <mergeCell ref="S160:S162"/>
    <mergeCell ref="T160:T162"/>
    <mergeCell ref="U160:U162"/>
    <mergeCell ref="R141:R142"/>
    <mergeCell ref="S141:S142"/>
    <mergeCell ref="T141:T142"/>
    <mergeCell ref="U141:U142"/>
    <mergeCell ref="V141:V142"/>
    <mergeCell ref="R143:R145"/>
    <mergeCell ref="S143:S145"/>
    <mergeCell ref="T143:T145"/>
    <mergeCell ref="U143:U145"/>
    <mergeCell ref="V143:V145"/>
    <mergeCell ref="R137:R138"/>
    <mergeCell ref="S137:S138"/>
    <mergeCell ref="T137:T138"/>
    <mergeCell ref="U137:U138"/>
    <mergeCell ref="V137:V138"/>
    <mergeCell ref="R139:R140"/>
    <mergeCell ref="S139:S140"/>
    <mergeCell ref="T139:T140"/>
    <mergeCell ref="U139:U140"/>
    <mergeCell ref="V139:V140"/>
    <mergeCell ref="R132:R134"/>
    <mergeCell ref="S132:S134"/>
    <mergeCell ref="T132:T134"/>
    <mergeCell ref="U132:U134"/>
    <mergeCell ref="V132:V134"/>
    <mergeCell ref="R135:R136"/>
    <mergeCell ref="S135:S136"/>
    <mergeCell ref="T135:T136"/>
    <mergeCell ref="U135:U136"/>
    <mergeCell ref="V135:V136"/>
    <mergeCell ref="R124:R125"/>
    <mergeCell ref="S124:S125"/>
    <mergeCell ref="T124:T125"/>
    <mergeCell ref="U124:U125"/>
    <mergeCell ref="V124:V125"/>
    <mergeCell ref="R126:R127"/>
    <mergeCell ref="S126:S127"/>
    <mergeCell ref="T126:T127"/>
    <mergeCell ref="U126:U127"/>
    <mergeCell ref="V126:V127"/>
    <mergeCell ref="R120:R121"/>
    <mergeCell ref="S120:S121"/>
    <mergeCell ref="T120:T121"/>
    <mergeCell ref="U120:U121"/>
    <mergeCell ref="V120:V121"/>
    <mergeCell ref="R122:R123"/>
    <mergeCell ref="S122:S123"/>
    <mergeCell ref="T122:T123"/>
    <mergeCell ref="U122:U123"/>
    <mergeCell ref="V122:V123"/>
    <mergeCell ref="R116:R117"/>
    <mergeCell ref="S116:S117"/>
    <mergeCell ref="T116:T117"/>
    <mergeCell ref="U116:U117"/>
    <mergeCell ref="V116:V117"/>
    <mergeCell ref="R118:R119"/>
    <mergeCell ref="S118:S119"/>
    <mergeCell ref="T118:T119"/>
    <mergeCell ref="U118:U119"/>
    <mergeCell ref="V118:V119"/>
    <mergeCell ref="R110:R113"/>
    <mergeCell ref="S110:S113"/>
    <mergeCell ref="T110:T113"/>
    <mergeCell ref="U110:U113"/>
    <mergeCell ref="V110:V113"/>
    <mergeCell ref="R114:R115"/>
    <mergeCell ref="S114:S115"/>
    <mergeCell ref="T114:T115"/>
    <mergeCell ref="U114:U115"/>
    <mergeCell ref="V114:V115"/>
    <mergeCell ref="V101:V102"/>
    <mergeCell ref="R105:R106"/>
    <mergeCell ref="S105:S106"/>
    <mergeCell ref="T105:T106"/>
    <mergeCell ref="U105:U106"/>
    <mergeCell ref="V105:V106"/>
    <mergeCell ref="R107:R109"/>
    <mergeCell ref="S107:S109"/>
    <mergeCell ref="T107:T109"/>
    <mergeCell ref="U107:U109"/>
    <mergeCell ref="V107:V109"/>
    <mergeCell ref="R103:R104"/>
    <mergeCell ref="S103:S104"/>
    <mergeCell ref="T103:T104"/>
    <mergeCell ref="U103:U104"/>
    <mergeCell ref="V103:V104"/>
    <mergeCell ref="R101:R102"/>
    <mergeCell ref="S101:S102"/>
    <mergeCell ref="T101:T102"/>
    <mergeCell ref="U101:U102"/>
    <mergeCell ref="R93:R94"/>
    <mergeCell ref="S93:S94"/>
    <mergeCell ref="T93:T94"/>
    <mergeCell ref="U93:U94"/>
    <mergeCell ref="V93:V94"/>
    <mergeCell ref="R99:R100"/>
    <mergeCell ref="S99:S100"/>
    <mergeCell ref="T99:T100"/>
    <mergeCell ref="U99:U100"/>
    <mergeCell ref="V99:V100"/>
    <mergeCell ref="R95:R96"/>
    <mergeCell ref="S95:S96"/>
    <mergeCell ref="T95:T96"/>
    <mergeCell ref="U95:U96"/>
    <mergeCell ref="V95:V96"/>
    <mergeCell ref="R90:R91"/>
    <mergeCell ref="S90:S91"/>
    <mergeCell ref="T90:T91"/>
    <mergeCell ref="U90:U91"/>
    <mergeCell ref="V90:V91"/>
    <mergeCell ref="R87:R89"/>
    <mergeCell ref="S87:S89"/>
    <mergeCell ref="T87:T89"/>
    <mergeCell ref="U87:U89"/>
    <mergeCell ref="V87:V89"/>
    <mergeCell ref="R85:R86"/>
    <mergeCell ref="S85:S86"/>
    <mergeCell ref="T85:T86"/>
    <mergeCell ref="U85:U86"/>
    <mergeCell ref="V85:V86"/>
    <mergeCell ref="R81:R83"/>
    <mergeCell ref="S81:S83"/>
    <mergeCell ref="T81:T83"/>
    <mergeCell ref="U81:U83"/>
    <mergeCell ref="V81:V83"/>
    <mergeCell ref="R78:R79"/>
    <mergeCell ref="S78:S79"/>
    <mergeCell ref="T78:T79"/>
    <mergeCell ref="U78:U79"/>
    <mergeCell ref="V78:V79"/>
    <mergeCell ref="R76:R77"/>
    <mergeCell ref="S76:S77"/>
    <mergeCell ref="T76:T77"/>
    <mergeCell ref="U76:U77"/>
    <mergeCell ref="V76:V77"/>
    <mergeCell ref="R74:R75"/>
    <mergeCell ref="S74:S75"/>
    <mergeCell ref="T74:T75"/>
    <mergeCell ref="U74:U75"/>
    <mergeCell ref="V74:V75"/>
    <mergeCell ref="R72:R73"/>
    <mergeCell ref="S72:S73"/>
    <mergeCell ref="T72:T73"/>
    <mergeCell ref="U72:U73"/>
    <mergeCell ref="V72:V73"/>
    <mergeCell ref="V63:V64"/>
    <mergeCell ref="R69:R71"/>
    <mergeCell ref="S69:S71"/>
    <mergeCell ref="T69:T71"/>
    <mergeCell ref="U69:U71"/>
    <mergeCell ref="V69:V71"/>
    <mergeCell ref="R67:R68"/>
    <mergeCell ref="S67:S68"/>
    <mergeCell ref="T67:T68"/>
    <mergeCell ref="U67:U68"/>
    <mergeCell ref="V67:V68"/>
    <mergeCell ref="R48:R49"/>
    <mergeCell ref="S48:S49"/>
    <mergeCell ref="T48:T49"/>
    <mergeCell ref="U48:U49"/>
    <mergeCell ref="V48:V49"/>
    <mergeCell ref="R50:R52"/>
    <mergeCell ref="S50:S52"/>
    <mergeCell ref="T50:T52"/>
    <mergeCell ref="U50:U52"/>
    <mergeCell ref="V50:V52"/>
    <mergeCell ref="R42:R43"/>
    <mergeCell ref="S42:S43"/>
    <mergeCell ref="T42:T43"/>
    <mergeCell ref="U42:U43"/>
    <mergeCell ref="V42:V43"/>
    <mergeCell ref="R45:R46"/>
    <mergeCell ref="S45:S46"/>
    <mergeCell ref="T45:T46"/>
    <mergeCell ref="U45:U46"/>
    <mergeCell ref="V45:V46"/>
    <mergeCell ref="R39:R41"/>
    <mergeCell ref="S39:S41"/>
    <mergeCell ref="T39:T41"/>
    <mergeCell ref="U39:U41"/>
    <mergeCell ref="V39:V41"/>
    <mergeCell ref="R37:R38"/>
    <mergeCell ref="S37:S38"/>
    <mergeCell ref="T37:T38"/>
    <mergeCell ref="U37:U38"/>
    <mergeCell ref="V37:V38"/>
    <mergeCell ref="R33:R36"/>
    <mergeCell ref="S33:S36"/>
    <mergeCell ref="T33:T36"/>
    <mergeCell ref="U33:U36"/>
    <mergeCell ref="V33:V36"/>
    <mergeCell ref="R31:R32"/>
    <mergeCell ref="S31:S32"/>
    <mergeCell ref="T31:T32"/>
    <mergeCell ref="U31:U32"/>
    <mergeCell ref="V31:V32"/>
    <mergeCell ref="R26:R27"/>
    <mergeCell ref="S26:S27"/>
    <mergeCell ref="T26:T27"/>
    <mergeCell ref="U26:U27"/>
    <mergeCell ref="V26:V27"/>
    <mergeCell ref="R24:R25"/>
    <mergeCell ref="S24:S25"/>
    <mergeCell ref="T24:T25"/>
    <mergeCell ref="U24:U25"/>
    <mergeCell ref="V24:V25"/>
    <mergeCell ref="R21:R22"/>
    <mergeCell ref="S21:S22"/>
    <mergeCell ref="T21:T22"/>
    <mergeCell ref="U21:U22"/>
    <mergeCell ref="V21:V22"/>
    <mergeCell ref="R18:R20"/>
    <mergeCell ref="S18:S20"/>
    <mergeCell ref="T18:T20"/>
    <mergeCell ref="V18:V20"/>
    <mergeCell ref="U18:U20"/>
    <mergeCell ref="R16:R17"/>
    <mergeCell ref="S16:S17"/>
    <mergeCell ref="T16:T17"/>
    <mergeCell ref="U16:U17"/>
    <mergeCell ref="V16:V17"/>
    <mergeCell ref="U10:U12"/>
    <mergeCell ref="V10:V12"/>
    <mergeCell ref="T6:T8"/>
    <mergeCell ref="U6:U8"/>
    <mergeCell ref="V6:V8"/>
    <mergeCell ref="R6:R8"/>
    <mergeCell ref="S6:S8"/>
    <mergeCell ref="R10:R12"/>
    <mergeCell ref="S10:S12"/>
    <mergeCell ref="T10:T12"/>
    <mergeCell ref="H2:L2"/>
    <mergeCell ref="M2:Q2"/>
    <mergeCell ref="R2:V2"/>
    <mergeCell ref="X2:Z2"/>
    <mergeCell ref="R4:R5"/>
    <mergeCell ref="S4:S5"/>
    <mergeCell ref="T4:T5"/>
    <mergeCell ref="U4:U5"/>
    <mergeCell ref="V4:V5"/>
    <mergeCell ref="R54:R56"/>
    <mergeCell ref="S54:S56"/>
    <mergeCell ref="T54:T56"/>
    <mergeCell ref="U54:U56"/>
    <mergeCell ref="V54:V56"/>
    <mergeCell ref="R97:R98"/>
    <mergeCell ref="S97:S98"/>
    <mergeCell ref="T97:T98"/>
    <mergeCell ref="U97:U98"/>
    <mergeCell ref="V97:V98"/>
    <mergeCell ref="R60:R61"/>
    <mergeCell ref="S60:S61"/>
    <mergeCell ref="T60:T61"/>
    <mergeCell ref="U60:U61"/>
    <mergeCell ref="V60:V61"/>
    <mergeCell ref="R65:R66"/>
    <mergeCell ref="S65:S66"/>
    <mergeCell ref="T65:T66"/>
    <mergeCell ref="U65:U66"/>
    <mergeCell ref="V65:V66"/>
    <mergeCell ref="R63:R64"/>
    <mergeCell ref="S63:S64"/>
    <mergeCell ref="T63:T64"/>
    <mergeCell ref="U63:U64"/>
    <mergeCell ref="R128:R129"/>
    <mergeCell ref="S128:S129"/>
    <mergeCell ref="T128:T129"/>
    <mergeCell ref="U128:U129"/>
    <mergeCell ref="V128:V129"/>
    <mergeCell ref="R130:R131"/>
    <mergeCell ref="S130:S131"/>
    <mergeCell ref="T130:T131"/>
    <mergeCell ref="U130:U131"/>
    <mergeCell ref="V130:V131"/>
    <mergeCell ref="V160:V162"/>
    <mergeCell ref="R154:R156"/>
    <mergeCell ref="S154:S156"/>
    <mergeCell ref="T154:T156"/>
    <mergeCell ref="U154:U156"/>
    <mergeCell ref="V154:V156"/>
    <mergeCell ref="R157:R159"/>
    <mergeCell ref="S157:S159"/>
    <mergeCell ref="T157:T159"/>
    <mergeCell ref="U157:U159"/>
    <mergeCell ref="V157:V159"/>
  </mergeCells>
  <conditionalFormatting sqref="E4:E13 N4:O266">
    <cfRule type="expression" dxfId="48" priority="7">
      <formula>$E4="M"</formula>
    </cfRule>
    <cfRule type="expression" dxfId="47" priority="8">
      <formula>$E4="C"</formula>
    </cfRule>
  </conditionalFormatting>
  <dataValidations count="1">
    <dataValidation type="textLength" operator="equal" allowBlank="1" showInputMessage="1" showErrorMessage="1" sqref="F1:F1048576" xr:uid="{00000000-0002-0000-0400-000000000000}">
      <formula1>4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AW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9" sqref="J9"/>
    </sheetView>
  </sheetViews>
  <sheetFormatPr defaultRowHeight="15" x14ac:dyDescent="0.25"/>
  <cols>
    <col min="1" max="1" width="8.5703125" bestFit="1" customWidth="1"/>
    <col min="2" max="2" width="10.5703125" bestFit="1" customWidth="1"/>
    <col min="3" max="3" width="5" customWidth="1"/>
    <col min="4" max="4" width="7.7109375" customWidth="1"/>
    <col min="5" max="6" width="5.28515625" customWidth="1"/>
    <col min="7" max="7" width="7.140625" customWidth="1"/>
    <col min="8" max="8" width="8.140625" customWidth="1"/>
    <col min="9" max="9" width="7.140625" customWidth="1"/>
    <col min="10" max="10" width="8.28515625" customWidth="1"/>
    <col min="11" max="11" width="7.140625" customWidth="1"/>
    <col min="12" max="12" width="8.5703125" customWidth="1"/>
    <col min="13" max="13" width="9.28515625" hidden="1" customWidth="1"/>
    <col min="14" max="14" width="9.85546875" hidden="1" customWidth="1"/>
    <col min="15" max="15" width="6.7109375" hidden="1" customWidth="1"/>
    <col min="16" max="17" width="5.28515625" hidden="1" customWidth="1"/>
    <col min="18" max="18" width="10.140625" customWidth="1"/>
    <col min="19" max="19" width="7.140625" customWidth="1"/>
    <col min="20" max="20" width="8.140625" customWidth="1"/>
    <col min="21" max="21" width="6.85546875" customWidth="1"/>
    <col min="22" max="22" width="7.42578125" customWidth="1"/>
    <col min="23" max="23" width="11" bestFit="1" customWidth="1"/>
    <col min="24" max="24" width="7.7109375" bestFit="1" customWidth="1"/>
    <col min="25" max="25" width="8.28515625" customWidth="1"/>
    <col min="26" max="26" width="5.28515625" customWidth="1"/>
    <col min="27" max="27" width="7.140625" customWidth="1"/>
    <col min="28" max="28" width="8.85546875" customWidth="1"/>
    <col min="29" max="29" width="10.42578125" bestFit="1" customWidth="1"/>
    <col min="30" max="31" width="5.28515625" customWidth="1"/>
    <col min="32" max="32" width="6.85546875" customWidth="1"/>
    <col min="33" max="33" width="7" customWidth="1"/>
    <col min="34" max="34" width="7.140625" customWidth="1"/>
    <col min="35" max="35" width="5.28515625" customWidth="1"/>
    <col min="36" max="36" width="6.5703125" customWidth="1"/>
    <col min="37" max="37" width="7.140625" customWidth="1"/>
    <col min="38" max="38" width="8.140625" customWidth="1"/>
    <col min="39" max="39" width="9.28515625" customWidth="1"/>
    <col min="40" max="40" width="7.42578125" bestFit="1" customWidth="1"/>
    <col min="41" max="41" width="8.140625" bestFit="1" customWidth="1"/>
    <col min="42" max="42" width="9.140625" bestFit="1" customWidth="1"/>
    <col min="43" max="43" width="14.140625" bestFit="1" customWidth="1"/>
    <col min="44" max="44" width="6.42578125" bestFit="1" customWidth="1"/>
    <col min="45" max="46" width="9" bestFit="1" customWidth="1"/>
    <col min="47" max="48" width="8.85546875" bestFit="1" customWidth="1"/>
    <col min="49" max="49" width="10" bestFit="1" customWidth="1"/>
  </cols>
  <sheetData>
    <row r="1" spans="1:49" ht="15.75" thickBot="1" x14ac:dyDescent="0.3">
      <c r="B1" s="14" t="s">
        <v>30</v>
      </c>
      <c r="C1" s="15"/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9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46204M</v>
      </c>
      <c r="B4" s="22">
        <v>46204</v>
      </c>
      <c r="C4" s="23" t="s">
        <v>54</v>
      </c>
      <c r="D4" s="43">
        <v>3745</v>
      </c>
      <c r="E4" s="38">
        <v>3.92</v>
      </c>
      <c r="F4" s="38">
        <v>8.44</v>
      </c>
      <c r="G4" s="34">
        <f t="shared" ref="G4" si="0">+D4*E4%</f>
        <v>146.804</v>
      </c>
      <c r="H4" s="44">
        <f t="shared" ref="H4" si="1">+D4*F4%</f>
        <v>316.07799999999997</v>
      </c>
      <c r="I4" s="26">
        <f>J4/1.03</f>
        <v>2300.6800000000003</v>
      </c>
      <c r="J4" s="122">
        <v>2369.7004000000002</v>
      </c>
      <c r="K4" s="28">
        <v>4.0705356677156317</v>
      </c>
      <c r="L4" s="32">
        <v>8.4457638611193211</v>
      </c>
      <c r="M4" s="247"/>
      <c r="N4" s="246"/>
      <c r="O4" s="31"/>
      <c r="P4" s="28"/>
      <c r="Q4" s="32"/>
      <c r="R4" s="33">
        <f t="shared" ref="R4:R19" si="2">O4+J4</f>
        <v>2369.7004000000002</v>
      </c>
      <c r="S4" s="34">
        <f t="shared" ref="S4:S19" si="3">(J4*K4%)+(O4*P4%)</f>
        <v>96.459499999999991</v>
      </c>
      <c r="T4" s="35">
        <f t="shared" ref="T4:T19" si="4">(J4*L4%)+(O4*Q4%)</f>
        <v>200.13929999999999</v>
      </c>
      <c r="U4" s="132" t="s">
        <v>137</v>
      </c>
      <c r="V4" s="37" t="s">
        <v>142</v>
      </c>
      <c r="W4" s="38"/>
      <c r="X4" s="39">
        <v>4202</v>
      </c>
      <c r="Y4" s="40">
        <v>3.95</v>
      </c>
      <c r="Z4" s="40">
        <v>8.51</v>
      </c>
      <c r="AA4" s="34">
        <f>X4*Y4%</f>
        <v>165.97900000000001</v>
      </c>
      <c r="AB4" s="35">
        <f>X4*Z4%</f>
        <v>357.59019999999998</v>
      </c>
      <c r="AC4" s="310">
        <v>4201</v>
      </c>
      <c r="AD4" s="42">
        <v>3.92</v>
      </c>
      <c r="AE4" s="42">
        <v>8.48</v>
      </c>
      <c r="AF4" s="34">
        <f>AC4*AD4%</f>
        <v>164.67920000000001</v>
      </c>
      <c r="AG4" s="34">
        <f>AC4*AE4%</f>
        <v>356.2448</v>
      </c>
      <c r="AH4" s="43">
        <v>1871</v>
      </c>
      <c r="AI4" s="38">
        <v>3.97</v>
      </c>
      <c r="AJ4" s="38">
        <v>8.44</v>
      </c>
      <c r="AK4" s="34">
        <f t="shared" ref="AK4:AK20" si="5">AH4*AI4%</f>
        <v>74.278700000000001</v>
      </c>
      <c r="AL4" s="44">
        <f t="shared" ref="AL4:AL20" si="6">AH4*AJ4%</f>
        <v>157.91239999999999</v>
      </c>
      <c r="AM4" s="45">
        <f t="shared" ref="AM4:AM27" si="7">+D4+R4-AC4-AH4</f>
        <v>42.700399999999718</v>
      </c>
      <c r="AN4" s="46">
        <f t="shared" ref="AN4:AN35" si="8">+G4+S4-AF4-AK4</f>
        <v>4.3055999999999841</v>
      </c>
      <c r="AO4" s="46">
        <f t="shared" ref="AO4:AO35" si="9">+H4+T4-AG4-AL4</f>
        <v>2.060100000000034</v>
      </c>
      <c r="AP4" s="47">
        <f>(AN4+AO4)/(S4+T4)</f>
        <v>2.1462325538741285E-2</v>
      </c>
      <c r="AQ4" s="48">
        <f>($AP$1*AN4+$AQ$1*AO4)</f>
        <v>2555.5500000000029</v>
      </c>
      <c r="AR4" s="49">
        <f t="shared" ref="AR4:AR30" si="10">(D4+J4+O4)-(X4+AH4)</f>
        <v>41.700399999999718</v>
      </c>
      <c r="AS4" s="49"/>
    </row>
    <row r="5" spans="1:49" x14ac:dyDescent="0.25">
      <c r="A5" t="str">
        <f t="shared" ref="A5" si="11">CONCATENATE(B5,C5)</f>
        <v>46204E</v>
      </c>
      <c r="B5" s="22">
        <f>+B4</f>
        <v>46204</v>
      </c>
      <c r="C5" s="23" t="s">
        <v>55</v>
      </c>
      <c r="D5" s="50">
        <f t="shared" ref="D5" si="12">AH4</f>
        <v>1871</v>
      </c>
      <c r="E5" s="34">
        <f t="shared" ref="E5" si="13">AI4</f>
        <v>3.97</v>
      </c>
      <c r="F5" s="34">
        <f t="shared" ref="F5" si="14">AJ4</f>
        <v>8.44</v>
      </c>
      <c r="G5" s="34">
        <f t="shared" ref="G5:G63" si="15">+D5*E5%</f>
        <v>74.278700000000001</v>
      </c>
      <c r="H5" s="44">
        <f t="shared" ref="H5:H64" si="16">+D5*F5%</f>
        <v>157.91239999999999</v>
      </c>
      <c r="I5" s="26">
        <f t="shared" ref="I5:I65" si="17">J5/1.03</f>
        <v>1905.24</v>
      </c>
      <c r="J5" s="122">
        <v>1962.3972000000001</v>
      </c>
      <c r="K5" s="28">
        <v>3.8168419726648612</v>
      </c>
      <c r="L5" s="32">
        <v>8.4818710503663581</v>
      </c>
      <c r="M5" s="248"/>
      <c r="N5" s="246"/>
      <c r="O5" s="137"/>
      <c r="P5" s="135"/>
      <c r="Q5" s="136"/>
      <c r="R5" s="33">
        <f t="shared" si="2"/>
        <v>1962.3972000000001</v>
      </c>
      <c r="S5" s="34">
        <f t="shared" si="3"/>
        <v>74.901600000000002</v>
      </c>
      <c r="T5" s="35">
        <f t="shared" si="4"/>
        <v>166.44800000000001</v>
      </c>
      <c r="U5" s="36"/>
      <c r="V5" s="37"/>
      <c r="W5" s="38"/>
      <c r="X5" s="140"/>
      <c r="Y5" s="141"/>
      <c r="Z5" s="141"/>
      <c r="AA5" s="34">
        <f t="shared" ref="AA5:AA41" si="18">X5*Y5%</f>
        <v>0</v>
      </c>
      <c r="AB5" s="35">
        <f t="shared" ref="AB5:AB41" si="19">X5*Z5%</f>
        <v>0</v>
      </c>
      <c r="AC5" s="273"/>
      <c r="AD5" s="130"/>
      <c r="AE5" s="130"/>
      <c r="AF5" s="34">
        <f t="shared" ref="AF5:AF28" si="20">AC5*AD5%</f>
        <v>0</v>
      </c>
      <c r="AG5" s="34">
        <f>AC5*AE5%</f>
        <v>0</v>
      </c>
      <c r="AH5" s="43">
        <v>3832.66</v>
      </c>
      <c r="AI5" s="38">
        <v>3.89</v>
      </c>
      <c r="AJ5" s="38">
        <v>8.4600000000000009</v>
      </c>
      <c r="AK5" s="34">
        <f t="shared" si="5"/>
        <v>149.090474</v>
      </c>
      <c r="AL5" s="44">
        <f t="shared" si="6"/>
        <v>324.24303600000002</v>
      </c>
      <c r="AM5" s="45">
        <f t="shared" si="7"/>
        <v>0.73720000000048458</v>
      </c>
      <c r="AN5" s="51">
        <f t="shared" si="8"/>
        <v>8.9825999999987971E-2</v>
      </c>
      <c r="AO5" s="51">
        <f t="shared" si="9"/>
        <v>0.11736400000000913</v>
      </c>
      <c r="AP5" s="47">
        <f t="shared" ref="AP5:AP41" si="21">(AN5+AO5)/(S5+T5)</f>
        <v>8.5846423611224995E-4</v>
      </c>
      <c r="AQ5" s="48">
        <f t="shared" ref="AQ5:AQ45" si="22">($AP$1*AN5+$AQ$1*AO5)</f>
        <v>75.630899999997325</v>
      </c>
      <c r="AR5" s="49">
        <f t="shared" si="10"/>
        <v>0.73720000000048458</v>
      </c>
      <c r="AS5" s="49"/>
    </row>
    <row r="6" spans="1:49" x14ac:dyDescent="0.25">
      <c r="B6" s="22">
        <f>+B4+1</f>
        <v>46205</v>
      </c>
      <c r="C6" s="23" t="s">
        <v>54</v>
      </c>
      <c r="D6" s="50">
        <f t="shared" ref="D6" si="23">AH5</f>
        <v>3832.66</v>
      </c>
      <c r="E6" s="34">
        <f t="shared" ref="E6" si="24">AI5</f>
        <v>3.89</v>
      </c>
      <c r="F6" s="34">
        <f t="shared" ref="F6" si="25">AJ5</f>
        <v>8.4600000000000009</v>
      </c>
      <c r="G6" s="34">
        <f t="shared" si="15"/>
        <v>149.090474</v>
      </c>
      <c r="H6" s="44">
        <f t="shared" si="16"/>
        <v>324.24303600000002</v>
      </c>
      <c r="I6" s="26">
        <f t="shared" si="17"/>
        <v>4685.3299999999972</v>
      </c>
      <c r="J6" s="122">
        <v>4825.8898999999974</v>
      </c>
      <c r="K6" s="28">
        <v>3.8776350865360638</v>
      </c>
      <c r="L6" s="32">
        <v>8.4811528750376226</v>
      </c>
      <c r="M6" s="247"/>
      <c r="N6" s="246"/>
      <c r="O6" s="31"/>
      <c r="P6" s="28"/>
      <c r="Q6" s="32"/>
      <c r="R6" s="33">
        <f t="shared" si="2"/>
        <v>4825.8898999999974</v>
      </c>
      <c r="S6" s="34">
        <f t="shared" si="3"/>
        <v>187.13040000000007</v>
      </c>
      <c r="T6" s="35">
        <f t="shared" si="4"/>
        <v>409.29110000000003</v>
      </c>
      <c r="U6" s="36" t="s">
        <v>138</v>
      </c>
      <c r="V6" s="37" t="s">
        <v>139</v>
      </c>
      <c r="W6" s="38"/>
      <c r="X6" s="39">
        <v>4540</v>
      </c>
      <c r="Y6" s="40">
        <v>3.9</v>
      </c>
      <c r="Z6" s="40">
        <v>8.56</v>
      </c>
      <c r="AA6" s="34">
        <f t="shared" si="18"/>
        <v>177.06</v>
      </c>
      <c r="AB6" s="35">
        <f t="shared" si="19"/>
        <v>388.62400000000002</v>
      </c>
      <c r="AC6" s="310">
        <v>4510</v>
      </c>
      <c r="AD6" s="42">
        <v>3.7</v>
      </c>
      <c r="AE6" s="42">
        <v>8.34</v>
      </c>
      <c r="AF6" s="34">
        <f t="shared" si="20"/>
        <v>166.87000000000003</v>
      </c>
      <c r="AG6" s="34">
        <f t="shared" ref="AG6:AG28" si="26">AC6*AE6%</f>
        <v>376.13400000000001</v>
      </c>
      <c r="AH6" s="43">
        <v>4164</v>
      </c>
      <c r="AI6" s="38">
        <v>3.92</v>
      </c>
      <c r="AJ6" s="38">
        <v>8.48</v>
      </c>
      <c r="AK6" s="34">
        <f t="shared" si="5"/>
        <v>163.22880000000001</v>
      </c>
      <c r="AL6" s="44">
        <f t="shared" si="6"/>
        <v>353.10719999999998</v>
      </c>
      <c r="AM6" s="54">
        <f t="shared" si="7"/>
        <v>-15.450100000001839</v>
      </c>
      <c r="AN6" s="51">
        <f t="shared" si="8"/>
        <v>6.1220740000000546</v>
      </c>
      <c r="AO6" s="51">
        <f t="shared" si="9"/>
        <v>4.2929359999999974</v>
      </c>
      <c r="AP6" s="47">
        <f t="shared" si="21"/>
        <v>1.7462499255979286E-2</v>
      </c>
      <c r="AQ6" s="48">
        <f t="shared" si="22"/>
        <v>4042.8141000000242</v>
      </c>
      <c r="AR6" s="49">
        <f t="shared" si="10"/>
        <v>-45.450100000001839</v>
      </c>
      <c r="AS6" s="49"/>
    </row>
    <row r="7" spans="1:49" x14ac:dyDescent="0.25">
      <c r="B7" s="22">
        <f>+B5+1</f>
        <v>46205</v>
      </c>
      <c r="C7" s="23" t="s">
        <v>55</v>
      </c>
      <c r="D7" s="50">
        <f t="shared" ref="D7:D53" si="27">AH6</f>
        <v>4164</v>
      </c>
      <c r="E7" s="34">
        <f t="shared" ref="E7:E53" si="28">AI6</f>
        <v>3.92</v>
      </c>
      <c r="F7" s="34">
        <f t="shared" ref="F7:F53" si="29">AJ6</f>
        <v>8.48</v>
      </c>
      <c r="G7" s="34">
        <f t="shared" si="15"/>
        <v>163.22880000000001</v>
      </c>
      <c r="H7" s="44">
        <f t="shared" si="16"/>
        <v>353.10719999999998</v>
      </c>
      <c r="I7" s="26">
        <f t="shared" si="17"/>
        <v>2657.98</v>
      </c>
      <c r="J7" s="122">
        <v>2737.7194</v>
      </c>
      <c r="K7" s="28">
        <v>3.7923535918253717</v>
      </c>
      <c r="L7" s="32">
        <v>8.5154892060888354</v>
      </c>
      <c r="M7" s="247"/>
      <c r="N7" s="246"/>
      <c r="O7" s="31"/>
      <c r="P7" s="28"/>
      <c r="Q7" s="32"/>
      <c r="R7" s="33">
        <f t="shared" si="2"/>
        <v>2737.7194</v>
      </c>
      <c r="S7" s="34">
        <f t="shared" si="3"/>
        <v>103.82400000000001</v>
      </c>
      <c r="T7" s="35">
        <f t="shared" si="4"/>
        <v>233.13020000000003</v>
      </c>
      <c r="U7" s="36"/>
      <c r="V7" s="37"/>
      <c r="W7" s="38"/>
      <c r="X7" s="39"/>
      <c r="Y7" s="40"/>
      <c r="Z7" s="40"/>
      <c r="AA7" s="34">
        <f t="shared" si="18"/>
        <v>0</v>
      </c>
      <c r="AB7" s="35">
        <f t="shared" si="19"/>
        <v>0</v>
      </c>
      <c r="AC7" s="310"/>
      <c r="AD7" s="42"/>
      <c r="AE7" s="42"/>
      <c r="AF7" s="34">
        <f t="shared" si="20"/>
        <v>0</v>
      </c>
      <c r="AG7" s="34">
        <f t="shared" si="26"/>
        <v>0</v>
      </c>
      <c r="AH7" s="43">
        <v>6901.71</v>
      </c>
      <c r="AI7" s="38">
        <v>3.87</v>
      </c>
      <c r="AJ7" s="38">
        <v>8.49</v>
      </c>
      <c r="AK7" s="34">
        <f t="shared" si="5"/>
        <v>267.09617700000001</v>
      </c>
      <c r="AL7" s="44">
        <f t="shared" si="6"/>
        <v>585.95517900000004</v>
      </c>
      <c r="AM7" s="54">
        <f t="shared" si="7"/>
        <v>9.3999999999141437E-3</v>
      </c>
      <c r="AN7" s="51">
        <f t="shared" si="8"/>
        <v>-4.3376999999964028E-2</v>
      </c>
      <c r="AO7" s="51">
        <f t="shared" si="9"/>
        <v>0.28222099999993588</v>
      </c>
      <c r="AP7" s="47">
        <f t="shared" si="21"/>
        <v>7.0883223892140789E-4</v>
      </c>
      <c r="AQ7" s="48">
        <f t="shared" si="22"/>
        <v>65.146649999996953</v>
      </c>
      <c r="AR7" s="49">
        <f t="shared" si="10"/>
        <v>9.3999999999141437E-3</v>
      </c>
      <c r="AS7" s="49"/>
    </row>
    <row r="8" spans="1:49" x14ac:dyDescent="0.25">
      <c r="B8" s="22">
        <f>+B6+1</f>
        <v>46206</v>
      </c>
      <c r="C8" s="23" t="s">
        <v>54</v>
      </c>
      <c r="D8" s="50"/>
      <c r="E8" s="34"/>
      <c r="F8" s="34"/>
      <c r="G8" s="34">
        <f t="shared" si="15"/>
        <v>0</v>
      </c>
      <c r="H8" s="44">
        <f t="shared" si="16"/>
        <v>0</v>
      </c>
      <c r="I8" s="26">
        <f t="shared" si="17"/>
        <v>0</v>
      </c>
      <c r="J8" s="122"/>
      <c r="K8" s="28"/>
      <c r="L8" s="32"/>
      <c r="M8" s="247"/>
      <c r="N8" s="246"/>
      <c r="O8" s="31"/>
      <c r="P8" s="28"/>
      <c r="Q8" s="32"/>
      <c r="R8" s="33">
        <f t="shared" si="2"/>
        <v>0</v>
      </c>
      <c r="S8" s="34">
        <f t="shared" si="3"/>
        <v>0</v>
      </c>
      <c r="T8" s="35">
        <f t="shared" si="4"/>
        <v>0</v>
      </c>
      <c r="U8" s="36"/>
      <c r="V8" s="37"/>
      <c r="W8" s="38"/>
      <c r="X8" s="39"/>
      <c r="Y8" s="40"/>
      <c r="Z8" s="40"/>
      <c r="AA8" s="34">
        <f t="shared" si="18"/>
        <v>0</v>
      </c>
      <c r="AB8" s="35">
        <f t="shared" si="19"/>
        <v>0</v>
      </c>
      <c r="AC8" s="273"/>
      <c r="AD8" s="130"/>
      <c r="AE8" s="130"/>
      <c r="AF8" s="34">
        <f t="shared" si="20"/>
        <v>0</v>
      </c>
      <c r="AG8" s="34">
        <f t="shared" si="26"/>
        <v>0</v>
      </c>
      <c r="AH8" s="43"/>
      <c r="AI8" s="38"/>
      <c r="AJ8" s="38"/>
      <c r="AK8" s="34">
        <f t="shared" si="5"/>
        <v>0</v>
      </c>
      <c r="AL8" s="44">
        <f t="shared" si="6"/>
        <v>0</v>
      </c>
      <c r="AM8" s="45">
        <f t="shared" si="7"/>
        <v>0</v>
      </c>
      <c r="AN8" s="46">
        <f t="shared" si="8"/>
        <v>0</v>
      </c>
      <c r="AO8" s="46">
        <f t="shared" si="9"/>
        <v>0</v>
      </c>
      <c r="AP8" s="47" t="e">
        <f t="shared" si="21"/>
        <v>#DIV/0!</v>
      </c>
      <c r="AQ8" s="48">
        <f t="shared" si="22"/>
        <v>0</v>
      </c>
      <c r="AR8" s="49">
        <f t="shared" si="10"/>
        <v>0</v>
      </c>
      <c r="AS8" s="49"/>
    </row>
    <row r="9" spans="1:49" x14ac:dyDescent="0.25">
      <c r="B9" s="22">
        <f t="shared" ref="B9:B65" si="30">+B7+1</f>
        <v>46206</v>
      </c>
      <c r="C9" s="23" t="s">
        <v>55</v>
      </c>
      <c r="D9" s="50">
        <f t="shared" si="27"/>
        <v>0</v>
      </c>
      <c r="E9" s="34">
        <f t="shared" si="28"/>
        <v>0</v>
      </c>
      <c r="F9" s="34">
        <f t="shared" si="29"/>
        <v>0</v>
      </c>
      <c r="G9" s="34">
        <f t="shared" si="15"/>
        <v>0</v>
      </c>
      <c r="H9" s="44">
        <f t="shared" si="16"/>
        <v>0</v>
      </c>
      <c r="I9" s="26">
        <f t="shared" si="17"/>
        <v>0</v>
      </c>
      <c r="J9" s="122"/>
      <c r="K9" s="28"/>
      <c r="L9" s="32"/>
      <c r="M9" s="247"/>
      <c r="N9" s="237"/>
      <c r="O9" s="31"/>
      <c r="P9" s="28"/>
      <c r="Q9" s="32"/>
      <c r="R9" s="33">
        <f t="shared" si="2"/>
        <v>0</v>
      </c>
      <c r="S9" s="34">
        <f t="shared" si="3"/>
        <v>0</v>
      </c>
      <c r="T9" s="35">
        <f t="shared" si="4"/>
        <v>0</v>
      </c>
      <c r="U9" s="36"/>
      <c r="V9" s="37"/>
      <c r="W9" s="272"/>
      <c r="X9" s="39"/>
      <c r="Y9" s="40"/>
      <c r="Z9" s="40"/>
      <c r="AA9" s="34">
        <f t="shared" si="18"/>
        <v>0</v>
      </c>
      <c r="AB9" s="35">
        <f t="shared" si="19"/>
        <v>0</v>
      </c>
      <c r="AC9" s="273"/>
      <c r="AD9" s="130"/>
      <c r="AE9" s="130"/>
      <c r="AF9" s="34">
        <f t="shared" si="20"/>
        <v>0</v>
      </c>
      <c r="AG9" s="34">
        <f t="shared" si="26"/>
        <v>0</v>
      </c>
      <c r="AH9" s="43"/>
      <c r="AI9" s="38"/>
      <c r="AJ9" s="38"/>
      <c r="AK9" s="34">
        <f t="shared" si="5"/>
        <v>0</v>
      </c>
      <c r="AL9" s="44">
        <f t="shared" si="6"/>
        <v>0</v>
      </c>
      <c r="AM9" s="45">
        <f t="shared" si="7"/>
        <v>0</v>
      </c>
      <c r="AN9" s="46">
        <f t="shared" si="8"/>
        <v>0</v>
      </c>
      <c r="AO9" s="46">
        <f t="shared" si="9"/>
        <v>0</v>
      </c>
      <c r="AP9" s="47" t="e">
        <f t="shared" ref="AP9" si="31">(AN9+AO9)/(S9+T9)</f>
        <v>#DIV/0!</v>
      </c>
      <c r="AQ9" s="48">
        <f t="shared" ref="AQ9" si="32">($AP$1*AN9+$AQ$1*AO9)</f>
        <v>0</v>
      </c>
      <c r="AR9" s="49">
        <f t="shared" si="10"/>
        <v>0</v>
      </c>
      <c r="AS9" s="49"/>
    </row>
    <row r="10" spans="1:49" x14ac:dyDescent="0.25">
      <c r="B10" s="22">
        <f t="shared" si="30"/>
        <v>46207</v>
      </c>
      <c r="C10" s="23" t="s">
        <v>54</v>
      </c>
      <c r="D10" s="50">
        <f t="shared" ref="D10" si="33">AH9</f>
        <v>0</v>
      </c>
      <c r="E10" s="34">
        <f t="shared" ref="E10" si="34">AI9</f>
        <v>0</v>
      </c>
      <c r="F10" s="34">
        <f t="shared" ref="F10" si="35">AJ9</f>
        <v>0</v>
      </c>
      <c r="G10" s="34">
        <f t="shared" si="15"/>
        <v>0</v>
      </c>
      <c r="H10" s="44">
        <f t="shared" si="16"/>
        <v>0</v>
      </c>
      <c r="I10" s="26">
        <f t="shared" si="17"/>
        <v>0</v>
      </c>
      <c r="J10" s="122"/>
      <c r="K10" s="28"/>
      <c r="L10" s="32"/>
      <c r="M10" s="247"/>
      <c r="N10" s="237"/>
      <c r="O10" s="31"/>
      <c r="P10" s="28"/>
      <c r="Q10" s="32"/>
      <c r="R10" s="33">
        <f t="shared" si="2"/>
        <v>0</v>
      </c>
      <c r="S10" s="34">
        <f t="shared" si="3"/>
        <v>0</v>
      </c>
      <c r="T10" s="35">
        <f t="shared" si="4"/>
        <v>0</v>
      </c>
      <c r="U10" s="36"/>
      <c r="V10" s="37"/>
      <c r="W10" s="38"/>
      <c r="X10" s="39"/>
      <c r="Y10" s="40"/>
      <c r="Z10" s="40"/>
      <c r="AA10" s="34">
        <f t="shared" si="18"/>
        <v>0</v>
      </c>
      <c r="AB10" s="35">
        <f t="shared" si="19"/>
        <v>0</v>
      </c>
      <c r="AC10" s="310"/>
      <c r="AD10" s="42"/>
      <c r="AE10" s="42"/>
      <c r="AF10" s="34">
        <f t="shared" si="20"/>
        <v>0</v>
      </c>
      <c r="AG10" s="34">
        <f t="shared" si="26"/>
        <v>0</v>
      </c>
      <c r="AH10" s="43"/>
      <c r="AI10" s="38"/>
      <c r="AJ10" s="38"/>
      <c r="AK10" s="34">
        <f t="shared" si="5"/>
        <v>0</v>
      </c>
      <c r="AL10" s="44">
        <f t="shared" si="6"/>
        <v>0</v>
      </c>
      <c r="AM10" s="45">
        <f t="shared" si="7"/>
        <v>0</v>
      </c>
      <c r="AN10" s="46">
        <f t="shared" si="8"/>
        <v>0</v>
      </c>
      <c r="AO10" s="46">
        <f t="shared" si="9"/>
        <v>0</v>
      </c>
      <c r="AP10" s="47" t="e">
        <f t="shared" si="21"/>
        <v>#DIV/0!</v>
      </c>
      <c r="AQ10" s="48">
        <f t="shared" si="22"/>
        <v>0</v>
      </c>
      <c r="AR10" s="49">
        <f t="shared" si="10"/>
        <v>0</v>
      </c>
      <c r="AS10" s="49"/>
    </row>
    <row r="11" spans="1:49" x14ac:dyDescent="0.25">
      <c r="B11" s="22">
        <f>+B9+1</f>
        <v>46207</v>
      </c>
      <c r="C11" s="23" t="s">
        <v>55</v>
      </c>
      <c r="D11" s="50">
        <f t="shared" ref="D11" si="36">AH10</f>
        <v>0</v>
      </c>
      <c r="E11" s="34">
        <f t="shared" ref="E11" si="37">AI10</f>
        <v>0</v>
      </c>
      <c r="F11" s="34">
        <f t="shared" ref="F11" si="38">AJ10</f>
        <v>0</v>
      </c>
      <c r="G11" s="34">
        <f t="shared" si="15"/>
        <v>0</v>
      </c>
      <c r="H11" s="44">
        <f t="shared" si="16"/>
        <v>0</v>
      </c>
      <c r="I11" s="26">
        <f t="shared" si="17"/>
        <v>0</v>
      </c>
      <c r="J11" s="122"/>
      <c r="K11" s="28"/>
      <c r="L11" s="32"/>
      <c r="M11" s="247"/>
      <c r="N11" s="237"/>
      <c r="O11" s="31"/>
      <c r="P11" s="28"/>
      <c r="Q11" s="32"/>
      <c r="R11" s="33">
        <f t="shared" si="2"/>
        <v>0</v>
      </c>
      <c r="S11" s="34">
        <f t="shared" si="3"/>
        <v>0</v>
      </c>
      <c r="T11" s="35">
        <f t="shared" si="4"/>
        <v>0</v>
      </c>
      <c r="U11" s="36"/>
      <c r="V11" s="37"/>
      <c r="W11" s="38"/>
      <c r="X11" s="39"/>
      <c r="Y11" s="40"/>
      <c r="Z11" s="40"/>
      <c r="AA11" s="34">
        <f t="shared" si="18"/>
        <v>0</v>
      </c>
      <c r="AB11" s="35">
        <f t="shared" si="19"/>
        <v>0</v>
      </c>
      <c r="AC11" s="273"/>
      <c r="AD11" s="130"/>
      <c r="AE11" s="130"/>
      <c r="AF11" s="34">
        <f t="shared" si="20"/>
        <v>0</v>
      </c>
      <c r="AG11" s="34">
        <f t="shared" si="26"/>
        <v>0</v>
      </c>
      <c r="AH11" s="43"/>
      <c r="AI11" s="38"/>
      <c r="AJ11" s="38"/>
      <c r="AK11" s="34">
        <f t="shared" si="5"/>
        <v>0</v>
      </c>
      <c r="AL11" s="44">
        <f t="shared" si="6"/>
        <v>0</v>
      </c>
      <c r="AM11" s="45">
        <f t="shared" si="7"/>
        <v>0</v>
      </c>
      <c r="AN11" s="46">
        <f t="shared" si="8"/>
        <v>0</v>
      </c>
      <c r="AO11" s="46">
        <f t="shared" si="9"/>
        <v>0</v>
      </c>
      <c r="AP11" s="47" t="e">
        <f t="shared" si="21"/>
        <v>#DIV/0!</v>
      </c>
      <c r="AQ11" s="48">
        <f t="shared" si="22"/>
        <v>0</v>
      </c>
      <c r="AR11" s="49">
        <f t="shared" si="10"/>
        <v>0</v>
      </c>
      <c r="AS11" s="57"/>
    </row>
    <row r="12" spans="1:49" x14ac:dyDescent="0.25">
      <c r="B12" s="22">
        <f t="shared" si="30"/>
        <v>46208</v>
      </c>
      <c r="C12" s="23" t="s">
        <v>54</v>
      </c>
      <c r="D12" s="50">
        <f t="shared" ref="D12" si="39">AH11</f>
        <v>0</v>
      </c>
      <c r="E12" s="34">
        <f t="shared" ref="E12" si="40">AI11</f>
        <v>0</v>
      </c>
      <c r="F12" s="34">
        <f t="shared" ref="F12" si="41">AJ11</f>
        <v>0</v>
      </c>
      <c r="G12" s="34">
        <f t="shared" si="15"/>
        <v>0</v>
      </c>
      <c r="H12" s="44">
        <f t="shared" si="16"/>
        <v>0</v>
      </c>
      <c r="I12" s="26">
        <f t="shared" si="17"/>
        <v>0</v>
      </c>
      <c r="J12" s="122"/>
      <c r="K12" s="28"/>
      <c r="L12" s="32"/>
      <c r="M12" s="247"/>
      <c r="N12" s="237"/>
      <c r="O12" s="31"/>
      <c r="P12" s="28"/>
      <c r="Q12" s="32"/>
      <c r="R12" s="33">
        <f t="shared" si="2"/>
        <v>0</v>
      </c>
      <c r="S12" s="34">
        <f t="shared" si="3"/>
        <v>0</v>
      </c>
      <c r="T12" s="35">
        <f t="shared" si="4"/>
        <v>0</v>
      </c>
      <c r="U12" s="36"/>
      <c r="V12" s="37"/>
      <c r="W12" s="38"/>
      <c r="X12" s="39"/>
      <c r="Y12" s="40"/>
      <c r="Z12" s="40"/>
      <c r="AA12" s="34">
        <f t="shared" si="18"/>
        <v>0</v>
      </c>
      <c r="AB12" s="35">
        <f t="shared" si="19"/>
        <v>0</v>
      </c>
      <c r="AC12" s="273"/>
      <c r="AD12" s="130"/>
      <c r="AE12" s="130"/>
      <c r="AF12" s="34">
        <f t="shared" si="20"/>
        <v>0</v>
      </c>
      <c r="AG12" s="34">
        <f t="shared" si="26"/>
        <v>0</v>
      </c>
      <c r="AH12" s="43"/>
      <c r="AI12" s="38"/>
      <c r="AJ12" s="38"/>
      <c r="AK12" s="34">
        <f t="shared" si="5"/>
        <v>0</v>
      </c>
      <c r="AL12" s="44">
        <f t="shared" si="6"/>
        <v>0</v>
      </c>
      <c r="AM12" s="45">
        <f t="shared" si="7"/>
        <v>0</v>
      </c>
      <c r="AN12" s="46">
        <f t="shared" si="8"/>
        <v>0</v>
      </c>
      <c r="AO12" s="46">
        <f t="shared" si="9"/>
        <v>0</v>
      </c>
      <c r="AP12" s="47" t="e">
        <f t="shared" si="21"/>
        <v>#DIV/0!</v>
      </c>
      <c r="AQ12" s="48">
        <f t="shared" si="22"/>
        <v>0</v>
      </c>
      <c r="AR12" s="49">
        <f t="shared" si="10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B13" s="22">
        <f t="shared" si="30"/>
        <v>46208</v>
      </c>
      <c r="C13" s="23" t="s">
        <v>55</v>
      </c>
      <c r="D13" s="50">
        <f t="shared" si="27"/>
        <v>0</v>
      </c>
      <c r="E13" s="34">
        <f t="shared" si="28"/>
        <v>0</v>
      </c>
      <c r="F13" s="34">
        <f t="shared" si="29"/>
        <v>0</v>
      </c>
      <c r="G13" s="34">
        <f t="shared" si="15"/>
        <v>0</v>
      </c>
      <c r="H13" s="44">
        <f t="shared" si="16"/>
        <v>0</v>
      </c>
      <c r="I13" s="26">
        <f t="shared" si="17"/>
        <v>0</v>
      </c>
      <c r="J13" s="122"/>
      <c r="K13" s="28"/>
      <c r="L13" s="32"/>
      <c r="M13" s="247"/>
      <c r="N13" s="237"/>
      <c r="O13" s="31"/>
      <c r="P13" s="28"/>
      <c r="Q13" s="32"/>
      <c r="R13" s="33">
        <f t="shared" si="2"/>
        <v>0</v>
      </c>
      <c r="S13" s="34">
        <f t="shared" si="3"/>
        <v>0</v>
      </c>
      <c r="T13" s="35">
        <f t="shared" si="4"/>
        <v>0</v>
      </c>
      <c r="U13" s="36"/>
      <c r="V13" s="37"/>
      <c r="W13" s="38"/>
      <c r="X13" s="39"/>
      <c r="Y13" s="40"/>
      <c r="Z13" s="40"/>
      <c r="AA13" s="34">
        <f t="shared" si="18"/>
        <v>0</v>
      </c>
      <c r="AB13" s="35">
        <f t="shared" si="19"/>
        <v>0</v>
      </c>
      <c r="AC13" s="273"/>
      <c r="AD13" s="130"/>
      <c r="AE13" s="130"/>
      <c r="AF13" s="34">
        <f t="shared" si="20"/>
        <v>0</v>
      </c>
      <c r="AG13" s="34">
        <f t="shared" si="26"/>
        <v>0</v>
      </c>
      <c r="AH13" s="43"/>
      <c r="AI13" s="38"/>
      <c r="AJ13" s="38"/>
      <c r="AK13" s="34">
        <f t="shared" si="5"/>
        <v>0</v>
      </c>
      <c r="AL13" s="44">
        <f t="shared" si="6"/>
        <v>0</v>
      </c>
      <c r="AM13" s="45">
        <f t="shared" si="7"/>
        <v>0</v>
      </c>
      <c r="AN13" s="46">
        <f t="shared" si="8"/>
        <v>0</v>
      </c>
      <c r="AO13" s="46">
        <f t="shared" si="9"/>
        <v>0</v>
      </c>
      <c r="AP13" s="47" t="e">
        <f t="shared" si="21"/>
        <v>#DIV/0!</v>
      </c>
      <c r="AQ13" s="48">
        <f t="shared" si="22"/>
        <v>0</v>
      </c>
      <c r="AR13" s="49">
        <f t="shared" si="10"/>
        <v>0</v>
      </c>
      <c r="AS13" s="49">
        <f>SUM(J4:J13)</f>
        <v>11895.706899999997</v>
      </c>
      <c r="AT13" s="58">
        <f>SUM(AM4:AM13)</f>
        <v>27.996899999998277</v>
      </c>
      <c r="AU13" s="58">
        <f t="shared" ref="AU13:AV13" si="42">SUM(AN4:AN13)</f>
        <v>10.474123000000063</v>
      </c>
      <c r="AV13" s="58">
        <f t="shared" si="42"/>
        <v>6.7526209999999764</v>
      </c>
      <c r="AW13" s="58">
        <f>-SUM(AQ4:AQ13)</f>
        <v>-6739.1416500000214</v>
      </c>
    </row>
    <row r="14" spans="1:49" x14ac:dyDescent="0.25">
      <c r="B14" s="22">
        <f t="shared" si="30"/>
        <v>46209</v>
      </c>
      <c r="C14" s="23" t="s">
        <v>54</v>
      </c>
      <c r="D14" s="50">
        <f t="shared" ref="D14" si="43">AH13</f>
        <v>0</v>
      </c>
      <c r="E14" s="34">
        <f t="shared" ref="E14" si="44">AI13</f>
        <v>0</v>
      </c>
      <c r="F14" s="34">
        <f t="shared" ref="F14" si="45">AJ13</f>
        <v>0</v>
      </c>
      <c r="G14" s="34">
        <f t="shared" si="15"/>
        <v>0</v>
      </c>
      <c r="H14" s="44">
        <f t="shared" si="16"/>
        <v>0</v>
      </c>
      <c r="I14" s="26">
        <f t="shared" si="17"/>
        <v>0</v>
      </c>
      <c r="J14" s="122"/>
      <c r="K14" s="28"/>
      <c r="L14" s="32"/>
      <c r="M14" s="247"/>
      <c r="N14" s="237"/>
      <c r="O14" s="31"/>
      <c r="P14" s="28"/>
      <c r="Q14" s="32"/>
      <c r="R14" s="33">
        <f t="shared" si="2"/>
        <v>0</v>
      </c>
      <c r="S14" s="34">
        <f t="shared" si="3"/>
        <v>0</v>
      </c>
      <c r="T14" s="35">
        <f t="shared" si="4"/>
        <v>0</v>
      </c>
      <c r="U14" s="36"/>
      <c r="V14" s="37"/>
      <c r="W14" s="38"/>
      <c r="X14" s="39"/>
      <c r="Y14" s="40"/>
      <c r="Z14" s="40"/>
      <c r="AA14" s="34">
        <f t="shared" si="18"/>
        <v>0</v>
      </c>
      <c r="AB14" s="35">
        <f t="shared" si="19"/>
        <v>0</v>
      </c>
      <c r="AC14" s="303"/>
      <c r="AD14" s="290"/>
      <c r="AE14" s="290"/>
      <c r="AF14" s="34">
        <f t="shared" si="20"/>
        <v>0</v>
      </c>
      <c r="AG14" s="34">
        <f t="shared" si="26"/>
        <v>0</v>
      </c>
      <c r="AH14" s="43"/>
      <c r="AI14" s="38"/>
      <c r="AJ14" s="38"/>
      <c r="AK14" s="34">
        <f t="shared" si="5"/>
        <v>0</v>
      </c>
      <c r="AL14" s="44">
        <f t="shared" si="6"/>
        <v>0</v>
      </c>
      <c r="AM14" s="45">
        <f t="shared" si="7"/>
        <v>0</v>
      </c>
      <c r="AN14" s="46">
        <f t="shared" si="8"/>
        <v>0</v>
      </c>
      <c r="AO14" s="46">
        <f t="shared" si="9"/>
        <v>0</v>
      </c>
      <c r="AP14" s="47" t="e">
        <f t="shared" si="21"/>
        <v>#DIV/0!</v>
      </c>
      <c r="AQ14" s="48">
        <f t="shared" si="22"/>
        <v>0</v>
      </c>
      <c r="AR14" s="49">
        <f t="shared" si="10"/>
        <v>0</v>
      </c>
      <c r="AS14" s="49"/>
    </row>
    <row r="15" spans="1:49" x14ac:dyDescent="0.25">
      <c r="B15" s="22">
        <f t="shared" si="30"/>
        <v>46209</v>
      </c>
      <c r="C15" s="23" t="s">
        <v>55</v>
      </c>
      <c r="D15" s="50">
        <f t="shared" si="27"/>
        <v>0</v>
      </c>
      <c r="E15" s="34">
        <f t="shared" si="28"/>
        <v>0</v>
      </c>
      <c r="F15" s="34">
        <f t="shared" si="29"/>
        <v>0</v>
      </c>
      <c r="G15" s="34">
        <f t="shared" si="15"/>
        <v>0</v>
      </c>
      <c r="H15" s="44">
        <f t="shared" si="16"/>
        <v>0</v>
      </c>
      <c r="I15" s="26">
        <f t="shared" si="17"/>
        <v>0</v>
      </c>
      <c r="J15" s="122"/>
      <c r="K15" s="28"/>
      <c r="L15" s="32"/>
      <c r="M15" s="29"/>
      <c r="N15" s="30"/>
      <c r="O15" s="31"/>
      <c r="P15" s="28"/>
      <c r="Q15" s="32"/>
      <c r="R15" s="33">
        <f t="shared" si="2"/>
        <v>0</v>
      </c>
      <c r="S15" s="34">
        <f t="shared" si="3"/>
        <v>0</v>
      </c>
      <c r="T15" s="35">
        <f t="shared" si="4"/>
        <v>0</v>
      </c>
      <c r="U15" s="36"/>
      <c r="V15" s="37"/>
      <c r="W15" s="38"/>
      <c r="X15" s="39"/>
      <c r="Y15" s="40"/>
      <c r="Z15" s="40"/>
      <c r="AA15" s="34">
        <f t="shared" si="18"/>
        <v>0</v>
      </c>
      <c r="AB15" s="35">
        <f t="shared" si="19"/>
        <v>0</v>
      </c>
      <c r="AC15" s="273"/>
      <c r="AD15" s="130"/>
      <c r="AE15" s="130"/>
      <c r="AF15" s="34">
        <f t="shared" si="20"/>
        <v>0</v>
      </c>
      <c r="AG15" s="34">
        <f t="shared" si="26"/>
        <v>0</v>
      </c>
      <c r="AH15" s="43"/>
      <c r="AI15" s="38"/>
      <c r="AJ15" s="38"/>
      <c r="AK15" s="34">
        <f t="shared" si="5"/>
        <v>0</v>
      </c>
      <c r="AL15" s="44">
        <f t="shared" si="6"/>
        <v>0</v>
      </c>
      <c r="AM15" s="45">
        <f t="shared" si="7"/>
        <v>0</v>
      </c>
      <c r="AN15" s="46">
        <f t="shared" si="8"/>
        <v>0</v>
      </c>
      <c r="AO15" s="46">
        <f t="shared" si="9"/>
        <v>0</v>
      </c>
      <c r="AP15" s="47" t="e">
        <f t="shared" si="21"/>
        <v>#DIV/0!</v>
      </c>
      <c r="AQ15" s="48">
        <f t="shared" si="22"/>
        <v>0</v>
      </c>
      <c r="AR15" s="49">
        <f t="shared" si="10"/>
        <v>0</v>
      </c>
      <c r="AS15" s="49"/>
    </row>
    <row r="16" spans="1:49" x14ac:dyDescent="0.25">
      <c r="B16" s="22">
        <f t="shared" si="30"/>
        <v>46210</v>
      </c>
      <c r="C16" s="23" t="s">
        <v>54</v>
      </c>
      <c r="D16" s="50">
        <f t="shared" ref="D16" si="46">AH15</f>
        <v>0</v>
      </c>
      <c r="E16" s="34">
        <f t="shared" ref="E16" si="47">AI15</f>
        <v>0</v>
      </c>
      <c r="F16" s="34">
        <f t="shared" ref="F16" si="48">AJ15</f>
        <v>0</v>
      </c>
      <c r="G16" s="34">
        <f t="shared" si="15"/>
        <v>0</v>
      </c>
      <c r="H16" s="44">
        <f t="shared" si="16"/>
        <v>0</v>
      </c>
      <c r="I16" s="26">
        <f t="shared" si="17"/>
        <v>0</v>
      </c>
      <c r="J16" s="122"/>
      <c r="K16" s="28"/>
      <c r="L16" s="32"/>
      <c r="M16" s="29"/>
      <c r="N16" s="30"/>
      <c r="O16" s="31"/>
      <c r="P16" s="28"/>
      <c r="Q16" s="32"/>
      <c r="R16" s="33">
        <f t="shared" si="2"/>
        <v>0</v>
      </c>
      <c r="S16" s="34">
        <f t="shared" si="3"/>
        <v>0</v>
      </c>
      <c r="T16" s="35">
        <f t="shared" si="4"/>
        <v>0</v>
      </c>
      <c r="U16" s="36"/>
      <c r="V16" s="37"/>
      <c r="W16" s="38"/>
      <c r="X16" s="39"/>
      <c r="Y16" s="40"/>
      <c r="Z16" s="40"/>
      <c r="AA16" s="34">
        <f t="shared" si="18"/>
        <v>0</v>
      </c>
      <c r="AB16" s="35">
        <f t="shared" si="19"/>
        <v>0</v>
      </c>
      <c r="AC16" s="273"/>
      <c r="AD16" s="130"/>
      <c r="AE16" s="130"/>
      <c r="AF16" s="34">
        <f t="shared" si="20"/>
        <v>0</v>
      </c>
      <c r="AG16" s="34">
        <f t="shared" si="26"/>
        <v>0</v>
      </c>
      <c r="AH16" s="43"/>
      <c r="AI16" s="38"/>
      <c r="AJ16" s="38"/>
      <c r="AK16" s="34">
        <f t="shared" si="5"/>
        <v>0</v>
      </c>
      <c r="AL16" s="44">
        <f t="shared" si="6"/>
        <v>0</v>
      </c>
      <c r="AM16" s="45">
        <f t="shared" si="7"/>
        <v>0</v>
      </c>
      <c r="AN16" s="46">
        <f t="shared" si="8"/>
        <v>0</v>
      </c>
      <c r="AO16" s="46">
        <f t="shared" si="9"/>
        <v>0</v>
      </c>
      <c r="AP16" s="47" t="e">
        <f t="shared" si="21"/>
        <v>#DIV/0!</v>
      </c>
      <c r="AQ16" s="48">
        <f t="shared" si="22"/>
        <v>0</v>
      </c>
      <c r="AR16" s="49">
        <f t="shared" si="10"/>
        <v>0</v>
      </c>
      <c r="AS16" s="49"/>
    </row>
    <row r="17" spans="2:49" x14ac:dyDescent="0.25">
      <c r="B17" s="22">
        <f t="shared" si="30"/>
        <v>46210</v>
      </c>
      <c r="C17" s="23" t="s">
        <v>55</v>
      </c>
      <c r="D17" s="50">
        <f t="shared" ref="D17" si="49">AH16</f>
        <v>0</v>
      </c>
      <c r="E17" s="34">
        <f t="shared" ref="E17" si="50">AI16</f>
        <v>0</v>
      </c>
      <c r="F17" s="34">
        <f t="shared" ref="F17" si="51">AJ16</f>
        <v>0</v>
      </c>
      <c r="G17" s="34">
        <f t="shared" si="15"/>
        <v>0</v>
      </c>
      <c r="H17" s="44">
        <f t="shared" si="16"/>
        <v>0</v>
      </c>
      <c r="I17" s="26">
        <f t="shared" si="17"/>
        <v>0</v>
      </c>
      <c r="J17" s="122"/>
      <c r="K17" s="28"/>
      <c r="L17" s="32"/>
      <c r="M17" s="29"/>
      <c r="N17" s="30"/>
      <c r="O17" s="31"/>
      <c r="P17" s="28"/>
      <c r="Q17" s="32"/>
      <c r="R17" s="33">
        <f t="shared" si="2"/>
        <v>0</v>
      </c>
      <c r="S17" s="34">
        <f t="shared" si="3"/>
        <v>0</v>
      </c>
      <c r="T17" s="35">
        <f t="shared" si="4"/>
        <v>0</v>
      </c>
      <c r="U17" s="36"/>
      <c r="V17" s="37"/>
      <c r="W17" s="38"/>
      <c r="X17" s="39"/>
      <c r="Y17" s="40"/>
      <c r="Z17" s="40"/>
      <c r="AA17" s="34">
        <f t="shared" si="18"/>
        <v>0</v>
      </c>
      <c r="AB17" s="35">
        <f t="shared" si="19"/>
        <v>0</v>
      </c>
      <c r="AC17" s="273"/>
      <c r="AD17" s="130"/>
      <c r="AE17" s="130"/>
      <c r="AF17" s="34">
        <f t="shared" si="20"/>
        <v>0</v>
      </c>
      <c r="AG17" s="34">
        <f t="shared" si="26"/>
        <v>0</v>
      </c>
      <c r="AH17" s="43"/>
      <c r="AI17" s="38"/>
      <c r="AJ17" s="38"/>
      <c r="AK17" s="34">
        <f t="shared" si="5"/>
        <v>0</v>
      </c>
      <c r="AL17" s="44">
        <f t="shared" si="6"/>
        <v>0</v>
      </c>
      <c r="AM17" s="45">
        <f t="shared" si="7"/>
        <v>0</v>
      </c>
      <c r="AN17" s="46">
        <f t="shared" si="8"/>
        <v>0</v>
      </c>
      <c r="AO17" s="46">
        <f t="shared" si="9"/>
        <v>0</v>
      </c>
      <c r="AP17" s="47" t="e">
        <f t="shared" si="21"/>
        <v>#DIV/0!</v>
      </c>
      <c r="AQ17" s="48">
        <f t="shared" si="22"/>
        <v>0</v>
      </c>
      <c r="AR17" s="49">
        <f t="shared" si="10"/>
        <v>0</v>
      </c>
      <c r="AS17" s="49"/>
    </row>
    <row r="18" spans="2:49" x14ac:dyDescent="0.25">
      <c r="B18" s="22">
        <f t="shared" si="30"/>
        <v>46211</v>
      </c>
      <c r="C18" s="23" t="s">
        <v>54</v>
      </c>
      <c r="D18" s="50">
        <f t="shared" ref="D18" si="52">AH17</f>
        <v>0</v>
      </c>
      <c r="E18" s="34">
        <f t="shared" ref="E18" si="53">AI17</f>
        <v>0</v>
      </c>
      <c r="F18" s="34">
        <f t="shared" ref="F18" si="54">AJ17</f>
        <v>0</v>
      </c>
      <c r="G18" s="34">
        <f t="shared" si="15"/>
        <v>0</v>
      </c>
      <c r="H18" s="44">
        <f t="shared" si="16"/>
        <v>0</v>
      </c>
      <c r="I18" s="26">
        <f t="shared" si="17"/>
        <v>0</v>
      </c>
      <c r="J18" s="122"/>
      <c r="K18" s="28"/>
      <c r="L18" s="32"/>
      <c r="M18" s="29"/>
      <c r="N18" s="30"/>
      <c r="O18" s="31"/>
      <c r="P18" s="28"/>
      <c r="Q18" s="32"/>
      <c r="R18" s="33">
        <f t="shared" si="2"/>
        <v>0</v>
      </c>
      <c r="S18" s="34">
        <f t="shared" si="3"/>
        <v>0</v>
      </c>
      <c r="T18" s="35">
        <f t="shared" si="4"/>
        <v>0</v>
      </c>
      <c r="U18" s="36"/>
      <c r="V18" s="37"/>
      <c r="W18" s="38"/>
      <c r="X18" s="39"/>
      <c r="Y18" s="40"/>
      <c r="Z18" s="40"/>
      <c r="AA18" s="34">
        <f t="shared" ref="AA18:AA19" si="55">X18*Y18%</f>
        <v>0</v>
      </c>
      <c r="AB18" s="35">
        <f t="shared" ref="AB18:AB19" si="56">X18*Z18%</f>
        <v>0</v>
      </c>
      <c r="AC18" s="273"/>
      <c r="AD18" s="42"/>
      <c r="AE18" s="42"/>
      <c r="AF18" s="34">
        <f t="shared" si="20"/>
        <v>0</v>
      </c>
      <c r="AG18" s="34">
        <f t="shared" si="26"/>
        <v>0</v>
      </c>
      <c r="AH18" s="43"/>
      <c r="AI18" s="38"/>
      <c r="AJ18" s="38"/>
      <c r="AK18" s="34">
        <f t="shared" si="5"/>
        <v>0</v>
      </c>
      <c r="AL18" s="44">
        <f t="shared" si="6"/>
        <v>0</v>
      </c>
      <c r="AM18" s="45">
        <f t="shared" si="7"/>
        <v>0</v>
      </c>
      <c r="AN18" s="51">
        <f t="shared" si="8"/>
        <v>0</v>
      </c>
      <c r="AO18" s="51">
        <f t="shared" si="9"/>
        <v>0</v>
      </c>
      <c r="AP18" s="47" t="e">
        <f t="shared" si="21"/>
        <v>#DIV/0!</v>
      </c>
      <c r="AQ18" s="48">
        <f t="shared" si="22"/>
        <v>0</v>
      </c>
      <c r="AR18" s="49">
        <f t="shared" si="10"/>
        <v>0</v>
      </c>
      <c r="AS18" s="49"/>
    </row>
    <row r="19" spans="2:49" x14ac:dyDescent="0.25">
      <c r="B19" s="22">
        <f t="shared" si="30"/>
        <v>46211</v>
      </c>
      <c r="C19" s="23" t="s">
        <v>55</v>
      </c>
      <c r="D19" s="50">
        <f t="shared" si="27"/>
        <v>0</v>
      </c>
      <c r="E19" s="34">
        <f t="shared" si="28"/>
        <v>0</v>
      </c>
      <c r="F19" s="34">
        <f t="shared" si="29"/>
        <v>0</v>
      </c>
      <c r="G19" s="34">
        <f t="shared" si="15"/>
        <v>0</v>
      </c>
      <c r="H19" s="44">
        <f t="shared" si="16"/>
        <v>0</v>
      </c>
      <c r="I19" s="26">
        <f t="shared" si="17"/>
        <v>0</v>
      </c>
      <c r="J19" s="122"/>
      <c r="K19" s="28"/>
      <c r="L19" s="32"/>
      <c r="M19" s="29"/>
      <c r="N19" s="30"/>
      <c r="O19" s="31"/>
      <c r="P19" s="28"/>
      <c r="Q19" s="32"/>
      <c r="R19" s="33">
        <f t="shared" si="2"/>
        <v>0</v>
      </c>
      <c r="S19" s="34">
        <f t="shared" si="3"/>
        <v>0</v>
      </c>
      <c r="T19" s="35">
        <f t="shared" si="4"/>
        <v>0</v>
      </c>
      <c r="U19" s="36"/>
      <c r="V19" s="37"/>
      <c r="W19" s="38"/>
      <c r="X19" s="39"/>
      <c r="Y19" s="40"/>
      <c r="Z19" s="40"/>
      <c r="AA19" s="34">
        <f t="shared" si="55"/>
        <v>0</v>
      </c>
      <c r="AB19" s="35">
        <f t="shared" si="56"/>
        <v>0</v>
      </c>
      <c r="AC19" s="273"/>
      <c r="AD19" s="42"/>
      <c r="AE19" s="42"/>
      <c r="AF19" s="34">
        <f t="shared" si="20"/>
        <v>0</v>
      </c>
      <c r="AG19" s="34">
        <f t="shared" si="26"/>
        <v>0</v>
      </c>
      <c r="AH19" s="43"/>
      <c r="AI19" s="38"/>
      <c r="AJ19" s="38"/>
      <c r="AK19" s="34">
        <f t="shared" si="5"/>
        <v>0</v>
      </c>
      <c r="AL19" s="44">
        <f t="shared" si="6"/>
        <v>0</v>
      </c>
      <c r="AM19" s="45">
        <f t="shared" si="7"/>
        <v>0</v>
      </c>
      <c r="AN19" s="51">
        <f t="shared" si="8"/>
        <v>0</v>
      </c>
      <c r="AO19" s="51">
        <f t="shared" si="9"/>
        <v>0</v>
      </c>
      <c r="AP19" s="47" t="e">
        <f t="shared" si="21"/>
        <v>#DIV/0!</v>
      </c>
      <c r="AQ19" s="48">
        <f t="shared" si="22"/>
        <v>0</v>
      </c>
      <c r="AR19" s="49">
        <f t="shared" si="10"/>
        <v>0</v>
      </c>
      <c r="AS19" s="49"/>
    </row>
    <row r="20" spans="2:49" x14ac:dyDescent="0.25">
      <c r="B20" s="22">
        <f t="shared" si="30"/>
        <v>46212</v>
      </c>
      <c r="C20" s="23" t="s">
        <v>54</v>
      </c>
      <c r="D20" s="50">
        <f t="shared" ref="D20" si="57">AH19</f>
        <v>0</v>
      </c>
      <c r="E20" s="34">
        <f t="shared" ref="E20" si="58">AI19</f>
        <v>0</v>
      </c>
      <c r="F20" s="34">
        <f t="shared" ref="F20" si="59">AJ19</f>
        <v>0</v>
      </c>
      <c r="G20" s="34">
        <f t="shared" si="15"/>
        <v>0</v>
      </c>
      <c r="H20" s="44">
        <f t="shared" si="16"/>
        <v>0</v>
      </c>
      <c r="I20" s="26">
        <f t="shared" si="17"/>
        <v>0</v>
      </c>
      <c r="J20" s="122"/>
      <c r="K20" s="28"/>
      <c r="L20" s="32"/>
      <c r="M20" s="29"/>
      <c r="N20" s="30"/>
      <c r="O20" s="31"/>
      <c r="P20" s="28"/>
      <c r="Q20" s="32"/>
      <c r="R20" s="33">
        <f t="shared" ref="R20:R41" si="60">O20+J20</f>
        <v>0</v>
      </c>
      <c r="S20" s="34">
        <f t="shared" ref="S20:S41" si="61">(J20*K20%)+(O20*P20%)</f>
        <v>0</v>
      </c>
      <c r="T20" s="35">
        <f t="shared" ref="T20:T41" si="62">(J20*L20%)+(O20*Q20%)</f>
        <v>0</v>
      </c>
      <c r="U20" s="36"/>
      <c r="V20" s="37"/>
      <c r="W20" s="38"/>
      <c r="X20" s="39"/>
      <c r="Y20" s="40"/>
      <c r="Z20" s="40"/>
      <c r="AA20" s="34">
        <f t="shared" si="18"/>
        <v>0</v>
      </c>
      <c r="AB20" s="35">
        <f t="shared" si="19"/>
        <v>0</v>
      </c>
      <c r="AC20" s="273"/>
      <c r="AD20" s="130"/>
      <c r="AE20" s="130"/>
      <c r="AF20" s="34">
        <f t="shared" si="20"/>
        <v>0</v>
      </c>
      <c r="AG20" s="34">
        <f t="shared" si="26"/>
        <v>0</v>
      </c>
      <c r="AH20" s="43"/>
      <c r="AI20" s="38"/>
      <c r="AJ20" s="38"/>
      <c r="AK20" s="34">
        <f t="shared" si="5"/>
        <v>0</v>
      </c>
      <c r="AL20" s="44">
        <f t="shared" si="6"/>
        <v>0</v>
      </c>
      <c r="AM20" s="45">
        <f t="shared" si="7"/>
        <v>0</v>
      </c>
      <c r="AN20" s="51">
        <f t="shared" si="8"/>
        <v>0</v>
      </c>
      <c r="AO20" s="51">
        <f t="shared" si="9"/>
        <v>0</v>
      </c>
      <c r="AP20" s="47" t="e">
        <f t="shared" si="21"/>
        <v>#DIV/0!</v>
      </c>
      <c r="AQ20" s="48">
        <f t="shared" si="22"/>
        <v>0</v>
      </c>
      <c r="AR20" s="49">
        <f t="shared" si="10"/>
        <v>0</v>
      </c>
      <c r="AS20" s="49"/>
    </row>
    <row r="21" spans="2:49" x14ac:dyDescent="0.25">
      <c r="B21" s="22">
        <f t="shared" si="30"/>
        <v>46212</v>
      </c>
      <c r="C21" s="23" t="s">
        <v>55</v>
      </c>
      <c r="D21" s="50">
        <f t="shared" ref="D21:D42" si="63">AH20</f>
        <v>0</v>
      </c>
      <c r="E21" s="34">
        <f t="shared" ref="E21:E42" si="64">AI20</f>
        <v>0</v>
      </c>
      <c r="F21" s="34">
        <f t="shared" ref="F21:F42" si="65">AJ20</f>
        <v>0</v>
      </c>
      <c r="G21" s="34">
        <f t="shared" ref="G21:G42" si="66">+D21*E21%</f>
        <v>0</v>
      </c>
      <c r="H21" s="44">
        <f t="shared" ref="H21:H42" si="67">+D21*F21%</f>
        <v>0</v>
      </c>
      <c r="I21" s="26">
        <f t="shared" si="17"/>
        <v>0</v>
      </c>
      <c r="J21" s="122"/>
      <c r="K21" s="28"/>
      <c r="L21" s="32"/>
      <c r="M21" s="29"/>
      <c r="N21" s="30"/>
      <c r="O21" s="31"/>
      <c r="P21" s="28"/>
      <c r="Q21" s="32"/>
      <c r="R21" s="33">
        <f t="shared" si="60"/>
        <v>0</v>
      </c>
      <c r="S21" s="34">
        <f t="shared" si="61"/>
        <v>0</v>
      </c>
      <c r="T21" s="35">
        <f t="shared" si="62"/>
        <v>0</v>
      </c>
      <c r="U21" s="36"/>
      <c r="V21" s="37"/>
      <c r="W21" s="38"/>
      <c r="X21" s="39"/>
      <c r="Y21" s="40"/>
      <c r="Z21" s="40"/>
      <c r="AA21" s="34">
        <f t="shared" ref="AA21:AA40" si="68">X21*Y21%</f>
        <v>0</v>
      </c>
      <c r="AB21" s="35">
        <f t="shared" ref="AB21:AB40" si="69">X21*Z21%</f>
        <v>0</v>
      </c>
      <c r="AC21" s="273"/>
      <c r="AD21" s="130"/>
      <c r="AE21" s="130"/>
      <c r="AF21" s="34">
        <f t="shared" si="20"/>
        <v>0</v>
      </c>
      <c r="AG21" s="34">
        <f t="shared" si="26"/>
        <v>0</v>
      </c>
      <c r="AH21" s="43"/>
      <c r="AI21" s="38"/>
      <c r="AJ21" s="38"/>
      <c r="AK21" s="34">
        <f t="shared" ref="AK21:AK44" si="70">AH21*AI21%</f>
        <v>0</v>
      </c>
      <c r="AL21" s="44">
        <f t="shared" ref="AL21:AL44" si="71">AH21*AJ21%</f>
        <v>0</v>
      </c>
      <c r="AM21" s="45">
        <f t="shared" si="7"/>
        <v>0</v>
      </c>
      <c r="AN21" s="51">
        <f t="shared" si="8"/>
        <v>0</v>
      </c>
      <c r="AO21" s="51">
        <f t="shared" si="9"/>
        <v>0</v>
      </c>
      <c r="AP21" s="47" t="e">
        <f t="shared" si="21"/>
        <v>#DIV/0!</v>
      </c>
      <c r="AQ21" s="48">
        <f t="shared" si="22"/>
        <v>0</v>
      </c>
      <c r="AR21" s="49">
        <f t="shared" si="10"/>
        <v>0</v>
      </c>
      <c r="AS21" s="49"/>
    </row>
    <row r="22" spans="2:49" x14ac:dyDescent="0.25">
      <c r="B22" s="22">
        <f>+B20+1</f>
        <v>46213</v>
      </c>
      <c r="C22" s="23" t="s">
        <v>54</v>
      </c>
      <c r="D22" s="50">
        <f t="shared" si="63"/>
        <v>0</v>
      </c>
      <c r="E22" s="34">
        <f t="shared" si="64"/>
        <v>0</v>
      </c>
      <c r="F22" s="34">
        <f t="shared" si="65"/>
        <v>0</v>
      </c>
      <c r="G22" s="34">
        <f t="shared" si="66"/>
        <v>0</v>
      </c>
      <c r="H22" s="44">
        <f t="shared" si="67"/>
        <v>0</v>
      </c>
      <c r="I22" s="26">
        <f t="shared" si="17"/>
        <v>0</v>
      </c>
      <c r="J22" s="122"/>
      <c r="K22" s="28"/>
      <c r="L22" s="32"/>
      <c r="M22" s="29"/>
      <c r="N22" s="30"/>
      <c r="O22" s="31"/>
      <c r="P22" s="28"/>
      <c r="Q22" s="32"/>
      <c r="R22" s="33">
        <f t="shared" si="60"/>
        <v>0</v>
      </c>
      <c r="S22" s="34">
        <f t="shared" si="61"/>
        <v>0</v>
      </c>
      <c r="T22" s="35">
        <f t="shared" si="62"/>
        <v>0</v>
      </c>
      <c r="U22" s="36"/>
      <c r="V22" s="37"/>
      <c r="W22" s="38"/>
      <c r="X22" s="39"/>
      <c r="Y22" s="40"/>
      <c r="Z22" s="40"/>
      <c r="AA22" s="34">
        <f t="shared" si="68"/>
        <v>0</v>
      </c>
      <c r="AB22" s="35">
        <f t="shared" si="69"/>
        <v>0</v>
      </c>
      <c r="AC22" s="303"/>
      <c r="AD22" s="290"/>
      <c r="AE22" s="290"/>
      <c r="AF22" s="34">
        <f t="shared" si="20"/>
        <v>0</v>
      </c>
      <c r="AG22" s="34">
        <f t="shared" si="26"/>
        <v>0</v>
      </c>
      <c r="AH22" s="43"/>
      <c r="AI22" s="38"/>
      <c r="AJ22" s="38"/>
      <c r="AK22" s="34">
        <f t="shared" si="70"/>
        <v>0</v>
      </c>
      <c r="AL22" s="44">
        <f t="shared" si="71"/>
        <v>0</v>
      </c>
      <c r="AM22" s="45">
        <f t="shared" si="7"/>
        <v>0</v>
      </c>
      <c r="AN22" s="51">
        <f t="shared" si="8"/>
        <v>0</v>
      </c>
      <c r="AO22" s="51">
        <f t="shared" si="9"/>
        <v>0</v>
      </c>
      <c r="AP22" s="47" t="e">
        <f t="shared" si="21"/>
        <v>#DIV/0!</v>
      </c>
      <c r="AQ22" s="48">
        <f t="shared" si="22"/>
        <v>0</v>
      </c>
      <c r="AR22" s="49">
        <f t="shared" si="10"/>
        <v>0</v>
      </c>
      <c r="AS22" s="49"/>
    </row>
    <row r="23" spans="2:49" x14ac:dyDescent="0.25">
      <c r="B23" s="22">
        <f t="shared" si="30"/>
        <v>46213</v>
      </c>
      <c r="C23" s="23" t="s">
        <v>55</v>
      </c>
      <c r="D23" s="50">
        <f t="shared" si="63"/>
        <v>0</v>
      </c>
      <c r="E23" s="34">
        <f t="shared" si="64"/>
        <v>0</v>
      </c>
      <c r="F23" s="34">
        <f t="shared" si="65"/>
        <v>0</v>
      </c>
      <c r="G23" s="34">
        <f t="shared" si="66"/>
        <v>0</v>
      </c>
      <c r="H23" s="44">
        <f t="shared" si="67"/>
        <v>0</v>
      </c>
      <c r="I23" s="26">
        <f t="shared" si="17"/>
        <v>0</v>
      </c>
      <c r="J23" s="122"/>
      <c r="K23" s="28"/>
      <c r="L23" s="32"/>
      <c r="M23" s="29"/>
      <c r="N23" s="30"/>
      <c r="O23" s="31"/>
      <c r="P23" s="28"/>
      <c r="Q23" s="32"/>
      <c r="R23" s="33">
        <f t="shared" si="60"/>
        <v>0</v>
      </c>
      <c r="S23" s="34">
        <f t="shared" si="61"/>
        <v>0</v>
      </c>
      <c r="T23" s="35">
        <f t="shared" si="62"/>
        <v>0</v>
      </c>
      <c r="U23" s="36"/>
      <c r="V23" s="37"/>
      <c r="W23" s="38"/>
      <c r="X23" s="39"/>
      <c r="Y23" s="40"/>
      <c r="Z23" s="40"/>
      <c r="AA23" s="34">
        <f t="shared" si="68"/>
        <v>0</v>
      </c>
      <c r="AB23" s="35">
        <f t="shared" si="69"/>
        <v>0</v>
      </c>
      <c r="AC23" s="303"/>
      <c r="AD23" s="290"/>
      <c r="AE23" s="290"/>
      <c r="AF23" s="34">
        <f t="shared" si="20"/>
        <v>0</v>
      </c>
      <c r="AG23" s="34">
        <f t="shared" si="26"/>
        <v>0</v>
      </c>
      <c r="AH23" s="43"/>
      <c r="AI23" s="38"/>
      <c r="AJ23" s="56"/>
      <c r="AK23" s="34">
        <f t="shared" si="70"/>
        <v>0</v>
      </c>
      <c r="AL23" s="44">
        <f t="shared" si="71"/>
        <v>0</v>
      </c>
      <c r="AM23" s="45">
        <f t="shared" si="7"/>
        <v>0</v>
      </c>
      <c r="AN23" s="51">
        <f t="shared" si="8"/>
        <v>0</v>
      </c>
      <c r="AO23" s="51">
        <f t="shared" si="9"/>
        <v>0</v>
      </c>
      <c r="AP23" s="47" t="e">
        <f t="shared" si="21"/>
        <v>#DIV/0!</v>
      </c>
      <c r="AQ23" s="48">
        <f t="shared" si="22"/>
        <v>0</v>
      </c>
      <c r="AR23" s="49">
        <f t="shared" si="10"/>
        <v>0</v>
      </c>
      <c r="AS23" s="49"/>
    </row>
    <row r="24" spans="2:49" x14ac:dyDescent="0.25">
      <c r="B24" s="22">
        <f t="shared" si="30"/>
        <v>46214</v>
      </c>
      <c r="C24" s="23" t="s">
        <v>54</v>
      </c>
      <c r="D24" s="50">
        <f t="shared" si="63"/>
        <v>0</v>
      </c>
      <c r="E24" s="34">
        <f t="shared" si="64"/>
        <v>0</v>
      </c>
      <c r="F24" s="34">
        <f t="shared" si="65"/>
        <v>0</v>
      </c>
      <c r="G24" s="34">
        <f t="shared" si="66"/>
        <v>0</v>
      </c>
      <c r="H24" s="44">
        <f t="shared" si="67"/>
        <v>0</v>
      </c>
      <c r="I24" s="26">
        <f t="shared" si="17"/>
        <v>0</v>
      </c>
      <c r="J24" s="122"/>
      <c r="K24" s="28"/>
      <c r="L24" s="32"/>
      <c r="M24" s="29"/>
      <c r="N24" s="30"/>
      <c r="O24" s="31"/>
      <c r="P24" s="28"/>
      <c r="Q24" s="32"/>
      <c r="R24" s="33">
        <f t="shared" si="60"/>
        <v>0</v>
      </c>
      <c r="S24" s="34">
        <f t="shared" si="61"/>
        <v>0</v>
      </c>
      <c r="T24" s="35">
        <f t="shared" si="62"/>
        <v>0</v>
      </c>
      <c r="U24" s="36"/>
      <c r="V24" s="37"/>
      <c r="W24" s="38"/>
      <c r="X24" s="39"/>
      <c r="Y24" s="40"/>
      <c r="Z24" s="40"/>
      <c r="AA24" s="34">
        <f t="shared" si="68"/>
        <v>0</v>
      </c>
      <c r="AB24" s="35">
        <f t="shared" si="69"/>
        <v>0</v>
      </c>
      <c r="AC24" s="302"/>
      <c r="AD24" s="292"/>
      <c r="AE24" s="292"/>
      <c r="AF24" s="34">
        <f t="shared" si="20"/>
        <v>0</v>
      </c>
      <c r="AG24" s="34">
        <f t="shared" si="26"/>
        <v>0</v>
      </c>
      <c r="AH24" s="43"/>
      <c r="AI24" s="38"/>
      <c r="AJ24" s="38"/>
      <c r="AK24" s="34">
        <f t="shared" si="70"/>
        <v>0</v>
      </c>
      <c r="AL24" s="44">
        <f t="shared" si="71"/>
        <v>0</v>
      </c>
      <c r="AM24" s="45">
        <f t="shared" si="7"/>
        <v>0</v>
      </c>
      <c r="AN24" s="51">
        <f t="shared" si="8"/>
        <v>0</v>
      </c>
      <c r="AO24" s="51">
        <f t="shared" si="9"/>
        <v>0</v>
      </c>
      <c r="AP24" s="47" t="e">
        <f t="shared" si="21"/>
        <v>#DIV/0!</v>
      </c>
      <c r="AQ24" s="48">
        <f t="shared" si="22"/>
        <v>0</v>
      </c>
      <c r="AR24" s="49">
        <f t="shared" si="10"/>
        <v>0</v>
      </c>
      <c r="AS24" s="49"/>
    </row>
    <row r="25" spans="2:49" x14ac:dyDescent="0.25">
      <c r="B25" s="22">
        <f t="shared" si="30"/>
        <v>46214</v>
      </c>
      <c r="C25" s="23" t="s">
        <v>55</v>
      </c>
      <c r="D25" s="50">
        <f t="shared" si="63"/>
        <v>0</v>
      </c>
      <c r="E25" s="34">
        <f t="shared" si="64"/>
        <v>0</v>
      </c>
      <c r="F25" s="34">
        <f t="shared" si="65"/>
        <v>0</v>
      </c>
      <c r="G25" s="34">
        <f t="shared" si="66"/>
        <v>0</v>
      </c>
      <c r="H25" s="44">
        <f t="shared" si="67"/>
        <v>0</v>
      </c>
      <c r="I25" s="26">
        <f t="shared" si="17"/>
        <v>0</v>
      </c>
      <c r="J25" s="122"/>
      <c r="K25" s="28"/>
      <c r="L25" s="32"/>
      <c r="M25" s="29"/>
      <c r="N25" s="30"/>
      <c r="O25" s="31"/>
      <c r="P25" s="28"/>
      <c r="Q25" s="32"/>
      <c r="R25" s="33">
        <f t="shared" si="60"/>
        <v>0</v>
      </c>
      <c r="S25" s="34">
        <f t="shared" si="61"/>
        <v>0</v>
      </c>
      <c r="T25" s="35">
        <f t="shared" si="62"/>
        <v>0</v>
      </c>
      <c r="U25" s="36"/>
      <c r="V25" s="37"/>
      <c r="W25" s="38"/>
      <c r="X25" s="39"/>
      <c r="Y25" s="40"/>
      <c r="Z25" s="40"/>
      <c r="AA25" s="34">
        <f t="shared" si="68"/>
        <v>0</v>
      </c>
      <c r="AB25" s="35">
        <f t="shared" si="69"/>
        <v>0</v>
      </c>
      <c r="AC25" s="310"/>
      <c r="AD25" s="42"/>
      <c r="AE25" s="42"/>
      <c r="AF25" s="34">
        <f t="shared" si="20"/>
        <v>0</v>
      </c>
      <c r="AG25" s="34">
        <f t="shared" si="26"/>
        <v>0</v>
      </c>
      <c r="AH25" s="43"/>
      <c r="AI25" s="38"/>
      <c r="AJ25" s="38"/>
      <c r="AK25" s="34">
        <f t="shared" si="70"/>
        <v>0</v>
      </c>
      <c r="AL25" s="44">
        <f t="shared" si="71"/>
        <v>0</v>
      </c>
      <c r="AM25" s="45">
        <f t="shared" si="7"/>
        <v>0</v>
      </c>
      <c r="AN25" s="51">
        <f t="shared" si="8"/>
        <v>0</v>
      </c>
      <c r="AO25" s="51">
        <f t="shared" si="9"/>
        <v>0</v>
      </c>
      <c r="AP25" s="47" t="e">
        <f t="shared" si="21"/>
        <v>#DIV/0!</v>
      </c>
      <c r="AQ25" s="48">
        <f t="shared" si="22"/>
        <v>0</v>
      </c>
      <c r="AR25" s="49">
        <f t="shared" si="10"/>
        <v>0</v>
      </c>
      <c r="AS25" s="49"/>
    </row>
    <row r="26" spans="2:49" x14ac:dyDescent="0.25">
      <c r="B26" s="22">
        <f t="shared" si="30"/>
        <v>46215</v>
      </c>
      <c r="C26" s="23" t="s">
        <v>54</v>
      </c>
      <c r="D26" s="50">
        <f t="shared" ref="D26" si="72">AH25</f>
        <v>0</v>
      </c>
      <c r="E26" s="34">
        <f t="shared" ref="E26" si="73">AI25</f>
        <v>0</v>
      </c>
      <c r="F26" s="34">
        <f t="shared" ref="F26" si="74">AJ25</f>
        <v>0</v>
      </c>
      <c r="G26" s="34">
        <f t="shared" si="66"/>
        <v>0</v>
      </c>
      <c r="H26" s="44">
        <f t="shared" si="67"/>
        <v>0</v>
      </c>
      <c r="I26" s="26">
        <f t="shared" si="17"/>
        <v>0</v>
      </c>
      <c r="J26" s="122"/>
      <c r="K26" s="28"/>
      <c r="L26" s="32"/>
      <c r="M26" s="29"/>
      <c r="N26" s="30"/>
      <c r="O26" s="31"/>
      <c r="P26" s="28"/>
      <c r="Q26" s="32"/>
      <c r="R26" s="33">
        <f t="shared" si="60"/>
        <v>0</v>
      </c>
      <c r="S26" s="34">
        <f t="shared" si="61"/>
        <v>0</v>
      </c>
      <c r="T26" s="35">
        <f t="shared" si="62"/>
        <v>0</v>
      </c>
      <c r="U26" s="36"/>
      <c r="V26" s="37"/>
      <c r="W26" s="38"/>
      <c r="X26" s="39"/>
      <c r="Y26" s="40"/>
      <c r="Z26" s="40"/>
      <c r="AA26" s="34">
        <f t="shared" si="68"/>
        <v>0</v>
      </c>
      <c r="AB26" s="35">
        <f t="shared" si="69"/>
        <v>0</v>
      </c>
      <c r="AC26" s="273"/>
      <c r="AD26" s="130"/>
      <c r="AE26" s="130"/>
      <c r="AF26" s="34">
        <f t="shared" si="20"/>
        <v>0</v>
      </c>
      <c r="AG26" s="34">
        <f t="shared" si="26"/>
        <v>0</v>
      </c>
      <c r="AH26" s="43"/>
      <c r="AI26" s="38"/>
      <c r="AJ26" s="38"/>
      <c r="AK26" s="34">
        <f t="shared" si="70"/>
        <v>0</v>
      </c>
      <c r="AL26" s="44">
        <f t="shared" si="71"/>
        <v>0</v>
      </c>
      <c r="AM26" s="45">
        <f t="shared" si="7"/>
        <v>0</v>
      </c>
      <c r="AN26" s="51">
        <f t="shared" si="8"/>
        <v>0</v>
      </c>
      <c r="AO26" s="51">
        <f t="shared" si="9"/>
        <v>0</v>
      </c>
      <c r="AP26" s="47" t="e">
        <f t="shared" si="21"/>
        <v>#DIV/0!</v>
      </c>
      <c r="AQ26" s="48">
        <f t="shared" si="22"/>
        <v>0</v>
      </c>
      <c r="AR26" s="49">
        <f t="shared" si="10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0"/>
        <v>46215</v>
      </c>
      <c r="C27" s="23" t="s">
        <v>55</v>
      </c>
      <c r="D27" s="50">
        <f t="shared" si="63"/>
        <v>0</v>
      </c>
      <c r="E27" s="34">
        <f t="shared" si="64"/>
        <v>0</v>
      </c>
      <c r="F27" s="34">
        <f t="shared" si="65"/>
        <v>0</v>
      </c>
      <c r="G27" s="34">
        <f t="shared" si="66"/>
        <v>0</v>
      </c>
      <c r="H27" s="44">
        <f t="shared" si="67"/>
        <v>0</v>
      </c>
      <c r="I27" s="26">
        <f t="shared" si="17"/>
        <v>0</v>
      </c>
      <c r="J27" s="122"/>
      <c r="K27" s="28"/>
      <c r="L27" s="32"/>
      <c r="M27" s="29"/>
      <c r="N27" s="30"/>
      <c r="O27" s="31"/>
      <c r="P27" s="28"/>
      <c r="Q27" s="32"/>
      <c r="R27" s="33">
        <f t="shared" si="60"/>
        <v>0</v>
      </c>
      <c r="S27" s="34">
        <f t="shared" si="61"/>
        <v>0</v>
      </c>
      <c r="T27" s="35">
        <f t="shared" si="62"/>
        <v>0</v>
      </c>
      <c r="U27" s="36"/>
      <c r="V27" s="37"/>
      <c r="W27" s="38"/>
      <c r="X27" s="39"/>
      <c r="Y27" s="40"/>
      <c r="Z27" s="40"/>
      <c r="AA27" s="34">
        <f t="shared" si="68"/>
        <v>0</v>
      </c>
      <c r="AB27" s="35">
        <f t="shared" si="69"/>
        <v>0</v>
      </c>
      <c r="AC27" s="271"/>
      <c r="AD27" s="145"/>
      <c r="AE27" s="145"/>
      <c r="AF27" s="34">
        <f t="shared" si="20"/>
        <v>0</v>
      </c>
      <c r="AG27" s="34">
        <f t="shared" si="26"/>
        <v>0</v>
      </c>
      <c r="AH27" s="43"/>
      <c r="AI27" s="38"/>
      <c r="AJ27" s="38"/>
      <c r="AK27" s="34">
        <f t="shared" si="70"/>
        <v>0</v>
      </c>
      <c r="AL27" s="44">
        <f t="shared" si="71"/>
        <v>0</v>
      </c>
      <c r="AM27" s="45">
        <f t="shared" si="7"/>
        <v>0</v>
      </c>
      <c r="AN27" s="51">
        <f t="shared" si="8"/>
        <v>0</v>
      </c>
      <c r="AO27" s="51">
        <f t="shared" si="9"/>
        <v>0</v>
      </c>
      <c r="AP27" s="47" t="e">
        <f t="shared" si="21"/>
        <v>#DIV/0!</v>
      </c>
      <c r="AQ27" s="48">
        <f t="shared" si="22"/>
        <v>0</v>
      </c>
      <c r="AR27" s="49">
        <f t="shared" si="10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2:49" x14ac:dyDescent="0.25">
      <c r="B28" s="22">
        <f t="shared" si="30"/>
        <v>46216</v>
      </c>
      <c r="C28" s="23" t="s">
        <v>54</v>
      </c>
      <c r="D28" s="50">
        <f t="shared" si="63"/>
        <v>0</v>
      </c>
      <c r="E28" s="34">
        <f t="shared" ref="E28" si="75">AI27</f>
        <v>0</v>
      </c>
      <c r="F28" s="34">
        <f t="shared" ref="F28" si="76">AJ27</f>
        <v>0</v>
      </c>
      <c r="G28" s="34">
        <f t="shared" ref="G28" si="77">+D28*E28%</f>
        <v>0</v>
      </c>
      <c r="H28" s="44">
        <f t="shared" si="67"/>
        <v>0</v>
      </c>
      <c r="I28" s="26">
        <f t="shared" si="17"/>
        <v>0</v>
      </c>
      <c r="J28" s="122"/>
      <c r="K28" s="28"/>
      <c r="L28" s="32"/>
      <c r="M28" s="29"/>
      <c r="N28" s="30"/>
      <c r="O28" s="31"/>
      <c r="P28" s="28"/>
      <c r="Q28" s="32"/>
      <c r="R28" s="33">
        <f t="shared" si="60"/>
        <v>0</v>
      </c>
      <c r="S28" s="34">
        <f t="shared" si="61"/>
        <v>0</v>
      </c>
      <c r="T28" s="35">
        <f t="shared" si="62"/>
        <v>0</v>
      </c>
      <c r="U28" s="36"/>
      <c r="V28" s="37"/>
      <c r="W28" s="38"/>
      <c r="X28" s="39"/>
      <c r="Y28" s="40"/>
      <c r="Z28" s="40"/>
      <c r="AA28" s="34">
        <f t="shared" si="68"/>
        <v>0</v>
      </c>
      <c r="AB28" s="35">
        <f t="shared" si="69"/>
        <v>0</v>
      </c>
      <c r="AC28" s="271"/>
      <c r="AD28" s="145"/>
      <c r="AE28" s="145"/>
      <c r="AF28" s="34">
        <f t="shared" si="20"/>
        <v>0</v>
      </c>
      <c r="AG28" s="34">
        <f t="shared" si="26"/>
        <v>0</v>
      </c>
      <c r="AH28" s="43"/>
      <c r="AI28" s="38"/>
      <c r="AJ28" s="38"/>
      <c r="AK28" s="34">
        <f t="shared" si="70"/>
        <v>0</v>
      </c>
      <c r="AL28" s="44">
        <f t="shared" si="71"/>
        <v>0</v>
      </c>
      <c r="AM28" s="45">
        <f t="shared" ref="AM28:AM37" si="78">+D28+R28-AC28-AH28</f>
        <v>0</v>
      </c>
      <c r="AN28" s="51">
        <f t="shared" ref="AN28:AN34" si="79">+G28+S28-AF28-AK28</f>
        <v>0</v>
      </c>
      <c r="AO28" s="51">
        <f t="shared" ref="AO28:AO34" si="80">+H28+T28-AG28-AL28</f>
        <v>0</v>
      </c>
      <c r="AP28" s="47" t="e">
        <f t="shared" ref="AP28:AP34" si="81">(AN28+AO28)/(S28+T28)</f>
        <v>#DIV/0!</v>
      </c>
      <c r="AQ28" s="48">
        <f t="shared" ref="AQ28:AQ43" si="82">($AP$1*AN28+$AQ$1*AO28)</f>
        <v>0</v>
      </c>
      <c r="AR28" s="49">
        <f t="shared" si="10"/>
        <v>0</v>
      </c>
    </row>
    <row r="29" spans="2:49" x14ac:dyDescent="0.25">
      <c r="B29" s="22">
        <f t="shared" si="30"/>
        <v>46216</v>
      </c>
      <c r="C29" s="23" t="s">
        <v>55</v>
      </c>
      <c r="D29" s="50">
        <f t="shared" si="63"/>
        <v>0</v>
      </c>
      <c r="E29" s="34">
        <f t="shared" si="64"/>
        <v>0</v>
      </c>
      <c r="F29" s="34">
        <f t="shared" si="65"/>
        <v>0</v>
      </c>
      <c r="G29" s="34">
        <f t="shared" si="66"/>
        <v>0</v>
      </c>
      <c r="H29" s="44">
        <f t="shared" si="67"/>
        <v>0</v>
      </c>
      <c r="I29" s="26">
        <f t="shared" si="17"/>
        <v>0</v>
      </c>
      <c r="J29" s="122"/>
      <c r="K29" s="28"/>
      <c r="L29" s="32"/>
      <c r="M29" s="29"/>
      <c r="N29" s="30"/>
      <c r="O29" s="31"/>
      <c r="P29" s="28"/>
      <c r="Q29" s="32"/>
      <c r="R29" s="33">
        <f t="shared" si="60"/>
        <v>0</v>
      </c>
      <c r="S29" s="34">
        <f t="shared" si="61"/>
        <v>0</v>
      </c>
      <c r="T29" s="35">
        <f t="shared" si="62"/>
        <v>0</v>
      </c>
      <c r="U29" s="36"/>
      <c r="V29" s="37"/>
      <c r="W29" s="38"/>
      <c r="X29" s="39"/>
      <c r="Y29" s="40"/>
      <c r="Z29" s="40"/>
      <c r="AA29" s="34">
        <f t="shared" si="68"/>
        <v>0</v>
      </c>
      <c r="AB29" s="35">
        <f t="shared" si="69"/>
        <v>0</v>
      </c>
      <c r="AC29" s="310"/>
      <c r="AD29" s="42"/>
      <c r="AE29" s="42"/>
      <c r="AF29" s="34">
        <f t="shared" ref="AF29:AF42" si="83">AC29*AD29%</f>
        <v>0</v>
      </c>
      <c r="AG29" s="34">
        <f t="shared" ref="AG29:AG42" si="84">AC29*AE29%</f>
        <v>0</v>
      </c>
      <c r="AH29" s="43"/>
      <c r="AI29" s="38"/>
      <c r="AJ29" s="38"/>
      <c r="AK29" s="34">
        <f t="shared" si="70"/>
        <v>0</v>
      </c>
      <c r="AL29" s="44">
        <f t="shared" si="71"/>
        <v>0</v>
      </c>
      <c r="AM29" s="45">
        <f t="shared" si="78"/>
        <v>0</v>
      </c>
      <c r="AN29" s="51">
        <f t="shared" si="79"/>
        <v>0</v>
      </c>
      <c r="AO29" s="51">
        <f t="shared" si="80"/>
        <v>0</v>
      </c>
      <c r="AP29" s="47" t="e">
        <f t="shared" si="81"/>
        <v>#DIV/0!</v>
      </c>
      <c r="AQ29" s="48">
        <f t="shared" si="22"/>
        <v>0</v>
      </c>
      <c r="AR29" s="49">
        <f t="shared" si="10"/>
        <v>0</v>
      </c>
    </row>
    <row r="30" spans="2:49" x14ac:dyDescent="0.25">
      <c r="B30" s="22">
        <f t="shared" si="30"/>
        <v>46217</v>
      </c>
      <c r="C30" s="23" t="s">
        <v>54</v>
      </c>
      <c r="D30" s="50">
        <f t="shared" ref="D30" si="85">AH29</f>
        <v>0</v>
      </c>
      <c r="E30" s="34">
        <f t="shared" ref="E30" si="86">AI29</f>
        <v>0</v>
      </c>
      <c r="F30" s="34">
        <f t="shared" ref="F30" si="87">AJ29</f>
        <v>0</v>
      </c>
      <c r="G30" s="34">
        <f t="shared" si="66"/>
        <v>0</v>
      </c>
      <c r="H30" s="44">
        <f t="shared" si="67"/>
        <v>0</v>
      </c>
      <c r="I30" s="26">
        <f t="shared" si="17"/>
        <v>0</v>
      </c>
      <c r="J30" s="122"/>
      <c r="K30" s="28"/>
      <c r="L30" s="32"/>
      <c r="M30" s="29"/>
      <c r="N30" s="30"/>
      <c r="O30" s="31"/>
      <c r="P30" s="28"/>
      <c r="Q30" s="32"/>
      <c r="R30" s="33">
        <f t="shared" si="60"/>
        <v>0</v>
      </c>
      <c r="S30" s="34">
        <f t="shared" si="61"/>
        <v>0</v>
      </c>
      <c r="T30" s="35">
        <f t="shared" si="62"/>
        <v>0</v>
      </c>
      <c r="U30" s="36"/>
      <c r="V30" s="37"/>
      <c r="W30" s="38"/>
      <c r="X30" s="39"/>
      <c r="Y30" s="40"/>
      <c r="Z30" s="40"/>
      <c r="AA30" s="34">
        <f t="shared" si="68"/>
        <v>0</v>
      </c>
      <c r="AB30" s="35">
        <f t="shared" si="69"/>
        <v>0</v>
      </c>
      <c r="AC30" s="310"/>
      <c r="AD30" s="42"/>
      <c r="AE30" s="42"/>
      <c r="AF30" s="34">
        <f t="shared" si="83"/>
        <v>0</v>
      </c>
      <c r="AG30" s="34">
        <f t="shared" si="84"/>
        <v>0</v>
      </c>
      <c r="AH30" s="43"/>
      <c r="AI30" s="38"/>
      <c r="AJ30" s="38"/>
      <c r="AK30" s="34">
        <f t="shared" si="70"/>
        <v>0</v>
      </c>
      <c r="AL30" s="44">
        <f t="shared" si="71"/>
        <v>0</v>
      </c>
      <c r="AM30" s="45">
        <f t="shared" si="78"/>
        <v>0</v>
      </c>
      <c r="AN30" s="51">
        <f t="shared" si="79"/>
        <v>0</v>
      </c>
      <c r="AO30" s="51">
        <f t="shared" si="80"/>
        <v>0</v>
      </c>
      <c r="AP30" s="47" t="e">
        <f t="shared" si="81"/>
        <v>#DIV/0!</v>
      </c>
      <c r="AQ30" s="48">
        <f t="shared" si="22"/>
        <v>0</v>
      </c>
      <c r="AR30" s="49">
        <f t="shared" si="10"/>
        <v>0</v>
      </c>
    </row>
    <row r="31" spans="2:49" x14ac:dyDescent="0.25">
      <c r="B31" s="22">
        <f t="shared" si="30"/>
        <v>46217</v>
      </c>
      <c r="C31" s="23" t="s">
        <v>55</v>
      </c>
      <c r="D31" s="50">
        <f t="shared" ref="D31" si="88">AH30</f>
        <v>0</v>
      </c>
      <c r="E31" s="34">
        <f t="shared" ref="E31" si="89">AI30</f>
        <v>0</v>
      </c>
      <c r="F31" s="34">
        <f t="shared" ref="F31" si="90">AJ30</f>
        <v>0</v>
      </c>
      <c r="G31" s="34">
        <f t="shared" si="66"/>
        <v>0</v>
      </c>
      <c r="H31" s="44">
        <f t="shared" si="67"/>
        <v>0</v>
      </c>
      <c r="I31" s="26">
        <f t="shared" si="17"/>
        <v>0</v>
      </c>
      <c r="J31" s="284"/>
      <c r="K31" s="285"/>
      <c r="L31" s="311"/>
      <c r="M31" s="30"/>
      <c r="N31" s="30"/>
      <c r="O31" s="31"/>
      <c r="P31" s="28"/>
      <c r="Q31" s="32"/>
      <c r="R31" s="33">
        <f t="shared" si="60"/>
        <v>0</v>
      </c>
      <c r="S31" s="34">
        <f t="shared" si="61"/>
        <v>0</v>
      </c>
      <c r="T31" s="35">
        <f t="shared" si="62"/>
        <v>0</v>
      </c>
      <c r="U31" s="132"/>
      <c r="V31" s="60"/>
      <c r="W31" s="38"/>
      <c r="X31" s="39"/>
      <c r="Y31" s="40"/>
      <c r="Z31" s="40"/>
      <c r="AA31" s="34">
        <f t="shared" si="68"/>
        <v>0</v>
      </c>
      <c r="AB31" s="35">
        <f t="shared" si="69"/>
        <v>0</v>
      </c>
      <c r="AC31" s="271"/>
      <c r="AD31" s="145"/>
      <c r="AE31" s="145"/>
      <c r="AF31" s="34">
        <f t="shared" si="83"/>
        <v>0</v>
      </c>
      <c r="AG31" s="34">
        <f t="shared" si="84"/>
        <v>0</v>
      </c>
      <c r="AH31" s="65"/>
      <c r="AI31" s="65"/>
      <c r="AJ31" s="65"/>
      <c r="AK31" s="34">
        <f t="shared" si="70"/>
        <v>0</v>
      </c>
      <c r="AL31" s="44">
        <f t="shared" si="71"/>
        <v>0</v>
      </c>
      <c r="AM31" s="45">
        <f t="shared" si="78"/>
        <v>0</v>
      </c>
      <c r="AN31" s="51">
        <f t="shared" si="79"/>
        <v>0</v>
      </c>
      <c r="AO31" s="51">
        <f t="shared" si="80"/>
        <v>0</v>
      </c>
      <c r="AP31" s="47" t="e">
        <f t="shared" si="81"/>
        <v>#DIV/0!</v>
      </c>
      <c r="AQ31" s="48">
        <f t="shared" si="82"/>
        <v>0</v>
      </c>
      <c r="AR31" s="49">
        <f>(D31+J32+O31)-(X31+AH32)</f>
        <v>0</v>
      </c>
    </row>
    <row r="32" spans="2:49" x14ac:dyDescent="0.25">
      <c r="B32" s="22">
        <f t="shared" si="30"/>
        <v>46218</v>
      </c>
      <c r="C32" s="23" t="s">
        <v>54</v>
      </c>
      <c r="D32" s="50">
        <f t="shared" ref="D32" si="91">AH31</f>
        <v>0</v>
      </c>
      <c r="E32" s="34">
        <f t="shared" ref="E32" si="92">AI31</f>
        <v>0</v>
      </c>
      <c r="F32" s="34">
        <f t="shared" ref="F32" si="93">AJ31</f>
        <v>0</v>
      </c>
      <c r="G32" s="34">
        <f t="shared" si="66"/>
        <v>0</v>
      </c>
      <c r="H32" s="44">
        <f t="shared" si="67"/>
        <v>0</v>
      </c>
      <c r="I32" s="26">
        <f t="shared" si="17"/>
        <v>0</v>
      </c>
      <c r="J32" s="122"/>
      <c r="K32" s="28"/>
      <c r="L32" s="32"/>
      <c r="M32" s="29"/>
      <c r="N32" s="131"/>
      <c r="O32" s="31"/>
      <c r="P32" s="28"/>
      <c r="Q32" s="32"/>
      <c r="R32" s="33">
        <f t="shared" si="60"/>
        <v>0</v>
      </c>
      <c r="S32" s="34">
        <f t="shared" si="61"/>
        <v>0</v>
      </c>
      <c r="T32" s="35">
        <f t="shared" si="62"/>
        <v>0</v>
      </c>
      <c r="U32" s="36"/>
      <c r="V32" s="60"/>
      <c r="W32" s="38"/>
      <c r="X32" s="39"/>
      <c r="Y32" s="40"/>
      <c r="Z32" s="40"/>
      <c r="AA32" s="34">
        <f t="shared" si="68"/>
        <v>0</v>
      </c>
      <c r="AB32" s="35">
        <f t="shared" si="69"/>
        <v>0</v>
      </c>
      <c r="AC32" s="271"/>
      <c r="AD32" s="145"/>
      <c r="AE32" s="145"/>
      <c r="AF32" s="34">
        <f t="shared" si="83"/>
        <v>0</v>
      </c>
      <c r="AG32" s="34">
        <f t="shared" si="84"/>
        <v>0</v>
      </c>
      <c r="AH32" s="43"/>
      <c r="AI32" s="38"/>
      <c r="AJ32" s="38"/>
      <c r="AK32" s="34">
        <f t="shared" si="70"/>
        <v>0</v>
      </c>
      <c r="AL32" s="44">
        <f t="shared" si="71"/>
        <v>0</v>
      </c>
      <c r="AM32" s="45">
        <f t="shared" si="78"/>
        <v>0</v>
      </c>
      <c r="AN32" s="51">
        <f t="shared" si="79"/>
        <v>0</v>
      </c>
      <c r="AO32" s="51">
        <f t="shared" si="80"/>
        <v>0</v>
      </c>
      <c r="AP32" s="47" t="e">
        <f t="shared" si="81"/>
        <v>#DIV/0!</v>
      </c>
      <c r="AQ32" s="48">
        <f t="shared" si="22"/>
        <v>0</v>
      </c>
      <c r="AR32" s="49">
        <f>(D32+J33+O32)-(X32+AH33)</f>
        <v>0</v>
      </c>
    </row>
    <row r="33" spans="2:49" x14ac:dyDescent="0.25">
      <c r="B33" s="22">
        <f t="shared" si="30"/>
        <v>46218</v>
      </c>
      <c r="C33" s="23" t="s">
        <v>55</v>
      </c>
      <c r="D33" s="50">
        <f t="shared" si="63"/>
        <v>0</v>
      </c>
      <c r="E33" s="34">
        <f t="shared" si="64"/>
        <v>0</v>
      </c>
      <c r="F33" s="34">
        <f t="shared" si="65"/>
        <v>0</v>
      </c>
      <c r="G33" s="34">
        <f t="shared" si="66"/>
        <v>0</v>
      </c>
      <c r="H33" s="44">
        <f t="shared" si="67"/>
        <v>0</v>
      </c>
      <c r="I33" s="26">
        <f t="shared" si="17"/>
        <v>0</v>
      </c>
      <c r="J33" s="122"/>
      <c r="K33" s="28"/>
      <c r="L33" s="32"/>
      <c r="M33" s="29"/>
      <c r="N33" s="30"/>
      <c r="O33" s="31"/>
      <c r="P33" s="28"/>
      <c r="Q33" s="32"/>
      <c r="R33" s="33">
        <f t="shared" si="60"/>
        <v>0</v>
      </c>
      <c r="S33" s="34">
        <f t="shared" si="61"/>
        <v>0</v>
      </c>
      <c r="T33" s="35">
        <f t="shared" si="62"/>
        <v>0</v>
      </c>
      <c r="U33" s="36"/>
      <c r="V33" s="37"/>
      <c r="W33" s="38"/>
      <c r="X33" s="39"/>
      <c r="Y33" s="40"/>
      <c r="Z33" s="40"/>
      <c r="AA33" s="34">
        <f t="shared" si="68"/>
        <v>0</v>
      </c>
      <c r="AB33" s="35">
        <f t="shared" si="69"/>
        <v>0</v>
      </c>
      <c r="AC33" s="310"/>
      <c r="AD33" s="42"/>
      <c r="AE33" s="42"/>
      <c r="AF33" s="34">
        <f t="shared" si="83"/>
        <v>0</v>
      </c>
      <c r="AG33" s="34">
        <f t="shared" si="84"/>
        <v>0</v>
      </c>
      <c r="AH33" s="43"/>
      <c r="AI33" s="38"/>
      <c r="AJ33" s="38"/>
      <c r="AK33" s="34">
        <f t="shared" si="70"/>
        <v>0</v>
      </c>
      <c r="AL33" s="44">
        <f t="shared" si="71"/>
        <v>0</v>
      </c>
      <c r="AM33" s="45">
        <f t="shared" si="78"/>
        <v>0</v>
      </c>
      <c r="AN33" s="51">
        <f t="shared" si="79"/>
        <v>0</v>
      </c>
      <c r="AO33" s="51">
        <f t="shared" si="80"/>
        <v>0</v>
      </c>
      <c r="AP33" s="47" t="e">
        <f t="shared" si="81"/>
        <v>#DIV/0!</v>
      </c>
      <c r="AQ33" s="48">
        <f t="shared" si="22"/>
        <v>0</v>
      </c>
      <c r="AR33" s="49">
        <f>(D33+J34+O33)-(X33+AH34)</f>
        <v>0</v>
      </c>
    </row>
    <row r="34" spans="2:49" x14ac:dyDescent="0.25">
      <c r="B34" s="22">
        <f t="shared" si="30"/>
        <v>46219</v>
      </c>
      <c r="C34" s="23" t="s">
        <v>54</v>
      </c>
      <c r="D34" s="50">
        <f t="shared" si="63"/>
        <v>0</v>
      </c>
      <c r="E34" s="34">
        <f t="shared" si="64"/>
        <v>0</v>
      </c>
      <c r="F34" s="34">
        <f t="shared" si="65"/>
        <v>0</v>
      </c>
      <c r="G34" s="34">
        <f t="shared" si="66"/>
        <v>0</v>
      </c>
      <c r="H34" s="44">
        <f t="shared" si="67"/>
        <v>0</v>
      </c>
      <c r="I34" s="26">
        <f t="shared" si="17"/>
        <v>0</v>
      </c>
      <c r="J34" s="122"/>
      <c r="K34" s="28"/>
      <c r="L34" s="32"/>
      <c r="M34" s="29"/>
      <c r="N34" s="30"/>
      <c r="O34" s="31"/>
      <c r="P34" s="28"/>
      <c r="Q34" s="32"/>
      <c r="R34" s="33">
        <f t="shared" si="60"/>
        <v>0</v>
      </c>
      <c r="S34" s="34">
        <f t="shared" si="61"/>
        <v>0</v>
      </c>
      <c r="T34" s="35">
        <f t="shared" si="62"/>
        <v>0</v>
      </c>
      <c r="U34" s="36"/>
      <c r="V34" s="37"/>
      <c r="W34" s="38"/>
      <c r="X34" s="39"/>
      <c r="Y34" s="40"/>
      <c r="Z34" s="40"/>
      <c r="AA34" s="34">
        <f t="shared" si="68"/>
        <v>0</v>
      </c>
      <c r="AB34" s="35">
        <f t="shared" si="69"/>
        <v>0</v>
      </c>
      <c r="AC34" s="273"/>
      <c r="AD34" s="130"/>
      <c r="AE34" s="130"/>
      <c r="AF34" s="34">
        <f t="shared" si="83"/>
        <v>0</v>
      </c>
      <c r="AG34" s="34">
        <f t="shared" si="84"/>
        <v>0</v>
      </c>
      <c r="AH34" s="43"/>
      <c r="AI34" s="38"/>
      <c r="AJ34" s="38"/>
      <c r="AK34" s="34">
        <f t="shared" si="70"/>
        <v>0</v>
      </c>
      <c r="AL34" s="44">
        <f t="shared" si="71"/>
        <v>0</v>
      </c>
      <c r="AM34" s="45">
        <f t="shared" si="78"/>
        <v>0</v>
      </c>
      <c r="AN34" s="51">
        <f t="shared" si="79"/>
        <v>0</v>
      </c>
      <c r="AO34" s="51">
        <f t="shared" si="80"/>
        <v>0</v>
      </c>
      <c r="AP34" s="47" t="e">
        <f t="shared" si="81"/>
        <v>#DIV/0!</v>
      </c>
      <c r="AQ34" s="48">
        <f t="shared" si="82"/>
        <v>0</v>
      </c>
      <c r="AR34" s="49">
        <f>(D34+J35+O34)-(X34+AH35)</f>
        <v>0</v>
      </c>
    </row>
    <row r="35" spans="2:49" x14ac:dyDescent="0.25">
      <c r="B35" s="22">
        <f t="shared" si="30"/>
        <v>46219</v>
      </c>
      <c r="C35" s="23" t="s">
        <v>55</v>
      </c>
      <c r="D35" s="50">
        <f t="shared" si="63"/>
        <v>0</v>
      </c>
      <c r="E35" s="34">
        <f t="shared" si="64"/>
        <v>0</v>
      </c>
      <c r="F35" s="34">
        <f t="shared" si="65"/>
        <v>0</v>
      </c>
      <c r="G35" s="34">
        <f t="shared" si="66"/>
        <v>0</v>
      </c>
      <c r="H35" s="44">
        <f t="shared" si="67"/>
        <v>0</v>
      </c>
      <c r="I35" s="26">
        <f t="shared" si="17"/>
        <v>0</v>
      </c>
      <c r="J35" s="122"/>
      <c r="K35" s="28"/>
      <c r="L35" s="32"/>
      <c r="M35" s="29"/>
      <c r="N35" s="131"/>
      <c r="O35" s="31"/>
      <c r="P35" s="28"/>
      <c r="Q35" s="32"/>
      <c r="R35" s="33">
        <f t="shared" si="60"/>
        <v>0</v>
      </c>
      <c r="S35" s="34">
        <f t="shared" si="61"/>
        <v>0</v>
      </c>
      <c r="T35" s="35">
        <f t="shared" si="62"/>
        <v>0</v>
      </c>
      <c r="U35" s="132"/>
      <c r="V35" s="37"/>
      <c r="W35" s="38"/>
      <c r="X35" s="39"/>
      <c r="Y35" s="40"/>
      <c r="Z35" s="40"/>
      <c r="AA35" s="34">
        <f t="shared" si="68"/>
        <v>0</v>
      </c>
      <c r="AB35" s="35">
        <f t="shared" si="69"/>
        <v>0</v>
      </c>
      <c r="AC35" s="273"/>
      <c r="AD35" s="130"/>
      <c r="AE35" s="130"/>
      <c r="AF35" s="34">
        <f t="shared" si="83"/>
        <v>0</v>
      </c>
      <c r="AG35" s="34">
        <f t="shared" si="84"/>
        <v>0</v>
      </c>
      <c r="AH35" s="43"/>
      <c r="AI35" s="38"/>
      <c r="AJ35" s="38"/>
      <c r="AK35" s="34">
        <f t="shared" si="70"/>
        <v>0</v>
      </c>
      <c r="AL35" s="44">
        <f t="shared" si="71"/>
        <v>0</v>
      </c>
      <c r="AM35" s="45">
        <f t="shared" si="78"/>
        <v>0</v>
      </c>
      <c r="AN35" s="51">
        <f t="shared" si="8"/>
        <v>0</v>
      </c>
      <c r="AO35" s="51">
        <f t="shared" si="9"/>
        <v>0</v>
      </c>
      <c r="AP35" s="47" t="e">
        <f t="shared" si="21"/>
        <v>#DIV/0!</v>
      </c>
      <c r="AQ35" s="48">
        <f t="shared" si="22"/>
        <v>0</v>
      </c>
      <c r="AR35" s="49" t="e">
        <f>(D35+#REF!+O35)-(X35+#REF!)</f>
        <v>#REF!</v>
      </c>
    </row>
    <row r="36" spans="2:49" x14ac:dyDescent="0.25">
      <c r="B36" s="22">
        <f t="shared" si="30"/>
        <v>46220</v>
      </c>
      <c r="C36" s="23" t="s">
        <v>54</v>
      </c>
      <c r="D36" s="50">
        <f t="shared" ref="D36" si="94">AH35</f>
        <v>0</v>
      </c>
      <c r="E36" s="34">
        <f t="shared" ref="E36" si="95">AI35</f>
        <v>0</v>
      </c>
      <c r="F36" s="34">
        <f t="shared" ref="F36" si="96">AJ35</f>
        <v>0</v>
      </c>
      <c r="G36" s="34">
        <f t="shared" si="66"/>
        <v>0</v>
      </c>
      <c r="H36" s="44">
        <f t="shared" si="67"/>
        <v>0</v>
      </c>
      <c r="I36" s="26">
        <f t="shared" si="17"/>
        <v>0</v>
      </c>
      <c r="J36" s="122"/>
      <c r="K36" s="28"/>
      <c r="L36" s="32"/>
      <c r="M36" s="29"/>
      <c r="N36" s="131"/>
      <c r="O36" s="31"/>
      <c r="P36" s="28"/>
      <c r="Q36" s="32"/>
      <c r="R36" s="33">
        <f t="shared" si="60"/>
        <v>0</v>
      </c>
      <c r="S36" s="34">
        <f t="shared" si="61"/>
        <v>0</v>
      </c>
      <c r="T36" s="35">
        <f t="shared" si="62"/>
        <v>0</v>
      </c>
      <c r="U36" s="36"/>
      <c r="V36" s="37"/>
      <c r="W36" s="38"/>
      <c r="X36" s="39"/>
      <c r="Y36" s="40"/>
      <c r="Z36" s="40"/>
      <c r="AA36" s="34">
        <f t="shared" si="68"/>
        <v>0</v>
      </c>
      <c r="AB36" s="35">
        <f t="shared" si="69"/>
        <v>0</v>
      </c>
      <c r="AC36" s="303"/>
      <c r="AD36" s="290"/>
      <c r="AE36" s="290"/>
      <c r="AF36" s="34">
        <f t="shared" si="83"/>
        <v>0</v>
      </c>
      <c r="AG36" s="34">
        <f t="shared" si="84"/>
        <v>0</v>
      </c>
      <c r="AH36" s="43"/>
      <c r="AI36" s="38"/>
      <c r="AJ36" s="38"/>
      <c r="AK36" s="34">
        <f t="shared" si="70"/>
        <v>0</v>
      </c>
      <c r="AL36" s="44">
        <f t="shared" si="71"/>
        <v>0</v>
      </c>
      <c r="AM36" s="45">
        <f t="shared" si="78"/>
        <v>0</v>
      </c>
      <c r="AN36" s="51">
        <f t="shared" ref="AN36:AN65" si="97">+G36+S36-AF36-AK36</f>
        <v>0</v>
      </c>
      <c r="AO36" s="51">
        <f t="shared" ref="AO36:AO65" si="98">+H36+T36-AG36-AL36</f>
        <v>0</v>
      </c>
      <c r="AP36" s="47" t="e">
        <f t="shared" si="21"/>
        <v>#DIV/0!</v>
      </c>
      <c r="AQ36" s="48">
        <f t="shared" si="22"/>
        <v>0</v>
      </c>
      <c r="AR36" s="49">
        <f t="shared" ref="AR36:AR65" si="99">(D36+J36+O36)-(X36+AH36)</f>
        <v>0</v>
      </c>
    </row>
    <row r="37" spans="2:49" x14ac:dyDescent="0.25">
      <c r="B37" s="22">
        <f t="shared" si="30"/>
        <v>46220</v>
      </c>
      <c r="C37" s="23" t="s">
        <v>55</v>
      </c>
      <c r="D37" s="50">
        <f t="shared" si="63"/>
        <v>0</v>
      </c>
      <c r="E37" s="34">
        <f t="shared" si="64"/>
        <v>0</v>
      </c>
      <c r="F37" s="34">
        <f t="shared" si="65"/>
        <v>0</v>
      </c>
      <c r="G37" s="34">
        <f t="shared" si="66"/>
        <v>0</v>
      </c>
      <c r="H37" s="44">
        <f t="shared" si="67"/>
        <v>0</v>
      </c>
      <c r="I37" s="26">
        <f t="shared" si="17"/>
        <v>0</v>
      </c>
      <c r="J37" s="122"/>
      <c r="K37" s="28"/>
      <c r="L37" s="32"/>
      <c r="M37" s="29"/>
      <c r="N37" s="30"/>
      <c r="O37" s="31"/>
      <c r="P37" s="28"/>
      <c r="Q37" s="32"/>
      <c r="R37" s="33">
        <f t="shared" si="60"/>
        <v>0</v>
      </c>
      <c r="S37" s="34">
        <f t="shared" si="61"/>
        <v>0</v>
      </c>
      <c r="T37" s="35">
        <f t="shared" si="62"/>
        <v>0</v>
      </c>
      <c r="U37" s="36"/>
      <c r="V37" s="37"/>
      <c r="W37" s="38"/>
      <c r="X37" s="39"/>
      <c r="Y37" s="40"/>
      <c r="Z37" s="40"/>
      <c r="AA37" s="34">
        <f t="shared" si="68"/>
        <v>0</v>
      </c>
      <c r="AB37" s="35">
        <f t="shared" si="69"/>
        <v>0</v>
      </c>
      <c r="AC37" s="310"/>
      <c r="AD37" s="42"/>
      <c r="AE37" s="42"/>
      <c r="AF37" s="34">
        <f t="shared" si="83"/>
        <v>0</v>
      </c>
      <c r="AG37" s="34">
        <f t="shared" si="84"/>
        <v>0</v>
      </c>
      <c r="AH37" s="43"/>
      <c r="AI37" s="38"/>
      <c r="AJ37" s="38"/>
      <c r="AK37" s="34">
        <f t="shared" si="70"/>
        <v>0</v>
      </c>
      <c r="AL37" s="44">
        <f t="shared" si="71"/>
        <v>0</v>
      </c>
      <c r="AM37" s="45">
        <f t="shared" si="78"/>
        <v>0</v>
      </c>
      <c r="AN37" s="51">
        <f t="shared" si="97"/>
        <v>0</v>
      </c>
      <c r="AO37" s="51">
        <f t="shared" si="98"/>
        <v>0</v>
      </c>
      <c r="AP37" s="47" t="e">
        <f t="shared" si="21"/>
        <v>#DIV/0!</v>
      </c>
      <c r="AQ37" s="48">
        <f t="shared" si="82"/>
        <v>0</v>
      </c>
      <c r="AR37" s="49">
        <f t="shared" si="99"/>
        <v>0</v>
      </c>
    </row>
    <row r="38" spans="2:49" x14ac:dyDescent="0.25">
      <c r="B38" s="22">
        <f t="shared" si="30"/>
        <v>46221</v>
      </c>
      <c r="C38" s="23" t="s">
        <v>54</v>
      </c>
      <c r="D38" s="50">
        <f t="shared" si="63"/>
        <v>0</v>
      </c>
      <c r="E38" s="34">
        <f t="shared" si="64"/>
        <v>0</v>
      </c>
      <c r="F38" s="34">
        <f t="shared" si="65"/>
        <v>0</v>
      </c>
      <c r="G38" s="34">
        <f t="shared" si="66"/>
        <v>0</v>
      </c>
      <c r="H38" s="44">
        <f t="shared" si="67"/>
        <v>0</v>
      </c>
      <c r="I38" s="26">
        <f t="shared" si="17"/>
        <v>0</v>
      </c>
      <c r="J38" s="122"/>
      <c r="K38" s="28"/>
      <c r="L38" s="32"/>
      <c r="M38" s="29"/>
      <c r="N38" s="30"/>
      <c r="O38" s="31"/>
      <c r="P38" s="28"/>
      <c r="Q38" s="32"/>
      <c r="R38" s="33">
        <f t="shared" si="60"/>
        <v>0</v>
      </c>
      <c r="S38" s="34">
        <f t="shared" si="61"/>
        <v>0</v>
      </c>
      <c r="T38" s="35">
        <f t="shared" si="62"/>
        <v>0</v>
      </c>
      <c r="U38" s="36"/>
      <c r="V38" s="37"/>
      <c r="W38" s="38"/>
      <c r="X38" s="39"/>
      <c r="Y38" s="40"/>
      <c r="Z38" s="40"/>
      <c r="AA38" s="34">
        <f t="shared" si="68"/>
        <v>0</v>
      </c>
      <c r="AB38" s="35">
        <f t="shared" si="69"/>
        <v>0</v>
      </c>
      <c r="AC38" s="312"/>
      <c r="AD38" s="148"/>
      <c r="AE38" s="148"/>
      <c r="AF38" s="34">
        <f t="shared" si="83"/>
        <v>0</v>
      </c>
      <c r="AG38" s="34">
        <f t="shared" si="84"/>
        <v>0</v>
      </c>
      <c r="AH38" s="43"/>
      <c r="AI38" s="38"/>
      <c r="AJ38" s="38"/>
      <c r="AK38" s="34">
        <f t="shared" si="70"/>
        <v>0</v>
      </c>
      <c r="AL38" s="44">
        <f t="shared" si="71"/>
        <v>0</v>
      </c>
      <c r="AM38" s="45">
        <f t="shared" ref="AM38:AM65" si="100">+D38+R38-AC38-AH38</f>
        <v>0</v>
      </c>
      <c r="AN38" s="51">
        <f t="shared" si="97"/>
        <v>0</v>
      </c>
      <c r="AO38" s="51">
        <f t="shared" si="98"/>
        <v>0</v>
      </c>
      <c r="AP38" s="47" t="e">
        <f t="shared" si="21"/>
        <v>#DIV/0!</v>
      </c>
      <c r="AQ38" s="48">
        <f t="shared" si="22"/>
        <v>0</v>
      </c>
      <c r="AR38" s="49">
        <f t="shared" si="99"/>
        <v>0</v>
      </c>
    </row>
    <row r="39" spans="2:49" x14ac:dyDescent="0.25">
      <c r="B39" s="22">
        <f t="shared" si="30"/>
        <v>46221</v>
      </c>
      <c r="C39" s="23" t="s">
        <v>55</v>
      </c>
      <c r="D39" s="50">
        <f t="shared" si="63"/>
        <v>0</v>
      </c>
      <c r="E39" s="34">
        <f t="shared" si="64"/>
        <v>0</v>
      </c>
      <c r="F39" s="34">
        <f t="shared" si="65"/>
        <v>0</v>
      </c>
      <c r="G39" s="34">
        <f t="shared" si="66"/>
        <v>0</v>
      </c>
      <c r="H39" s="44">
        <f t="shared" si="67"/>
        <v>0</v>
      </c>
      <c r="I39" s="26">
        <f t="shared" si="17"/>
        <v>0</v>
      </c>
      <c r="J39" s="122"/>
      <c r="K39" s="28"/>
      <c r="L39" s="32"/>
      <c r="M39" s="29"/>
      <c r="N39" s="30"/>
      <c r="O39" s="31"/>
      <c r="P39" s="28"/>
      <c r="Q39" s="32"/>
      <c r="R39" s="33">
        <f t="shared" si="60"/>
        <v>0</v>
      </c>
      <c r="S39" s="34">
        <f t="shared" si="61"/>
        <v>0</v>
      </c>
      <c r="T39" s="35">
        <f t="shared" si="62"/>
        <v>0</v>
      </c>
      <c r="U39" s="36"/>
      <c r="V39" s="37"/>
      <c r="W39" s="38"/>
      <c r="X39" s="39"/>
      <c r="Y39" s="40"/>
      <c r="Z39" s="40"/>
      <c r="AA39" s="34">
        <f t="shared" si="68"/>
        <v>0</v>
      </c>
      <c r="AB39" s="35">
        <f t="shared" si="69"/>
        <v>0</v>
      </c>
      <c r="AC39" s="310"/>
      <c r="AD39" s="42"/>
      <c r="AE39" s="42"/>
      <c r="AF39" s="34">
        <f t="shared" si="83"/>
        <v>0</v>
      </c>
      <c r="AG39" s="34">
        <f t="shared" si="84"/>
        <v>0</v>
      </c>
      <c r="AH39" s="43"/>
      <c r="AI39" s="38"/>
      <c r="AJ39" s="38"/>
      <c r="AK39" s="34">
        <f t="shared" si="70"/>
        <v>0</v>
      </c>
      <c r="AL39" s="44">
        <f t="shared" si="71"/>
        <v>0</v>
      </c>
      <c r="AM39" s="45">
        <f t="shared" si="100"/>
        <v>0</v>
      </c>
      <c r="AN39" s="51">
        <f t="shared" si="97"/>
        <v>0</v>
      </c>
      <c r="AO39" s="51">
        <f t="shared" si="98"/>
        <v>0</v>
      </c>
      <c r="AP39" s="47" t="e">
        <f t="shared" si="21"/>
        <v>#DIV/0!</v>
      </c>
      <c r="AQ39" s="48">
        <f t="shared" si="22"/>
        <v>0</v>
      </c>
      <c r="AR39" s="49">
        <f t="shared" si="99"/>
        <v>0</v>
      </c>
    </row>
    <row r="40" spans="2:49" x14ac:dyDescent="0.25">
      <c r="B40" s="22">
        <f t="shared" si="30"/>
        <v>46222</v>
      </c>
      <c r="C40" s="23" t="s">
        <v>54</v>
      </c>
      <c r="D40" s="50">
        <f t="shared" ref="D40" si="101">AH39</f>
        <v>0</v>
      </c>
      <c r="E40" s="34">
        <f t="shared" ref="E40" si="102">AI39</f>
        <v>0</v>
      </c>
      <c r="F40" s="34">
        <f t="shared" ref="F40" si="103">AJ39</f>
        <v>0</v>
      </c>
      <c r="G40" s="34">
        <f t="shared" si="66"/>
        <v>0</v>
      </c>
      <c r="H40" s="44">
        <f t="shared" si="67"/>
        <v>0</v>
      </c>
      <c r="I40" s="26">
        <f t="shared" si="17"/>
        <v>0</v>
      </c>
      <c r="J40" s="122"/>
      <c r="K40" s="28"/>
      <c r="L40" s="32"/>
      <c r="M40" s="29"/>
      <c r="N40" s="30"/>
      <c r="O40" s="31"/>
      <c r="P40" s="28"/>
      <c r="Q40" s="32"/>
      <c r="R40" s="33">
        <f t="shared" ref="R40" si="104">O40+J40</f>
        <v>0</v>
      </c>
      <c r="S40" s="34">
        <f t="shared" ref="S40" si="105">(J40*K40%)+(O40*P40%)</f>
        <v>0</v>
      </c>
      <c r="T40" s="35">
        <f t="shared" ref="T40" si="106">(J40*L40%)+(O40*Q40%)</f>
        <v>0</v>
      </c>
      <c r="U40" s="36"/>
      <c r="V40" s="37"/>
      <c r="W40" s="38"/>
      <c r="X40" s="39"/>
      <c r="Y40" s="40"/>
      <c r="Z40" s="40"/>
      <c r="AA40" s="34">
        <f t="shared" si="68"/>
        <v>0</v>
      </c>
      <c r="AB40" s="35">
        <f t="shared" si="69"/>
        <v>0</v>
      </c>
      <c r="AC40" s="273"/>
      <c r="AD40" s="130"/>
      <c r="AE40" s="130"/>
      <c r="AF40" s="34">
        <f t="shared" si="83"/>
        <v>0</v>
      </c>
      <c r="AG40" s="34">
        <f t="shared" si="84"/>
        <v>0</v>
      </c>
      <c r="AH40" s="43"/>
      <c r="AI40" s="38"/>
      <c r="AJ40" s="38"/>
      <c r="AK40" s="34">
        <f t="shared" si="70"/>
        <v>0</v>
      </c>
      <c r="AL40" s="44">
        <f t="shared" si="71"/>
        <v>0</v>
      </c>
      <c r="AM40" s="45">
        <f t="shared" si="100"/>
        <v>0</v>
      </c>
      <c r="AN40" s="51">
        <f t="shared" si="97"/>
        <v>0</v>
      </c>
      <c r="AO40" s="51">
        <f t="shared" si="98"/>
        <v>0</v>
      </c>
      <c r="AP40" s="47" t="e">
        <f t="shared" si="21"/>
        <v>#DIV/0!</v>
      </c>
      <c r="AQ40" s="48">
        <f t="shared" si="82"/>
        <v>0</v>
      </c>
      <c r="AR40" s="49">
        <f t="shared" si="99"/>
        <v>0</v>
      </c>
    </row>
    <row r="41" spans="2:49" x14ac:dyDescent="0.25">
      <c r="B41" s="22">
        <f t="shared" si="30"/>
        <v>46222</v>
      </c>
      <c r="C41" s="23" t="s">
        <v>55</v>
      </c>
      <c r="D41" s="50">
        <f t="shared" si="63"/>
        <v>0</v>
      </c>
      <c r="E41" s="34">
        <f t="shared" si="64"/>
        <v>0</v>
      </c>
      <c r="F41" s="34">
        <f t="shared" si="65"/>
        <v>0</v>
      </c>
      <c r="G41" s="34">
        <f t="shared" si="66"/>
        <v>0</v>
      </c>
      <c r="H41" s="44">
        <f t="shared" si="67"/>
        <v>0</v>
      </c>
      <c r="I41" s="26">
        <f t="shared" si="17"/>
        <v>0</v>
      </c>
      <c r="J41" s="122"/>
      <c r="K41" s="28"/>
      <c r="L41" s="32"/>
      <c r="M41" s="30"/>
      <c r="N41" s="30"/>
      <c r="O41" s="31"/>
      <c r="P41" s="28"/>
      <c r="Q41" s="32"/>
      <c r="R41" s="33">
        <f t="shared" si="60"/>
        <v>0</v>
      </c>
      <c r="S41" s="34">
        <f t="shared" si="61"/>
        <v>0</v>
      </c>
      <c r="T41" s="44">
        <f t="shared" si="62"/>
        <v>0</v>
      </c>
      <c r="U41" s="36"/>
      <c r="V41" s="37"/>
      <c r="W41" s="38"/>
      <c r="X41" s="39"/>
      <c r="Y41" s="40"/>
      <c r="Z41" s="40"/>
      <c r="AA41" s="34">
        <f t="shared" si="18"/>
        <v>0</v>
      </c>
      <c r="AB41" s="35">
        <f t="shared" si="19"/>
        <v>0</v>
      </c>
      <c r="AC41" s="310"/>
      <c r="AD41" s="42"/>
      <c r="AE41" s="42"/>
      <c r="AF41" s="34">
        <f t="shared" si="83"/>
        <v>0</v>
      </c>
      <c r="AG41" s="34">
        <f t="shared" si="84"/>
        <v>0</v>
      </c>
      <c r="AH41" s="43"/>
      <c r="AI41" s="38"/>
      <c r="AJ41" s="38"/>
      <c r="AK41" s="34">
        <f t="shared" si="70"/>
        <v>0</v>
      </c>
      <c r="AL41" s="44">
        <f t="shared" si="71"/>
        <v>0</v>
      </c>
      <c r="AM41" s="45">
        <f t="shared" si="100"/>
        <v>0</v>
      </c>
      <c r="AN41" s="51">
        <f t="shared" si="97"/>
        <v>0</v>
      </c>
      <c r="AO41" s="51">
        <f t="shared" si="98"/>
        <v>0</v>
      </c>
      <c r="AP41" s="47" t="e">
        <f t="shared" si="21"/>
        <v>#DIV/0!</v>
      </c>
      <c r="AQ41" s="48">
        <f t="shared" si="22"/>
        <v>0</v>
      </c>
      <c r="AR41" s="49">
        <f t="shared" si="99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30"/>
        <v>46223</v>
      </c>
      <c r="C42" s="23" t="s">
        <v>54</v>
      </c>
      <c r="D42" s="50">
        <f t="shared" si="63"/>
        <v>0</v>
      </c>
      <c r="E42" s="34">
        <f t="shared" si="64"/>
        <v>0</v>
      </c>
      <c r="F42" s="34">
        <f t="shared" si="65"/>
        <v>0</v>
      </c>
      <c r="G42" s="34">
        <f t="shared" si="66"/>
        <v>0</v>
      </c>
      <c r="H42" s="44">
        <f t="shared" si="67"/>
        <v>0</v>
      </c>
      <c r="I42" s="26">
        <f t="shared" si="17"/>
        <v>0</v>
      </c>
      <c r="J42" s="122"/>
      <c r="K42" s="28"/>
      <c r="L42" s="32"/>
      <c r="M42" s="30"/>
      <c r="N42" s="61"/>
      <c r="O42" s="31"/>
      <c r="P42" s="28"/>
      <c r="Q42" s="32"/>
      <c r="R42" s="33">
        <f t="shared" ref="R42:R65" si="107">O42+J42</f>
        <v>0</v>
      </c>
      <c r="S42" s="34">
        <f t="shared" ref="S42:S65" si="108">(J42*K42%)+(O42*P42%)</f>
        <v>0</v>
      </c>
      <c r="T42" s="44">
        <f t="shared" ref="T42:T65" si="109">(J42*L42%)+(O42*Q42%)</f>
        <v>0</v>
      </c>
      <c r="U42" s="36"/>
      <c r="V42" s="37"/>
      <c r="W42" s="38"/>
      <c r="X42" s="39"/>
      <c r="Y42" s="40"/>
      <c r="Z42" s="40"/>
      <c r="AA42" s="34">
        <f t="shared" ref="AA42:AA65" si="110">X42*Y42%</f>
        <v>0</v>
      </c>
      <c r="AB42" s="35">
        <f t="shared" ref="AB42:AB65" si="111">X42*Z42%</f>
        <v>0</v>
      </c>
      <c r="AC42" s="271"/>
      <c r="AD42" s="145"/>
      <c r="AE42" s="145"/>
      <c r="AF42" s="34">
        <f t="shared" si="83"/>
        <v>0</v>
      </c>
      <c r="AG42" s="44">
        <f t="shared" si="84"/>
        <v>0</v>
      </c>
      <c r="AH42" s="43"/>
      <c r="AI42" s="38"/>
      <c r="AJ42" s="38"/>
      <c r="AK42" s="34">
        <f t="shared" si="70"/>
        <v>0</v>
      </c>
      <c r="AL42" s="35">
        <f t="shared" si="71"/>
        <v>0</v>
      </c>
      <c r="AM42" s="287">
        <f t="shared" si="100"/>
        <v>0</v>
      </c>
      <c r="AN42" s="51">
        <f t="shared" si="97"/>
        <v>0</v>
      </c>
      <c r="AO42" s="51">
        <f t="shared" si="98"/>
        <v>0</v>
      </c>
      <c r="AP42" s="47" t="e">
        <f t="shared" ref="AP42:AP65" si="112">(AN42+AO42)/(S42+T42)</f>
        <v>#DIV/0!</v>
      </c>
      <c r="AQ42" s="48">
        <f t="shared" si="22"/>
        <v>0</v>
      </c>
      <c r="AR42" s="49">
        <f t="shared" si="99"/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30"/>
        <v>46223</v>
      </c>
      <c r="C43" s="23" t="s">
        <v>55</v>
      </c>
      <c r="D43" s="50">
        <f t="shared" ref="D43" si="113">AH42</f>
        <v>0</v>
      </c>
      <c r="E43" s="34">
        <f t="shared" ref="E43" si="114">AI42</f>
        <v>0</v>
      </c>
      <c r="F43" s="34">
        <f t="shared" ref="F43" si="115">AJ42</f>
        <v>0</v>
      </c>
      <c r="G43" s="34">
        <f t="shared" si="15"/>
        <v>0</v>
      </c>
      <c r="H43" s="44">
        <f t="shared" si="16"/>
        <v>0</v>
      </c>
      <c r="I43" s="26">
        <f t="shared" si="17"/>
        <v>0</v>
      </c>
      <c r="J43" s="122"/>
      <c r="K43" s="28"/>
      <c r="L43" s="32"/>
      <c r="M43" s="30"/>
      <c r="N43" s="61"/>
      <c r="O43" s="31"/>
      <c r="P43" s="28"/>
      <c r="Q43" s="32"/>
      <c r="R43" s="33">
        <f t="shared" si="107"/>
        <v>0</v>
      </c>
      <c r="S43" s="34">
        <f t="shared" si="108"/>
        <v>0</v>
      </c>
      <c r="T43" s="44">
        <f t="shared" si="109"/>
        <v>0</v>
      </c>
      <c r="U43" s="36"/>
      <c r="V43" s="37"/>
      <c r="W43" s="38"/>
      <c r="X43" s="39"/>
      <c r="Y43" s="40"/>
      <c r="Z43" s="40"/>
      <c r="AA43" s="34">
        <f t="shared" si="110"/>
        <v>0</v>
      </c>
      <c r="AB43" s="35">
        <f t="shared" si="111"/>
        <v>0</v>
      </c>
      <c r="AC43" s="271"/>
      <c r="AD43" s="145"/>
      <c r="AE43" s="145"/>
      <c r="AF43" s="34">
        <f t="shared" ref="AF43:AF65" si="116">AC43*AD43%</f>
        <v>0</v>
      </c>
      <c r="AG43" s="44">
        <f t="shared" ref="AG43:AG65" si="117">AC43*AE43%</f>
        <v>0</v>
      </c>
      <c r="AH43" s="43"/>
      <c r="AI43" s="38"/>
      <c r="AJ43" s="38"/>
      <c r="AK43" s="34">
        <f t="shared" si="70"/>
        <v>0</v>
      </c>
      <c r="AL43" s="35">
        <f t="shared" si="71"/>
        <v>0</v>
      </c>
      <c r="AM43" s="287">
        <f t="shared" si="100"/>
        <v>0</v>
      </c>
      <c r="AN43" s="51">
        <f t="shared" si="97"/>
        <v>0</v>
      </c>
      <c r="AO43" s="51">
        <f t="shared" si="98"/>
        <v>0</v>
      </c>
      <c r="AP43" s="47" t="e">
        <f t="shared" si="112"/>
        <v>#DIV/0!</v>
      </c>
      <c r="AQ43" s="48">
        <f t="shared" si="82"/>
        <v>0</v>
      </c>
      <c r="AR43" s="49">
        <f t="shared" si="99"/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30"/>
        <v>46224</v>
      </c>
      <c r="C44" s="23" t="s">
        <v>54</v>
      </c>
      <c r="D44" s="50">
        <f t="shared" ref="D44" si="118">AH43</f>
        <v>0</v>
      </c>
      <c r="E44" s="34">
        <f t="shared" ref="E44" si="119">AI43</f>
        <v>0</v>
      </c>
      <c r="F44" s="34">
        <f t="shared" ref="F44" si="120">AJ43</f>
        <v>0</v>
      </c>
      <c r="G44" s="34">
        <f t="shared" si="15"/>
        <v>0</v>
      </c>
      <c r="H44" s="44">
        <f t="shared" si="16"/>
        <v>0</v>
      </c>
      <c r="I44" s="26">
        <f t="shared" si="17"/>
        <v>0</v>
      </c>
      <c r="J44" s="122"/>
      <c r="K44" s="28"/>
      <c r="L44" s="32"/>
      <c r="M44" s="30"/>
      <c r="N44" s="61"/>
      <c r="O44" s="31"/>
      <c r="P44" s="28"/>
      <c r="Q44" s="32"/>
      <c r="R44" s="33">
        <f t="shared" si="107"/>
        <v>0</v>
      </c>
      <c r="S44" s="34">
        <f t="shared" si="108"/>
        <v>0</v>
      </c>
      <c r="T44" s="44">
        <f t="shared" si="109"/>
        <v>0</v>
      </c>
      <c r="U44" s="132"/>
      <c r="V44" s="37"/>
      <c r="W44" s="38"/>
      <c r="X44" s="39"/>
      <c r="Y44" s="40"/>
      <c r="Z44" s="40"/>
      <c r="AA44" s="34">
        <f t="shared" si="110"/>
        <v>0</v>
      </c>
      <c r="AB44" s="35">
        <f t="shared" si="111"/>
        <v>0</v>
      </c>
      <c r="AC44" s="303"/>
      <c r="AD44" s="290"/>
      <c r="AE44" s="290"/>
      <c r="AF44" s="34">
        <f t="shared" si="116"/>
        <v>0</v>
      </c>
      <c r="AG44" s="44">
        <f t="shared" si="117"/>
        <v>0</v>
      </c>
      <c r="AH44" s="43"/>
      <c r="AI44" s="38"/>
      <c r="AJ44" s="38"/>
      <c r="AK44" s="34">
        <f t="shared" si="70"/>
        <v>0</v>
      </c>
      <c r="AL44" s="35">
        <f t="shared" si="71"/>
        <v>0</v>
      </c>
      <c r="AM44" s="287">
        <f t="shared" si="100"/>
        <v>0</v>
      </c>
      <c r="AN44" s="51">
        <f t="shared" si="97"/>
        <v>0</v>
      </c>
      <c r="AO44" s="51">
        <f t="shared" si="98"/>
        <v>0</v>
      </c>
      <c r="AP44" s="47" t="e">
        <f t="shared" si="112"/>
        <v>#DIV/0!</v>
      </c>
      <c r="AQ44" s="48">
        <f t="shared" si="22"/>
        <v>0</v>
      </c>
      <c r="AR44" s="49">
        <f t="shared" si="99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30"/>
        <v>46224</v>
      </c>
      <c r="C45" s="23" t="s">
        <v>55</v>
      </c>
      <c r="D45" s="50">
        <f t="shared" ref="D45" si="121">AH44</f>
        <v>0</v>
      </c>
      <c r="E45" s="34">
        <f t="shared" ref="E45" si="122">AI44</f>
        <v>0</v>
      </c>
      <c r="F45" s="34">
        <f t="shared" ref="F45" si="123">AJ44</f>
        <v>0</v>
      </c>
      <c r="G45" s="34">
        <f t="shared" si="15"/>
        <v>0</v>
      </c>
      <c r="H45" s="44">
        <f t="shared" si="16"/>
        <v>0</v>
      </c>
      <c r="I45" s="26">
        <f t="shared" si="17"/>
        <v>0</v>
      </c>
      <c r="J45" s="122"/>
      <c r="K45" s="28"/>
      <c r="L45" s="32"/>
      <c r="M45" s="30"/>
      <c r="N45" s="61"/>
      <c r="O45" s="31"/>
      <c r="P45" s="28"/>
      <c r="Q45" s="32"/>
      <c r="R45" s="33">
        <f t="shared" si="107"/>
        <v>0</v>
      </c>
      <c r="S45" s="34">
        <f t="shared" si="108"/>
        <v>0</v>
      </c>
      <c r="T45" s="44">
        <f t="shared" si="109"/>
        <v>0</v>
      </c>
      <c r="U45" s="36"/>
      <c r="V45" s="37"/>
      <c r="W45" s="38"/>
      <c r="X45" s="39"/>
      <c r="Y45" s="40"/>
      <c r="Z45" s="40"/>
      <c r="AA45" s="34">
        <f t="shared" si="110"/>
        <v>0</v>
      </c>
      <c r="AB45" s="35">
        <f t="shared" si="111"/>
        <v>0</v>
      </c>
      <c r="AC45" s="310"/>
      <c r="AD45" s="42"/>
      <c r="AE45" s="42"/>
      <c r="AF45" s="34">
        <f t="shared" si="116"/>
        <v>0</v>
      </c>
      <c r="AG45" s="44">
        <f t="shared" si="117"/>
        <v>0</v>
      </c>
      <c r="AH45" s="43"/>
      <c r="AI45" s="38"/>
      <c r="AJ45" s="38"/>
      <c r="AK45" s="34">
        <f t="shared" ref="AK45:AK65" si="124">AH45*AI45%</f>
        <v>0</v>
      </c>
      <c r="AL45" s="35">
        <f t="shared" ref="AL45:AL65" si="125">AH45*AJ45%</f>
        <v>0</v>
      </c>
      <c r="AM45" s="287">
        <f t="shared" si="100"/>
        <v>0</v>
      </c>
      <c r="AN45" s="51">
        <f t="shared" si="97"/>
        <v>0</v>
      </c>
      <c r="AO45" s="51">
        <f t="shared" si="98"/>
        <v>0</v>
      </c>
      <c r="AP45" s="47" t="e">
        <f t="shared" si="112"/>
        <v>#DIV/0!</v>
      </c>
      <c r="AQ45" s="48">
        <f t="shared" si="22"/>
        <v>0</v>
      </c>
      <c r="AR45" s="49">
        <f t="shared" si="99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30"/>
        <v>46225</v>
      </c>
      <c r="C46" s="23" t="s">
        <v>54</v>
      </c>
      <c r="D46" s="50">
        <f t="shared" ref="D46" si="126">AH45</f>
        <v>0</v>
      </c>
      <c r="E46" s="34">
        <f t="shared" ref="E46" si="127">AI45</f>
        <v>0</v>
      </c>
      <c r="F46" s="34">
        <f t="shared" ref="F46" si="128">AJ45</f>
        <v>0</v>
      </c>
      <c r="G46" s="34">
        <f t="shared" ref="G46" si="129">+D46*E46%</f>
        <v>0</v>
      </c>
      <c r="H46" s="44">
        <f t="shared" si="16"/>
        <v>0</v>
      </c>
      <c r="I46" s="26">
        <f t="shared" si="17"/>
        <v>0</v>
      </c>
      <c r="J46" s="122"/>
      <c r="K46" s="28"/>
      <c r="L46" s="32"/>
      <c r="M46" s="30"/>
      <c r="N46" s="61"/>
      <c r="O46" s="31"/>
      <c r="P46" s="28"/>
      <c r="Q46" s="32"/>
      <c r="R46" s="33">
        <f t="shared" si="107"/>
        <v>0</v>
      </c>
      <c r="S46" s="34">
        <f t="shared" si="108"/>
        <v>0</v>
      </c>
      <c r="T46" s="44">
        <f t="shared" si="109"/>
        <v>0</v>
      </c>
      <c r="U46" s="36"/>
      <c r="V46" s="37"/>
      <c r="W46" s="38"/>
      <c r="X46" s="39"/>
      <c r="Y46" s="40"/>
      <c r="Z46" s="40"/>
      <c r="AA46" s="34">
        <f t="shared" si="110"/>
        <v>0</v>
      </c>
      <c r="AB46" s="35">
        <f t="shared" si="111"/>
        <v>0</v>
      </c>
      <c r="AC46" s="273"/>
      <c r="AD46" s="130"/>
      <c r="AE46" s="130"/>
      <c r="AF46" s="34">
        <f t="shared" si="116"/>
        <v>0</v>
      </c>
      <c r="AG46" s="44">
        <f t="shared" si="117"/>
        <v>0</v>
      </c>
      <c r="AH46" s="43"/>
      <c r="AI46" s="38"/>
      <c r="AJ46" s="38"/>
      <c r="AK46" s="34">
        <f t="shared" si="124"/>
        <v>0</v>
      </c>
      <c r="AL46" s="35">
        <f t="shared" si="125"/>
        <v>0</v>
      </c>
      <c r="AM46" s="287">
        <f t="shared" si="100"/>
        <v>0</v>
      </c>
      <c r="AN46" s="51">
        <f t="shared" si="97"/>
        <v>0</v>
      </c>
      <c r="AO46" s="51">
        <f t="shared" si="98"/>
        <v>0</v>
      </c>
      <c r="AP46" s="47" t="e">
        <f t="shared" si="112"/>
        <v>#DIV/0!</v>
      </c>
      <c r="AQ46" s="63">
        <f t="shared" ref="AQ46:AQ65" si="130">($AP$1*AN46+$AQ$1*AO46)</f>
        <v>0</v>
      </c>
      <c r="AR46" s="49">
        <f t="shared" si="99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30"/>
        <v>46225</v>
      </c>
      <c r="C47" s="23" t="s">
        <v>55</v>
      </c>
      <c r="D47" s="50">
        <f t="shared" si="27"/>
        <v>0</v>
      </c>
      <c r="E47" s="34">
        <f t="shared" si="28"/>
        <v>0</v>
      </c>
      <c r="F47" s="34">
        <f t="shared" si="29"/>
        <v>0</v>
      </c>
      <c r="G47" s="34">
        <f t="shared" si="15"/>
        <v>0</v>
      </c>
      <c r="H47" s="44">
        <f t="shared" si="16"/>
        <v>0</v>
      </c>
      <c r="I47" s="26">
        <f t="shared" si="17"/>
        <v>0</v>
      </c>
      <c r="J47" s="122"/>
      <c r="K47" s="28"/>
      <c r="L47" s="32"/>
      <c r="M47" s="30"/>
      <c r="N47" s="61"/>
      <c r="O47" s="31"/>
      <c r="P47" s="28"/>
      <c r="Q47" s="32"/>
      <c r="R47" s="33">
        <f t="shared" si="107"/>
        <v>0</v>
      </c>
      <c r="S47" s="34">
        <f t="shared" si="108"/>
        <v>0</v>
      </c>
      <c r="T47" s="44">
        <f t="shared" si="109"/>
        <v>0</v>
      </c>
      <c r="U47" s="36"/>
      <c r="V47" s="109"/>
      <c r="W47" s="38"/>
      <c r="X47" s="39"/>
      <c r="Y47" s="40"/>
      <c r="Z47" s="40"/>
      <c r="AA47" s="34">
        <f t="shared" si="110"/>
        <v>0</v>
      </c>
      <c r="AB47" s="35">
        <f t="shared" si="111"/>
        <v>0</v>
      </c>
      <c r="AC47" s="271"/>
      <c r="AD47" s="145"/>
      <c r="AE47" s="145"/>
      <c r="AF47" s="34">
        <f t="shared" si="116"/>
        <v>0</v>
      </c>
      <c r="AG47" s="44">
        <f t="shared" si="117"/>
        <v>0</v>
      </c>
      <c r="AH47" s="43"/>
      <c r="AI47" s="38"/>
      <c r="AJ47" s="38"/>
      <c r="AK47" s="34">
        <f t="shared" si="124"/>
        <v>0</v>
      </c>
      <c r="AL47" s="35">
        <f t="shared" si="125"/>
        <v>0</v>
      </c>
      <c r="AM47" s="287">
        <f t="shared" si="100"/>
        <v>0</v>
      </c>
      <c r="AN47" s="51">
        <f t="shared" si="97"/>
        <v>0</v>
      </c>
      <c r="AO47" s="51">
        <f t="shared" si="98"/>
        <v>0</v>
      </c>
      <c r="AP47" s="47" t="e">
        <f t="shared" si="112"/>
        <v>#DIV/0!</v>
      </c>
      <c r="AQ47" s="63">
        <f t="shared" si="130"/>
        <v>0</v>
      </c>
      <c r="AR47" s="49">
        <f t="shared" si="99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0"/>
        <v>46226</v>
      </c>
      <c r="C48" s="23" t="s">
        <v>54</v>
      </c>
      <c r="D48" s="50">
        <f t="shared" ref="D48" si="131">AH47</f>
        <v>0</v>
      </c>
      <c r="E48" s="34">
        <f t="shared" ref="E48" si="132">AI47</f>
        <v>0</v>
      </c>
      <c r="F48" s="34">
        <f t="shared" ref="F48" si="133">AJ47</f>
        <v>0</v>
      </c>
      <c r="G48" s="34">
        <f t="shared" si="15"/>
        <v>0</v>
      </c>
      <c r="H48" s="44">
        <f t="shared" si="16"/>
        <v>0</v>
      </c>
      <c r="I48" s="26">
        <f t="shared" si="17"/>
        <v>0</v>
      </c>
      <c r="J48" s="122"/>
      <c r="K48" s="28"/>
      <c r="L48" s="32"/>
      <c r="M48" s="30"/>
      <c r="N48" s="61"/>
      <c r="O48" s="31"/>
      <c r="P48" s="28"/>
      <c r="Q48" s="32"/>
      <c r="R48" s="33">
        <f t="shared" si="107"/>
        <v>0</v>
      </c>
      <c r="S48" s="34">
        <f t="shared" si="108"/>
        <v>0</v>
      </c>
      <c r="T48" s="44">
        <f t="shared" si="109"/>
        <v>0</v>
      </c>
      <c r="U48" s="132"/>
      <c r="V48" s="109"/>
      <c r="W48" s="38"/>
      <c r="X48" s="39"/>
      <c r="Y48" s="40"/>
      <c r="Z48" s="40"/>
      <c r="AA48" s="34">
        <f t="shared" si="110"/>
        <v>0</v>
      </c>
      <c r="AB48" s="35">
        <f t="shared" si="111"/>
        <v>0</v>
      </c>
      <c r="AC48" s="273"/>
      <c r="AD48" s="130"/>
      <c r="AE48" s="130"/>
      <c r="AF48" s="34">
        <f t="shared" si="116"/>
        <v>0</v>
      </c>
      <c r="AG48" s="44">
        <f t="shared" si="117"/>
        <v>0</v>
      </c>
      <c r="AH48" s="43"/>
      <c r="AI48" s="38"/>
      <c r="AJ48" s="38"/>
      <c r="AK48" s="34">
        <f t="shared" si="124"/>
        <v>0</v>
      </c>
      <c r="AL48" s="35">
        <f t="shared" si="125"/>
        <v>0</v>
      </c>
      <c r="AM48" s="287">
        <f t="shared" si="100"/>
        <v>0</v>
      </c>
      <c r="AN48" s="51">
        <f t="shared" si="97"/>
        <v>0</v>
      </c>
      <c r="AO48" s="51">
        <f t="shared" si="98"/>
        <v>0</v>
      </c>
      <c r="AP48" s="47" t="e">
        <f t="shared" si="112"/>
        <v>#DIV/0!</v>
      </c>
      <c r="AQ48" s="63">
        <f t="shared" si="130"/>
        <v>0</v>
      </c>
      <c r="AR48" s="49">
        <f t="shared" si="99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30"/>
        <v>46226</v>
      </c>
      <c r="C49" s="23" t="s">
        <v>55</v>
      </c>
      <c r="D49" s="50">
        <f t="shared" si="27"/>
        <v>0</v>
      </c>
      <c r="E49" s="34">
        <f t="shared" si="28"/>
        <v>0</v>
      </c>
      <c r="F49" s="34">
        <f t="shared" si="29"/>
        <v>0</v>
      </c>
      <c r="G49" s="34">
        <f t="shared" si="15"/>
        <v>0</v>
      </c>
      <c r="H49" s="44">
        <f t="shared" si="16"/>
        <v>0</v>
      </c>
      <c r="I49" s="26">
        <f t="shared" si="17"/>
        <v>0</v>
      </c>
      <c r="J49" s="122"/>
      <c r="K49" s="28"/>
      <c r="L49" s="32"/>
      <c r="M49" s="30"/>
      <c r="N49" s="61"/>
      <c r="O49" s="31"/>
      <c r="P49" s="28"/>
      <c r="Q49" s="32"/>
      <c r="R49" s="33">
        <f t="shared" si="107"/>
        <v>0</v>
      </c>
      <c r="S49" s="34">
        <f t="shared" si="108"/>
        <v>0</v>
      </c>
      <c r="T49" s="44">
        <f t="shared" si="109"/>
        <v>0</v>
      </c>
      <c r="U49" s="36"/>
      <c r="V49" s="109"/>
      <c r="W49" s="38"/>
      <c r="X49" s="39"/>
      <c r="Y49" s="40"/>
      <c r="Z49" s="40"/>
      <c r="AA49" s="34">
        <f t="shared" si="110"/>
        <v>0</v>
      </c>
      <c r="AB49" s="35">
        <f t="shared" si="111"/>
        <v>0</v>
      </c>
      <c r="AC49" s="273"/>
      <c r="AD49" s="130"/>
      <c r="AE49" s="130"/>
      <c r="AF49" s="34">
        <f t="shared" si="116"/>
        <v>0</v>
      </c>
      <c r="AG49" s="44">
        <f t="shared" si="117"/>
        <v>0</v>
      </c>
      <c r="AH49" s="43"/>
      <c r="AI49" s="38"/>
      <c r="AJ49" s="38"/>
      <c r="AK49" s="34">
        <f t="shared" si="124"/>
        <v>0</v>
      </c>
      <c r="AL49" s="35">
        <f t="shared" si="125"/>
        <v>0</v>
      </c>
      <c r="AM49" s="287">
        <f t="shared" si="100"/>
        <v>0</v>
      </c>
      <c r="AN49" s="51">
        <f t="shared" si="97"/>
        <v>0</v>
      </c>
      <c r="AO49" s="51">
        <f t="shared" si="98"/>
        <v>0</v>
      </c>
      <c r="AP49" s="47" t="e">
        <f t="shared" si="112"/>
        <v>#DIV/0!</v>
      </c>
      <c r="AQ49" s="63">
        <f t="shared" si="130"/>
        <v>0</v>
      </c>
      <c r="AR49" s="49">
        <f t="shared" si="99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30"/>
        <v>46227</v>
      </c>
      <c r="C50" s="23" t="s">
        <v>54</v>
      </c>
      <c r="D50" s="50">
        <f t="shared" ref="D50" si="134">AH49</f>
        <v>0</v>
      </c>
      <c r="E50" s="34">
        <f t="shared" ref="E50" si="135">AI49</f>
        <v>0</v>
      </c>
      <c r="F50" s="34">
        <f t="shared" ref="F50" si="136">AJ49</f>
        <v>0</v>
      </c>
      <c r="G50" s="34">
        <f t="shared" si="15"/>
        <v>0</v>
      </c>
      <c r="H50" s="44">
        <f t="shared" si="16"/>
        <v>0</v>
      </c>
      <c r="I50" s="26">
        <f t="shared" si="17"/>
        <v>0</v>
      </c>
      <c r="J50" s="122"/>
      <c r="K50" s="28"/>
      <c r="L50" s="32"/>
      <c r="M50" s="30"/>
      <c r="N50" s="61"/>
      <c r="O50" s="31"/>
      <c r="P50" s="28"/>
      <c r="Q50" s="32"/>
      <c r="R50" s="33">
        <f t="shared" si="107"/>
        <v>0</v>
      </c>
      <c r="S50" s="34">
        <f t="shared" si="108"/>
        <v>0</v>
      </c>
      <c r="T50" s="44">
        <f t="shared" si="109"/>
        <v>0</v>
      </c>
      <c r="U50" s="132"/>
      <c r="V50" s="109"/>
      <c r="W50" s="38"/>
      <c r="X50" s="39"/>
      <c r="Y50" s="40"/>
      <c r="Z50" s="40"/>
      <c r="AA50" s="34">
        <f t="shared" si="110"/>
        <v>0</v>
      </c>
      <c r="AB50" s="35">
        <f t="shared" si="111"/>
        <v>0</v>
      </c>
      <c r="AC50" s="273"/>
      <c r="AD50" s="130"/>
      <c r="AE50" s="130"/>
      <c r="AF50" s="34">
        <f t="shared" si="116"/>
        <v>0</v>
      </c>
      <c r="AG50" s="44">
        <f t="shared" si="117"/>
        <v>0</v>
      </c>
      <c r="AH50" s="43"/>
      <c r="AI50" s="38"/>
      <c r="AJ50" s="38"/>
      <c r="AK50" s="34">
        <f t="shared" si="124"/>
        <v>0</v>
      </c>
      <c r="AL50" s="35">
        <f t="shared" si="125"/>
        <v>0</v>
      </c>
      <c r="AM50" s="287">
        <f t="shared" si="100"/>
        <v>0</v>
      </c>
      <c r="AN50" s="51">
        <f t="shared" si="97"/>
        <v>0</v>
      </c>
      <c r="AO50" s="51">
        <f t="shared" si="98"/>
        <v>0</v>
      </c>
      <c r="AP50" s="47" t="e">
        <f t="shared" si="112"/>
        <v>#DIV/0!</v>
      </c>
      <c r="AQ50" s="63">
        <f t="shared" si="130"/>
        <v>0</v>
      </c>
      <c r="AR50" s="49">
        <f t="shared" si="99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30"/>
        <v>46227</v>
      </c>
      <c r="C51" s="23" t="s">
        <v>55</v>
      </c>
      <c r="D51" s="50">
        <f t="shared" ref="D51" si="137">AH50</f>
        <v>0</v>
      </c>
      <c r="E51" s="34">
        <f t="shared" ref="E51" si="138">AI50</f>
        <v>0</v>
      </c>
      <c r="F51" s="34">
        <f t="shared" ref="F51" si="139">AJ50</f>
        <v>0</v>
      </c>
      <c r="G51" s="34">
        <f t="shared" si="15"/>
        <v>0</v>
      </c>
      <c r="H51" s="44">
        <f t="shared" si="16"/>
        <v>0</v>
      </c>
      <c r="I51" s="26">
        <f t="shared" si="17"/>
        <v>0</v>
      </c>
      <c r="J51" s="122"/>
      <c r="K51" s="28"/>
      <c r="L51" s="32"/>
      <c r="M51" s="30"/>
      <c r="N51" s="61"/>
      <c r="O51" s="31"/>
      <c r="P51" s="28"/>
      <c r="Q51" s="32"/>
      <c r="R51" s="33">
        <f t="shared" si="107"/>
        <v>0</v>
      </c>
      <c r="S51" s="34">
        <f t="shared" si="108"/>
        <v>0</v>
      </c>
      <c r="T51" s="44">
        <f t="shared" si="109"/>
        <v>0</v>
      </c>
      <c r="U51" s="36"/>
      <c r="V51" s="109"/>
      <c r="W51" s="38"/>
      <c r="X51" s="39"/>
      <c r="Y51" s="40"/>
      <c r="Z51" s="40"/>
      <c r="AA51" s="34">
        <f t="shared" si="110"/>
        <v>0</v>
      </c>
      <c r="AB51" s="35">
        <f t="shared" si="111"/>
        <v>0</v>
      </c>
      <c r="AC51" s="273"/>
      <c r="AD51" s="130"/>
      <c r="AE51" s="130"/>
      <c r="AF51" s="34">
        <f t="shared" si="116"/>
        <v>0</v>
      </c>
      <c r="AG51" s="44">
        <f t="shared" si="117"/>
        <v>0</v>
      </c>
      <c r="AH51" s="43"/>
      <c r="AI51" s="38"/>
      <c r="AJ51" s="38"/>
      <c r="AK51" s="34">
        <f t="shared" si="124"/>
        <v>0</v>
      </c>
      <c r="AL51" s="35">
        <f t="shared" si="125"/>
        <v>0</v>
      </c>
      <c r="AM51" s="287">
        <f t="shared" si="100"/>
        <v>0</v>
      </c>
      <c r="AN51" s="51">
        <f t="shared" si="97"/>
        <v>0</v>
      </c>
      <c r="AO51" s="51">
        <f t="shared" si="98"/>
        <v>0</v>
      </c>
      <c r="AP51" s="47" t="e">
        <f t="shared" si="112"/>
        <v>#DIV/0!</v>
      </c>
      <c r="AQ51" s="63">
        <f t="shared" si="130"/>
        <v>0</v>
      </c>
      <c r="AR51" s="49">
        <f t="shared" si="99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30"/>
        <v>46228</v>
      </c>
      <c r="C52" s="23" t="s">
        <v>54</v>
      </c>
      <c r="D52" s="50">
        <f t="shared" ref="D52" si="140">AH51</f>
        <v>0</v>
      </c>
      <c r="E52" s="34">
        <f t="shared" ref="E52" si="141">AI51</f>
        <v>0</v>
      </c>
      <c r="F52" s="34">
        <f t="shared" ref="F52" si="142">AJ51</f>
        <v>0</v>
      </c>
      <c r="G52" s="34">
        <f t="shared" si="15"/>
        <v>0</v>
      </c>
      <c r="H52" s="44">
        <f t="shared" si="16"/>
        <v>0</v>
      </c>
      <c r="I52" s="26">
        <f t="shared" si="17"/>
        <v>0</v>
      </c>
      <c r="J52" s="122"/>
      <c r="K52" s="28"/>
      <c r="L52" s="32"/>
      <c r="M52" s="30"/>
      <c r="N52" s="61"/>
      <c r="O52" s="31"/>
      <c r="P52" s="28"/>
      <c r="Q52" s="32"/>
      <c r="R52" s="33">
        <f t="shared" si="107"/>
        <v>0</v>
      </c>
      <c r="S52" s="34">
        <f t="shared" si="108"/>
        <v>0</v>
      </c>
      <c r="T52" s="44">
        <f t="shared" si="109"/>
        <v>0</v>
      </c>
      <c r="U52" s="36"/>
      <c r="V52" s="109"/>
      <c r="W52" s="38"/>
      <c r="X52" s="39"/>
      <c r="Y52" s="40"/>
      <c r="Z52" s="40"/>
      <c r="AA52" s="34">
        <f t="shared" si="110"/>
        <v>0</v>
      </c>
      <c r="AB52" s="35">
        <f t="shared" si="111"/>
        <v>0</v>
      </c>
      <c r="AC52" s="303"/>
      <c r="AD52" s="290"/>
      <c r="AE52" s="290"/>
      <c r="AF52" s="34">
        <f t="shared" si="116"/>
        <v>0</v>
      </c>
      <c r="AG52" s="44">
        <f t="shared" si="117"/>
        <v>0</v>
      </c>
      <c r="AH52" s="43"/>
      <c r="AI52" s="38"/>
      <c r="AJ52" s="38"/>
      <c r="AK52" s="34">
        <f t="shared" si="124"/>
        <v>0</v>
      </c>
      <c r="AL52" s="35">
        <f t="shared" si="125"/>
        <v>0</v>
      </c>
      <c r="AM52" s="287">
        <f t="shared" si="100"/>
        <v>0</v>
      </c>
      <c r="AN52" s="51">
        <f t="shared" si="97"/>
        <v>0</v>
      </c>
      <c r="AO52" s="51">
        <f t="shared" si="98"/>
        <v>0</v>
      </c>
      <c r="AP52" s="47" t="e">
        <f t="shared" si="112"/>
        <v>#DIV/0!</v>
      </c>
      <c r="AQ52" s="63">
        <f t="shared" si="130"/>
        <v>0</v>
      </c>
      <c r="AR52" s="49">
        <f t="shared" si="99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30"/>
        <v>46228</v>
      </c>
      <c r="C53" s="23" t="s">
        <v>55</v>
      </c>
      <c r="D53" s="50">
        <f t="shared" si="27"/>
        <v>0</v>
      </c>
      <c r="E53" s="34">
        <f t="shared" si="28"/>
        <v>0</v>
      </c>
      <c r="F53" s="34">
        <f t="shared" si="29"/>
        <v>0</v>
      </c>
      <c r="G53" s="34">
        <f t="shared" si="15"/>
        <v>0</v>
      </c>
      <c r="H53" s="44">
        <f t="shared" si="16"/>
        <v>0</v>
      </c>
      <c r="I53" s="26">
        <f t="shared" si="17"/>
        <v>0</v>
      </c>
      <c r="J53" s="31"/>
      <c r="K53" s="61"/>
      <c r="L53" s="32"/>
      <c r="M53" s="30"/>
      <c r="N53" s="61"/>
      <c r="O53" s="31"/>
      <c r="P53" s="28"/>
      <c r="Q53" s="32"/>
      <c r="R53" s="33">
        <f t="shared" si="107"/>
        <v>0</v>
      </c>
      <c r="S53" s="34">
        <f t="shared" si="108"/>
        <v>0</v>
      </c>
      <c r="T53" s="44">
        <f t="shared" si="109"/>
        <v>0</v>
      </c>
      <c r="U53" s="36"/>
      <c r="V53" s="109"/>
      <c r="W53" s="38"/>
      <c r="X53" s="39"/>
      <c r="Y53" s="40"/>
      <c r="Z53" s="40"/>
      <c r="AA53" s="34">
        <f t="shared" si="110"/>
        <v>0</v>
      </c>
      <c r="AB53" s="35">
        <f t="shared" si="111"/>
        <v>0</v>
      </c>
      <c r="AC53" s="273"/>
      <c r="AD53" s="130"/>
      <c r="AE53" s="130"/>
      <c r="AF53" s="34">
        <f t="shared" si="116"/>
        <v>0</v>
      </c>
      <c r="AG53" s="44">
        <f t="shared" si="117"/>
        <v>0</v>
      </c>
      <c r="AH53" s="43"/>
      <c r="AI53" s="38"/>
      <c r="AJ53" s="38"/>
      <c r="AK53" s="34">
        <f t="shared" si="124"/>
        <v>0</v>
      </c>
      <c r="AL53" s="35">
        <f t="shared" si="125"/>
        <v>0</v>
      </c>
      <c r="AM53" s="287">
        <f t="shared" si="100"/>
        <v>0</v>
      </c>
      <c r="AN53" s="51">
        <f t="shared" si="97"/>
        <v>0</v>
      </c>
      <c r="AO53" s="51">
        <f t="shared" si="98"/>
        <v>0</v>
      </c>
      <c r="AP53" s="47" t="e">
        <f t="shared" si="112"/>
        <v>#DIV/0!</v>
      </c>
      <c r="AQ53" s="63">
        <f t="shared" si="130"/>
        <v>0</v>
      </c>
      <c r="AR53" s="49">
        <f t="shared" si="99"/>
        <v>0</v>
      </c>
      <c r="AS53" s="49"/>
      <c r="AT53" s="52"/>
      <c r="AU53" s="52"/>
      <c r="AV53" s="52"/>
      <c r="AW53" s="52"/>
    </row>
    <row r="54" spans="2:49" x14ac:dyDescent="0.25">
      <c r="B54" s="22">
        <f t="shared" si="30"/>
        <v>46229</v>
      </c>
      <c r="C54" s="23" t="s">
        <v>54</v>
      </c>
      <c r="D54" s="50">
        <f t="shared" ref="D54" si="143">AH53</f>
        <v>0</v>
      </c>
      <c r="E54" s="34">
        <f t="shared" ref="E54" si="144">AI53</f>
        <v>0</v>
      </c>
      <c r="F54" s="34">
        <f t="shared" ref="F54" si="145">AJ53</f>
        <v>0</v>
      </c>
      <c r="G54" s="34">
        <f t="shared" ref="G54" si="146">+D54*E54%</f>
        <v>0</v>
      </c>
      <c r="H54" s="44">
        <f t="shared" si="16"/>
        <v>0</v>
      </c>
      <c r="I54" s="26">
        <f t="shared" si="17"/>
        <v>0</v>
      </c>
      <c r="J54" s="122"/>
      <c r="K54" s="28"/>
      <c r="L54" s="32"/>
      <c r="M54" s="30"/>
      <c r="N54" s="61"/>
      <c r="O54" s="31"/>
      <c r="P54" s="28"/>
      <c r="Q54" s="32"/>
      <c r="R54" s="33">
        <f t="shared" si="107"/>
        <v>0</v>
      </c>
      <c r="S54" s="34">
        <f t="shared" si="108"/>
        <v>0</v>
      </c>
      <c r="T54" s="44">
        <f t="shared" si="109"/>
        <v>0</v>
      </c>
      <c r="U54" s="36"/>
      <c r="V54" s="109"/>
      <c r="W54" s="38"/>
      <c r="X54" s="39"/>
      <c r="Y54" s="40"/>
      <c r="Z54" s="40"/>
      <c r="AA54" s="34">
        <f t="shared" si="110"/>
        <v>0</v>
      </c>
      <c r="AB54" s="35">
        <f t="shared" si="111"/>
        <v>0</v>
      </c>
      <c r="AC54" s="273"/>
      <c r="AD54" s="130"/>
      <c r="AE54" s="130"/>
      <c r="AF54" s="34">
        <f t="shared" si="116"/>
        <v>0</v>
      </c>
      <c r="AG54" s="44">
        <f t="shared" si="117"/>
        <v>0</v>
      </c>
      <c r="AH54" s="43"/>
      <c r="AI54" s="38"/>
      <c r="AJ54" s="38"/>
      <c r="AK54" s="34">
        <f t="shared" si="124"/>
        <v>0</v>
      </c>
      <c r="AL54" s="35">
        <f t="shared" si="125"/>
        <v>0</v>
      </c>
      <c r="AM54" s="287">
        <f t="shared" si="100"/>
        <v>0</v>
      </c>
      <c r="AN54" s="51">
        <f t="shared" si="97"/>
        <v>0</v>
      </c>
      <c r="AO54" s="51">
        <f t="shared" si="98"/>
        <v>0</v>
      </c>
      <c r="AP54" s="47" t="e">
        <f t="shared" si="112"/>
        <v>#DIV/0!</v>
      </c>
      <c r="AQ54" s="63">
        <f t="shared" si="130"/>
        <v>0</v>
      </c>
      <c r="AR54" s="49">
        <f t="shared" si="99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30"/>
        <v>46229</v>
      </c>
      <c r="C55" s="23" t="s">
        <v>55</v>
      </c>
      <c r="D55" s="50">
        <f t="shared" ref="D55" si="147">AH54</f>
        <v>0</v>
      </c>
      <c r="E55" s="34">
        <f t="shared" ref="E55" si="148">AI54</f>
        <v>0</v>
      </c>
      <c r="F55" s="34">
        <f t="shared" ref="F55" si="149">AJ54</f>
        <v>0</v>
      </c>
      <c r="G55" s="34">
        <f t="shared" si="15"/>
        <v>0</v>
      </c>
      <c r="H55" s="44">
        <f t="shared" si="16"/>
        <v>0</v>
      </c>
      <c r="I55" s="26">
        <f t="shared" si="17"/>
        <v>0</v>
      </c>
      <c r="J55" s="122"/>
      <c r="K55" s="28"/>
      <c r="L55" s="32"/>
      <c r="M55" s="30"/>
      <c r="N55" s="61"/>
      <c r="O55" s="31"/>
      <c r="P55" s="28"/>
      <c r="Q55" s="32"/>
      <c r="R55" s="33">
        <f t="shared" si="107"/>
        <v>0</v>
      </c>
      <c r="S55" s="34">
        <f t="shared" si="108"/>
        <v>0</v>
      </c>
      <c r="T55" s="44">
        <f t="shared" si="109"/>
        <v>0</v>
      </c>
      <c r="U55" s="36"/>
      <c r="V55" s="109"/>
      <c r="W55" s="38"/>
      <c r="X55" s="39"/>
      <c r="Y55" s="40"/>
      <c r="Z55" s="40"/>
      <c r="AA55" s="34">
        <f t="shared" si="110"/>
        <v>0</v>
      </c>
      <c r="AB55" s="35">
        <f t="shared" si="111"/>
        <v>0</v>
      </c>
      <c r="AC55" s="273"/>
      <c r="AD55" s="130"/>
      <c r="AE55" s="130"/>
      <c r="AF55" s="34">
        <f t="shared" si="116"/>
        <v>0</v>
      </c>
      <c r="AG55" s="44">
        <f t="shared" si="117"/>
        <v>0</v>
      </c>
      <c r="AH55" s="43"/>
      <c r="AI55" s="38"/>
      <c r="AJ55" s="38"/>
      <c r="AK55" s="34">
        <f t="shared" si="124"/>
        <v>0</v>
      </c>
      <c r="AL55" s="35">
        <f t="shared" si="125"/>
        <v>0</v>
      </c>
      <c r="AM55" s="287">
        <f t="shared" si="100"/>
        <v>0</v>
      </c>
      <c r="AN55" s="51">
        <f t="shared" si="97"/>
        <v>0</v>
      </c>
      <c r="AO55" s="51">
        <f t="shared" si="98"/>
        <v>0</v>
      </c>
      <c r="AP55" s="47" t="e">
        <f t="shared" si="112"/>
        <v>#DIV/0!</v>
      </c>
      <c r="AQ55" s="63">
        <f t="shared" si="130"/>
        <v>0</v>
      </c>
      <c r="AR55" s="49">
        <f t="shared" si="99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30"/>
        <v>46230</v>
      </c>
      <c r="C56" s="23" t="s">
        <v>54</v>
      </c>
      <c r="D56" s="50">
        <f t="shared" ref="D56" si="150">AH55</f>
        <v>0</v>
      </c>
      <c r="E56" s="34">
        <f t="shared" ref="E56" si="151">AI55</f>
        <v>0</v>
      </c>
      <c r="F56" s="34">
        <f t="shared" ref="F56" si="152">AJ55</f>
        <v>0</v>
      </c>
      <c r="G56" s="34">
        <f t="shared" si="15"/>
        <v>0</v>
      </c>
      <c r="H56" s="44">
        <f t="shared" si="16"/>
        <v>0</v>
      </c>
      <c r="I56" s="26">
        <f t="shared" si="17"/>
        <v>0</v>
      </c>
      <c r="J56" s="122"/>
      <c r="K56" s="28"/>
      <c r="L56" s="32"/>
      <c r="M56" s="30"/>
      <c r="N56" s="61"/>
      <c r="O56" s="31"/>
      <c r="P56" s="28"/>
      <c r="Q56" s="32"/>
      <c r="R56" s="33">
        <f t="shared" si="107"/>
        <v>0</v>
      </c>
      <c r="S56" s="34">
        <f t="shared" si="108"/>
        <v>0</v>
      </c>
      <c r="T56" s="44">
        <f t="shared" si="109"/>
        <v>0</v>
      </c>
      <c r="U56" s="36"/>
      <c r="V56" s="109"/>
      <c r="W56" s="38"/>
      <c r="X56" s="39"/>
      <c r="Y56" s="40"/>
      <c r="Z56" s="40"/>
      <c r="AA56" s="34">
        <f t="shared" si="110"/>
        <v>0</v>
      </c>
      <c r="AB56" s="35">
        <f t="shared" si="111"/>
        <v>0</v>
      </c>
      <c r="AC56" s="273"/>
      <c r="AD56" s="130"/>
      <c r="AE56" s="130"/>
      <c r="AF56" s="34">
        <f t="shared" si="116"/>
        <v>0</v>
      </c>
      <c r="AG56" s="44">
        <f t="shared" si="117"/>
        <v>0</v>
      </c>
      <c r="AH56" s="43"/>
      <c r="AI56" s="38"/>
      <c r="AJ56" s="38"/>
      <c r="AK56" s="34">
        <f t="shared" si="124"/>
        <v>0</v>
      </c>
      <c r="AL56" s="35">
        <f t="shared" si="125"/>
        <v>0</v>
      </c>
      <c r="AM56" s="287">
        <f t="shared" si="100"/>
        <v>0</v>
      </c>
      <c r="AN56" s="51">
        <f t="shared" si="97"/>
        <v>0</v>
      </c>
      <c r="AO56" s="51">
        <f t="shared" si="98"/>
        <v>0</v>
      </c>
      <c r="AP56" s="47" t="e">
        <f t="shared" si="112"/>
        <v>#DIV/0!</v>
      </c>
      <c r="AQ56" s="63">
        <f t="shared" si="130"/>
        <v>0</v>
      </c>
      <c r="AR56" s="49">
        <f t="shared" si="99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30"/>
        <v>46230</v>
      </c>
      <c r="C57" s="23" t="s">
        <v>55</v>
      </c>
      <c r="D57" s="50">
        <f t="shared" ref="D57" si="153">AH56</f>
        <v>0</v>
      </c>
      <c r="E57" s="34">
        <f t="shared" ref="E57" si="154">AI56</f>
        <v>0</v>
      </c>
      <c r="F57" s="34">
        <f t="shared" ref="F57" si="155">AJ56</f>
        <v>0</v>
      </c>
      <c r="G57" s="34">
        <f t="shared" ref="G57" si="156">+D57*E57%</f>
        <v>0</v>
      </c>
      <c r="H57" s="44">
        <f t="shared" si="16"/>
        <v>0</v>
      </c>
      <c r="I57" s="26">
        <f t="shared" si="17"/>
        <v>0</v>
      </c>
      <c r="J57" s="122"/>
      <c r="K57" s="28"/>
      <c r="L57" s="32"/>
      <c r="M57" s="30"/>
      <c r="N57" s="106"/>
      <c r="O57" s="137"/>
      <c r="P57" s="135"/>
      <c r="Q57" s="136"/>
      <c r="R57" s="33">
        <f t="shared" si="107"/>
        <v>0</v>
      </c>
      <c r="S57" s="34">
        <f t="shared" si="108"/>
        <v>0</v>
      </c>
      <c r="T57" s="44">
        <f t="shared" si="109"/>
        <v>0</v>
      </c>
      <c r="U57" s="36"/>
      <c r="V57" s="109"/>
      <c r="W57" s="38"/>
      <c r="X57" s="39"/>
      <c r="Y57" s="40"/>
      <c r="Z57" s="40"/>
      <c r="AA57" s="34">
        <f t="shared" si="110"/>
        <v>0</v>
      </c>
      <c r="AB57" s="35">
        <f t="shared" si="111"/>
        <v>0</v>
      </c>
      <c r="AC57" s="273"/>
      <c r="AD57" s="130"/>
      <c r="AE57" s="130"/>
      <c r="AF57" s="34">
        <f t="shared" si="116"/>
        <v>0</v>
      </c>
      <c r="AG57" s="44">
        <f t="shared" si="117"/>
        <v>0</v>
      </c>
      <c r="AH57" s="43"/>
      <c r="AI57" s="38"/>
      <c r="AJ57" s="38"/>
      <c r="AK57" s="34">
        <f t="shared" si="124"/>
        <v>0</v>
      </c>
      <c r="AL57" s="35">
        <f t="shared" si="125"/>
        <v>0</v>
      </c>
      <c r="AM57" s="287">
        <f t="shared" si="100"/>
        <v>0</v>
      </c>
      <c r="AN57" s="51">
        <f t="shared" si="97"/>
        <v>0</v>
      </c>
      <c r="AO57" s="51">
        <f t="shared" si="98"/>
        <v>0</v>
      </c>
      <c r="AP57" s="47" t="e">
        <f t="shared" si="112"/>
        <v>#DIV/0!</v>
      </c>
      <c r="AQ57" s="63">
        <f t="shared" si="130"/>
        <v>0</v>
      </c>
      <c r="AR57" s="49">
        <f t="shared" si="99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30"/>
        <v>46231</v>
      </c>
      <c r="C58" s="23" t="s">
        <v>54</v>
      </c>
      <c r="D58" s="50">
        <f t="shared" ref="D58" si="157">AH57</f>
        <v>0</v>
      </c>
      <c r="E58" s="34">
        <f t="shared" ref="E58" si="158">AI57</f>
        <v>0</v>
      </c>
      <c r="F58" s="34">
        <f t="shared" ref="F58" si="159">AJ57</f>
        <v>0</v>
      </c>
      <c r="G58" s="34">
        <f t="shared" si="15"/>
        <v>0</v>
      </c>
      <c r="H58" s="44">
        <f t="shared" si="16"/>
        <v>0</v>
      </c>
      <c r="I58" s="26">
        <f t="shared" si="17"/>
        <v>0</v>
      </c>
      <c r="J58" s="122"/>
      <c r="K58" s="28"/>
      <c r="L58" s="32"/>
      <c r="M58" s="30"/>
      <c r="N58" s="61"/>
      <c r="O58" s="31"/>
      <c r="P58" s="28"/>
      <c r="Q58" s="32"/>
      <c r="R58" s="33">
        <f t="shared" si="107"/>
        <v>0</v>
      </c>
      <c r="S58" s="34">
        <f t="shared" si="108"/>
        <v>0</v>
      </c>
      <c r="T58" s="44">
        <f t="shared" si="109"/>
        <v>0</v>
      </c>
      <c r="U58" s="36"/>
      <c r="V58" s="37"/>
      <c r="W58" s="38"/>
      <c r="X58" s="39"/>
      <c r="Y58" s="40"/>
      <c r="Z58" s="40"/>
      <c r="AA58" s="34">
        <f t="shared" si="110"/>
        <v>0</v>
      </c>
      <c r="AB58" s="35">
        <f t="shared" si="111"/>
        <v>0</v>
      </c>
      <c r="AC58" s="273"/>
      <c r="AD58" s="130"/>
      <c r="AE58" s="130"/>
      <c r="AF58" s="34">
        <f t="shared" si="116"/>
        <v>0</v>
      </c>
      <c r="AG58" s="44">
        <f t="shared" si="117"/>
        <v>0</v>
      </c>
      <c r="AH58" s="43"/>
      <c r="AI58" s="38"/>
      <c r="AJ58" s="38"/>
      <c r="AK58" s="34">
        <f t="shared" si="124"/>
        <v>0</v>
      </c>
      <c r="AL58" s="35">
        <f t="shared" si="125"/>
        <v>0</v>
      </c>
      <c r="AM58" s="287">
        <f t="shared" si="100"/>
        <v>0</v>
      </c>
      <c r="AN58" s="51">
        <f t="shared" si="97"/>
        <v>0</v>
      </c>
      <c r="AO58" s="51">
        <f t="shared" si="98"/>
        <v>0</v>
      </c>
      <c r="AP58" s="47" t="e">
        <f t="shared" si="112"/>
        <v>#DIV/0!</v>
      </c>
      <c r="AQ58" s="63">
        <f t="shared" si="130"/>
        <v>0</v>
      </c>
      <c r="AR58" s="49">
        <f t="shared" si="99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30"/>
        <v>46231</v>
      </c>
      <c r="C59" s="23" t="s">
        <v>55</v>
      </c>
      <c r="D59" s="50">
        <f t="shared" ref="D59" si="160">AH58</f>
        <v>0</v>
      </c>
      <c r="E59" s="34">
        <f t="shared" ref="E59" si="161">AI58</f>
        <v>0</v>
      </c>
      <c r="F59" s="34">
        <f t="shared" ref="F59" si="162">AJ58</f>
        <v>0</v>
      </c>
      <c r="G59" s="34">
        <f t="shared" si="15"/>
        <v>0</v>
      </c>
      <c r="H59" s="44">
        <f t="shared" si="16"/>
        <v>0</v>
      </c>
      <c r="I59" s="26">
        <f t="shared" si="17"/>
        <v>0</v>
      </c>
      <c r="J59" s="122"/>
      <c r="K59" s="28"/>
      <c r="L59" s="32"/>
      <c r="M59" s="30"/>
      <c r="N59" s="61"/>
      <c r="O59" s="31"/>
      <c r="P59" s="28"/>
      <c r="Q59" s="32"/>
      <c r="R59" s="33">
        <f t="shared" si="107"/>
        <v>0</v>
      </c>
      <c r="S59" s="34">
        <f t="shared" si="108"/>
        <v>0</v>
      </c>
      <c r="T59" s="44">
        <f t="shared" si="109"/>
        <v>0</v>
      </c>
      <c r="U59" s="36"/>
      <c r="V59" s="37"/>
      <c r="W59" s="38"/>
      <c r="X59" s="39"/>
      <c r="Y59" s="40"/>
      <c r="Z59" s="40"/>
      <c r="AA59" s="34">
        <f t="shared" si="110"/>
        <v>0</v>
      </c>
      <c r="AB59" s="35">
        <f t="shared" si="111"/>
        <v>0</v>
      </c>
      <c r="AC59" s="310"/>
      <c r="AD59" s="42"/>
      <c r="AE59" s="42"/>
      <c r="AF59" s="34">
        <f t="shared" si="116"/>
        <v>0</v>
      </c>
      <c r="AG59" s="44">
        <f t="shared" si="117"/>
        <v>0</v>
      </c>
      <c r="AH59" s="43"/>
      <c r="AI59" s="38"/>
      <c r="AJ59" s="38"/>
      <c r="AK59" s="34">
        <f t="shared" si="124"/>
        <v>0</v>
      </c>
      <c r="AL59" s="35">
        <f t="shared" si="125"/>
        <v>0</v>
      </c>
      <c r="AM59" s="287">
        <f t="shared" si="100"/>
        <v>0</v>
      </c>
      <c r="AN59" s="51">
        <f t="shared" si="97"/>
        <v>0</v>
      </c>
      <c r="AO59" s="51">
        <f t="shared" si="98"/>
        <v>0</v>
      </c>
      <c r="AP59" s="47" t="e">
        <f t="shared" si="112"/>
        <v>#DIV/0!</v>
      </c>
      <c r="AQ59" s="63">
        <f t="shared" si="130"/>
        <v>0</v>
      </c>
      <c r="AR59" s="49">
        <f t="shared" si="99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30"/>
        <v>46232</v>
      </c>
      <c r="C60" s="23" t="s">
        <v>54</v>
      </c>
      <c r="D60" s="50">
        <f t="shared" ref="D60" si="163">AH59</f>
        <v>0</v>
      </c>
      <c r="E60" s="34">
        <f t="shared" ref="E60" si="164">AI59</f>
        <v>0</v>
      </c>
      <c r="F60" s="34">
        <f t="shared" ref="F60" si="165">AJ59</f>
        <v>0</v>
      </c>
      <c r="G60" s="34">
        <f t="shared" si="15"/>
        <v>0</v>
      </c>
      <c r="H60" s="44">
        <f t="shared" si="16"/>
        <v>0</v>
      </c>
      <c r="I60" s="26">
        <f t="shared" si="17"/>
        <v>0</v>
      </c>
      <c r="J60" s="122"/>
      <c r="K60" s="28"/>
      <c r="L60" s="32"/>
      <c r="M60" s="30"/>
      <c r="N60" s="61"/>
      <c r="O60" s="31"/>
      <c r="P60" s="28"/>
      <c r="Q60" s="32"/>
      <c r="R60" s="33">
        <f t="shared" si="107"/>
        <v>0</v>
      </c>
      <c r="S60" s="34">
        <f t="shared" si="108"/>
        <v>0</v>
      </c>
      <c r="T60" s="44">
        <f t="shared" si="109"/>
        <v>0</v>
      </c>
      <c r="U60" s="36"/>
      <c r="V60" s="37"/>
      <c r="W60" s="38"/>
      <c r="X60" s="39"/>
      <c r="Y60" s="40"/>
      <c r="Z60" s="40"/>
      <c r="AA60" s="34">
        <f t="shared" si="110"/>
        <v>0</v>
      </c>
      <c r="AB60" s="35">
        <f t="shared" si="111"/>
        <v>0</v>
      </c>
      <c r="AC60" s="310"/>
      <c r="AD60" s="42"/>
      <c r="AE60" s="42"/>
      <c r="AF60" s="34">
        <f t="shared" si="116"/>
        <v>0</v>
      </c>
      <c r="AG60" s="44">
        <f t="shared" si="117"/>
        <v>0</v>
      </c>
      <c r="AH60" s="43"/>
      <c r="AI60" s="38"/>
      <c r="AJ60" s="38"/>
      <c r="AK60" s="34">
        <f t="shared" si="124"/>
        <v>0</v>
      </c>
      <c r="AL60" s="35">
        <f t="shared" si="125"/>
        <v>0</v>
      </c>
      <c r="AM60" s="287">
        <f t="shared" si="100"/>
        <v>0</v>
      </c>
      <c r="AN60" s="51">
        <f t="shared" si="97"/>
        <v>0</v>
      </c>
      <c r="AO60" s="51">
        <f t="shared" si="98"/>
        <v>0</v>
      </c>
      <c r="AP60" s="47" t="e">
        <f t="shared" si="112"/>
        <v>#DIV/0!</v>
      </c>
      <c r="AQ60" s="63">
        <f t="shared" si="130"/>
        <v>0</v>
      </c>
      <c r="AR60" s="49">
        <f t="shared" si="99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30"/>
        <v>46232</v>
      </c>
      <c r="C61" s="23" t="s">
        <v>55</v>
      </c>
      <c r="D61" s="50">
        <f t="shared" ref="D61:D65" si="166">AH60</f>
        <v>0</v>
      </c>
      <c r="E61" s="34">
        <f t="shared" ref="E61:E65" si="167">AI60</f>
        <v>0</v>
      </c>
      <c r="F61" s="34">
        <f t="shared" ref="F61:F65" si="168">AJ60</f>
        <v>0</v>
      </c>
      <c r="G61" s="34">
        <f t="shared" si="15"/>
        <v>0</v>
      </c>
      <c r="H61" s="44">
        <f t="shared" si="16"/>
        <v>0</v>
      </c>
      <c r="I61" s="26">
        <f t="shared" si="17"/>
        <v>0</v>
      </c>
      <c r="J61" s="122"/>
      <c r="K61" s="28"/>
      <c r="L61" s="32"/>
      <c r="M61" s="30"/>
      <c r="N61" s="61"/>
      <c r="O61" s="31"/>
      <c r="P61" s="28"/>
      <c r="Q61" s="32"/>
      <c r="R61" s="33">
        <f t="shared" si="107"/>
        <v>0</v>
      </c>
      <c r="S61" s="34">
        <f t="shared" si="108"/>
        <v>0</v>
      </c>
      <c r="T61" s="44">
        <f t="shared" si="109"/>
        <v>0</v>
      </c>
      <c r="U61" s="36"/>
      <c r="V61" s="37"/>
      <c r="W61" s="38"/>
      <c r="X61" s="39"/>
      <c r="Y61" s="40"/>
      <c r="Z61" s="40"/>
      <c r="AA61" s="34">
        <f t="shared" si="110"/>
        <v>0</v>
      </c>
      <c r="AB61" s="35">
        <f t="shared" si="111"/>
        <v>0</v>
      </c>
      <c r="AC61" s="310"/>
      <c r="AD61" s="42"/>
      <c r="AE61" s="42"/>
      <c r="AF61" s="34">
        <f t="shared" si="116"/>
        <v>0</v>
      </c>
      <c r="AG61" s="44">
        <f t="shared" si="117"/>
        <v>0</v>
      </c>
      <c r="AH61" s="43"/>
      <c r="AI61" s="38"/>
      <c r="AJ61" s="38"/>
      <c r="AK61" s="34">
        <f t="shared" si="124"/>
        <v>0</v>
      </c>
      <c r="AL61" s="35">
        <f t="shared" si="125"/>
        <v>0</v>
      </c>
      <c r="AM61" s="287">
        <f t="shared" si="100"/>
        <v>0</v>
      </c>
      <c r="AN61" s="51">
        <f t="shared" si="97"/>
        <v>0</v>
      </c>
      <c r="AO61" s="51">
        <f t="shared" si="98"/>
        <v>0</v>
      </c>
      <c r="AP61" s="47" t="e">
        <f t="shared" si="112"/>
        <v>#DIV/0!</v>
      </c>
      <c r="AQ61" s="63">
        <f t="shared" si="130"/>
        <v>0</v>
      </c>
      <c r="AR61" s="49">
        <f t="shared" si="99"/>
        <v>0</v>
      </c>
      <c r="AS61" s="49">
        <f>SUM(J48:J61)</f>
        <v>0</v>
      </c>
      <c r="AT61" s="52">
        <f>SUM(AM48:AM61)</f>
        <v>0</v>
      </c>
      <c r="AU61" s="52">
        <f>SUM(AN48:AN61)</f>
        <v>0</v>
      </c>
      <c r="AV61" s="52">
        <f>SUM(AO48:AO61)</f>
        <v>0</v>
      </c>
      <c r="AW61" s="52">
        <f>-SUM(AQ48:AQ61)</f>
        <v>0</v>
      </c>
    </row>
    <row r="62" spans="2:49" x14ac:dyDescent="0.25">
      <c r="B62" s="22">
        <f t="shared" si="30"/>
        <v>46233</v>
      </c>
      <c r="C62" s="23" t="s">
        <v>54</v>
      </c>
      <c r="D62" s="50">
        <f t="shared" ref="D62" si="169">AH61</f>
        <v>0</v>
      </c>
      <c r="E62" s="34">
        <f t="shared" ref="E62" si="170">AI61</f>
        <v>0</v>
      </c>
      <c r="F62" s="34">
        <f t="shared" ref="F62" si="171">AJ61</f>
        <v>0</v>
      </c>
      <c r="G62" s="34">
        <f t="shared" ref="G62" si="172">+D62*E62%</f>
        <v>0</v>
      </c>
      <c r="H62" s="44">
        <f t="shared" si="16"/>
        <v>0</v>
      </c>
      <c r="I62" s="26">
        <f t="shared" si="17"/>
        <v>0</v>
      </c>
      <c r="J62" s="122"/>
      <c r="K62" s="28"/>
      <c r="L62" s="32"/>
      <c r="M62" s="30"/>
      <c r="N62" s="106"/>
      <c r="O62" s="31"/>
      <c r="P62" s="28"/>
      <c r="Q62" s="32"/>
      <c r="R62" s="33">
        <f t="shared" si="107"/>
        <v>0</v>
      </c>
      <c r="S62" s="34">
        <f t="shared" si="108"/>
        <v>0</v>
      </c>
      <c r="T62" s="44">
        <f t="shared" si="109"/>
        <v>0</v>
      </c>
      <c r="U62" s="36"/>
      <c r="V62" s="37"/>
      <c r="W62" s="38"/>
      <c r="X62" s="39"/>
      <c r="Y62" s="40"/>
      <c r="Z62" s="40"/>
      <c r="AA62" s="34">
        <f t="shared" si="110"/>
        <v>0</v>
      </c>
      <c r="AB62" s="35">
        <f t="shared" si="111"/>
        <v>0</v>
      </c>
      <c r="AC62" s="310"/>
      <c r="AD62" s="42"/>
      <c r="AE62" s="42"/>
      <c r="AF62" s="34">
        <f t="shared" si="116"/>
        <v>0</v>
      </c>
      <c r="AG62" s="44">
        <f t="shared" si="117"/>
        <v>0</v>
      </c>
      <c r="AH62" s="43"/>
      <c r="AI62" s="38"/>
      <c r="AJ62" s="38"/>
      <c r="AK62" s="34">
        <f t="shared" si="124"/>
        <v>0</v>
      </c>
      <c r="AL62" s="35">
        <f t="shared" si="125"/>
        <v>0</v>
      </c>
      <c r="AM62" s="287">
        <f t="shared" si="100"/>
        <v>0</v>
      </c>
      <c r="AN62" s="51">
        <f t="shared" si="97"/>
        <v>0</v>
      </c>
      <c r="AO62" s="51">
        <f t="shared" si="98"/>
        <v>0</v>
      </c>
      <c r="AP62" s="47" t="e">
        <f t="shared" si="112"/>
        <v>#DIV/0!</v>
      </c>
      <c r="AQ62" s="63">
        <f t="shared" si="130"/>
        <v>0</v>
      </c>
      <c r="AR62" s="49">
        <f t="shared" si="99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30"/>
        <v>46233</v>
      </c>
      <c r="C63" s="23" t="s">
        <v>55</v>
      </c>
      <c r="D63" s="50">
        <f t="shared" si="166"/>
        <v>0</v>
      </c>
      <c r="E63" s="34">
        <f t="shared" si="167"/>
        <v>0</v>
      </c>
      <c r="F63" s="34">
        <f t="shared" si="168"/>
        <v>0</v>
      </c>
      <c r="G63" s="34">
        <f t="shared" si="15"/>
        <v>0</v>
      </c>
      <c r="H63" s="44">
        <f t="shared" si="16"/>
        <v>0</v>
      </c>
      <c r="I63" s="26">
        <f t="shared" si="17"/>
        <v>0</v>
      </c>
      <c r="J63" s="122"/>
      <c r="K63" s="28"/>
      <c r="L63" s="32"/>
      <c r="M63" s="30"/>
      <c r="N63" s="61"/>
      <c r="O63" s="31"/>
      <c r="P63" s="28"/>
      <c r="Q63" s="32"/>
      <c r="R63" s="33">
        <f t="shared" si="107"/>
        <v>0</v>
      </c>
      <c r="S63" s="34">
        <f t="shared" si="108"/>
        <v>0</v>
      </c>
      <c r="T63" s="44">
        <f t="shared" si="109"/>
        <v>0</v>
      </c>
      <c r="U63" s="36"/>
      <c r="V63" s="37"/>
      <c r="W63" s="38"/>
      <c r="X63" s="39"/>
      <c r="Y63" s="40"/>
      <c r="Z63" s="40"/>
      <c r="AA63" s="34">
        <f t="shared" si="110"/>
        <v>0</v>
      </c>
      <c r="AB63" s="35">
        <f t="shared" si="111"/>
        <v>0</v>
      </c>
      <c r="AC63" s="310"/>
      <c r="AD63" s="42"/>
      <c r="AE63" s="42"/>
      <c r="AF63" s="34">
        <f t="shared" si="116"/>
        <v>0</v>
      </c>
      <c r="AG63" s="44">
        <f t="shared" si="117"/>
        <v>0</v>
      </c>
      <c r="AH63" s="43"/>
      <c r="AI63" s="38"/>
      <c r="AJ63" s="38"/>
      <c r="AK63" s="34">
        <f t="shared" si="124"/>
        <v>0</v>
      </c>
      <c r="AL63" s="35">
        <f t="shared" si="125"/>
        <v>0</v>
      </c>
      <c r="AM63" s="287">
        <f t="shared" si="100"/>
        <v>0</v>
      </c>
      <c r="AN63" s="51">
        <f t="shared" si="97"/>
        <v>0</v>
      </c>
      <c r="AO63" s="51">
        <f t="shared" si="98"/>
        <v>0</v>
      </c>
      <c r="AP63" s="47" t="e">
        <f t="shared" si="112"/>
        <v>#DIV/0!</v>
      </c>
      <c r="AQ63" s="63">
        <f t="shared" si="130"/>
        <v>0</v>
      </c>
      <c r="AR63" s="49">
        <f t="shared" si="99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30"/>
        <v>46234</v>
      </c>
      <c r="C64" s="23" t="s">
        <v>54</v>
      </c>
      <c r="D64" s="50"/>
      <c r="E64" s="34"/>
      <c r="F64" s="34"/>
      <c r="G64" s="34">
        <f t="shared" ref="G64" si="173">+D64*E64%</f>
        <v>0</v>
      </c>
      <c r="H64" s="44">
        <f t="shared" si="16"/>
        <v>0</v>
      </c>
      <c r="I64" s="26">
        <f t="shared" si="17"/>
        <v>0</v>
      </c>
      <c r="J64" s="122"/>
      <c r="K64" s="28"/>
      <c r="L64" s="32"/>
      <c r="M64" s="30"/>
      <c r="N64" s="61"/>
      <c r="O64" s="31"/>
      <c r="P64" s="28"/>
      <c r="Q64" s="32"/>
      <c r="R64" s="33">
        <f t="shared" si="107"/>
        <v>0</v>
      </c>
      <c r="S64" s="34">
        <f t="shared" si="108"/>
        <v>0</v>
      </c>
      <c r="T64" s="44">
        <f t="shared" si="109"/>
        <v>0</v>
      </c>
      <c r="U64" s="36"/>
      <c r="V64" s="37"/>
      <c r="W64" s="38"/>
      <c r="X64" s="39"/>
      <c r="Y64" s="40"/>
      <c r="Z64" s="40"/>
      <c r="AA64" s="34">
        <f t="shared" si="110"/>
        <v>0</v>
      </c>
      <c r="AB64" s="35">
        <f t="shared" si="111"/>
        <v>0</v>
      </c>
      <c r="AC64" s="310"/>
      <c r="AD64" s="42"/>
      <c r="AE64" s="42"/>
      <c r="AF64" s="34">
        <f t="shared" si="116"/>
        <v>0</v>
      </c>
      <c r="AG64" s="44">
        <f t="shared" si="117"/>
        <v>0</v>
      </c>
      <c r="AH64" s="43"/>
      <c r="AI64" s="38"/>
      <c r="AJ64" s="38"/>
      <c r="AK64" s="34">
        <f t="shared" si="124"/>
        <v>0</v>
      </c>
      <c r="AL64" s="35">
        <f t="shared" si="125"/>
        <v>0</v>
      </c>
      <c r="AM64" s="287">
        <f t="shared" si="100"/>
        <v>0</v>
      </c>
      <c r="AN64" s="51">
        <f t="shared" si="97"/>
        <v>0</v>
      </c>
      <c r="AO64" s="51">
        <f t="shared" si="98"/>
        <v>0</v>
      </c>
      <c r="AP64" s="47" t="e">
        <f t="shared" si="112"/>
        <v>#DIV/0!</v>
      </c>
      <c r="AQ64" s="63">
        <f t="shared" si="130"/>
        <v>0</v>
      </c>
      <c r="AR64" s="49">
        <f t="shared" si="99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0"/>
        <v>46234</v>
      </c>
      <c r="C65" s="23" t="s">
        <v>55</v>
      </c>
      <c r="D65" s="50">
        <f t="shared" si="166"/>
        <v>0</v>
      </c>
      <c r="E65" s="34">
        <f t="shared" si="167"/>
        <v>0</v>
      </c>
      <c r="F65" s="34">
        <f t="shared" si="168"/>
        <v>0</v>
      </c>
      <c r="G65" s="34">
        <f t="shared" ref="G65" si="174">+D65*E65%</f>
        <v>0</v>
      </c>
      <c r="H65" s="44">
        <f t="shared" ref="H65" si="175">+D65*F65%</f>
        <v>0</v>
      </c>
      <c r="I65" s="26">
        <f t="shared" si="17"/>
        <v>0</v>
      </c>
      <c r="J65" s="122"/>
      <c r="K65" s="28"/>
      <c r="L65" s="32"/>
      <c r="M65" s="30"/>
      <c r="N65" s="61"/>
      <c r="O65" s="31"/>
      <c r="P65" s="28"/>
      <c r="Q65" s="32"/>
      <c r="R65" s="33">
        <f t="shared" si="107"/>
        <v>0</v>
      </c>
      <c r="S65" s="34">
        <f t="shared" si="108"/>
        <v>0</v>
      </c>
      <c r="T65" s="34">
        <f t="shared" si="109"/>
        <v>0</v>
      </c>
      <c r="U65" s="37"/>
      <c r="V65" s="37"/>
      <c r="W65" s="38"/>
      <c r="X65" s="39"/>
      <c r="Y65" s="40"/>
      <c r="Z65" s="40"/>
      <c r="AA65" s="34">
        <f t="shared" si="110"/>
        <v>0</v>
      </c>
      <c r="AB65" s="35">
        <f t="shared" si="111"/>
        <v>0</v>
      </c>
      <c r="AC65" s="310"/>
      <c r="AD65" s="42"/>
      <c r="AE65" s="42"/>
      <c r="AF65" s="34">
        <f t="shared" si="116"/>
        <v>0</v>
      </c>
      <c r="AG65" s="44">
        <f t="shared" si="117"/>
        <v>0</v>
      </c>
      <c r="AH65" s="43"/>
      <c r="AI65" s="38"/>
      <c r="AJ65" s="38"/>
      <c r="AK65" s="34">
        <f t="shared" si="124"/>
        <v>0</v>
      </c>
      <c r="AL65" s="35">
        <f t="shared" si="125"/>
        <v>0</v>
      </c>
      <c r="AM65" s="287">
        <f t="shared" si="100"/>
        <v>0</v>
      </c>
      <c r="AN65" s="51">
        <f t="shared" si="97"/>
        <v>0</v>
      </c>
      <c r="AO65" s="51">
        <f t="shared" si="98"/>
        <v>0</v>
      </c>
      <c r="AP65" s="47" t="e">
        <f t="shared" si="112"/>
        <v>#DIV/0!</v>
      </c>
      <c r="AQ65" s="63">
        <f t="shared" si="130"/>
        <v>0</v>
      </c>
      <c r="AR65" s="49">
        <f t="shared" si="99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11895.706899999997</v>
      </c>
      <c r="K66">
        <f>SUMPRODUCT(J4:J65,K4:K65)/J66</f>
        <v>3.8864062798991812</v>
      </c>
      <c r="L66">
        <f>SUMPRODUCT(J4:J65,L4:L65)/J66</f>
        <v>8.4821239164862092</v>
      </c>
      <c r="O66" s="49">
        <f>SUM(O15:O65)</f>
        <v>0</v>
      </c>
      <c r="X66" s="49">
        <f>SUM(X6:X65)</f>
        <v>4540</v>
      </c>
      <c r="AC66" s="152">
        <f>SUM(AC6:AC65)</f>
        <v>4510</v>
      </c>
      <c r="AM66" s="55">
        <f>-SUM(AM4:AM65)</f>
        <v>-27.996899999998277</v>
      </c>
      <c r="AN66" s="55">
        <f>-SUM(AN4:AN65)</f>
        <v>-10.474123000000063</v>
      </c>
      <c r="AO66" s="55">
        <f>-SUM(AO4:AO65)</f>
        <v>-6.7526209999999764</v>
      </c>
      <c r="AQ66" s="55">
        <f>-SUM(AQ4:AQ65)</f>
        <v>-6739.1416500000214</v>
      </c>
    </row>
    <row r="67" spans="2:49" x14ac:dyDescent="0.25">
      <c r="J67" s="49">
        <f>J66</f>
        <v>11895.706899999997</v>
      </c>
      <c r="K67">
        <f>J67*K66%</f>
        <v>462.31550000000016</v>
      </c>
      <c r="L67" s="49">
        <f>J67*L66%</f>
        <v>1009.0086</v>
      </c>
    </row>
    <row r="68" spans="2:49" x14ac:dyDescent="0.25">
      <c r="J68" s="259"/>
      <c r="V68">
        <v>4340</v>
      </c>
    </row>
    <row r="69" spans="2:49" x14ac:dyDescent="0.25">
      <c r="J69" s="259"/>
      <c r="V69">
        <v>5500</v>
      </c>
    </row>
    <row r="75" spans="2:49" x14ac:dyDescent="0.25">
      <c r="W75" s="268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6" priority="1" operator="lessThan">
      <formula>0.1</formula>
    </cfRule>
    <cfRule type="cellIs" dxfId="45" priority="2" operator="greaterThan">
      <formula>0.1</formula>
    </cfRule>
  </conditionalFormatting>
  <conditionalFormatting sqref="AP1:AQ1">
    <cfRule type="cellIs" dxfId="44" priority="13" operator="lessThan">
      <formula>1</formula>
    </cfRule>
  </conditionalFormatting>
  <conditionalFormatting sqref="AQ4:AQ65">
    <cfRule type="cellIs" dxfId="43" priority="9" operator="lessThan">
      <formula>0</formula>
    </cfRule>
    <cfRule type="cellIs" dxfId="42" priority="10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AB15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17" sqref="X17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21" width="8.28515625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86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/>
      <c r="L3" s="86"/>
      <c r="M3" s="87"/>
      <c r="N3" s="87"/>
      <c r="O3" s="102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102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100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/>
      <c r="L6" s="86"/>
      <c r="M6" s="87"/>
      <c r="N6" s="102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102"/>
      <c r="O7" s="77"/>
      <c r="P7" s="89">
        <f>V7</f>
        <v>0</v>
      </c>
      <c r="Q7" s="79">
        <v>0</v>
      </c>
      <c r="R7" s="80">
        <v>0</v>
      </c>
      <c r="S7" s="80">
        <v>0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102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86">
        <v>0</v>
      </c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>
        <v>0</v>
      </c>
      <c r="K9" s="86"/>
      <c r="L9" s="86"/>
      <c r="M9" s="87"/>
      <c r="N9" s="102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102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102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102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102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102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>
        <v>0</v>
      </c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>
        <v>0</v>
      </c>
      <c r="K15" s="86"/>
      <c r="L15" s="86"/>
      <c r="M15" s="87"/>
      <c r="N15" s="102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102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10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>
        <v>0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86"/>
      <c r="L18" s="86"/>
      <c r="M18" s="87"/>
      <c r="N18" s="102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102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10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>
        <v>0</v>
      </c>
      <c r="E21" s="86">
        <v>0</v>
      </c>
      <c r="F21" s="86">
        <v>0</v>
      </c>
      <c r="G21" s="86">
        <v>0</v>
      </c>
      <c r="H21" s="86">
        <v>0</v>
      </c>
      <c r="I21" s="86">
        <v>0</v>
      </c>
      <c r="J21" s="86">
        <v>0</v>
      </c>
      <c r="K21" s="86"/>
      <c r="L21" s="86"/>
      <c r="M21" s="87"/>
      <c r="N21" s="102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102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10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/>
      <c r="L24" s="86"/>
      <c r="M24" s="87"/>
      <c r="N24" s="102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100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10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86">
        <v>0</v>
      </c>
      <c r="E27" s="86">
        <v>0</v>
      </c>
      <c r="F27" s="86">
        <v>0</v>
      </c>
      <c r="G27" s="86">
        <v>0</v>
      </c>
      <c r="H27" s="94">
        <v>0</v>
      </c>
      <c r="I27" s="94">
        <v>0</v>
      </c>
      <c r="J27" s="94">
        <v>0</v>
      </c>
      <c r="K27" s="86"/>
      <c r="L27" s="86"/>
      <c r="M27" s="87"/>
      <c r="N27" s="102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5"/>
      <c r="W27" s="96"/>
      <c r="X27" s="97"/>
      <c r="Y27" s="97"/>
      <c r="Z27" s="97"/>
      <c r="AA27" s="97"/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94"/>
      <c r="I28" s="94"/>
      <c r="J28" s="94"/>
      <c r="K28" s="86"/>
      <c r="L28" s="86"/>
      <c r="M28" s="87"/>
      <c r="N28" s="100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5"/>
      <c r="W28" s="96"/>
      <c r="X28" s="97"/>
      <c r="Y28" s="97"/>
      <c r="Z28" s="97"/>
      <c r="AA28" s="97"/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10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>
        <v>0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/>
      <c r="L30" s="86"/>
      <c r="M30" s="87"/>
      <c r="N30" s="102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102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>
        <v>0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/>
      <c r="L33" s="86"/>
      <c r="M33" s="87"/>
      <c r="N33" s="102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102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/>
      <c r="L36" s="86"/>
      <c r="M36" s="87"/>
      <c r="N36" s="102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102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>
        <v>0</v>
      </c>
      <c r="E39" s="86">
        <v>0</v>
      </c>
      <c r="F39" s="86">
        <v>0</v>
      </c>
      <c r="G39" s="86">
        <v>0</v>
      </c>
      <c r="H39" s="86">
        <v>0</v>
      </c>
      <c r="I39" s="86">
        <v>0</v>
      </c>
      <c r="J39" s="86">
        <v>0</v>
      </c>
      <c r="K39" s="86"/>
      <c r="L39" s="86"/>
      <c r="M39" s="87"/>
      <c r="N39" s="102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98">
        <v>0</v>
      </c>
      <c r="E42" s="86">
        <v>0</v>
      </c>
      <c r="F42" s="86">
        <v>0</v>
      </c>
      <c r="G42" s="86">
        <v>0</v>
      </c>
      <c r="H42" s="86">
        <v>0</v>
      </c>
      <c r="I42" s="86">
        <v>0</v>
      </c>
      <c r="J42" s="86">
        <v>0</v>
      </c>
      <c r="K42" s="86"/>
      <c r="L42" s="86"/>
      <c r="M42" s="87"/>
      <c r="N42" s="102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101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102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/>
      <c r="L45" s="86"/>
      <c r="M45" s="87"/>
      <c r="N45" s="102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28" x14ac:dyDescent="0.25">
      <c r="A48" s="83"/>
      <c r="B48" s="84" t="s">
        <v>73</v>
      </c>
      <c r="C48" s="85"/>
      <c r="D48" s="86">
        <v>0</v>
      </c>
      <c r="E48" s="86">
        <v>0</v>
      </c>
      <c r="F48" s="86">
        <v>0</v>
      </c>
      <c r="G48" s="86">
        <v>0</v>
      </c>
      <c r="H48" s="86">
        <v>0</v>
      </c>
      <c r="I48" s="86">
        <v>0</v>
      </c>
      <c r="J48" s="86">
        <v>0</v>
      </c>
      <c r="K48" s="86"/>
      <c r="L48" s="86"/>
      <c r="M48" s="87"/>
      <c r="N48" s="102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86"/>
      <c r="I50" s="86"/>
      <c r="J50" s="86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0"/>
      <c r="W50" s="91"/>
      <c r="X50" s="92"/>
      <c r="Y50" s="92"/>
      <c r="Z50" s="92"/>
      <c r="AA50" s="92"/>
      <c r="AB50" s="93"/>
    </row>
    <row r="51" spans="1:28" x14ac:dyDescent="0.25">
      <c r="A51" s="83"/>
      <c r="B51" s="84" t="s">
        <v>73</v>
      </c>
      <c r="C51" s="85"/>
      <c r="D51" s="86">
        <v>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/>
      <c r="L51" s="86"/>
      <c r="M51" s="87"/>
      <c r="N51" s="102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102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>
        <v>0</v>
      </c>
      <c r="E54" s="86">
        <v>0</v>
      </c>
      <c r="F54" s="86">
        <v>0</v>
      </c>
      <c r="G54" s="86">
        <v>0</v>
      </c>
      <c r="H54" s="86">
        <v>0</v>
      </c>
      <c r="I54" s="86">
        <v>0</v>
      </c>
      <c r="J54" s="86">
        <v>0</v>
      </c>
      <c r="K54" s="86"/>
      <c r="L54" s="86"/>
      <c r="M54" s="87"/>
      <c r="N54" s="102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0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>
        <v>0</v>
      </c>
      <c r="E57" s="86">
        <v>0</v>
      </c>
      <c r="F57" s="86">
        <v>0</v>
      </c>
      <c r="G57" s="86">
        <v>0</v>
      </c>
      <c r="H57" s="86">
        <v>0</v>
      </c>
      <c r="I57" s="86">
        <v>0</v>
      </c>
      <c r="J57" s="86">
        <v>0</v>
      </c>
      <c r="K57" s="86"/>
      <c r="L57" s="86"/>
      <c r="M57" s="87"/>
      <c r="N57" s="102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/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98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/>
      <c r="L60" s="86"/>
      <c r="M60" s="87"/>
      <c r="N60" s="102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86">
        <v>0</v>
      </c>
      <c r="E63" s="86">
        <v>0</v>
      </c>
      <c r="F63" s="86">
        <v>0</v>
      </c>
      <c r="G63" s="86">
        <v>0</v>
      </c>
      <c r="H63" s="86">
        <v>0</v>
      </c>
      <c r="I63" s="86">
        <v>0</v>
      </c>
      <c r="J63" s="86">
        <v>0</v>
      </c>
      <c r="K63" s="86"/>
      <c r="L63" s="86"/>
      <c r="M63" s="87"/>
      <c r="N63" s="102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102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>
        <v>0</v>
      </c>
      <c r="E66" s="86">
        <v>0</v>
      </c>
      <c r="F66" s="86">
        <v>0</v>
      </c>
      <c r="G66" s="86">
        <v>0</v>
      </c>
      <c r="H66" s="86">
        <v>0</v>
      </c>
      <c r="I66" s="86">
        <v>0</v>
      </c>
      <c r="J66" s="86">
        <v>0</v>
      </c>
      <c r="K66" s="86"/>
      <c r="L66" s="86"/>
      <c r="M66" s="87"/>
      <c r="N66" s="102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>
        <v>0</v>
      </c>
      <c r="E69" s="86">
        <v>0</v>
      </c>
      <c r="F69" s="86">
        <v>0</v>
      </c>
      <c r="G69" s="86">
        <v>0</v>
      </c>
      <c r="H69" s="94">
        <v>0</v>
      </c>
      <c r="I69" s="94">
        <v>0</v>
      </c>
      <c r="J69" s="94">
        <v>0</v>
      </c>
      <c r="K69" s="86"/>
      <c r="L69" s="86"/>
      <c r="M69" s="87"/>
      <c r="N69" s="102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5"/>
      <c r="W69" s="96"/>
      <c r="X69" s="97"/>
      <c r="Y69" s="97"/>
      <c r="Z69" s="97"/>
      <c r="AA69" s="97"/>
      <c r="AB69" s="93" t="s">
        <v>74</v>
      </c>
    </row>
    <row r="70" spans="1:28" x14ac:dyDescent="0.25">
      <c r="A70" s="225"/>
      <c r="B70" s="84" t="s">
        <v>75</v>
      </c>
      <c r="C70" s="85"/>
      <c r="D70" s="86"/>
      <c r="E70" s="86"/>
      <c r="F70" s="86"/>
      <c r="G70" s="86"/>
      <c r="H70" s="94"/>
      <c r="I70" s="94"/>
      <c r="J70" s="94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5"/>
      <c r="W70" s="96"/>
      <c r="X70" s="97"/>
      <c r="Y70" s="97"/>
      <c r="Z70" s="97"/>
      <c r="AA70" s="97"/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86">
        <v>0</v>
      </c>
      <c r="E72" s="86">
        <v>0</v>
      </c>
      <c r="F72" s="86">
        <v>0</v>
      </c>
      <c r="G72" s="86">
        <v>0</v>
      </c>
      <c r="H72" s="94">
        <v>0</v>
      </c>
      <c r="I72" s="94">
        <v>0</v>
      </c>
      <c r="J72" s="94">
        <v>0</v>
      </c>
      <c r="K72" s="86"/>
      <c r="L72" s="86"/>
      <c r="M72" s="87"/>
      <c r="N72" s="80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5"/>
      <c r="W72" s="96"/>
      <c r="X72" s="97"/>
      <c r="Y72" s="97"/>
      <c r="Z72" s="97"/>
      <c r="AA72" s="97"/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94"/>
      <c r="I73" s="94"/>
      <c r="J73" s="94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5"/>
      <c r="W73" s="96"/>
      <c r="X73" s="97"/>
      <c r="Y73" s="97"/>
      <c r="Z73" s="97"/>
      <c r="AA73" s="97"/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>
        <v>0</v>
      </c>
      <c r="E75" s="86">
        <v>0</v>
      </c>
      <c r="F75" s="86">
        <v>0</v>
      </c>
      <c r="G75" s="86">
        <v>0</v>
      </c>
      <c r="H75" s="86">
        <v>0</v>
      </c>
      <c r="I75" s="86">
        <v>0</v>
      </c>
      <c r="J75" s="86">
        <v>0</v>
      </c>
      <c r="K75" s="86"/>
      <c r="L75" s="86"/>
      <c r="M75" s="87"/>
      <c r="N75" s="80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86"/>
      <c r="I77" s="86"/>
      <c r="J77" s="86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73</v>
      </c>
      <c r="C78" s="85"/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/>
      <c r="L78" s="86"/>
      <c r="M78" s="87"/>
      <c r="N78" s="80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73</v>
      </c>
      <c r="C81" s="85"/>
      <c r="D81" s="86">
        <v>0</v>
      </c>
      <c r="E81" s="86">
        <v>0</v>
      </c>
      <c r="F81" s="86">
        <v>0</v>
      </c>
      <c r="G81" s="86">
        <v>0</v>
      </c>
      <c r="H81" s="94">
        <v>0</v>
      </c>
      <c r="I81" s="94">
        <v>0</v>
      </c>
      <c r="J81" s="94">
        <v>0</v>
      </c>
      <c r="K81" s="86"/>
      <c r="L81" s="86"/>
      <c r="M81" s="87"/>
      <c r="N81" s="80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5"/>
      <c r="W81" s="96"/>
      <c r="X81" s="97"/>
      <c r="Y81" s="97"/>
      <c r="Z81" s="97"/>
      <c r="AA81" s="97"/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94"/>
      <c r="I82" s="94"/>
      <c r="J82" s="94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5"/>
      <c r="W82" s="96"/>
      <c r="X82" s="97"/>
      <c r="Y82" s="97"/>
      <c r="Z82" s="97"/>
      <c r="AA82" s="97"/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/>
      <c r="L84" s="86"/>
      <c r="M84" s="87"/>
      <c r="N84" s="80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73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0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0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86"/>
      <c r="I92" s="86"/>
      <c r="J92" s="86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0"/>
      <c r="W92" s="91"/>
      <c r="X92" s="92"/>
      <c r="Y92" s="92"/>
      <c r="Z92" s="92"/>
      <c r="AA92" s="92"/>
      <c r="AB92" s="93"/>
    </row>
    <row r="93" spans="1:28" x14ac:dyDescent="0.25">
      <c r="A93" s="83"/>
      <c r="B93" s="84" t="s">
        <v>73</v>
      </c>
      <c r="C93" s="85"/>
      <c r="D93" s="98"/>
      <c r="E93" s="86"/>
      <c r="F93" s="86"/>
      <c r="G93" s="86"/>
      <c r="H93" s="86"/>
      <c r="I93" s="86"/>
      <c r="J93" s="86"/>
      <c r="K93" s="86"/>
      <c r="L93" s="86"/>
      <c r="M93" s="87"/>
      <c r="N93" s="80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98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>
        <f>V94</f>
        <v>0</v>
      </c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8"/>
      <c r="O95" s="77"/>
      <c r="P95" s="89"/>
      <c r="Q95" s="79"/>
      <c r="R95" s="80"/>
      <c r="S95" s="80"/>
      <c r="T95" s="80"/>
      <c r="U95" s="80"/>
      <c r="V95" s="90"/>
      <c r="W95" s="91"/>
      <c r="X95" s="92"/>
      <c r="Y95" s="92"/>
      <c r="Z95" s="92"/>
      <c r="AA95" s="92"/>
      <c r="AB95" s="93"/>
    </row>
    <row r="96" spans="1:28" x14ac:dyDescent="0.25">
      <c r="A96" s="83"/>
      <c r="B96" s="84" t="s">
        <v>76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0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77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0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>
        <f>V100</f>
        <v>0</v>
      </c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>
        <f>V103</f>
        <v>0</v>
      </c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77</v>
      </c>
      <c r="C105" s="85"/>
      <c r="D105" s="98"/>
      <c r="E105" s="86"/>
      <c r="F105" s="86"/>
      <c r="G105" s="86"/>
      <c r="H105" s="86"/>
      <c r="I105" s="86"/>
      <c r="J105" s="86"/>
      <c r="K105" s="86"/>
      <c r="L105" s="86"/>
      <c r="M105" s="87"/>
      <c r="N105" s="80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8"/>
      <c r="O106" s="77"/>
      <c r="P106" s="89">
        <f>V106</f>
        <v>0</v>
      </c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73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73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73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0"/>
      <c r="W126" s="91"/>
      <c r="X126" s="92"/>
      <c r="Y126" s="92"/>
      <c r="Z126" s="92">
        <f>W126*X126%</f>
        <v>0</v>
      </c>
      <c r="AA126" s="92">
        <f>W126*Y126%</f>
        <v>0</v>
      </c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0"/>
      <c r="W127" s="91"/>
      <c r="X127" s="92"/>
      <c r="Y127" s="92"/>
      <c r="Z127" s="92">
        <f>W127*X127%</f>
        <v>0</v>
      </c>
      <c r="AA127" s="92">
        <f>W127*Y127%</f>
        <v>0</v>
      </c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0"/>
      <c r="W129" s="91"/>
      <c r="X129" s="92"/>
      <c r="Y129" s="92"/>
      <c r="Z129" s="92">
        <f>W129*X129%</f>
        <v>0</v>
      </c>
      <c r="AA129" s="92">
        <f>W129*Y129%</f>
        <v>0</v>
      </c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0"/>
      <c r="W130" s="91"/>
      <c r="X130" s="92"/>
      <c r="Y130" s="92"/>
      <c r="Z130" s="92">
        <f>W130*X130%</f>
        <v>0</v>
      </c>
      <c r="AA130" s="92">
        <f>W130*Y130%</f>
        <v>0</v>
      </c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86"/>
      <c r="L131" s="86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86">
        <f t="shared" ref="K134:K137" si="0">H134*I134%</f>
        <v>0</v>
      </c>
      <c r="L134" s="86">
        <f t="shared" ref="L134:L137" si="1">H134*J134%</f>
        <v>0</v>
      </c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>
        <f t="shared" si="0"/>
        <v>0</v>
      </c>
      <c r="L135" s="86">
        <f t="shared" si="1"/>
        <v>0</v>
      </c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>
        <f t="shared" si="0"/>
        <v>0</v>
      </c>
      <c r="L136" s="86">
        <f t="shared" si="1"/>
        <v>0</v>
      </c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86">
        <f t="shared" si="0"/>
        <v>0</v>
      </c>
      <c r="L137" s="86">
        <f t="shared" si="1"/>
        <v>0</v>
      </c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  <c r="AB137" s="93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  <c r="AB139" s="93"/>
    </row>
    <row r="140" spans="1:28" x14ac:dyDescent="0.25">
      <c r="A140" s="83"/>
      <c r="B140" s="84"/>
      <c r="C140" s="85"/>
      <c r="D140" s="86"/>
      <c r="E140" s="86"/>
      <c r="F140" s="86"/>
      <c r="G140" s="86"/>
      <c r="H140" s="86"/>
      <c r="I140" s="86"/>
      <c r="J140" s="86"/>
      <c r="K140" s="86"/>
      <c r="L140" s="86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  <c r="AB140" s="93"/>
    </row>
    <row r="141" spans="1:28" x14ac:dyDescent="0.25">
      <c r="A141" s="83"/>
      <c r="B141" s="84" t="s">
        <v>76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  <c r="AB142" s="93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  <c r="AB143" s="93"/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/>
      <c r="Q144" s="79"/>
      <c r="R144" s="80"/>
      <c r="S144" s="80"/>
      <c r="T144" s="80"/>
      <c r="U144" s="80"/>
      <c r="V144" s="95"/>
      <c r="W144" s="96"/>
      <c r="X144" s="97"/>
      <c r="Y144" s="97"/>
      <c r="Z144" s="97"/>
      <c r="AA144" s="97"/>
      <c r="AB144" s="93" t="s">
        <v>74</v>
      </c>
    </row>
    <row r="145" spans="1:28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0"/>
      <c r="O145" s="77"/>
      <c r="P145" s="89"/>
      <c r="Q145" s="79"/>
      <c r="R145" s="80"/>
      <c r="S145" s="80"/>
      <c r="T145" s="80"/>
      <c r="U145" s="80"/>
      <c r="V145" s="95"/>
      <c r="W145" s="96"/>
      <c r="X145" s="97"/>
      <c r="Y145" s="97"/>
      <c r="Z145" s="97"/>
      <c r="AA145" s="97"/>
      <c r="AB145" s="93" t="s">
        <v>74</v>
      </c>
    </row>
    <row r="146" spans="1:28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94"/>
      <c r="L146" s="94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  <c r="AB146" s="93"/>
    </row>
    <row r="147" spans="1:28" x14ac:dyDescent="0.25">
      <c r="A147" s="83"/>
      <c r="B147" s="84" t="s">
        <v>76</v>
      </c>
      <c r="C147" s="85"/>
      <c r="D147" s="86"/>
      <c r="E147" s="86"/>
      <c r="F147" s="86"/>
      <c r="G147" s="86"/>
      <c r="H147" s="86"/>
      <c r="I147" s="86"/>
      <c r="J147" s="86"/>
      <c r="K147" s="86"/>
      <c r="L147" s="86"/>
      <c r="M147" s="87"/>
      <c r="N147" s="88"/>
      <c r="O147" s="77"/>
      <c r="P147" s="89"/>
      <c r="Q147" s="79"/>
      <c r="R147" s="80"/>
      <c r="S147" s="80"/>
      <c r="T147" s="80"/>
      <c r="U147" s="80"/>
      <c r="V147" s="95"/>
      <c r="W147" s="96"/>
      <c r="X147" s="97"/>
      <c r="Y147" s="97"/>
      <c r="Z147" s="97"/>
      <c r="AA147" s="97"/>
      <c r="AB147" s="93" t="s">
        <v>74</v>
      </c>
    </row>
    <row r="148" spans="1:28" x14ac:dyDescent="0.25">
      <c r="A148" s="83"/>
      <c r="B148" s="84" t="s">
        <v>75</v>
      </c>
      <c r="C148" s="85"/>
      <c r="D148" s="86"/>
      <c r="E148" s="86"/>
      <c r="F148" s="86"/>
      <c r="G148" s="86"/>
      <c r="H148" s="86"/>
      <c r="I148" s="86"/>
      <c r="J148" s="86"/>
      <c r="K148" s="86"/>
      <c r="L148" s="86"/>
      <c r="M148" s="87"/>
      <c r="N148" s="80"/>
      <c r="O148" s="77"/>
      <c r="P148" s="89"/>
      <c r="Q148" s="79"/>
      <c r="R148" s="80"/>
      <c r="S148" s="80"/>
      <c r="T148" s="80"/>
      <c r="U148" s="80"/>
      <c r="V148" s="95"/>
      <c r="W148" s="96"/>
      <c r="X148" s="97"/>
      <c r="Y148" s="97"/>
      <c r="Z148" s="97"/>
      <c r="AA148" s="97"/>
      <c r="AB148" s="93" t="s">
        <v>74</v>
      </c>
    </row>
    <row r="149" spans="1:28" x14ac:dyDescent="0.25">
      <c r="A149" s="83"/>
      <c r="B149" s="84"/>
      <c r="C149" s="85"/>
      <c r="D149" s="86"/>
      <c r="E149" s="86"/>
      <c r="F149" s="86"/>
      <c r="G149" s="86"/>
      <c r="H149" s="94"/>
      <c r="I149" s="94"/>
      <c r="J149" s="94"/>
      <c r="K149" s="94"/>
      <c r="L149" s="94"/>
      <c r="M149" s="87"/>
      <c r="N149" s="80"/>
      <c r="O149" s="77"/>
      <c r="P149" s="89"/>
      <c r="Q149" s="79"/>
      <c r="R149" s="80"/>
      <c r="S149" s="80"/>
      <c r="T149" s="80"/>
      <c r="U149" s="80"/>
      <c r="V149" s="95"/>
      <c r="W149" s="96"/>
      <c r="X149" s="97"/>
      <c r="Y149" s="97"/>
      <c r="Z149" s="97"/>
      <c r="AA149" s="97"/>
    </row>
    <row r="150" spans="1:28" x14ac:dyDescent="0.25">
      <c r="A150" s="83"/>
      <c r="B150" s="84" t="s">
        <v>76</v>
      </c>
      <c r="C150" s="85"/>
      <c r="D150" s="86"/>
      <c r="E150" s="86"/>
      <c r="F150" s="86"/>
      <c r="G150" s="86"/>
      <c r="H150" s="86"/>
      <c r="I150" s="86"/>
      <c r="J150" s="86"/>
      <c r="K150" s="86"/>
      <c r="L150" s="86"/>
      <c r="M150" s="87"/>
      <c r="N150" s="88"/>
      <c r="O150" s="77"/>
      <c r="P150" s="89"/>
      <c r="Q150" s="79"/>
      <c r="R150" s="80"/>
      <c r="S150" s="80"/>
      <c r="T150" s="80"/>
      <c r="U150" s="80"/>
      <c r="V150" s="95"/>
      <c r="W150" s="96"/>
      <c r="X150" s="97"/>
      <c r="Y150" s="97"/>
      <c r="Z150" s="97"/>
      <c r="AA150" s="97"/>
    </row>
    <row r="151" spans="1:28" x14ac:dyDescent="0.25">
      <c r="A151" s="83"/>
      <c r="B151" s="84" t="s">
        <v>75</v>
      </c>
      <c r="C151" s="85"/>
      <c r="D151" s="86"/>
      <c r="E151" s="86"/>
      <c r="F151" s="86"/>
      <c r="G151" s="86"/>
      <c r="H151" s="86"/>
      <c r="I151" s="86"/>
      <c r="J151" s="86"/>
      <c r="K151" s="86"/>
      <c r="L151" s="86"/>
      <c r="M151" s="87"/>
      <c r="N151" s="80"/>
      <c r="O151" s="77"/>
      <c r="P151" s="89"/>
      <c r="Q151" s="79"/>
      <c r="R151" s="80"/>
      <c r="S151" s="80"/>
      <c r="T151" s="80"/>
      <c r="U151" s="80"/>
      <c r="V151" s="95"/>
      <c r="W151" s="96"/>
      <c r="X151" s="97"/>
      <c r="Y151" s="97"/>
      <c r="Z151" s="97"/>
      <c r="AA151" s="97"/>
      <c r="AB151" s="93" t="s">
        <v>74</v>
      </c>
    </row>
    <row r="152" spans="1:28" x14ac:dyDescent="0.25">
      <c r="A152" s="83"/>
      <c r="B152" s="84"/>
      <c r="C152" s="85"/>
      <c r="D152" s="86"/>
      <c r="E152" s="86"/>
      <c r="F152" s="86"/>
      <c r="G152" s="86"/>
      <c r="H152" s="94"/>
      <c r="I152" s="94"/>
      <c r="J152" s="94"/>
      <c r="K152" s="94"/>
      <c r="L152" s="94"/>
      <c r="M152" s="87"/>
      <c r="N152" s="80"/>
      <c r="O152" s="77"/>
      <c r="P152" s="89"/>
      <c r="Q152" s="79"/>
      <c r="R152" s="80"/>
      <c r="S152" s="80"/>
      <c r="T152" s="80"/>
      <c r="U152" s="80"/>
      <c r="V152" s="95"/>
      <c r="W152" s="96"/>
      <c r="X152" s="97"/>
      <c r="Y152" s="97"/>
      <c r="Z152" s="97"/>
      <c r="AA152" s="97"/>
      <c r="AB152" s="93"/>
    </row>
    <row r="153" spans="1:28" x14ac:dyDescent="0.25">
      <c r="A153" s="83"/>
      <c r="B153" s="84" t="s">
        <v>73</v>
      </c>
      <c r="C153" s="85"/>
      <c r="D153" s="86"/>
      <c r="E153" s="86"/>
      <c r="F153" s="86"/>
      <c r="G153" s="86"/>
      <c r="H153" s="86"/>
      <c r="I153" s="86"/>
      <c r="J153" s="86"/>
      <c r="K153" s="86"/>
      <c r="L153" s="86"/>
      <c r="M153" s="87"/>
      <c r="N153" s="88"/>
      <c r="O153" s="77"/>
      <c r="P153" s="89"/>
      <c r="Q153" s="79"/>
      <c r="R153" s="80"/>
      <c r="S153" s="80"/>
      <c r="T153" s="80"/>
      <c r="U153" s="80"/>
      <c r="V153" s="95"/>
      <c r="W153" s="96"/>
      <c r="X153" s="97"/>
      <c r="Y153" s="97"/>
      <c r="Z153" s="97"/>
      <c r="AA153" s="97"/>
      <c r="AB153" s="93" t="s">
        <v>74</v>
      </c>
    </row>
    <row r="154" spans="1:28" x14ac:dyDescent="0.25">
      <c r="A154" s="83"/>
      <c r="B154" s="84" t="s">
        <v>75</v>
      </c>
      <c r="C154" s="85"/>
      <c r="D154" s="86"/>
      <c r="E154" s="86"/>
      <c r="F154" s="86"/>
      <c r="G154" s="86"/>
      <c r="H154" s="86"/>
      <c r="I154" s="86"/>
      <c r="J154" s="86"/>
      <c r="K154" s="86"/>
      <c r="L154" s="86"/>
      <c r="M154" s="87"/>
      <c r="N154" s="80"/>
      <c r="O154" s="77"/>
      <c r="P154" s="89"/>
      <c r="Q154" s="79"/>
      <c r="R154" s="80"/>
      <c r="S154" s="80"/>
      <c r="T154" s="80"/>
      <c r="U154" s="80"/>
      <c r="V154" s="95"/>
      <c r="W154" s="96"/>
      <c r="X154" s="97"/>
      <c r="Y154" s="97"/>
      <c r="Z154" s="97"/>
      <c r="AA154" s="97"/>
    </row>
    <row r="155" spans="1:28" x14ac:dyDescent="0.25">
      <c r="A155" s="83"/>
      <c r="B155" s="84"/>
      <c r="C155" s="85"/>
      <c r="D155" s="86"/>
      <c r="E155" s="86"/>
      <c r="F155" s="86"/>
      <c r="G155" s="86"/>
      <c r="H155" s="94"/>
      <c r="I155" s="94"/>
      <c r="J155" s="94"/>
      <c r="K155" s="94"/>
      <c r="L155" s="94"/>
      <c r="M155" s="87"/>
      <c r="N155" s="80"/>
      <c r="O155" s="77"/>
      <c r="P155" s="89"/>
      <c r="Q155" s="79"/>
      <c r="R155" s="80"/>
      <c r="S155" s="80"/>
      <c r="T155" s="80"/>
      <c r="U155" s="80"/>
      <c r="V155" s="95"/>
      <c r="W155" s="96"/>
      <c r="X155" s="97"/>
      <c r="Y155" s="97"/>
      <c r="Z155" s="97"/>
      <c r="AA155" s="97"/>
    </row>
    <row r="156" spans="1:28" x14ac:dyDescent="0.25">
      <c r="A156" s="83"/>
      <c r="B156" s="84" t="s">
        <v>76</v>
      </c>
      <c r="C156" s="85"/>
      <c r="D156" s="86"/>
      <c r="E156" s="86"/>
      <c r="F156" s="86"/>
      <c r="G156" s="86"/>
      <c r="H156" s="86"/>
      <c r="I156" s="86"/>
      <c r="J156" s="86"/>
      <c r="K156" s="86"/>
      <c r="L156" s="86"/>
      <c r="M156" s="87"/>
      <c r="N156" s="88"/>
      <c r="O156" s="77"/>
      <c r="P156" s="89"/>
      <c r="Q156" s="79"/>
      <c r="R156" s="80"/>
      <c r="S156" s="80"/>
      <c r="T156" s="80"/>
      <c r="U156" s="80"/>
      <c r="V156" s="95"/>
      <c r="W156" s="96"/>
      <c r="X156" s="97"/>
      <c r="Y156" s="97"/>
      <c r="Z156" s="97"/>
      <c r="AA156" s="97"/>
    </row>
    <row r="157" spans="1:28" x14ac:dyDescent="0.25">
      <c r="A157" s="83"/>
      <c r="B157" s="84" t="s">
        <v>75</v>
      </c>
      <c r="C157" s="85"/>
      <c r="D157" s="86"/>
      <c r="E157" s="86"/>
      <c r="F157" s="86"/>
      <c r="G157" s="86"/>
      <c r="H157" s="86"/>
      <c r="I157" s="86"/>
      <c r="J157" s="86"/>
      <c r="K157" s="86"/>
      <c r="L157" s="86"/>
      <c r="M157" s="87"/>
      <c r="N157" s="80"/>
      <c r="O157" s="77"/>
      <c r="P157" s="89"/>
      <c r="Q157" s="79"/>
      <c r="R157" s="80"/>
      <c r="S157" s="80"/>
      <c r="T157" s="80"/>
      <c r="U157" s="80"/>
      <c r="V157" s="95"/>
      <c r="W157" s="96"/>
      <c r="X157" s="97"/>
      <c r="Y157" s="97"/>
      <c r="Z157" s="97"/>
      <c r="AA157" s="97"/>
    </row>
    <row r="158" spans="1:28" x14ac:dyDescent="0.25">
      <c r="A158" s="83"/>
      <c r="B158" s="84"/>
      <c r="C158" s="85"/>
      <c r="D158" s="86"/>
      <c r="E158" s="86"/>
      <c r="F158" s="86"/>
      <c r="G158" s="86"/>
      <c r="H158" s="94"/>
      <c r="I158" s="94"/>
      <c r="J158" s="94"/>
      <c r="K158" s="94"/>
      <c r="L158" s="94"/>
      <c r="M158" s="87"/>
      <c r="N158" s="80"/>
      <c r="O158" s="77"/>
      <c r="P158" s="89"/>
      <c r="Q158" s="79"/>
      <c r="R158" s="80"/>
      <c r="S158" s="80"/>
      <c r="T158" s="80"/>
      <c r="U158" s="80"/>
      <c r="V158" s="95"/>
      <c r="W158" s="96"/>
      <c r="X158" s="97"/>
      <c r="Y158" s="97"/>
      <c r="Z158" s="97"/>
      <c r="AA158" s="97"/>
    </row>
  </sheetData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W73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:L7"/>
    </sheetView>
  </sheetViews>
  <sheetFormatPr defaultRowHeight="15" x14ac:dyDescent="0.25"/>
  <cols>
    <col min="1" max="1" width="8.5703125" bestFit="1" customWidth="1"/>
    <col min="2" max="2" width="10.85546875" bestFit="1" customWidth="1"/>
    <col min="3" max="3" width="5" bestFit="1" customWidth="1"/>
    <col min="4" max="4" width="7.7109375" customWidth="1"/>
    <col min="5" max="6" width="5.28515625" customWidth="1"/>
    <col min="7" max="7" width="6.85546875" customWidth="1"/>
    <col min="8" max="9" width="7.140625" customWidth="1"/>
    <col min="10" max="10" width="11.7109375" customWidth="1"/>
    <col min="11" max="11" width="5.28515625" customWidth="1"/>
    <col min="12" max="12" width="7.140625" customWidth="1"/>
    <col min="13" max="13" width="9.140625" hidden="1" customWidth="1"/>
    <col min="14" max="14" width="11.85546875" hidden="1" customWidth="1"/>
    <col min="15" max="15" width="6.7109375" hidden="1" customWidth="1"/>
    <col min="16" max="17" width="5.28515625" hidden="1" customWidth="1"/>
    <col min="18" max="18" width="10.140625" customWidth="1"/>
    <col min="19" max="19" width="6.85546875" customWidth="1"/>
    <col min="20" max="20" width="7" customWidth="1"/>
    <col min="21" max="21" width="9.85546875" bestFit="1" customWidth="1"/>
    <col min="22" max="22" width="9.28515625" customWidth="1"/>
    <col min="23" max="23" width="10.85546875" customWidth="1"/>
    <col min="24" max="24" width="7.140625" customWidth="1"/>
    <col min="25" max="25" width="6" customWidth="1"/>
    <col min="26" max="26" width="5.28515625" customWidth="1"/>
    <col min="27" max="27" width="6.85546875" customWidth="1"/>
    <col min="28" max="28" width="7" customWidth="1"/>
    <col min="29" max="29" width="9.28515625" customWidth="1"/>
    <col min="30" max="31" width="5.28515625" customWidth="1"/>
    <col min="32" max="32" width="6.85546875" customWidth="1"/>
    <col min="33" max="33" width="7" customWidth="1"/>
    <col min="34" max="34" width="7.140625" customWidth="1"/>
    <col min="35" max="36" width="5.28515625" customWidth="1"/>
    <col min="37" max="37" width="6.85546875" customWidth="1"/>
    <col min="38" max="38" width="7.140625" customWidth="1"/>
    <col min="39" max="39" width="8.14062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" bestFit="1" customWidth="1"/>
    <col min="44" max="44" width="3.85546875" bestFit="1" customWidth="1"/>
    <col min="45" max="49" width="8.7109375" bestFit="1" customWidth="1"/>
  </cols>
  <sheetData>
    <row r="1" spans="1:49" ht="15.75" thickBot="1" x14ac:dyDescent="0.3">
      <c r="B1" s="14" t="s">
        <v>56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  <c r="AT2">
        <f>2907+1030</f>
        <v>3937</v>
      </c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  <c r="AT3">
        <f>3937-747</f>
        <v>3190</v>
      </c>
    </row>
    <row r="4" spans="1:49" x14ac:dyDescent="0.25">
      <c r="A4" t="str">
        <f>CONCATENATE(B4,C4)</f>
        <v>46204M</v>
      </c>
      <c r="B4" s="22">
        <v>46204</v>
      </c>
      <c r="C4" s="23" t="s">
        <v>54</v>
      </c>
      <c r="D4" s="62">
        <v>1587</v>
      </c>
      <c r="E4" s="38">
        <v>3.87</v>
      </c>
      <c r="F4" s="38">
        <v>8.4</v>
      </c>
      <c r="G4" s="34">
        <f>+D4*E4%</f>
        <v>61.416899999999998</v>
      </c>
      <c r="H4" s="35">
        <f>+D4*F4%</f>
        <v>133.30800000000002</v>
      </c>
      <c r="I4" s="26">
        <f>J4/1.03</f>
        <v>3213.7000000000007</v>
      </c>
      <c r="J4" s="27">
        <v>3310.1110000000008</v>
      </c>
      <c r="K4" s="28">
        <v>3.9813921647944732</v>
      </c>
      <c r="L4" s="28">
        <v>8.3987304353237686</v>
      </c>
      <c r="M4" s="29"/>
      <c r="N4" s="30"/>
      <c r="O4" s="31"/>
      <c r="P4" s="28"/>
      <c r="Q4" s="32"/>
      <c r="R4" s="53">
        <f>O4+J4</f>
        <v>3310.1110000000008</v>
      </c>
      <c r="S4" s="34">
        <f>(J4*K4%)+(O4*P4%)</f>
        <v>131.78850000000003</v>
      </c>
      <c r="T4" s="35">
        <f>(J4*L4%)+(O4*Q4%)</f>
        <v>278.00730000000004</v>
      </c>
      <c r="U4" s="36"/>
      <c r="V4" s="37"/>
      <c r="W4" s="38"/>
      <c r="X4" s="39"/>
      <c r="Y4" s="40"/>
      <c r="Z4" s="40"/>
      <c r="AA4" s="34">
        <f>X4*Y4%</f>
        <v>0</v>
      </c>
      <c r="AB4" s="34">
        <f>X4*Z4%</f>
        <v>0</v>
      </c>
      <c r="AC4" s="129"/>
      <c r="AD4" s="130"/>
      <c r="AE4" s="130"/>
      <c r="AF4" s="34">
        <f>AC4*AD4%</f>
        <v>0</v>
      </c>
      <c r="AG4" s="34">
        <f>AC4*AE4%</f>
        <v>0</v>
      </c>
      <c r="AH4" s="43">
        <v>4897.8999999999996</v>
      </c>
      <c r="AI4" s="38">
        <v>3.95</v>
      </c>
      <c r="AJ4" s="38">
        <v>8.4</v>
      </c>
      <c r="AK4" s="34">
        <f t="shared" ref="AK4:AK41" si="0">AH4*AI4%</f>
        <v>193.46705</v>
      </c>
      <c r="AL4" s="44">
        <f t="shared" ref="AL4:AL41" si="1">AH4*AJ4%</f>
        <v>411.42360000000002</v>
      </c>
      <c r="AM4" s="45">
        <f>+D4+R4-AC4-AH4</f>
        <v>-0.7889999999988504</v>
      </c>
      <c r="AN4" s="46">
        <f t="shared" ref="AN4:AO14" si="2">+G4+S4-AF4-AK4</f>
        <v>-0.26164999999997463</v>
      </c>
      <c r="AO4" s="46">
        <f t="shared" si="2"/>
        <v>-0.10829999999992879</v>
      </c>
      <c r="AP4" s="47">
        <f>(AN4+AO4)/(S4+T4)</f>
        <v>-9.0276669502201666E-4</v>
      </c>
      <c r="AQ4" s="48">
        <f>($AP$1*AN4+$AQ$1*AO4)</f>
        <v>-150.23249999996722</v>
      </c>
      <c r="AR4" s="49">
        <f>(D4+J4+O4)-(X4+AH4)</f>
        <v>-0.7889999999988504</v>
      </c>
      <c r="AS4" s="49"/>
    </row>
    <row r="5" spans="1:49" x14ac:dyDescent="0.25">
      <c r="A5" t="str">
        <f t="shared" ref="A5:A7" si="3">CONCATENATE(B5,C5)</f>
        <v>46204E</v>
      </c>
      <c r="B5" s="22">
        <f>+B4</f>
        <v>46204</v>
      </c>
      <c r="C5" s="23" t="s">
        <v>55</v>
      </c>
      <c r="D5" s="50">
        <f t="shared" ref="D5" si="4">AH4</f>
        <v>4897.8999999999996</v>
      </c>
      <c r="E5" s="34">
        <f t="shared" ref="E5" si="5">AI4</f>
        <v>3.95</v>
      </c>
      <c r="F5" s="34">
        <f t="shared" ref="F5" si="6">AJ4</f>
        <v>8.4</v>
      </c>
      <c r="G5" s="34">
        <f>+D5*E5%</f>
        <v>193.46705</v>
      </c>
      <c r="H5" s="35">
        <f>+D5*F5%</f>
        <v>411.42360000000002</v>
      </c>
      <c r="I5" s="26">
        <f t="shared" ref="I5:I65" si="7">J5/1.03</f>
        <v>1979.8000000000004</v>
      </c>
      <c r="J5" s="27">
        <v>2039.1940000000004</v>
      </c>
      <c r="K5" s="28">
        <v>3.8261440549550443</v>
      </c>
      <c r="L5" s="32">
        <v>8.3760985958177585</v>
      </c>
      <c r="M5" s="29"/>
      <c r="N5" s="30"/>
      <c r="O5" s="31"/>
      <c r="P5" s="28"/>
      <c r="Q5" s="32"/>
      <c r="R5" s="53">
        <f t="shared" ref="R5:R7" si="8">O5+J5</f>
        <v>2039.1940000000004</v>
      </c>
      <c r="S5" s="34">
        <f t="shared" ref="S5:S7" si="9">(J5*K5%)+(O5*P5%)</f>
        <v>78.02249999999998</v>
      </c>
      <c r="T5" s="35">
        <f t="shared" ref="T5:T7" si="10">(J5*L5%)+(O5*Q5%)</f>
        <v>170.80490000000003</v>
      </c>
      <c r="U5" s="252"/>
      <c r="V5" s="34"/>
      <c r="W5" s="34"/>
      <c r="X5" s="39">
        <v>5300</v>
      </c>
      <c r="Y5" s="40">
        <v>4</v>
      </c>
      <c r="Z5" s="40">
        <v>8.4600000000000009</v>
      </c>
      <c r="AA5" s="34">
        <f t="shared" ref="AA5:AA7" si="11">X5*Y5%</f>
        <v>212</v>
      </c>
      <c r="AB5" s="34">
        <f t="shared" ref="AB5:AB7" si="12">X5*Z5%</f>
        <v>448.38000000000005</v>
      </c>
      <c r="AC5" s="129">
        <v>5179</v>
      </c>
      <c r="AD5" s="130">
        <v>3.97</v>
      </c>
      <c r="AE5" s="130">
        <v>8.43</v>
      </c>
      <c r="AF5" s="34">
        <f t="shared" ref="AF5:AF7" si="13">AC5*AD5%</f>
        <v>205.6063</v>
      </c>
      <c r="AG5" s="34">
        <f t="shared" ref="AG5:AG7" si="14">AC5*AE5%</f>
        <v>436.58969999999999</v>
      </c>
      <c r="AH5" s="43">
        <v>1736</v>
      </c>
      <c r="AI5" s="38">
        <v>3.91</v>
      </c>
      <c r="AJ5" s="38">
        <v>8.39</v>
      </c>
      <c r="AK5" s="34">
        <f t="shared" si="0"/>
        <v>67.877600000000001</v>
      </c>
      <c r="AL5" s="44">
        <f t="shared" si="1"/>
        <v>145.65039999999999</v>
      </c>
      <c r="AM5" s="45">
        <f>+D5+R5-AC5-AH5</f>
        <v>22.094000000000051</v>
      </c>
      <c r="AN5" s="51">
        <f t="shared" si="2"/>
        <v>-1.9943499999999972</v>
      </c>
      <c r="AO5" s="51">
        <f t="shared" si="2"/>
        <v>-1.1599999999930333E-2</v>
      </c>
      <c r="AP5" s="47">
        <f t="shared" ref="AP5:AP14" si="15">(AN5+AO5)/(S5+T5)</f>
        <v>-8.0616121857959664E-3</v>
      </c>
      <c r="AQ5" s="48">
        <f>($AP$1*AN5+$AQ$1*AO5)</f>
        <v>-900.93749999997783</v>
      </c>
      <c r="AR5" s="49">
        <f>(D5+J5+O5)-(X5+AH5)</f>
        <v>-98.905999999999949</v>
      </c>
      <c r="AS5" s="49"/>
    </row>
    <row r="6" spans="1:49" x14ac:dyDescent="0.25">
      <c r="A6" t="str">
        <f t="shared" si="3"/>
        <v>46205M</v>
      </c>
      <c r="B6" s="22">
        <f>+B4+1</f>
        <v>46205</v>
      </c>
      <c r="C6" s="23" t="s">
        <v>54</v>
      </c>
      <c r="D6" s="50">
        <f t="shared" ref="D6" si="16">AH5</f>
        <v>1736</v>
      </c>
      <c r="E6" s="34">
        <f t="shared" ref="E6" si="17">AI5</f>
        <v>3.91</v>
      </c>
      <c r="F6" s="34">
        <f t="shared" ref="F6" si="18">AJ5</f>
        <v>8.39</v>
      </c>
      <c r="G6" s="34">
        <f>+D6*E6%</f>
        <v>67.877600000000001</v>
      </c>
      <c r="H6" s="35">
        <f>+D6*F6%</f>
        <v>145.65039999999999</v>
      </c>
      <c r="I6" s="26">
        <f t="shared" si="7"/>
        <v>3201.8700000000008</v>
      </c>
      <c r="J6" s="27">
        <v>3297.926100000001</v>
      </c>
      <c r="K6" s="28">
        <v>3.9579995440164644</v>
      </c>
      <c r="L6" s="32">
        <v>8.3929078944491771</v>
      </c>
      <c r="M6" s="29"/>
      <c r="N6" s="30"/>
      <c r="O6" s="31"/>
      <c r="P6" s="28"/>
      <c r="Q6" s="32"/>
      <c r="R6" s="53">
        <f t="shared" si="8"/>
        <v>3297.926100000001</v>
      </c>
      <c r="S6" s="34">
        <f t="shared" si="9"/>
        <v>130.53190000000001</v>
      </c>
      <c r="T6" s="35">
        <f t="shared" si="10"/>
        <v>276.79189999999994</v>
      </c>
      <c r="U6" s="36"/>
      <c r="V6" s="37"/>
      <c r="W6" s="38"/>
      <c r="X6" s="39"/>
      <c r="Y6" s="40"/>
      <c r="Z6" s="40"/>
      <c r="AA6" s="34">
        <f t="shared" ref="AA6" si="19">X6*Y6%</f>
        <v>0</v>
      </c>
      <c r="AB6" s="34">
        <f t="shared" ref="AB6" si="20">X6*Z6%</f>
        <v>0</v>
      </c>
      <c r="AC6" s="144"/>
      <c r="AD6" s="145"/>
      <c r="AE6" s="145"/>
      <c r="AF6" s="34">
        <f t="shared" si="13"/>
        <v>0</v>
      </c>
      <c r="AG6" s="34">
        <f t="shared" si="14"/>
        <v>0</v>
      </c>
      <c r="AH6" s="43">
        <v>5033</v>
      </c>
      <c r="AI6" s="38">
        <v>3.94</v>
      </c>
      <c r="AJ6" s="38">
        <v>8.4</v>
      </c>
      <c r="AK6" s="34">
        <f t="shared" si="0"/>
        <v>198.30019999999999</v>
      </c>
      <c r="AL6" s="44">
        <f t="shared" si="1"/>
        <v>422.77200000000005</v>
      </c>
      <c r="AM6" s="54">
        <f>+D6+R6-AC6-AH6</f>
        <v>0.9261000000005879</v>
      </c>
      <c r="AN6" s="51">
        <f t="shared" si="2"/>
        <v>0.10930000000001883</v>
      </c>
      <c r="AO6" s="51">
        <f t="shared" si="2"/>
        <v>-0.32970000000011623</v>
      </c>
      <c r="AP6" s="47">
        <f t="shared" si="15"/>
        <v>-5.410928602750378E-4</v>
      </c>
      <c r="AQ6" s="48">
        <f>($AP$1*AN6+$AQ$1*AO6)</f>
        <v>-49.725000000026398</v>
      </c>
      <c r="AR6" s="49">
        <f>(D6+J6+O6)-(X6+AH6)</f>
        <v>0.9261000000005879</v>
      </c>
      <c r="AS6" s="49"/>
    </row>
    <row r="7" spans="1:49" x14ac:dyDescent="0.25">
      <c r="A7" t="str">
        <f t="shared" si="3"/>
        <v>46205E</v>
      </c>
      <c r="B7" s="22">
        <f>+B5+1</f>
        <v>46205</v>
      </c>
      <c r="C7" s="23" t="s">
        <v>55</v>
      </c>
      <c r="D7" s="50">
        <f t="shared" ref="D7" si="21">AH6</f>
        <v>5033</v>
      </c>
      <c r="E7" s="34">
        <f t="shared" ref="E7" si="22">AI6</f>
        <v>3.94</v>
      </c>
      <c r="F7" s="34">
        <f t="shared" ref="F7" si="23">AJ6</f>
        <v>8.4</v>
      </c>
      <c r="G7" s="34">
        <f t="shared" ref="G7:G41" si="24">+D7*E7%</f>
        <v>198.30019999999999</v>
      </c>
      <c r="H7" s="35">
        <f t="shared" ref="H7:H41" si="25">+D7*F7%</f>
        <v>422.77200000000005</v>
      </c>
      <c r="I7" s="26">
        <f t="shared" si="7"/>
        <v>2074</v>
      </c>
      <c r="J7" s="27">
        <v>2136.2200000000003</v>
      </c>
      <c r="K7" s="28">
        <v>3.8447444551591121</v>
      </c>
      <c r="L7" s="32">
        <v>8.4170684667309548</v>
      </c>
      <c r="M7" s="29"/>
      <c r="N7" s="30"/>
      <c r="O7" s="31"/>
      <c r="P7" s="28"/>
      <c r="Q7" s="32"/>
      <c r="R7" s="53">
        <f t="shared" si="8"/>
        <v>2136.2200000000003</v>
      </c>
      <c r="S7" s="34">
        <f t="shared" si="9"/>
        <v>82.132199999999997</v>
      </c>
      <c r="T7" s="35">
        <f t="shared" si="10"/>
        <v>179.80710000000002</v>
      </c>
      <c r="U7" s="36" t="s">
        <v>110</v>
      </c>
      <c r="V7" s="37"/>
      <c r="W7" s="38"/>
      <c r="X7" s="39">
        <v>5387</v>
      </c>
      <c r="Y7" s="40">
        <v>4.05</v>
      </c>
      <c r="Z7" s="40">
        <v>8.4700000000000006</v>
      </c>
      <c r="AA7" s="34">
        <f t="shared" si="11"/>
        <v>218.17350000000002</v>
      </c>
      <c r="AB7" s="34">
        <f t="shared" si="12"/>
        <v>456.27890000000008</v>
      </c>
      <c r="AC7" s="291">
        <v>5290</v>
      </c>
      <c r="AD7" s="292">
        <v>4.0599999999999996</v>
      </c>
      <c r="AE7" s="292">
        <v>8.52</v>
      </c>
      <c r="AF7" s="34">
        <f t="shared" si="13"/>
        <v>214.77399999999997</v>
      </c>
      <c r="AG7" s="34">
        <f t="shared" si="14"/>
        <v>450.70799999999997</v>
      </c>
      <c r="AH7" s="43">
        <v>1862</v>
      </c>
      <c r="AI7" s="38">
        <v>3.91</v>
      </c>
      <c r="AJ7" s="38">
        <v>8.41</v>
      </c>
      <c r="AK7" s="34">
        <f t="shared" si="0"/>
        <v>72.804200000000009</v>
      </c>
      <c r="AL7" s="44">
        <f t="shared" si="1"/>
        <v>156.59420000000003</v>
      </c>
      <c r="AM7" s="54">
        <f t="shared" ref="AM7:AM14" si="26">+D7+R7-AC7-AH7</f>
        <v>17.220000000000255</v>
      </c>
      <c r="AN7" s="51">
        <f t="shared" si="2"/>
        <v>-7.1458000000000084</v>
      </c>
      <c r="AO7" s="51">
        <f t="shared" si="2"/>
        <v>-4.7230999999999597</v>
      </c>
      <c r="AP7" s="47">
        <f t="shared" si="15"/>
        <v>-4.5311642811903245E-2</v>
      </c>
      <c r="AQ7" s="48">
        <f>($AP$1*AN7+$AQ$1*AO7)</f>
        <v>-4632.5399999999918</v>
      </c>
      <c r="AR7" s="49">
        <f t="shared" ref="AR7:AR65" si="27">(D7+J7+O7)-(X7+AH7)</f>
        <v>-79.779999999999745</v>
      </c>
      <c r="AS7" s="49"/>
    </row>
    <row r="8" spans="1:49" x14ac:dyDescent="0.25">
      <c r="B8" s="22">
        <f>+B6+1</f>
        <v>46206</v>
      </c>
      <c r="C8" s="23" t="s">
        <v>54</v>
      </c>
      <c r="D8" s="50"/>
      <c r="E8" s="34"/>
      <c r="F8" s="34"/>
      <c r="G8" s="34">
        <f t="shared" si="24"/>
        <v>0</v>
      </c>
      <c r="H8" s="35">
        <f t="shared" si="25"/>
        <v>0</v>
      </c>
      <c r="I8" s="26">
        <f t="shared" si="7"/>
        <v>0</v>
      </c>
      <c r="J8" s="27"/>
      <c r="K8" s="28"/>
      <c r="L8" s="32"/>
      <c r="M8" s="29"/>
      <c r="N8" s="30"/>
      <c r="O8" s="31"/>
      <c r="P8" s="28"/>
      <c r="Q8" s="32"/>
      <c r="R8" s="53">
        <f t="shared" ref="R8:R13" si="28">O8+J8</f>
        <v>0</v>
      </c>
      <c r="S8" s="34">
        <f t="shared" ref="S8:S13" si="29">(J8*K8%)+(O8*P8%)</f>
        <v>0</v>
      </c>
      <c r="T8" s="35">
        <f t="shared" ref="T8:T13" si="30">(J8*L8%)+(O8*Q8%)</f>
        <v>0</v>
      </c>
      <c r="U8" s="36"/>
      <c r="V8" s="37"/>
      <c r="W8" s="38"/>
      <c r="X8" s="39"/>
      <c r="Y8" s="40"/>
      <c r="Z8" s="40"/>
      <c r="AA8" s="34">
        <f t="shared" ref="AA8:AA13" si="31">X8*Y8%</f>
        <v>0</v>
      </c>
      <c r="AB8" s="34">
        <f t="shared" ref="AB8:AB13" si="32">X8*Z8%</f>
        <v>0</v>
      </c>
      <c r="AC8" s="41"/>
      <c r="AD8" s="42"/>
      <c r="AE8" s="42"/>
      <c r="AF8" s="34">
        <f t="shared" ref="AF8:AF13" si="33">AC8*AD8%</f>
        <v>0</v>
      </c>
      <c r="AG8" s="34">
        <f t="shared" ref="AG8:AG13" si="34">AC8*AE8%</f>
        <v>0</v>
      </c>
      <c r="AH8" s="43"/>
      <c r="AI8" s="38"/>
      <c r="AJ8" s="38"/>
      <c r="AK8" s="34">
        <f t="shared" si="0"/>
        <v>0</v>
      </c>
      <c r="AL8" s="44">
        <f t="shared" si="1"/>
        <v>0</v>
      </c>
      <c r="AM8" s="45">
        <f t="shared" si="26"/>
        <v>0</v>
      </c>
      <c r="AN8" s="46">
        <f t="shared" si="2"/>
        <v>0</v>
      </c>
      <c r="AO8" s="46">
        <f t="shared" si="2"/>
        <v>0</v>
      </c>
      <c r="AP8" s="47" t="e">
        <f t="shared" si="15"/>
        <v>#DIV/0!</v>
      </c>
      <c r="AQ8" s="48">
        <f t="shared" ref="AQ8:AQ37" si="35">($AP$1*AN8+$AQ$1*AO8)</f>
        <v>0</v>
      </c>
      <c r="AR8" s="49">
        <f t="shared" si="27"/>
        <v>0</v>
      </c>
      <c r="AS8" s="49"/>
    </row>
    <row r="9" spans="1:49" x14ac:dyDescent="0.25">
      <c r="B9" s="22">
        <f t="shared" ref="B9:B65" si="36">+B7+1</f>
        <v>46206</v>
      </c>
      <c r="C9" s="23" t="s">
        <v>55</v>
      </c>
      <c r="D9" s="50">
        <f t="shared" ref="D9:F13" si="37">AH8</f>
        <v>0</v>
      </c>
      <c r="E9" s="34">
        <f t="shared" si="37"/>
        <v>0</v>
      </c>
      <c r="F9" s="34">
        <f t="shared" si="37"/>
        <v>0</v>
      </c>
      <c r="G9" s="34">
        <f t="shared" si="24"/>
        <v>0</v>
      </c>
      <c r="H9" s="35">
        <f t="shared" si="25"/>
        <v>0</v>
      </c>
      <c r="I9" s="26">
        <f t="shared" si="7"/>
        <v>0</v>
      </c>
      <c r="J9" s="27"/>
      <c r="K9" s="28"/>
      <c r="L9" s="32"/>
      <c r="M9" s="29"/>
      <c r="N9" s="30"/>
      <c r="O9" s="31"/>
      <c r="P9" s="28"/>
      <c r="Q9" s="32"/>
      <c r="R9" s="53">
        <f t="shared" ref="R9" si="38">O9+J9</f>
        <v>0</v>
      </c>
      <c r="S9" s="34">
        <f t="shared" ref="S9" si="39">(J9*K9%)+(O9*P9%)</f>
        <v>0</v>
      </c>
      <c r="T9" s="35">
        <f t="shared" ref="T9" si="40">(J9*L9%)+(O9*Q9%)</f>
        <v>0</v>
      </c>
      <c r="U9" s="36"/>
      <c r="V9" s="37"/>
      <c r="W9" s="38"/>
      <c r="X9" s="39"/>
      <c r="Y9" s="40"/>
      <c r="Z9" s="40"/>
      <c r="AA9" s="34">
        <f t="shared" si="31"/>
        <v>0</v>
      </c>
      <c r="AB9" s="34">
        <f t="shared" si="32"/>
        <v>0</v>
      </c>
      <c r="AC9" s="144"/>
      <c r="AD9" s="145"/>
      <c r="AE9" s="145"/>
      <c r="AF9" s="34">
        <f t="shared" si="33"/>
        <v>0</v>
      </c>
      <c r="AG9" s="34">
        <f t="shared" si="34"/>
        <v>0</v>
      </c>
      <c r="AH9" s="43"/>
      <c r="AI9" s="38"/>
      <c r="AJ9" s="38"/>
      <c r="AK9" s="34">
        <f t="shared" si="0"/>
        <v>0</v>
      </c>
      <c r="AL9" s="44">
        <f t="shared" si="1"/>
        <v>0</v>
      </c>
      <c r="AM9" s="45">
        <f t="shared" si="26"/>
        <v>0</v>
      </c>
      <c r="AN9" s="46">
        <f t="shared" si="2"/>
        <v>0</v>
      </c>
      <c r="AO9" s="46">
        <f t="shared" si="2"/>
        <v>0</v>
      </c>
      <c r="AP9" s="47" t="e">
        <f t="shared" si="15"/>
        <v>#DIV/0!</v>
      </c>
      <c r="AQ9" s="48">
        <f t="shared" si="35"/>
        <v>0</v>
      </c>
      <c r="AR9" s="49">
        <f t="shared" si="27"/>
        <v>0</v>
      </c>
      <c r="AS9" s="49"/>
    </row>
    <row r="10" spans="1:49" x14ac:dyDescent="0.25">
      <c r="B10" s="22">
        <f t="shared" si="36"/>
        <v>46207</v>
      </c>
      <c r="C10" s="23" t="s">
        <v>54</v>
      </c>
      <c r="D10" s="50">
        <f t="shared" ref="D10" si="41">AH9</f>
        <v>0</v>
      </c>
      <c r="E10" s="34">
        <f t="shared" ref="E10" si="42">AI9</f>
        <v>0</v>
      </c>
      <c r="F10" s="34">
        <f t="shared" ref="F10" si="43">AJ9</f>
        <v>0</v>
      </c>
      <c r="G10" s="34">
        <f t="shared" si="24"/>
        <v>0</v>
      </c>
      <c r="H10" s="35">
        <f t="shared" si="25"/>
        <v>0</v>
      </c>
      <c r="I10" s="26">
        <f t="shared" si="7"/>
        <v>0</v>
      </c>
      <c r="J10" s="27"/>
      <c r="K10" s="28"/>
      <c r="L10" s="32"/>
      <c r="M10" s="29"/>
      <c r="N10" s="30"/>
      <c r="O10" s="31"/>
      <c r="P10" s="28"/>
      <c r="Q10" s="32"/>
      <c r="R10" s="53">
        <f t="shared" si="28"/>
        <v>0</v>
      </c>
      <c r="S10" s="34">
        <f t="shared" si="29"/>
        <v>0</v>
      </c>
      <c r="T10" s="35">
        <f t="shared" si="30"/>
        <v>0</v>
      </c>
      <c r="U10" s="36"/>
      <c r="V10" s="37"/>
      <c r="W10" s="38"/>
      <c r="X10" s="39"/>
      <c r="Y10" s="40"/>
      <c r="Z10" s="40"/>
      <c r="AA10" s="34">
        <f t="shared" si="31"/>
        <v>0</v>
      </c>
      <c r="AB10" s="34">
        <f t="shared" si="32"/>
        <v>0</v>
      </c>
      <c r="AC10" s="41"/>
      <c r="AD10" s="42"/>
      <c r="AE10" s="42"/>
      <c r="AF10" s="34">
        <f t="shared" si="33"/>
        <v>0</v>
      </c>
      <c r="AG10" s="34">
        <f t="shared" si="34"/>
        <v>0</v>
      </c>
      <c r="AH10" s="43"/>
      <c r="AI10" s="38"/>
      <c r="AJ10" s="38"/>
      <c r="AK10" s="34">
        <f t="shared" si="0"/>
        <v>0</v>
      </c>
      <c r="AL10" s="44">
        <f t="shared" si="1"/>
        <v>0</v>
      </c>
      <c r="AM10" s="45">
        <f t="shared" si="26"/>
        <v>0</v>
      </c>
      <c r="AN10" s="46">
        <f t="shared" si="2"/>
        <v>0</v>
      </c>
      <c r="AO10" s="46">
        <f t="shared" si="2"/>
        <v>0</v>
      </c>
      <c r="AP10" s="47" t="e">
        <f t="shared" si="15"/>
        <v>#DIV/0!</v>
      </c>
      <c r="AQ10" s="48">
        <f t="shared" si="35"/>
        <v>0</v>
      </c>
      <c r="AR10" s="49">
        <f t="shared" si="27"/>
        <v>0</v>
      </c>
      <c r="AS10" s="49"/>
    </row>
    <row r="11" spans="1:49" x14ac:dyDescent="0.25">
      <c r="B11" s="22">
        <f t="shared" si="36"/>
        <v>46207</v>
      </c>
      <c r="C11" s="23" t="s">
        <v>55</v>
      </c>
      <c r="D11" s="50">
        <f t="shared" si="37"/>
        <v>0</v>
      </c>
      <c r="E11" s="34">
        <f t="shared" si="37"/>
        <v>0</v>
      </c>
      <c r="F11" s="34">
        <f t="shared" si="37"/>
        <v>0</v>
      </c>
      <c r="G11" s="34">
        <f t="shared" si="24"/>
        <v>0</v>
      </c>
      <c r="H11" s="35">
        <f t="shared" si="25"/>
        <v>0</v>
      </c>
      <c r="I11" s="26">
        <f t="shared" si="7"/>
        <v>0</v>
      </c>
      <c r="J11" s="27"/>
      <c r="K11" s="28"/>
      <c r="L11" s="32"/>
      <c r="M11" s="29"/>
      <c r="N11" s="30"/>
      <c r="O11" s="31"/>
      <c r="P11" s="28"/>
      <c r="Q11" s="32"/>
      <c r="R11" s="53">
        <f t="shared" si="28"/>
        <v>0</v>
      </c>
      <c r="S11" s="34">
        <f t="shared" si="29"/>
        <v>0</v>
      </c>
      <c r="T11" s="35">
        <f t="shared" si="30"/>
        <v>0</v>
      </c>
      <c r="U11" s="36"/>
      <c r="V11" s="37"/>
      <c r="W11" s="38"/>
      <c r="X11" s="39"/>
      <c r="Y11" s="40"/>
      <c r="Z11" s="40"/>
      <c r="AA11" s="34">
        <f t="shared" si="31"/>
        <v>0</v>
      </c>
      <c r="AB11" s="34">
        <f t="shared" si="32"/>
        <v>0</v>
      </c>
      <c r="AC11" s="41"/>
      <c r="AD11" s="42"/>
      <c r="AE11" s="42"/>
      <c r="AF11" s="34">
        <f t="shared" si="33"/>
        <v>0</v>
      </c>
      <c r="AG11" s="34">
        <f t="shared" si="34"/>
        <v>0</v>
      </c>
      <c r="AH11" s="43"/>
      <c r="AI11" s="38"/>
      <c r="AJ11" s="38"/>
      <c r="AK11" s="34">
        <f t="shared" si="0"/>
        <v>0</v>
      </c>
      <c r="AL11" s="44">
        <f t="shared" si="1"/>
        <v>0</v>
      </c>
      <c r="AM11" s="45">
        <f t="shared" si="26"/>
        <v>0</v>
      </c>
      <c r="AN11" s="46">
        <f t="shared" si="2"/>
        <v>0</v>
      </c>
      <c r="AO11" s="46">
        <f t="shared" si="2"/>
        <v>0</v>
      </c>
      <c r="AP11" s="47" t="e">
        <f t="shared" si="15"/>
        <v>#DIV/0!</v>
      </c>
      <c r="AQ11" s="48">
        <f t="shared" si="35"/>
        <v>0</v>
      </c>
      <c r="AR11" s="49">
        <f t="shared" si="27"/>
        <v>0</v>
      </c>
      <c r="AS11" s="57"/>
    </row>
    <row r="12" spans="1:49" x14ac:dyDescent="0.25">
      <c r="B12" s="22">
        <f t="shared" si="36"/>
        <v>46208</v>
      </c>
      <c r="C12" s="23" t="s">
        <v>54</v>
      </c>
      <c r="D12" s="50">
        <f t="shared" ref="D12" si="44">AH11</f>
        <v>0</v>
      </c>
      <c r="E12" s="34">
        <f t="shared" ref="E12" si="45">AI11</f>
        <v>0</v>
      </c>
      <c r="F12" s="34">
        <f t="shared" ref="F12" si="46">AJ11</f>
        <v>0</v>
      </c>
      <c r="G12" s="34">
        <f t="shared" si="24"/>
        <v>0</v>
      </c>
      <c r="H12" s="35">
        <f t="shared" si="25"/>
        <v>0</v>
      </c>
      <c r="I12" s="26">
        <f t="shared" si="7"/>
        <v>0</v>
      </c>
      <c r="J12" s="27"/>
      <c r="K12" s="28"/>
      <c r="L12" s="32"/>
      <c r="M12" s="29"/>
      <c r="N12" s="30"/>
      <c r="O12" s="31"/>
      <c r="P12" s="28"/>
      <c r="Q12" s="32"/>
      <c r="R12" s="53">
        <f t="shared" si="28"/>
        <v>0</v>
      </c>
      <c r="S12" s="34">
        <f t="shared" si="29"/>
        <v>0</v>
      </c>
      <c r="T12" s="35">
        <f t="shared" si="30"/>
        <v>0</v>
      </c>
      <c r="U12" s="36"/>
      <c r="V12" s="37"/>
      <c r="W12" s="38"/>
      <c r="X12" s="39"/>
      <c r="Y12" s="40"/>
      <c r="Z12" s="40"/>
      <c r="AA12" s="34">
        <f t="shared" si="31"/>
        <v>0</v>
      </c>
      <c r="AB12" s="34">
        <f t="shared" si="32"/>
        <v>0</v>
      </c>
      <c r="AC12" s="41"/>
      <c r="AD12" s="42"/>
      <c r="AE12" s="42"/>
      <c r="AF12" s="34">
        <f t="shared" si="33"/>
        <v>0</v>
      </c>
      <c r="AG12" s="34">
        <f t="shared" si="34"/>
        <v>0</v>
      </c>
      <c r="AH12" s="43"/>
      <c r="AI12" s="38"/>
      <c r="AJ12" s="38"/>
      <c r="AK12" s="34">
        <f t="shared" si="0"/>
        <v>0</v>
      </c>
      <c r="AL12" s="44">
        <f t="shared" si="1"/>
        <v>0</v>
      </c>
      <c r="AM12" s="45">
        <f t="shared" si="26"/>
        <v>0</v>
      </c>
      <c r="AN12" s="46">
        <f t="shared" si="2"/>
        <v>0</v>
      </c>
      <c r="AO12" s="46">
        <f t="shared" si="2"/>
        <v>0</v>
      </c>
      <c r="AP12" s="47" t="e">
        <f t="shared" si="15"/>
        <v>#DIV/0!</v>
      </c>
      <c r="AQ12" s="48">
        <f t="shared" si="35"/>
        <v>0</v>
      </c>
      <c r="AR12" s="49">
        <f t="shared" si="27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B13" s="22">
        <f t="shared" si="36"/>
        <v>46208</v>
      </c>
      <c r="C13" s="23" t="s">
        <v>55</v>
      </c>
      <c r="D13" s="50">
        <f t="shared" si="37"/>
        <v>0</v>
      </c>
      <c r="E13" s="34">
        <f t="shared" si="37"/>
        <v>0</v>
      </c>
      <c r="F13" s="34">
        <f t="shared" si="37"/>
        <v>0</v>
      </c>
      <c r="G13" s="34">
        <f t="shared" si="24"/>
        <v>0</v>
      </c>
      <c r="H13" s="35">
        <f t="shared" si="25"/>
        <v>0</v>
      </c>
      <c r="I13" s="26">
        <f t="shared" si="7"/>
        <v>0</v>
      </c>
      <c r="J13" s="27"/>
      <c r="K13" s="28"/>
      <c r="L13" s="32"/>
      <c r="M13" s="29"/>
      <c r="N13" s="30"/>
      <c r="O13" s="31"/>
      <c r="P13" s="28"/>
      <c r="Q13" s="32"/>
      <c r="R13" s="53">
        <f t="shared" si="28"/>
        <v>0</v>
      </c>
      <c r="S13" s="34">
        <f t="shared" si="29"/>
        <v>0</v>
      </c>
      <c r="T13" s="35">
        <f t="shared" si="30"/>
        <v>0</v>
      </c>
      <c r="U13" s="36"/>
      <c r="V13" s="37"/>
      <c r="W13" s="38"/>
      <c r="X13" s="39"/>
      <c r="Y13" s="40"/>
      <c r="Z13" s="40"/>
      <c r="AA13" s="34">
        <f t="shared" si="31"/>
        <v>0</v>
      </c>
      <c r="AB13" s="34">
        <f t="shared" si="32"/>
        <v>0</v>
      </c>
      <c r="AC13" s="41"/>
      <c r="AD13" s="42"/>
      <c r="AE13" s="42"/>
      <c r="AF13" s="34">
        <f t="shared" si="33"/>
        <v>0</v>
      </c>
      <c r="AG13" s="34">
        <f t="shared" si="34"/>
        <v>0</v>
      </c>
      <c r="AH13" s="43"/>
      <c r="AI13" s="38"/>
      <c r="AJ13" s="38"/>
      <c r="AK13" s="34">
        <f t="shared" si="0"/>
        <v>0</v>
      </c>
      <c r="AL13" s="44">
        <f t="shared" si="1"/>
        <v>0</v>
      </c>
      <c r="AM13" s="45">
        <f t="shared" si="26"/>
        <v>0</v>
      </c>
      <c r="AN13" s="46">
        <f t="shared" si="2"/>
        <v>0</v>
      </c>
      <c r="AO13" s="46">
        <f t="shared" si="2"/>
        <v>0</v>
      </c>
      <c r="AP13" s="47" t="e">
        <f t="shared" si="15"/>
        <v>#DIV/0!</v>
      </c>
      <c r="AQ13" s="48">
        <f t="shared" si="35"/>
        <v>0</v>
      </c>
      <c r="AR13" s="49">
        <f t="shared" si="27"/>
        <v>0</v>
      </c>
      <c r="AS13" s="49">
        <f>SUM(J4:J13)</f>
        <v>10783.451100000002</v>
      </c>
      <c r="AT13" s="58">
        <f>SUM(AM4:AM13)</f>
        <v>39.451100000002043</v>
      </c>
      <c r="AU13" s="58">
        <f t="shared" ref="AU13:AV13" si="47">SUM(AN4:AN13)</f>
        <v>-9.2924999999999613</v>
      </c>
      <c r="AV13" s="58">
        <f t="shared" si="47"/>
        <v>-5.172699999999935</v>
      </c>
      <c r="AW13" s="58">
        <f>-SUM(AQ4:AQ13)</f>
        <v>5733.4349999999631</v>
      </c>
    </row>
    <row r="14" spans="1:49" x14ac:dyDescent="0.25">
      <c r="B14" s="22">
        <f t="shared" si="36"/>
        <v>46209</v>
      </c>
      <c r="C14" s="23" t="s">
        <v>54</v>
      </c>
      <c r="D14" s="50">
        <f t="shared" ref="D14" si="48">AH13</f>
        <v>0</v>
      </c>
      <c r="E14" s="34">
        <f t="shared" ref="E14" si="49">AI13</f>
        <v>0</v>
      </c>
      <c r="F14" s="34">
        <f t="shared" ref="F14" si="50">AJ13</f>
        <v>0</v>
      </c>
      <c r="G14" s="34">
        <f t="shared" si="24"/>
        <v>0</v>
      </c>
      <c r="H14" s="35">
        <f t="shared" si="25"/>
        <v>0</v>
      </c>
      <c r="I14" s="26">
        <f t="shared" si="7"/>
        <v>0</v>
      </c>
      <c r="J14" s="27"/>
      <c r="K14" s="28"/>
      <c r="L14" s="32"/>
      <c r="M14" s="29"/>
      <c r="N14" s="30"/>
      <c r="O14" s="31"/>
      <c r="P14" s="28"/>
      <c r="Q14" s="32"/>
      <c r="R14" s="53">
        <f t="shared" ref="R14" si="51">O14+J14</f>
        <v>0</v>
      </c>
      <c r="S14" s="34">
        <f t="shared" ref="S14" si="52">(J14*K14%)+(O14*P14%)</f>
        <v>0</v>
      </c>
      <c r="T14" s="35">
        <f t="shared" ref="T14" si="53">(J14*L14%)+(O14*Q14%)</f>
        <v>0</v>
      </c>
      <c r="U14" s="36"/>
      <c r="V14" s="37"/>
      <c r="W14" s="38"/>
      <c r="X14" s="39"/>
      <c r="Y14" s="40"/>
      <c r="Z14" s="40"/>
      <c r="AA14" s="34">
        <f t="shared" ref="AA14" si="54">X14*Y14%</f>
        <v>0</v>
      </c>
      <c r="AB14" s="34">
        <f t="shared" ref="AB14" si="55">X14*Z14%</f>
        <v>0</v>
      </c>
      <c r="AC14" s="129"/>
      <c r="AD14" s="130"/>
      <c r="AE14" s="130"/>
      <c r="AF14" s="34">
        <f t="shared" ref="AF14" si="56">AC14*AD14%</f>
        <v>0</v>
      </c>
      <c r="AG14" s="34">
        <f t="shared" ref="AG14" si="57">AC14*AE14%</f>
        <v>0</v>
      </c>
      <c r="AH14" s="43"/>
      <c r="AI14" s="38"/>
      <c r="AJ14" s="38"/>
      <c r="AK14" s="34">
        <f t="shared" si="0"/>
        <v>0</v>
      </c>
      <c r="AL14" s="44">
        <f t="shared" si="1"/>
        <v>0</v>
      </c>
      <c r="AM14" s="45">
        <f t="shared" si="26"/>
        <v>0</v>
      </c>
      <c r="AN14" s="46">
        <f t="shared" si="2"/>
        <v>0</v>
      </c>
      <c r="AO14" s="46">
        <f t="shared" si="2"/>
        <v>0</v>
      </c>
      <c r="AP14" s="47" t="e">
        <f t="shared" si="15"/>
        <v>#DIV/0!</v>
      </c>
      <c r="AQ14" s="48">
        <f t="shared" si="35"/>
        <v>0</v>
      </c>
      <c r="AR14" s="49">
        <f t="shared" si="27"/>
        <v>0</v>
      </c>
      <c r="AS14" s="49"/>
    </row>
    <row r="15" spans="1:49" x14ac:dyDescent="0.25">
      <c r="B15" s="22">
        <f t="shared" si="36"/>
        <v>46209</v>
      </c>
      <c r="C15" s="23" t="s">
        <v>55</v>
      </c>
      <c r="D15" s="50">
        <f t="shared" ref="D15" si="58">AH14</f>
        <v>0</v>
      </c>
      <c r="E15" s="34">
        <f t="shared" ref="E15" si="59">AI14</f>
        <v>0</v>
      </c>
      <c r="F15" s="34">
        <f t="shared" ref="F15" si="60">AJ14</f>
        <v>0</v>
      </c>
      <c r="G15" s="34">
        <f t="shared" ref="G15:G35" si="61">+D15*E15%</f>
        <v>0</v>
      </c>
      <c r="H15" s="35">
        <f t="shared" ref="H15:H35" si="62">+D15*F15%</f>
        <v>0</v>
      </c>
      <c r="I15" s="26">
        <f t="shared" si="7"/>
        <v>0</v>
      </c>
      <c r="J15" s="27"/>
      <c r="K15" s="28"/>
      <c r="L15" s="32"/>
      <c r="M15" s="29"/>
      <c r="N15" s="30"/>
      <c r="O15" s="31"/>
      <c r="P15" s="28"/>
      <c r="Q15" s="32"/>
      <c r="R15" s="53">
        <f t="shared" ref="R15:R36" si="63">O15+J15</f>
        <v>0</v>
      </c>
      <c r="S15" s="34">
        <f t="shared" ref="S15:S36" si="64">(J15*K15%)+(O15*P15%)</f>
        <v>0</v>
      </c>
      <c r="T15" s="35">
        <f t="shared" ref="T15:T36" si="65">(J15*L15%)+(O15*Q15%)</f>
        <v>0</v>
      </c>
      <c r="U15" s="36"/>
      <c r="V15" s="37"/>
      <c r="W15" s="38"/>
      <c r="X15" s="39"/>
      <c r="Y15" s="40"/>
      <c r="Z15" s="40"/>
      <c r="AA15" s="34">
        <f t="shared" ref="AA15:AA27" si="66">X15*Y15%</f>
        <v>0</v>
      </c>
      <c r="AB15" s="34">
        <f t="shared" ref="AB15:AB27" si="67">X15*Z15%</f>
        <v>0</v>
      </c>
      <c r="AC15" s="144"/>
      <c r="AD15" s="145"/>
      <c r="AE15" s="145"/>
      <c r="AF15" s="34">
        <f t="shared" ref="AF15:AF34" si="68">AC15*AD15%</f>
        <v>0</v>
      </c>
      <c r="AG15" s="34">
        <f t="shared" ref="AG15:AG34" si="69">AC15*AE15%</f>
        <v>0</v>
      </c>
      <c r="AH15" s="43"/>
      <c r="AI15" s="38"/>
      <c r="AJ15" s="38"/>
      <c r="AK15" s="34">
        <f t="shared" ref="AK15:AK35" si="70">AH15*AI15%</f>
        <v>0</v>
      </c>
      <c r="AL15" s="44">
        <f t="shared" ref="AL15:AL35" si="71">AH15*AJ15%</f>
        <v>0</v>
      </c>
      <c r="AM15" s="45">
        <f t="shared" ref="AM15:AM35" si="72">+D15+R15-AC15-AH15</f>
        <v>0</v>
      </c>
      <c r="AN15" s="46">
        <f t="shared" ref="AN15:AN35" si="73">+G15+S15-AF15-AK15</f>
        <v>0</v>
      </c>
      <c r="AO15" s="46">
        <f t="shared" ref="AO15:AO35" si="74">+H15+T15-AG15-AL15</f>
        <v>0</v>
      </c>
      <c r="AP15" s="47" t="e">
        <f t="shared" ref="AP15:AP35" si="75">(AN15+AO15)/(S15+T15)</f>
        <v>#DIV/0!</v>
      </c>
      <c r="AQ15" s="48">
        <f t="shared" ref="AQ15:AQ35" si="76">($AP$1*AN15+$AQ$1*AO15)</f>
        <v>0</v>
      </c>
      <c r="AR15" s="49">
        <f t="shared" si="27"/>
        <v>0</v>
      </c>
      <c r="AS15" s="49"/>
    </row>
    <row r="16" spans="1:49" x14ac:dyDescent="0.25">
      <c r="B16" s="22">
        <f t="shared" si="36"/>
        <v>46210</v>
      </c>
      <c r="C16" s="23" t="s">
        <v>54</v>
      </c>
      <c r="D16" s="50">
        <f t="shared" ref="D16:D35" si="77">AH15</f>
        <v>0</v>
      </c>
      <c r="E16" s="34">
        <f t="shared" ref="E16:E35" si="78">AI15</f>
        <v>0</v>
      </c>
      <c r="F16" s="34">
        <f t="shared" ref="F16:F35" si="79">AJ15</f>
        <v>0</v>
      </c>
      <c r="G16" s="34">
        <f t="shared" si="61"/>
        <v>0</v>
      </c>
      <c r="H16" s="35">
        <f t="shared" si="62"/>
        <v>0</v>
      </c>
      <c r="I16" s="26">
        <f t="shared" si="7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63"/>
        <v>0</v>
      </c>
      <c r="S16" s="34">
        <f t="shared" si="64"/>
        <v>0</v>
      </c>
      <c r="T16" s="35">
        <f t="shared" si="65"/>
        <v>0</v>
      </c>
      <c r="U16" s="36"/>
      <c r="V16" s="37"/>
      <c r="W16" s="38"/>
      <c r="X16" s="39"/>
      <c r="Y16" s="40"/>
      <c r="Z16" s="40"/>
      <c r="AA16" s="34">
        <f t="shared" si="66"/>
        <v>0</v>
      </c>
      <c r="AB16" s="34">
        <f t="shared" si="67"/>
        <v>0</v>
      </c>
      <c r="AC16" s="291"/>
      <c r="AD16" s="292"/>
      <c r="AE16" s="292"/>
      <c r="AF16" s="34">
        <f t="shared" si="68"/>
        <v>0</v>
      </c>
      <c r="AG16" s="34">
        <f t="shared" si="69"/>
        <v>0</v>
      </c>
      <c r="AH16" s="43"/>
      <c r="AI16" s="38"/>
      <c r="AJ16" s="38"/>
      <c r="AK16" s="34">
        <f t="shared" si="70"/>
        <v>0</v>
      </c>
      <c r="AL16" s="44">
        <f t="shared" si="71"/>
        <v>0</v>
      </c>
      <c r="AM16" s="45">
        <f t="shared" si="72"/>
        <v>0</v>
      </c>
      <c r="AN16" s="46">
        <f t="shared" si="73"/>
        <v>0</v>
      </c>
      <c r="AO16" s="46">
        <f t="shared" si="74"/>
        <v>0</v>
      </c>
      <c r="AP16" s="47" t="e">
        <f t="shared" si="75"/>
        <v>#DIV/0!</v>
      </c>
      <c r="AQ16" s="48">
        <f t="shared" si="76"/>
        <v>0</v>
      </c>
      <c r="AR16" s="49">
        <f t="shared" si="27"/>
        <v>0</v>
      </c>
      <c r="AS16" s="49"/>
    </row>
    <row r="17" spans="2:49" x14ac:dyDescent="0.25">
      <c r="B17" s="22">
        <f t="shared" si="36"/>
        <v>46210</v>
      </c>
      <c r="C17" s="23" t="s">
        <v>55</v>
      </c>
      <c r="D17" s="50">
        <f t="shared" si="77"/>
        <v>0</v>
      </c>
      <c r="E17" s="34">
        <f t="shared" si="78"/>
        <v>0</v>
      </c>
      <c r="F17" s="34">
        <f t="shared" si="79"/>
        <v>0</v>
      </c>
      <c r="G17" s="34">
        <f t="shared" si="61"/>
        <v>0</v>
      </c>
      <c r="H17" s="35">
        <f t="shared" si="62"/>
        <v>0</v>
      </c>
      <c r="I17" s="26">
        <f t="shared" si="7"/>
        <v>0</v>
      </c>
      <c r="J17" s="27"/>
      <c r="K17" s="28"/>
      <c r="L17" s="32"/>
      <c r="M17" s="29"/>
      <c r="N17" s="30"/>
      <c r="O17" s="31"/>
      <c r="P17" s="28"/>
      <c r="Q17" s="32"/>
      <c r="R17" s="53">
        <f t="shared" si="63"/>
        <v>0</v>
      </c>
      <c r="S17" s="34">
        <f t="shared" si="64"/>
        <v>0</v>
      </c>
      <c r="T17" s="35">
        <f t="shared" si="65"/>
        <v>0</v>
      </c>
      <c r="U17" s="36"/>
      <c r="V17" s="37"/>
      <c r="W17" s="38"/>
      <c r="X17" s="39"/>
      <c r="Y17" s="40"/>
      <c r="Z17" s="40"/>
      <c r="AA17" s="34">
        <f t="shared" si="66"/>
        <v>0</v>
      </c>
      <c r="AB17" s="34">
        <f t="shared" si="67"/>
        <v>0</v>
      </c>
      <c r="AC17" s="144"/>
      <c r="AD17" s="145"/>
      <c r="AE17" s="145"/>
      <c r="AF17" s="34">
        <f t="shared" si="68"/>
        <v>0</v>
      </c>
      <c r="AG17" s="34">
        <f t="shared" si="69"/>
        <v>0</v>
      </c>
      <c r="AH17" s="43"/>
      <c r="AI17" s="38"/>
      <c r="AJ17" s="38"/>
      <c r="AK17" s="34">
        <f t="shared" si="70"/>
        <v>0</v>
      </c>
      <c r="AL17" s="44">
        <f t="shared" si="71"/>
        <v>0</v>
      </c>
      <c r="AM17" s="45">
        <f t="shared" si="72"/>
        <v>0</v>
      </c>
      <c r="AN17" s="46">
        <f t="shared" si="73"/>
        <v>0</v>
      </c>
      <c r="AO17" s="46">
        <f t="shared" si="74"/>
        <v>0</v>
      </c>
      <c r="AP17" s="47" t="e">
        <f t="shared" si="75"/>
        <v>#DIV/0!</v>
      </c>
      <c r="AQ17" s="48">
        <f t="shared" si="76"/>
        <v>0</v>
      </c>
      <c r="AR17" s="49">
        <f t="shared" si="27"/>
        <v>0</v>
      </c>
      <c r="AS17" s="49"/>
    </row>
    <row r="18" spans="2:49" x14ac:dyDescent="0.25">
      <c r="B18" s="22">
        <f t="shared" si="36"/>
        <v>46211</v>
      </c>
      <c r="C18" s="23" t="s">
        <v>54</v>
      </c>
      <c r="D18" s="50">
        <f t="shared" ref="D18" si="80">AH17</f>
        <v>0</v>
      </c>
      <c r="E18" s="34">
        <f t="shared" ref="E18" si="81">AI17</f>
        <v>0</v>
      </c>
      <c r="F18" s="34">
        <f t="shared" ref="F18" si="82">AJ17</f>
        <v>0</v>
      </c>
      <c r="G18" s="34">
        <f t="shared" si="61"/>
        <v>0</v>
      </c>
      <c r="H18" s="35">
        <f t="shared" si="62"/>
        <v>0</v>
      </c>
      <c r="I18" s="26">
        <f t="shared" si="7"/>
        <v>0</v>
      </c>
      <c r="J18" s="27"/>
      <c r="K18" s="28"/>
      <c r="L18" s="32"/>
      <c r="M18" s="29"/>
      <c r="N18" s="30"/>
      <c r="O18" s="31"/>
      <c r="P18" s="28"/>
      <c r="Q18" s="32"/>
      <c r="R18" s="53">
        <f t="shared" si="63"/>
        <v>0</v>
      </c>
      <c r="S18" s="34">
        <f t="shared" si="64"/>
        <v>0</v>
      </c>
      <c r="T18" s="35">
        <f t="shared" si="65"/>
        <v>0</v>
      </c>
      <c r="U18" s="36"/>
      <c r="V18" s="37"/>
      <c r="W18" s="38"/>
      <c r="X18" s="39"/>
      <c r="Y18" s="40"/>
      <c r="Z18" s="40"/>
      <c r="AA18" s="34">
        <f t="shared" si="66"/>
        <v>0</v>
      </c>
      <c r="AB18" s="34">
        <f t="shared" si="67"/>
        <v>0</v>
      </c>
      <c r="AC18" s="41"/>
      <c r="AD18" s="42"/>
      <c r="AE18" s="42"/>
      <c r="AF18" s="34">
        <f t="shared" si="68"/>
        <v>0</v>
      </c>
      <c r="AG18" s="34">
        <f t="shared" si="69"/>
        <v>0</v>
      </c>
      <c r="AH18" s="43"/>
      <c r="AI18" s="38"/>
      <c r="AJ18" s="38"/>
      <c r="AK18" s="34">
        <f t="shared" si="70"/>
        <v>0</v>
      </c>
      <c r="AL18" s="44">
        <f t="shared" si="71"/>
        <v>0</v>
      </c>
      <c r="AM18" s="45">
        <f t="shared" si="72"/>
        <v>0</v>
      </c>
      <c r="AN18" s="46">
        <f t="shared" si="73"/>
        <v>0</v>
      </c>
      <c r="AO18" s="46">
        <f t="shared" si="74"/>
        <v>0</v>
      </c>
      <c r="AP18" s="47" t="e">
        <f t="shared" si="75"/>
        <v>#DIV/0!</v>
      </c>
      <c r="AQ18" s="48">
        <f t="shared" si="76"/>
        <v>0</v>
      </c>
      <c r="AR18" s="49">
        <f t="shared" si="27"/>
        <v>0</v>
      </c>
      <c r="AS18" s="49"/>
    </row>
    <row r="19" spans="2:49" x14ac:dyDescent="0.25">
      <c r="B19" s="22">
        <f t="shared" si="36"/>
        <v>46211</v>
      </c>
      <c r="C19" s="23" t="s">
        <v>55</v>
      </c>
      <c r="D19" s="50">
        <f t="shared" si="77"/>
        <v>0</v>
      </c>
      <c r="E19" s="34">
        <f t="shared" si="78"/>
        <v>0</v>
      </c>
      <c r="F19" s="34">
        <f t="shared" si="79"/>
        <v>0</v>
      </c>
      <c r="G19" s="34">
        <f t="shared" si="61"/>
        <v>0</v>
      </c>
      <c r="H19" s="35">
        <f t="shared" si="62"/>
        <v>0</v>
      </c>
      <c r="I19" s="26">
        <f t="shared" si="7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63"/>
        <v>0</v>
      </c>
      <c r="S19" s="34">
        <f t="shared" si="64"/>
        <v>0</v>
      </c>
      <c r="T19" s="35">
        <f t="shared" si="65"/>
        <v>0</v>
      </c>
      <c r="U19" s="36"/>
      <c r="V19" s="37"/>
      <c r="W19" s="38"/>
      <c r="X19" s="39"/>
      <c r="Y19" s="40"/>
      <c r="Z19" s="40"/>
      <c r="AA19" s="34">
        <f t="shared" si="66"/>
        <v>0</v>
      </c>
      <c r="AB19" s="34">
        <f t="shared" si="67"/>
        <v>0</v>
      </c>
      <c r="AC19" s="41"/>
      <c r="AD19" s="42"/>
      <c r="AE19" s="42"/>
      <c r="AF19" s="34">
        <f t="shared" si="68"/>
        <v>0</v>
      </c>
      <c r="AG19" s="34">
        <f t="shared" si="69"/>
        <v>0</v>
      </c>
      <c r="AH19" s="43"/>
      <c r="AI19" s="38"/>
      <c r="AJ19" s="38"/>
      <c r="AK19" s="34">
        <f t="shared" si="70"/>
        <v>0</v>
      </c>
      <c r="AL19" s="44">
        <f t="shared" si="71"/>
        <v>0</v>
      </c>
      <c r="AM19" s="45">
        <f t="shared" si="72"/>
        <v>0</v>
      </c>
      <c r="AN19" s="46">
        <f t="shared" si="73"/>
        <v>0</v>
      </c>
      <c r="AO19" s="46">
        <f t="shared" si="74"/>
        <v>0</v>
      </c>
      <c r="AP19" s="47" t="e">
        <f t="shared" si="75"/>
        <v>#DIV/0!</v>
      </c>
      <c r="AQ19" s="48">
        <f t="shared" si="76"/>
        <v>0</v>
      </c>
      <c r="AR19" s="49">
        <f t="shared" si="27"/>
        <v>0</v>
      </c>
      <c r="AS19" s="49"/>
    </row>
    <row r="20" spans="2:49" x14ac:dyDescent="0.25">
      <c r="B20" s="22">
        <f t="shared" si="36"/>
        <v>46212</v>
      </c>
      <c r="C20" s="23" t="s">
        <v>54</v>
      </c>
      <c r="D20" s="50">
        <f t="shared" si="77"/>
        <v>0</v>
      </c>
      <c r="E20" s="34">
        <f t="shared" si="78"/>
        <v>0</v>
      </c>
      <c r="F20" s="34">
        <f t="shared" si="79"/>
        <v>0</v>
      </c>
      <c r="G20" s="34">
        <f t="shared" si="61"/>
        <v>0</v>
      </c>
      <c r="H20" s="35">
        <f t="shared" si="62"/>
        <v>0</v>
      </c>
      <c r="I20" s="26">
        <f t="shared" si="7"/>
        <v>0</v>
      </c>
      <c r="J20" s="27"/>
      <c r="K20" s="28"/>
      <c r="L20" s="32"/>
      <c r="M20" s="29"/>
      <c r="N20" s="30"/>
      <c r="O20" s="31"/>
      <c r="P20" s="28"/>
      <c r="Q20" s="32"/>
      <c r="R20" s="53">
        <f t="shared" si="63"/>
        <v>0</v>
      </c>
      <c r="S20" s="34">
        <f t="shared" si="64"/>
        <v>0</v>
      </c>
      <c r="T20" s="35">
        <f t="shared" si="65"/>
        <v>0</v>
      </c>
      <c r="U20" s="36"/>
      <c r="V20" s="37"/>
      <c r="W20" s="38"/>
      <c r="X20" s="39"/>
      <c r="Y20" s="40"/>
      <c r="Z20" s="40"/>
      <c r="AA20" s="34">
        <f t="shared" si="66"/>
        <v>0</v>
      </c>
      <c r="AB20" s="34">
        <f t="shared" si="67"/>
        <v>0</v>
      </c>
      <c r="AC20" s="41"/>
      <c r="AD20" s="42"/>
      <c r="AE20" s="42"/>
      <c r="AF20" s="34">
        <f t="shared" si="68"/>
        <v>0</v>
      </c>
      <c r="AG20" s="34">
        <f t="shared" si="69"/>
        <v>0</v>
      </c>
      <c r="AH20" s="43"/>
      <c r="AI20" s="38"/>
      <c r="AJ20" s="38"/>
      <c r="AK20" s="34">
        <f t="shared" si="70"/>
        <v>0</v>
      </c>
      <c r="AL20" s="44">
        <f t="shared" si="71"/>
        <v>0</v>
      </c>
      <c r="AM20" s="45">
        <f t="shared" si="72"/>
        <v>0</v>
      </c>
      <c r="AN20" s="46">
        <f t="shared" si="73"/>
        <v>0</v>
      </c>
      <c r="AO20" s="46">
        <f t="shared" si="74"/>
        <v>0</v>
      </c>
      <c r="AP20" s="47" t="e">
        <f t="shared" si="75"/>
        <v>#DIV/0!</v>
      </c>
      <c r="AQ20" s="48">
        <f t="shared" si="76"/>
        <v>0</v>
      </c>
      <c r="AR20" s="49">
        <f t="shared" si="27"/>
        <v>0</v>
      </c>
      <c r="AS20" s="49"/>
    </row>
    <row r="21" spans="2:49" x14ac:dyDescent="0.25">
      <c r="B21" s="22">
        <f t="shared" si="36"/>
        <v>46212</v>
      </c>
      <c r="C21" s="23" t="s">
        <v>55</v>
      </c>
      <c r="D21" s="50">
        <f t="shared" si="77"/>
        <v>0</v>
      </c>
      <c r="E21" s="34">
        <f t="shared" si="78"/>
        <v>0</v>
      </c>
      <c r="F21" s="34">
        <f t="shared" si="79"/>
        <v>0</v>
      </c>
      <c r="G21" s="34">
        <f t="shared" si="61"/>
        <v>0</v>
      </c>
      <c r="H21" s="35">
        <f t="shared" si="62"/>
        <v>0</v>
      </c>
      <c r="I21" s="26">
        <f t="shared" si="7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si="63"/>
        <v>0</v>
      </c>
      <c r="S21" s="34">
        <f t="shared" si="64"/>
        <v>0</v>
      </c>
      <c r="T21" s="35">
        <f t="shared" si="65"/>
        <v>0</v>
      </c>
      <c r="U21" s="36"/>
      <c r="V21" s="37"/>
      <c r="W21" s="37"/>
      <c r="X21" s="39"/>
      <c r="Y21" s="40"/>
      <c r="Z21" s="40"/>
      <c r="AA21" s="34">
        <f t="shared" si="66"/>
        <v>0</v>
      </c>
      <c r="AB21" s="34">
        <f t="shared" si="67"/>
        <v>0</v>
      </c>
      <c r="AC21" s="129"/>
      <c r="AD21" s="130"/>
      <c r="AE21" s="130"/>
      <c r="AF21" s="34">
        <f t="shared" si="68"/>
        <v>0</v>
      </c>
      <c r="AG21" s="34">
        <f t="shared" si="69"/>
        <v>0</v>
      </c>
      <c r="AH21" s="43"/>
      <c r="AI21" s="38"/>
      <c r="AJ21" s="38"/>
      <c r="AK21" s="34">
        <f t="shared" si="70"/>
        <v>0</v>
      </c>
      <c r="AL21" s="44">
        <f t="shared" si="71"/>
        <v>0</v>
      </c>
      <c r="AM21" s="45">
        <f t="shared" si="72"/>
        <v>0</v>
      </c>
      <c r="AN21" s="46">
        <f t="shared" si="73"/>
        <v>0</v>
      </c>
      <c r="AO21" s="46">
        <f t="shared" si="74"/>
        <v>0</v>
      </c>
      <c r="AP21" s="47" t="e">
        <f t="shared" si="75"/>
        <v>#DIV/0!</v>
      </c>
      <c r="AQ21" s="48">
        <f t="shared" si="76"/>
        <v>0</v>
      </c>
      <c r="AR21" s="49">
        <f t="shared" si="27"/>
        <v>0</v>
      </c>
      <c r="AS21" s="49"/>
    </row>
    <row r="22" spans="2:49" x14ac:dyDescent="0.25">
      <c r="B22" s="22">
        <f t="shared" si="36"/>
        <v>46213</v>
      </c>
      <c r="C22" s="23" t="s">
        <v>54</v>
      </c>
      <c r="D22" s="50">
        <f t="shared" si="77"/>
        <v>0</v>
      </c>
      <c r="E22" s="34">
        <f t="shared" si="78"/>
        <v>0</v>
      </c>
      <c r="F22" s="34">
        <f t="shared" si="79"/>
        <v>0</v>
      </c>
      <c r="G22" s="34">
        <f t="shared" si="61"/>
        <v>0</v>
      </c>
      <c r="H22" s="35">
        <f t="shared" si="62"/>
        <v>0</v>
      </c>
      <c r="I22" s="26">
        <f t="shared" si="7"/>
        <v>0</v>
      </c>
      <c r="J22" s="27"/>
      <c r="K22" s="28"/>
      <c r="L22" s="32"/>
      <c r="M22" s="29"/>
      <c r="N22" s="30"/>
      <c r="O22" s="31"/>
      <c r="P22" s="28"/>
      <c r="Q22" s="32"/>
      <c r="R22" s="53">
        <f t="shared" si="63"/>
        <v>0</v>
      </c>
      <c r="S22" s="34">
        <f t="shared" si="64"/>
        <v>0</v>
      </c>
      <c r="T22" s="35">
        <f t="shared" si="65"/>
        <v>0</v>
      </c>
      <c r="U22" s="36"/>
      <c r="V22" s="37"/>
      <c r="W22" s="37"/>
      <c r="X22" s="39"/>
      <c r="Y22" s="40"/>
      <c r="Z22" s="40"/>
      <c r="AA22" s="34">
        <f t="shared" si="66"/>
        <v>0</v>
      </c>
      <c r="AB22" s="34">
        <f t="shared" si="67"/>
        <v>0</v>
      </c>
      <c r="AC22" s="129"/>
      <c r="AD22" s="130"/>
      <c r="AE22" s="130"/>
      <c r="AF22" s="34">
        <f t="shared" si="68"/>
        <v>0</v>
      </c>
      <c r="AG22" s="34">
        <f t="shared" si="69"/>
        <v>0</v>
      </c>
      <c r="AH22" s="43"/>
      <c r="AI22" s="38"/>
      <c r="AJ22" s="38"/>
      <c r="AK22" s="34">
        <f t="shared" si="70"/>
        <v>0</v>
      </c>
      <c r="AL22" s="44">
        <f t="shared" si="71"/>
        <v>0</v>
      </c>
      <c r="AM22" s="45">
        <f t="shared" si="72"/>
        <v>0</v>
      </c>
      <c r="AN22" s="46">
        <f t="shared" si="73"/>
        <v>0</v>
      </c>
      <c r="AO22" s="46">
        <f t="shared" si="74"/>
        <v>0</v>
      </c>
      <c r="AP22" s="47" t="e">
        <f t="shared" si="75"/>
        <v>#DIV/0!</v>
      </c>
      <c r="AQ22" s="48">
        <f t="shared" si="76"/>
        <v>0</v>
      </c>
      <c r="AR22" s="49">
        <f t="shared" si="27"/>
        <v>0</v>
      </c>
      <c r="AS22" s="49"/>
    </row>
    <row r="23" spans="2:49" x14ac:dyDescent="0.25">
      <c r="B23" s="22">
        <f t="shared" si="36"/>
        <v>46213</v>
      </c>
      <c r="C23" s="23" t="s">
        <v>55</v>
      </c>
      <c r="D23" s="50">
        <f t="shared" si="77"/>
        <v>0</v>
      </c>
      <c r="E23" s="34">
        <f t="shared" si="78"/>
        <v>0</v>
      </c>
      <c r="F23" s="34">
        <f t="shared" si="79"/>
        <v>0</v>
      </c>
      <c r="G23" s="34">
        <f t="shared" si="61"/>
        <v>0</v>
      </c>
      <c r="H23" s="35">
        <f t="shared" si="62"/>
        <v>0</v>
      </c>
      <c r="I23" s="26">
        <f t="shared" si="7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63"/>
        <v>0</v>
      </c>
      <c r="S23" s="34">
        <f t="shared" si="64"/>
        <v>0</v>
      </c>
      <c r="T23" s="35">
        <f t="shared" si="65"/>
        <v>0</v>
      </c>
      <c r="U23" s="36"/>
      <c r="V23" s="37"/>
      <c r="W23" s="37"/>
      <c r="X23" s="39"/>
      <c r="Y23" s="40"/>
      <c r="Z23" s="40"/>
      <c r="AA23" s="34">
        <f t="shared" si="66"/>
        <v>0</v>
      </c>
      <c r="AB23" s="34">
        <f t="shared" si="67"/>
        <v>0</v>
      </c>
      <c r="AC23" s="144"/>
      <c r="AD23" s="145"/>
      <c r="AE23" s="145"/>
      <c r="AF23" s="34">
        <f t="shared" si="68"/>
        <v>0</v>
      </c>
      <c r="AG23" s="34">
        <f t="shared" si="69"/>
        <v>0</v>
      </c>
      <c r="AH23" s="43"/>
      <c r="AI23" s="38"/>
      <c r="AJ23" s="56"/>
      <c r="AK23" s="34">
        <f t="shared" si="70"/>
        <v>0</v>
      </c>
      <c r="AL23" s="44">
        <f t="shared" si="71"/>
        <v>0</v>
      </c>
      <c r="AM23" s="45">
        <f t="shared" si="72"/>
        <v>0</v>
      </c>
      <c r="AN23" s="46">
        <f t="shared" si="73"/>
        <v>0</v>
      </c>
      <c r="AO23" s="46">
        <f t="shared" si="74"/>
        <v>0</v>
      </c>
      <c r="AP23" s="47" t="e">
        <f t="shared" si="75"/>
        <v>#DIV/0!</v>
      </c>
      <c r="AQ23" s="48">
        <f t="shared" si="76"/>
        <v>0</v>
      </c>
      <c r="AR23" s="49">
        <f t="shared" si="27"/>
        <v>0</v>
      </c>
      <c r="AS23" s="49"/>
    </row>
    <row r="24" spans="2:49" x14ac:dyDescent="0.25">
      <c r="B24" s="22">
        <f t="shared" si="36"/>
        <v>46214</v>
      </c>
      <c r="C24" s="23" t="s">
        <v>54</v>
      </c>
      <c r="D24" s="50">
        <f t="shared" ref="D24" si="83">AH23</f>
        <v>0</v>
      </c>
      <c r="E24" s="34">
        <f t="shared" ref="E24" si="84">AI23</f>
        <v>0</v>
      </c>
      <c r="F24" s="34">
        <f t="shared" ref="F24" si="85">AJ23</f>
        <v>0</v>
      </c>
      <c r="G24" s="34">
        <f t="shared" si="61"/>
        <v>0</v>
      </c>
      <c r="H24" s="35">
        <f t="shared" si="62"/>
        <v>0</v>
      </c>
      <c r="I24" s="26">
        <f t="shared" si="7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63"/>
        <v>0</v>
      </c>
      <c r="S24" s="34">
        <f t="shared" si="64"/>
        <v>0</v>
      </c>
      <c r="T24" s="35">
        <f t="shared" si="65"/>
        <v>0</v>
      </c>
      <c r="U24" s="36"/>
      <c r="V24" s="37"/>
      <c r="W24" s="37"/>
      <c r="X24" s="39"/>
      <c r="Y24" s="40"/>
      <c r="Z24" s="40"/>
      <c r="AA24" s="34">
        <f t="shared" si="66"/>
        <v>0</v>
      </c>
      <c r="AB24" s="34">
        <f t="shared" si="67"/>
        <v>0</v>
      </c>
      <c r="AC24" s="41"/>
      <c r="AD24" s="42"/>
      <c r="AE24" s="42"/>
      <c r="AF24" s="34">
        <f t="shared" si="68"/>
        <v>0</v>
      </c>
      <c r="AG24" s="34">
        <f t="shared" si="69"/>
        <v>0</v>
      </c>
      <c r="AH24" s="43"/>
      <c r="AI24" s="38"/>
      <c r="AJ24" s="38"/>
      <c r="AK24" s="34">
        <f t="shared" si="70"/>
        <v>0</v>
      </c>
      <c r="AL24" s="44">
        <f t="shared" si="71"/>
        <v>0</v>
      </c>
      <c r="AM24" s="45">
        <f t="shared" si="72"/>
        <v>0</v>
      </c>
      <c r="AN24" s="46">
        <f t="shared" si="73"/>
        <v>0</v>
      </c>
      <c r="AO24" s="46">
        <f t="shared" si="74"/>
        <v>0</v>
      </c>
      <c r="AP24" s="47" t="e">
        <f t="shared" si="75"/>
        <v>#DIV/0!</v>
      </c>
      <c r="AQ24" s="48">
        <f t="shared" si="76"/>
        <v>0</v>
      </c>
      <c r="AR24" s="49">
        <f t="shared" si="27"/>
        <v>0</v>
      </c>
      <c r="AS24" s="49"/>
    </row>
    <row r="25" spans="2:49" x14ac:dyDescent="0.25">
      <c r="B25" s="22">
        <f t="shared" si="36"/>
        <v>46214</v>
      </c>
      <c r="C25" s="23" t="s">
        <v>55</v>
      </c>
      <c r="D25" s="50">
        <f t="shared" si="77"/>
        <v>0</v>
      </c>
      <c r="E25" s="34">
        <f t="shared" si="78"/>
        <v>0</v>
      </c>
      <c r="F25" s="34">
        <f t="shared" si="79"/>
        <v>0</v>
      </c>
      <c r="G25" s="34">
        <f t="shared" si="61"/>
        <v>0</v>
      </c>
      <c r="H25" s="35">
        <f t="shared" si="62"/>
        <v>0</v>
      </c>
      <c r="I25" s="26">
        <f t="shared" si="7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63"/>
        <v>0</v>
      </c>
      <c r="S25" s="34">
        <f t="shared" si="64"/>
        <v>0</v>
      </c>
      <c r="T25" s="35">
        <f t="shared" si="65"/>
        <v>0</v>
      </c>
      <c r="U25" s="132"/>
      <c r="V25" s="37"/>
      <c r="W25" s="37"/>
      <c r="X25" s="39"/>
      <c r="Y25" s="40"/>
      <c r="Z25" s="40"/>
      <c r="AA25" s="34">
        <f t="shared" si="66"/>
        <v>0</v>
      </c>
      <c r="AB25" s="34">
        <f t="shared" si="67"/>
        <v>0</v>
      </c>
      <c r="AC25" s="291"/>
      <c r="AD25" s="292"/>
      <c r="AE25" s="292"/>
      <c r="AF25" s="34">
        <f t="shared" si="68"/>
        <v>0</v>
      </c>
      <c r="AG25" s="34">
        <f t="shared" si="69"/>
        <v>0</v>
      </c>
      <c r="AH25" s="43"/>
      <c r="AI25" s="38"/>
      <c r="AJ25" s="38"/>
      <c r="AK25" s="34">
        <f t="shared" si="70"/>
        <v>0</v>
      </c>
      <c r="AL25" s="44">
        <f t="shared" si="71"/>
        <v>0</v>
      </c>
      <c r="AM25" s="45">
        <f t="shared" si="72"/>
        <v>0</v>
      </c>
      <c r="AN25" s="46">
        <f t="shared" si="73"/>
        <v>0</v>
      </c>
      <c r="AO25" s="46">
        <f t="shared" si="74"/>
        <v>0</v>
      </c>
      <c r="AP25" s="47" t="e">
        <f t="shared" si="75"/>
        <v>#DIV/0!</v>
      </c>
      <c r="AQ25" s="48">
        <f t="shared" si="76"/>
        <v>0</v>
      </c>
      <c r="AR25" s="49">
        <f t="shared" si="27"/>
        <v>0</v>
      </c>
      <c r="AS25" s="49"/>
    </row>
    <row r="26" spans="2:49" x14ac:dyDescent="0.25">
      <c r="B26" s="22">
        <f t="shared" si="36"/>
        <v>46215</v>
      </c>
      <c r="C26" s="23" t="s">
        <v>54</v>
      </c>
      <c r="D26" s="50">
        <f t="shared" si="77"/>
        <v>0</v>
      </c>
      <c r="E26" s="34">
        <f t="shared" si="78"/>
        <v>0</v>
      </c>
      <c r="F26" s="34">
        <f t="shared" si="79"/>
        <v>0</v>
      </c>
      <c r="G26" s="34">
        <f t="shared" si="61"/>
        <v>0</v>
      </c>
      <c r="H26" s="35">
        <f t="shared" si="62"/>
        <v>0</v>
      </c>
      <c r="I26" s="26">
        <f t="shared" si="7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si="63"/>
        <v>0</v>
      </c>
      <c r="S26" s="34">
        <f t="shared" si="64"/>
        <v>0</v>
      </c>
      <c r="T26" s="35">
        <f t="shared" si="65"/>
        <v>0</v>
      </c>
      <c r="U26" s="36"/>
      <c r="V26" s="37"/>
      <c r="W26" s="38"/>
      <c r="X26" s="39"/>
      <c r="Y26" s="40"/>
      <c r="Z26" s="40"/>
      <c r="AA26" s="34">
        <f t="shared" si="66"/>
        <v>0</v>
      </c>
      <c r="AB26" s="34">
        <f t="shared" si="67"/>
        <v>0</v>
      </c>
      <c r="AC26" s="41"/>
      <c r="AD26" s="42"/>
      <c r="AE26" s="42"/>
      <c r="AF26" s="34">
        <f t="shared" si="68"/>
        <v>0</v>
      </c>
      <c r="AG26" s="34">
        <f t="shared" si="69"/>
        <v>0</v>
      </c>
      <c r="AH26" s="43"/>
      <c r="AI26" s="38"/>
      <c r="AJ26" s="38"/>
      <c r="AK26" s="34">
        <f t="shared" si="70"/>
        <v>0</v>
      </c>
      <c r="AL26" s="44">
        <f t="shared" si="71"/>
        <v>0</v>
      </c>
      <c r="AM26" s="45">
        <f t="shared" si="72"/>
        <v>0</v>
      </c>
      <c r="AN26" s="46">
        <f t="shared" si="73"/>
        <v>0</v>
      </c>
      <c r="AO26" s="46">
        <f t="shared" si="74"/>
        <v>0</v>
      </c>
      <c r="AP26" s="47" t="e">
        <f t="shared" si="75"/>
        <v>#DIV/0!</v>
      </c>
      <c r="AQ26" s="48">
        <f t="shared" si="76"/>
        <v>0</v>
      </c>
      <c r="AR26" s="49">
        <f t="shared" si="27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6"/>
        <v>46215</v>
      </c>
      <c r="C27" s="23" t="s">
        <v>55</v>
      </c>
      <c r="D27" s="50">
        <f t="shared" si="77"/>
        <v>0</v>
      </c>
      <c r="E27" s="34">
        <f t="shared" si="78"/>
        <v>0</v>
      </c>
      <c r="F27" s="34">
        <f t="shared" si="79"/>
        <v>0</v>
      </c>
      <c r="G27" s="34">
        <f t="shared" si="61"/>
        <v>0</v>
      </c>
      <c r="H27" s="35">
        <f t="shared" si="62"/>
        <v>0</v>
      </c>
      <c r="I27" s="26">
        <f t="shared" si="7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63"/>
        <v>0</v>
      </c>
      <c r="S27" s="34">
        <f t="shared" si="64"/>
        <v>0</v>
      </c>
      <c r="T27" s="35">
        <f t="shared" si="65"/>
        <v>0</v>
      </c>
      <c r="U27" s="36"/>
      <c r="V27" s="37"/>
      <c r="W27" s="38"/>
      <c r="X27" s="39"/>
      <c r="Y27" s="40"/>
      <c r="Z27" s="40"/>
      <c r="AA27" s="34">
        <f t="shared" si="66"/>
        <v>0</v>
      </c>
      <c r="AB27" s="34">
        <f t="shared" si="67"/>
        <v>0</v>
      </c>
      <c r="AC27" s="129"/>
      <c r="AD27" s="130"/>
      <c r="AE27" s="130"/>
      <c r="AF27" s="34">
        <f t="shared" si="68"/>
        <v>0</v>
      </c>
      <c r="AG27" s="34">
        <f t="shared" si="69"/>
        <v>0</v>
      </c>
      <c r="AH27" s="43"/>
      <c r="AI27" s="38"/>
      <c r="AJ27" s="38"/>
      <c r="AK27" s="34">
        <f t="shared" si="70"/>
        <v>0</v>
      </c>
      <c r="AL27" s="44">
        <f t="shared" si="71"/>
        <v>0</v>
      </c>
      <c r="AM27" s="45">
        <f t="shared" si="72"/>
        <v>0</v>
      </c>
      <c r="AN27" s="46">
        <f t="shared" si="73"/>
        <v>0</v>
      </c>
      <c r="AO27" s="46">
        <f t="shared" si="74"/>
        <v>0</v>
      </c>
      <c r="AP27" s="47" t="e">
        <f t="shared" si="75"/>
        <v>#DIV/0!</v>
      </c>
      <c r="AQ27" s="48">
        <f t="shared" si="76"/>
        <v>0</v>
      </c>
      <c r="AR27" s="49">
        <f t="shared" si="27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2:49" x14ac:dyDescent="0.25">
      <c r="B28" s="22">
        <f t="shared" si="36"/>
        <v>46216</v>
      </c>
      <c r="C28" s="23" t="s">
        <v>54</v>
      </c>
      <c r="D28" s="50">
        <f t="shared" si="77"/>
        <v>0</v>
      </c>
      <c r="E28" s="34">
        <f t="shared" si="78"/>
        <v>0</v>
      </c>
      <c r="F28" s="34">
        <f t="shared" si="79"/>
        <v>0</v>
      </c>
      <c r="G28" s="34">
        <f t="shared" si="61"/>
        <v>0</v>
      </c>
      <c r="H28" s="35">
        <f t="shared" si="62"/>
        <v>0</v>
      </c>
      <c r="I28" s="26">
        <f t="shared" si="7"/>
        <v>0</v>
      </c>
      <c r="J28" s="27"/>
      <c r="K28" s="28"/>
      <c r="L28" s="32"/>
      <c r="M28" s="29"/>
      <c r="N28" s="30"/>
      <c r="O28" s="31"/>
      <c r="P28" s="28"/>
      <c r="Q28" s="32"/>
      <c r="R28" s="53">
        <f t="shared" si="63"/>
        <v>0</v>
      </c>
      <c r="S28" s="34">
        <f t="shared" si="64"/>
        <v>0</v>
      </c>
      <c r="T28" s="35">
        <f t="shared" si="65"/>
        <v>0</v>
      </c>
      <c r="U28" s="36"/>
      <c r="V28" s="37"/>
      <c r="W28" s="38"/>
      <c r="X28" s="39"/>
      <c r="Y28" s="40"/>
      <c r="Z28" s="40"/>
      <c r="AA28" s="34">
        <f t="shared" ref="AA28:AA34" si="86">X28*Y28%</f>
        <v>0</v>
      </c>
      <c r="AB28" s="34">
        <f t="shared" ref="AB28:AB34" si="87">X28*Z28%</f>
        <v>0</v>
      </c>
      <c r="AC28" s="129"/>
      <c r="AD28" s="130"/>
      <c r="AE28" s="130"/>
      <c r="AF28" s="34">
        <f t="shared" si="68"/>
        <v>0</v>
      </c>
      <c r="AG28" s="34">
        <f t="shared" si="69"/>
        <v>0</v>
      </c>
      <c r="AH28" s="43"/>
      <c r="AI28" s="38"/>
      <c r="AJ28" s="38"/>
      <c r="AK28" s="34">
        <f t="shared" si="70"/>
        <v>0</v>
      </c>
      <c r="AL28" s="44">
        <f t="shared" si="71"/>
        <v>0</v>
      </c>
      <c r="AM28" s="45">
        <f t="shared" si="72"/>
        <v>0</v>
      </c>
      <c r="AN28" s="46">
        <f t="shared" si="73"/>
        <v>0</v>
      </c>
      <c r="AO28" s="46">
        <f t="shared" si="74"/>
        <v>0</v>
      </c>
      <c r="AP28" s="47" t="e">
        <f t="shared" si="75"/>
        <v>#DIV/0!</v>
      </c>
      <c r="AQ28" s="48">
        <f t="shared" si="76"/>
        <v>0</v>
      </c>
      <c r="AR28" s="49">
        <f t="shared" ref="AR28:AR34" si="88">(D28+J28+O28)-(X28+AH28)</f>
        <v>0</v>
      </c>
    </row>
    <row r="29" spans="2:49" x14ac:dyDescent="0.25">
      <c r="B29" s="22">
        <f t="shared" si="36"/>
        <v>46216</v>
      </c>
      <c r="C29" s="23" t="s">
        <v>55</v>
      </c>
      <c r="D29" s="50">
        <f t="shared" si="77"/>
        <v>0</v>
      </c>
      <c r="E29" s="34">
        <f t="shared" si="78"/>
        <v>0</v>
      </c>
      <c r="F29" s="34">
        <f t="shared" si="79"/>
        <v>0</v>
      </c>
      <c r="G29" s="34">
        <f t="shared" si="61"/>
        <v>0</v>
      </c>
      <c r="H29" s="35">
        <f t="shared" si="62"/>
        <v>0</v>
      </c>
      <c r="I29" s="26">
        <f t="shared" si="7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63"/>
        <v>0</v>
      </c>
      <c r="S29" s="34">
        <f t="shared" si="64"/>
        <v>0</v>
      </c>
      <c r="T29" s="35">
        <f t="shared" si="65"/>
        <v>0</v>
      </c>
      <c r="U29" s="36"/>
      <c r="V29" s="37"/>
      <c r="W29" s="38"/>
      <c r="X29" s="39"/>
      <c r="Y29" s="40"/>
      <c r="Z29" s="40"/>
      <c r="AA29" s="34">
        <f t="shared" si="86"/>
        <v>0</v>
      </c>
      <c r="AB29" s="34">
        <f t="shared" si="87"/>
        <v>0</v>
      </c>
      <c r="AC29" s="41"/>
      <c r="AD29" s="42"/>
      <c r="AE29" s="42"/>
      <c r="AF29" s="34">
        <f t="shared" si="68"/>
        <v>0</v>
      </c>
      <c r="AG29" s="34">
        <f t="shared" si="69"/>
        <v>0</v>
      </c>
      <c r="AH29" s="43"/>
      <c r="AI29" s="38"/>
      <c r="AJ29" s="38"/>
      <c r="AK29" s="34">
        <f t="shared" si="70"/>
        <v>0</v>
      </c>
      <c r="AL29" s="44">
        <f t="shared" si="71"/>
        <v>0</v>
      </c>
      <c r="AM29" s="45">
        <f t="shared" si="72"/>
        <v>0</v>
      </c>
      <c r="AN29" s="46">
        <f t="shared" si="73"/>
        <v>0</v>
      </c>
      <c r="AO29" s="46">
        <f t="shared" si="74"/>
        <v>0</v>
      </c>
      <c r="AP29" s="47" t="e">
        <f t="shared" si="75"/>
        <v>#DIV/0!</v>
      </c>
      <c r="AQ29" s="48">
        <f t="shared" si="76"/>
        <v>0</v>
      </c>
      <c r="AR29" s="49">
        <f t="shared" si="88"/>
        <v>0</v>
      </c>
    </row>
    <row r="30" spans="2:49" x14ac:dyDescent="0.25">
      <c r="B30" s="22">
        <f t="shared" si="36"/>
        <v>46217</v>
      </c>
      <c r="C30" s="23" t="s">
        <v>54</v>
      </c>
      <c r="D30" s="50">
        <f t="shared" si="77"/>
        <v>0</v>
      </c>
      <c r="E30" s="34">
        <f t="shared" si="78"/>
        <v>0</v>
      </c>
      <c r="F30" s="34">
        <f t="shared" si="79"/>
        <v>0</v>
      </c>
      <c r="G30" s="34">
        <f t="shared" si="61"/>
        <v>0</v>
      </c>
      <c r="H30" s="35">
        <f t="shared" si="62"/>
        <v>0</v>
      </c>
      <c r="I30" s="26">
        <f t="shared" si="7"/>
        <v>0</v>
      </c>
      <c r="J30" s="27"/>
      <c r="K30" s="28"/>
      <c r="L30" s="32"/>
      <c r="M30" s="29"/>
      <c r="N30" s="30"/>
      <c r="O30" s="31"/>
      <c r="P30" s="28"/>
      <c r="Q30" s="32"/>
      <c r="R30" s="53">
        <f t="shared" si="63"/>
        <v>0</v>
      </c>
      <c r="S30" s="34">
        <f t="shared" si="64"/>
        <v>0</v>
      </c>
      <c r="T30" s="35">
        <f t="shared" si="65"/>
        <v>0</v>
      </c>
      <c r="U30" s="36"/>
      <c r="V30" s="37"/>
      <c r="W30" s="38"/>
      <c r="X30" s="39"/>
      <c r="Y30" s="40"/>
      <c r="Z30" s="40"/>
      <c r="AA30" s="34">
        <f t="shared" si="86"/>
        <v>0</v>
      </c>
      <c r="AB30" s="34">
        <f t="shared" si="87"/>
        <v>0</v>
      </c>
      <c r="AC30" s="41"/>
      <c r="AD30" s="42"/>
      <c r="AE30" s="42"/>
      <c r="AF30" s="34">
        <f t="shared" si="68"/>
        <v>0</v>
      </c>
      <c r="AG30" s="34">
        <f t="shared" si="69"/>
        <v>0</v>
      </c>
      <c r="AH30" s="43"/>
      <c r="AI30" s="38"/>
      <c r="AJ30" s="38"/>
      <c r="AK30" s="34">
        <f t="shared" si="70"/>
        <v>0</v>
      </c>
      <c r="AL30" s="44">
        <f t="shared" si="71"/>
        <v>0</v>
      </c>
      <c r="AM30" s="45">
        <f t="shared" si="72"/>
        <v>0</v>
      </c>
      <c r="AN30" s="46">
        <f t="shared" si="73"/>
        <v>0</v>
      </c>
      <c r="AO30" s="46">
        <f t="shared" si="74"/>
        <v>0</v>
      </c>
      <c r="AP30" s="47" t="e">
        <f t="shared" si="75"/>
        <v>#DIV/0!</v>
      </c>
      <c r="AQ30" s="48">
        <f t="shared" si="76"/>
        <v>0</v>
      </c>
      <c r="AR30" s="49">
        <f t="shared" si="88"/>
        <v>0</v>
      </c>
    </row>
    <row r="31" spans="2:49" x14ac:dyDescent="0.25">
      <c r="B31" s="22">
        <f t="shared" si="36"/>
        <v>46217</v>
      </c>
      <c r="C31" s="23" t="s">
        <v>55</v>
      </c>
      <c r="D31" s="50">
        <f t="shared" si="77"/>
        <v>0</v>
      </c>
      <c r="E31" s="34">
        <f t="shared" si="78"/>
        <v>0</v>
      </c>
      <c r="F31" s="34">
        <f t="shared" si="79"/>
        <v>0</v>
      </c>
      <c r="G31" s="34">
        <f t="shared" si="61"/>
        <v>0</v>
      </c>
      <c r="H31" s="35">
        <f t="shared" si="62"/>
        <v>0</v>
      </c>
      <c r="I31" s="26">
        <f t="shared" si="7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63"/>
        <v>0</v>
      </c>
      <c r="S31" s="34">
        <f t="shared" si="64"/>
        <v>0</v>
      </c>
      <c r="T31" s="35">
        <f t="shared" si="65"/>
        <v>0</v>
      </c>
      <c r="U31" s="36"/>
      <c r="V31" s="37"/>
      <c r="W31" s="38"/>
      <c r="X31" s="39"/>
      <c r="Y31" s="40"/>
      <c r="Z31" s="40"/>
      <c r="AA31" s="34">
        <f t="shared" si="86"/>
        <v>0</v>
      </c>
      <c r="AB31" s="34">
        <f t="shared" si="87"/>
        <v>0</v>
      </c>
      <c r="AC31" s="41"/>
      <c r="AD31" s="42"/>
      <c r="AE31" s="42"/>
      <c r="AF31" s="34">
        <f t="shared" si="68"/>
        <v>0</v>
      </c>
      <c r="AG31" s="34">
        <f t="shared" si="69"/>
        <v>0</v>
      </c>
      <c r="AH31" s="43"/>
      <c r="AI31" s="38"/>
      <c r="AJ31" s="38"/>
      <c r="AK31" s="34">
        <f t="shared" si="70"/>
        <v>0</v>
      </c>
      <c r="AL31" s="44">
        <f t="shared" si="71"/>
        <v>0</v>
      </c>
      <c r="AM31" s="45">
        <f t="shared" si="72"/>
        <v>0</v>
      </c>
      <c r="AN31" s="46">
        <f t="shared" si="73"/>
        <v>0</v>
      </c>
      <c r="AO31" s="46">
        <f t="shared" si="74"/>
        <v>0</v>
      </c>
      <c r="AP31" s="47" t="e">
        <f t="shared" si="75"/>
        <v>#DIV/0!</v>
      </c>
      <c r="AQ31" s="48">
        <f t="shared" si="76"/>
        <v>0</v>
      </c>
      <c r="AR31" s="49">
        <f t="shared" si="88"/>
        <v>0</v>
      </c>
    </row>
    <row r="32" spans="2:49" x14ac:dyDescent="0.25">
      <c r="B32" s="22">
        <f t="shared" si="36"/>
        <v>46218</v>
      </c>
      <c r="C32" s="23" t="s">
        <v>54</v>
      </c>
      <c r="D32" s="50">
        <f t="shared" ref="D32" si="89">AH31</f>
        <v>0</v>
      </c>
      <c r="E32" s="34">
        <f t="shared" ref="E32" si="90">AI31</f>
        <v>0</v>
      </c>
      <c r="F32" s="34">
        <f t="shared" ref="F32" si="91">AJ31</f>
        <v>0</v>
      </c>
      <c r="G32" s="34">
        <f t="shared" si="61"/>
        <v>0</v>
      </c>
      <c r="H32" s="35">
        <f t="shared" si="62"/>
        <v>0</v>
      </c>
      <c r="I32" s="26">
        <f t="shared" si="7"/>
        <v>0</v>
      </c>
      <c r="J32" s="27"/>
      <c r="K32" s="28"/>
      <c r="L32" s="32"/>
      <c r="M32" s="29"/>
      <c r="N32" s="30"/>
      <c r="O32" s="31"/>
      <c r="P32" s="28"/>
      <c r="Q32" s="32"/>
      <c r="R32" s="53">
        <f t="shared" si="63"/>
        <v>0</v>
      </c>
      <c r="S32" s="34">
        <f t="shared" si="64"/>
        <v>0</v>
      </c>
      <c r="T32" s="35">
        <f t="shared" si="65"/>
        <v>0</v>
      </c>
      <c r="U32" s="36"/>
      <c r="V32" s="37"/>
      <c r="W32" s="38"/>
      <c r="X32" s="39"/>
      <c r="Y32" s="40"/>
      <c r="Z32" s="40"/>
      <c r="AA32" s="34">
        <f t="shared" si="86"/>
        <v>0</v>
      </c>
      <c r="AB32" s="34">
        <f t="shared" si="87"/>
        <v>0</v>
      </c>
      <c r="AC32" s="144"/>
      <c r="AD32" s="145"/>
      <c r="AE32" s="145"/>
      <c r="AF32" s="34">
        <f t="shared" si="68"/>
        <v>0</v>
      </c>
      <c r="AG32" s="34">
        <f t="shared" si="69"/>
        <v>0</v>
      </c>
      <c r="AH32" s="43"/>
      <c r="AI32" s="38"/>
      <c r="AJ32" s="38"/>
      <c r="AK32" s="34">
        <f t="shared" si="70"/>
        <v>0</v>
      </c>
      <c r="AL32" s="44">
        <f t="shared" si="71"/>
        <v>0</v>
      </c>
      <c r="AM32" s="45">
        <f t="shared" si="72"/>
        <v>0</v>
      </c>
      <c r="AN32" s="46">
        <f t="shared" si="73"/>
        <v>0</v>
      </c>
      <c r="AO32" s="46">
        <f t="shared" si="74"/>
        <v>0</v>
      </c>
      <c r="AP32" s="47" t="e">
        <f t="shared" si="75"/>
        <v>#DIV/0!</v>
      </c>
      <c r="AQ32" s="48">
        <f t="shared" si="76"/>
        <v>0</v>
      </c>
      <c r="AR32" s="49">
        <f t="shared" si="88"/>
        <v>0</v>
      </c>
    </row>
    <row r="33" spans="2:49" x14ac:dyDescent="0.25">
      <c r="B33" s="22">
        <f t="shared" si="36"/>
        <v>46218</v>
      </c>
      <c r="C33" s="23" t="s">
        <v>55</v>
      </c>
      <c r="D33" s="50">
        <f t="shared" si="77"/>
        <v>0</v>
      </c>
      <c r="E33" s="34">
        <f t="shared" si="78"/>
        <v>0</v>
      </c>
      <c r="F33" s="34">
        <f t="shared" si="79"/>
        <v>0</v>
      </c>
      <c r="G33" s="34">
        <f t="shared" si="61"/>
        <v>0</v>
      </c>
      <c r="H33" s="35">
        <f t="shared" si="62"/>
        <v>0</v>
      </c>
      <c r="I33" s="26">
        <f t="shared" si="7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63"/>
        <v>0</v>
      </c>
      <c r="S33" s="34">
        <f t="shared" si="64"/>
        <v>0</v>
      </c>
      <c r="T33" s="35">
        <f t="shared" si="65"/>
        <v>0</v>
      </c>
      <c r="U33" s="36"/>
      <c r="V33" s="37"/>
      <c r="W33" s="38"/>
      <c r="X33" s="39"/>
      <c r="Y33" s="40"/>
      <c r="Z33" s="40"/>
      <c r="AA33" s="34">
        <f t="shared" si="86"/>
        <v>0</v>
      </c>
      <c r="AB33" s="34">
        <f t="shared" si="87"/>
        <v>0</v>
      </c>
      <c r="AC33" s="41"/>
      <c r="AD33" s="42"/>
      <c r="AE33" s="42"/>
      <c r="AF33" s="34">
        <f t="shared" si="68"/>
        <v>0</v>
      </c>
      <c r="AG33" s="34">
        <f t="shared" si="69"/>
        <v>0</v>
      </c>
      <c r="AH33" s="43"/>
      <c r="AI33" s="38"/>
      <c r="AJ33" s="38"/>
      <c r="AK33" s="34">
        <f t="shared" si="70"/>
        <v>0</v>
      </c>
      <c r="AL33" s="44">
        <f t="shared" si="71"/>
        <v>0</v>
      </c>
      <c r="AM33" s="45">
        <f t="shared" si="72"/>
        <v>0</v>
      </c>
      <c r="AN33" s="46">
        <f t="shared" si="73"/>
        <v>0</v>
      </c>
      <c r="AO33" s="46">
        <f t="shared" si="74"/>
        <v>0</v>
      </c>
      <c r="AP33" s="47" t="e">
        <f t="shared" si="75"/>
        <v>#DIV/0!</v>
      </c>
      <c r="AQ33" s="48">
        <f t="shared" si="76"/>
        <v>0</v>
      </c>
      <c r="AR33" s="49">
        <f t="shared" si="88"/>
        <v>0</v>
      </c>
      <c r="AS33">
        <f>1137+481</f>
        <v>1618</v>
      </c>
    </row>
    <row r="34" spans="2:49" x14ac:dyDescent="0.25">
      <c r="B34" s="22">
        <f t="shared" si="36"/>
        <v>46219</v>
      </c>
      <c r="C34" s="23" t="s">
        <v>54</v>
      </c>
      <c r="D34" s="50">
        <f t="shared" si="77"/>
        <v>0</v>
      </c>
      <c r="E34" s="34">
        <f t="shared" si="78"/>
        <v>0</v>
      </c>
      <c r="F34" s="34">
        <f t="shared" si="79"/>
        <v>0</v>
      </c>
      <c r="G34" s="34">
        <f t="shared" si="61"/>
        <v>0</v>
      </c>
      <c r="H34" s="35">
        <f t="shared" si="62"/>
        <v>0</v>
      </c>
      <c r="I34" s="26">
        <f t="shared" si="7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63"/>
        <v>0</v>
      </c>
      <c r="S34" s="34">
        <f t="shared" si="64"/>
        <v>0</v>
      </c>
      <c r="T34" s="35">
        <f t="shared" si="65"/>
        <v>0</v>
      </c>
      <c r="U34" s="36"/>
      <c r="V34" s="37"/>
      <c r="W34" s="38"/>
      <c r="X34" s="39"/>
      <c r="Y34" s="40"/>
      <c r="Z34" s="40"/>
      <c r="AA34" s="34">
        <f t="shared" si="86"/>
        <v>0</v>
      </c>
      <c r="AB34" s="34">
        <f t="shared" si="87"/>
        <v>0</v>
      </c>
      <c r="AC34" s="41"/>
      <c r="AD34" s="42"/>
      <c r="AE34" s="42"/>
      <c r="AF34" s="34">
        <f t="shared" si="68"/>
        <v>0</v>
      </c>
      <c r="AG34" s="34">
        <f t="shared" si="69"/>
        <v>0</v>
      </c>
      <c r="AH34" s="43"/>
      <c r="AI34" s="38"/>
      <c r="AJ34" s="38"/>
      <c r="AK34" s="34">
        <f t="shared" si="70"/>
        <v>0</v>
      </c>
      <c r="AL34" s="44">
        <f t="shared" si="71"/>
        <v>0</v>
      </c>
      <c r="AM34" s="45">
        <f t="shared" si="72"/>
        <v>0</v>
      </c>
      <c r="AN34" s="46">
        <f t="shared" si="73"/>
        <v>0</v>
      </c>
      <c r="AO34" s="46">
        <f t="shared" si="74"/>
        <v>0</v>
      </c>
      <c r="AP34" s="47" t="e">
        <f t="shared" si="75"/>
        <v>#DIV/0!</v>
      </c>
      <c r="AQ34" s="48">
        <f t="shared" si="76"/>
        <v>0</v>
      </c>
      <c r="AR34" s="49">
        <f t="shared" si="88"/>
        <v>0</v>
      </c>
    </row>
    <row r="35" spans="2:49" x14ac:dyDescent="0.25">
      <c r="B35" s="22">
        <f t="shared" si="36"/>
        <v>46219</v>
      </c>
      <c r="C35" s="23" t="s">
        <v>55</v>
      </c>
      <c r="D35" s="50">
        <f t="shared" si="77"/>
        <v>0</v>
      </c>
      <c r="E35" s="34">
        <f t="shared" si="78"/>
        <v>0</v>
      </c>
      <c r="F35" s="34">
        <f t="shared" si="79"/>
        <v>0</v>
      </c>
      <c r="G35" s="34">
        <f t="shared" si="61"/>
        <v>0</v>
      </c>
      <c r="H35" s="35">
        <f t="shared" si="62"/>
        <v>0</v>
      </c>
      <c r="I35" s="26">
        <f t="shared" si="7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63"/>
        <v>0</v>
      </c>
      <c r="S35" s="34">
        <f t="shared" si="64"/>
        <v>0</v>
      </c>
      <c r="T35" s="35">
        <f t="shared" si="65"/>
        <v>0</v>
      </c>
      <c r="U35" s="36"/>
      <c r="V35" s="37"/>
      <c r="W35" s="38"/>
      <c r="X35" s="39"/>
      <c r="Y35" s="40"/>
      <c r="Z35" s="40"/>
      <c r="AA35" s="34">
        <f t="shared" ref="AA35:AA56" si="92">X35*Y35%</f>
        <v>0</v>
      </c>
      <c r="AB35" s="34">
        <f t="shared" ref="AB35:AB56" si="93">X35*Z35%</f>
        <v>0</v>
      </c>
      <c r="AC35" s="129"/>
      <c r="AD35" s="130"/>
      <c r="AE35" s="130"/>
      <c r="AF35" s="34">
        <f t="shared" ref="AF35:AF41" si="94">AC35*AD35%</f>
        <v>0</v>
      </c>
      <c r="AG35" s="34">
        <f t="shared" ref="AG35:AG41" si="95">AC35*AE35%</f>
        <v>0</v>
      </c>
      <c r="AH35" s="43"/>
      <c r="AI35" s="38"/>
      <c r="AJ35" s="38"/>
      <c r="AK35" s="34">
        <f t="shared" si="70"/>
        <v>0</v>
      </c>
      <c r="AL35" s="44">
        <f t="shared" si="71"/>
        <v>0</v>
      </c>
      <c r="AM35" s="45">
        <f t="shared" si="72"/>
        <v>0</v>
      </c>
      <c r="AN35" s="46">
        <f t="shared" si="73"/>
        <v>0</v>
      </c>
      <c r="AO35" s="46">
        <f t="shared" si="74"/>
        <v>0</v>
      </c>
      <c r="AP35" s="47" t="e">
        <f t="shared" si="75"/>
        <v>#DIV/0!</v>
      </c>
      <c r="AQ35" s="48">
        <f t="shared" si="76"/>
        <v>0</v>
      </c>
      <c r="AR35" s="49">
        <f t="shared" si="27"/>
        <v>0</v>
      </c>
    </row>
    <row r="36" spans="2:49" x14ac:dyDescent="0.25">
      <c r="B36" s="22">
        <f t="shared" si="36"/>
        <v>46220</v>
      </c>
      <c r="C36" s="23" t="s">
        <v>54</v>
      </c>
      <c r="D36" s="50">
        <f t="shared" ref="D36" si="96">AH35</f>
        <v>0</v>
      </c>
      <c r="E36" s="34">
        <f t="shared" ref="E36" si="97">AI35</f>
        <v>0</v>
      </c>
      <c r="F36" s="34">
        <f t="shared" ref="F36" si="98">AJ35</f>
        <v>0</v>
      </c>
      <c r="G36" s="34">
        <f t="shared" si="24"/>
        <v>0</v>
      </c>
      <c r="H36" s="35">
        <f t="shared" si="25"/>
        <v>0</v>
      </c>
      <c r="I36" s="26">
        <f t="shared" si="7"/>
        <v>0</v>
      </c>
      <c r="J36" s="27"/>
      <c r="K36" s="28"/>
      <c r="L36" s="32"/>
      <c r="M36" s="29"/>
      <c r="N36" s="150"/>
      <c r="O36" s="31"/>
      <c r="P36" s="28"/>
      <c r="Q36" s="32"/>
      <c r="R36" s="53">
        <f t="shared" si="63"/>
        <v>0</v>
      </c>
      <c r="S36" s="34">
        <f t="shared" si="64"/>
        <v>0</v>
      </c>
      <c r="T36" s="35">
        <f t="shared" si="65"/>
        <v>0</v>
      </c>
      <c r="U36" s="36"/>
      <c r="V36" s="37"/>
      <c r="W36" s="38"/>
      <c r="X36" s="39"/>
      <c r="Y36" s="40"/>
      <c r="Z36" s="40"/>
      <c r="AA36" s="34">
        <f t="shared" si="92"/>
        <v>0</v>
      </c>
      <c r="AB36" s="34">
        <f t="shared" si="93"/>
        <v>0</v>
      </c>
      <c r="AC36" s="129"/>
      <c r="AD36" s="130"/>
      <c r="AE36" s="130"/>
      <c r="AF36" s="34">
        <f t="shared" si="94"/>
        <v>0</v>
      </c>
      <c r="AG36" s="34">
        <f t="shared" si="95"/>
        <v>0</v>
      </c>
      <c r="AH36" s="43"/>
      <c r="AI36" s="38"/>
      <c r="AJ36" s="38"/>
      <c r="AK36" s="34">
        <f t="shared" si="0"/>
        <v>0</v>
      </c>
      <c r="AL36" s="44">
        <f t="shared" si="1"/>
        <v>0</v>
      </c>
      <c r="AM36" s="45">
        <f t="shared" ref="AM36:AM65" si="99">+D36+R36-AC36-AH36</f>
        <v>0</v>
      </c>
      <c r="AN36" s="51">
        <f t="shared" ref="AN36:AN65" si="100">+G36+S36-AF36-AK36</f>
        <v>0</v>
      </c>
      <c r="AO36" s="51">
        <f t="shared" ref="AO36:AO65" si="101">+H36+T36-AG36-AL36</f>
        <v>0</v>
      </c>
      <c r="AP36" s="47" t="e">
        <f t="shared" ref="AP36:AP65" si="102">(AN36+AO36)/(S36+T36)</f>
        <v>#DIV/0!</v>
      </c>
      <c r="AQ36" s="48">
        <f t="shared" si="35"/>
        <v>0</v>
      </c>
      <c r="AR36" s="49">
        <f t="shared" si="27"/>
        <v>0</v>
      </c>
      <c r="AS36">
        <f>1655+481</f>
        <v>2136</v>
      </c>
    </row>
    <row r="37" spans="2:49" x14ac:dyDescent="0.25">
      <c r="B37" s="22">
        <f t="shared" si="36"/>
        <v>46220</v>
      </c>
      <c r="C37" s="23" t="s">
        <v>55</v>
      </c>
      <c r="D37" s="50">
        <f t="shared" ref="D37" si="103">AH36</f>
        <v>0</v>
      </c>
      <c r="E37" s="34">
        <f t="shared" ref="E37" si="104">AI36</f>
        <v>0</v>
      </c>
      <c r="F37" s="34">
        <f t="shared" ref="F37" si="105">AJ36</f>
        <v>0</v>
      </c>
      <c r="G37" s="34">
        <f t="shared" si="24"/>
        <v>0</v>
      </c>
      <c r="H37" s="35">
        <f t="shared" si="25"/>
        <v>0</v>
      </c>
      <c r="I37" s="26">
        <f t="shared" si="7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ref="R37:R41" si="106">O37+J37</f>
        <v>0</v>
      </c>
      <c r="S37" s="34">
        <f t="shared" ref="S37:S41" si="107">(J37*K37%)+(O37*P37%)</f>
        <v>0</v>
      </c>
      <c r="T37" s="35">
        <f t="shared" ref="T37:T41" si="108">(J37*L37%)+(O37*Q37%)</f>
        <v>0</v>
      </c>
      <c r="U37" s="36"/>
      <c r="V37" s="37"/>
      <c r="W37" s="38"/>
      <c r="X37" s="39"/>
      <c r="Y37" s="40"/>
      <c r="Z37" s="40"/>
      <c r="AA37" s="34">
        <f t="shared" si="92"/>
        <v>0</v>
      </c>
      <c r="AB37" s="34">
        <f t="shared" si="93"/>
        <v>0</v>
      </c>
      <c r="AC37" s="129"/>
      <c r="AD37" s="130"/>
      <c r="AE37" s="130"/>
      <c r="AF37" s="34">
        <f t="shared" si="94"/>
        <v>0</v>
      </c>
      <c r="AG37" s="34">
        <f t="shared" si="95"/>
        <v>0</v>
      </c>
      <c r="AH37" s="43"/>
      <c r="AI37" s="38"/>
      <c r="AJ37" s="38"/>
      <c r="AK37" s="34">
        <f t="shared" si="0"/>
        <v>0</v>
      </c>
      <c r="AL37" s="44">
        <f t="shared" si="1"/>
        <v>0</v>
      </c>
      <c r="AM37" s="45">
        <f t="shared" si="99"/>
        <v>0</v>
      </c>
      <c r="AN37" s="51">
        <f t="shared" si="100"/>
        <v>0</v>
      </c>
      <c r="AO37" s="51">
        <f t="shared" si="101"/>
        <v>0</v>
      </c>
      <c r="AP37" s="47" t="e">
        <f t="shared" si="102"/>
        <v>#DIV/0!</v>
      </c>
      <c r="AQ37" s="48">
        <f t="shared" si="35"/>
        <v>0</v>
      </c>
      <c r="AR37" s="49">
        <f t="shared" si="27"/>
        <v>0</v>
      </c>
    </row>
    <row r="38" spans="2:49" x14ac:dyDescent="0.25">
      <c r="B38" s="22">
        <f t="shared" si="36"/>
        <v>46221</v>
      </c>
      <c r="C38" s="23" t="s">
        <v>54</v>
      </c>
      <c r="D38" s="50">
        <f t="shared" ref="D38" si="109">AH37</f>
        <v>0</v>
      </c>
      <c r="E38" s="34">
        <f t="shared" ref="E38" si="110">AI37</f>
        <v>0</v>
      </c>
      <c r="F38" s="34">
        <f t="shared" ref="F38" si="111">AJ37</f>
        <v>0</v>
      </c>
      <c r="G38" s="34">
        <f t="shared" si="24"/>
        <v>0</v>
      </c>
      <c r="H38" s="35">
        <f t="shared" si="25"/>
        <v>0</v>
      </c>
      <c r="I38" s="26">
        <f t="shared" si="7"/>
        <v>0</v>
      </c>
      <c r="J38" s="27"/>
      <c r="K38" s="28"/>
      <c r="L38" s="32"/>
      <c r="M38" s="29"/>
      <c r="N38" s="30"/>
      <c r="O38" s="31"/>
      <c r="P38" s="28"/>
      <c r="Q38" s="32"/>
      <c r="R38" s="53">
        <f t="shared" si="106"/>
        <v>0</v>
      </c>
      <c r="S38" s="34">
        <f t="shared" si="107"/>
        <v>0</v>
      </c>
      <c r="T38" s="35">
        <f t="shared" si="108"/>
        <v>0</v>
      </c>
      <c r="U38" s="36"/>
      <c r="V38" s="37"/>
      <c r="W38" s="38"/>
      <c r="X38" s="39"/>
      <c r="Y38" s="40"/>
      <c r="Z38" s="40"/>
      <c r="AA38" s="34">
        <f t="shared" si="92"/>
        <v>0</v>
      </c>
      <c r="AB38" s="34">
        <f t="shared" si="93"/>
        <v>0</v>
      </c>
      <c r="AC38" s="41"/>
      <c r="AD38" s="42"/>
      <c r="AE38" s="42"/>
      <c r="AF38" s="34">
        <f t="shared" si="94"/>
        <v>0</v>
      </c>
      <c r="AG38" s="34">
        <f t="shared" si="95"/>
        <v>0</v>
      </c>
      <c r="AH38" s="43"/>
      <c r="AI38" s="38"/>
      <c r="AJ38" s="38"/>
      <c r="AK38" s="34">
        <f t="shared" si="0"/>
        <v>0</v>
      </c>
      <c r="AL38" s="44">
        <f t="shared" si="1"/>
        <v>0</v>
      </c>
      <c r="AM38" s="45">
        <f t="shared" si="99"/>
        <v>0</v>
      </c>
      <c r="AN38" s="51">
        <f t="shared" si="100"/>
        <v>0</v>
      </c>
      <c r="AO38" s="51">
        <f t="shared" si="101"/>
        <v>0</v>
      </c>
      <c r="AP38" s="47" t="e">
        <f t="shared" si="102"/>
        <v>#DIV/0!</v>
      </c>
      <c r="AQ38" s="48">
        <f t="shared" ref="AQ38:AQ65" si="112">($AP$1*AN38+$AQ$1*AO38)</f>
        <v>0</v>
      </c>
      <c r="AR38" s="49">
        <f t="shared" si="27"/>
        <v>0</v>
      </c>
      <c r="AS38">
        <f>732-481</f>
        <v>251</v>
      </c>
    </row>
    <row r="39" spans="2:49" x14ac:dyDescent="0.25">
      <c r="B39" s="22">
        <f t="shared" si="36"/>
        <v>46221</v>
      </c>
      <c r="C39" s="23" t="s">
        <v>55</v>
      </c>
      <c r="D39" s="50">
        <f t="shared" ref="D39:F39" si="113">AH38</f>
        <v>0</v>
      </c>
      <c r="E39" s="34">
        <f t="shared" si="113"/>
        <v>0</v>
      </c>
      <c r="F39" s="34">
        <f t="shared" si="113"/>
        <v>0</v>
      </c>
      <c r="G39" s="34">
        <f t="shared" si="24"/>
        <v>0</v>
      </c>
      <c r="H39" s="35">
        <f t="shared" si="25"/>
        <v>0</v>
      </c>
      <c r="I39" s="26">
        <f t="shared" si="7"/>
        <v>0</v>
      </c>
      <c r="J39" s="27"/>
      <c r="K39" s="28"/>
      <c r="L39" s="32"/>
      <c r="M39" s="29"/>
      <c r="N39" s="30"/>
      <c r="O39" s="31"/>
      <c r="P39" s="28"/>
      <c r="Q39" s="32"/>
      <c r="R39" s="53">
        <f t="shared" si="106"/>
        <v>0</v>
      </c>
      <c r="S39" s="34">
        <f t="shared" si="107"/>
        <v>0</v>
      </c>
      <c r="T39" s="35">
        <f t="shared" si="108"/>
        <v>0</v>
      </c>
      <c r="U39" s="36"/>
      <c r="V39" s="37"/>
      <c r="W39" s="38"/>
      <c r="X39" s="39"/>
      <c r="Y39" s="40"/>
      <c r="Z39" s="40"/>
      <c r="AA39" s="34">
        <f t="shared" si="92"/>
        <v>0</v>
      </c>
      <c r="AB39" s="34">
        <f t="shared" si="93"/>
        <v>0</v>
      </c>
      <c r="AC39" s="129"/>
      <c r="AD39" s="130"/>
      <c r="AE39" s="130"/>
      <c r="AF39" s="34">
        <f t="shared" si="94"/>
        <v>0</v>
      </c>
      <c r="AG39" s="34">
        <f t="shared" si="95"/>
        <v>0</v>
      </c>
      <c r="AH39" s="43"/>
      <c r="AI39" s="38"/>
      <c r="AJ39" s="38"/>
      <c r="AK39" s="34">
        <f t="shared" si="0"/>
        <v>0</v>
      </c>
      <c r="AL39" s="44">
        <f t="shared" si="1"/>
        <v>0</v>
      </c>
      <c r="AM39" s="45">
        <f t="shared" si="99"/>
        <v>0</v>
      </c>
      <c r="AN39" s="51">
        <f t="shared" si="100"/>
        <v>0</v>
      </c>
      <c r="AO39" s="51">
        <f t="shared" si="101"/>
        <v>0</v>
      </c>
      <c r="AP39" s="47" t="e">
        <f t="shared" si="102"/>
        <v>#DIV/0!</v>
      </c>
      <c r="AQ39" s="48">
        <f t="shared" si="112"/>
        <v>0</v>
      </c>
      <c r="AR39" s="49">
        <f t="shared" si="27"/>
        <v>0</v>
      </c>
    </row>
    <row r="40" spans="2:49" x14ac:dyDescent="0.25">
      <c r="B40" s="22">
        <f t="shared" si="36"/>
        <v>46222</v>
      </c>
      <c r="C40" s="23" t="s">
        <v>54</v>
      </c>
      <c r="D40" s="50">
        <f t="shared" ref="D40" si="114">AH39</f>
        <v>0</v>
      </c>
      <c r="E40" s="34">
        <f t="shared" ref="E40" si="115">AI39</f>
        <v>0</v>
      </c>
      <c r="F40" s="34">
        <f t="shared" ref="F40" si="116">AJ39</f>
        <v>0</v>
      </c>
      <c r="G40" s="34">
        <f t="shared" si="24"/>
        <v>0</v>
      </c>
      <c r="H40" s="35">
        <f t="shared" si="25"/>
        <v>0</v>
      </c>
      <c r="I40" s="26">
        <f t="shared" si="7"/>
        <v>0</v>
      </c>
      <c r="J40" s="27"/>
      <c r="K40" s="28"/>
      <c r="L40" s="32"/>
      <c r="M40" s="29"/>
      <c r="N40" s="30"/>
      <c r="O40" s="31"/>
      <c r="P40" s="28"/>
      <c r="Q40" s="32"/>
      <c r="R40" s="53">
        <f t="shared" si="106"/>
        <v>0</v>
      </c>
      <c r="S40" s="34">
        <f t="shared" si="107"/>
        <v>0</v>
      </c>
      <c r="T40" s="35">
        <f t="shared" si="108"/>
        <v>0</v>
      </c>
      <c r="U40" s="36"/>
      <c r="V40" s="37"/>
      <c r="W40" s="38"/>
      <c r="X40" s="39"/>
      <c r="Y40" s="40"/>
      <c r="Z40" s="40"/>
      <c r="AA40" s="34">
        <f t="shared" si="92"/>
        <v>0</v>
      </c>
      <c r="AB40" s="34">
        <f t="shared" si="93"/>
        <v>0</v>
      </c>
      <c r="AC40" s="41"/>
      <c r="AD40" s="42"/>
      <c r="AE40" s="42"/>
      <c r="AF40" s="34">
        <f t="shared" si="94"/>
        <v>0</v>
      </c>
      <c r="AG40" s="34">
        <f t="shared" si="95"/>
        <v>0</v>
      </c>
      <c r="AH40" s="43"/>
      <c r="AI40" s="38"/>
      <c r="AJ40" s="38"/>
      <c r="AK40" s="34">
        <f t="shared" si="0"/>
        <v>0</v>
      </c>
      <c r="AL40" s="44">
        <f t="shared" si="1"/>
        <v>0</v>
      </c>
      <c r="AM40" s="45">
        <f t="shared" si="99"/>
        <v>0</v>
      </c>
      <c r="AN40" s="51">
        <f t="shared" si="100"/>
        <v>0</v>
      </c>
      <c r="AO40" s="51">
        <f t="shared" si="101"/>
        <v>0</v>
      </c>
      <c r="AP40" s="47" t="e">
        <f t="shared" si="102"/>
        <v>#DIV/0!</v>
      </c>
      <c r="AQ40" s="48">
        <f t="shared" si="112"/>
        <v>0</v>
      </c>
      <c r="AR40" s="49">
        <f t="shared" si="27"/>
        <v>0</v>
      </c>
    </row>
    <row r="41" spans="2:49" x14ac:dyDescent="0.25">
      <c r="B41" s="22">
        <f t="shared" si="36"/>
        <v>46222</v>
      </c>
      <c r="C41" s="23" t="s">
        <v>55</v>
      </c>
      <c r="D41" s="50">
        <f t="shared" ref="D41" si="117">AH40</f>
        <v>0</v>
      </c>
      <c r="E41" s="34">
        <f t="shared" ref="E41" si="118">AI40</f>
        <v>0</v>
      </c>
      <c r="F41" s="34">
        <f t="shared" ref="F41" si="119">AJ40</f>
        <v>0</v>
      </c>
      <c r="G41" s="34">
        <f t="shared" si="24"/>
        <v>0</v>
      </c>
      <c r="H41" s="35">
        <f t="shared" si="25"/>
        <v>0</v>
      </c>
      <c r="I41" s="26">
        <f t="shared" si="7"/>
        <v>0</v>
      </c>
      <c r="J41" s="27"/>
      <c r="K41" s="28"/>
      <c r="L41" s="32"/>
      <c r="M41" s="29"/>
      <c r="N41" s="30"/>
      <c r="O41" s="31"/>
      <c r="P41" s="31"/>
      <c r="Q41" s="28"/>
      <c r="R41" s="53">
        <f t="shared" si="106"/>
        <v>0</v>
      </c>
      <c r="S41" s="34">
        <f t="shared" si="107"/>
        <v>0</v>
      </c>
      <c r="T41" s="35">
        <f t="shared" si="108"/>
        <v>0</v>
      </c>
      <c r="U41" s="36"/>
      <c r="V41" s="37"/>
      <c r="W41" s="38"/>
      <c r="X41" s="39"/>
      <c r="Y41" s="40"/>
      <c r="Z41" s="40"/>
      <c r="AA41" s="34">
        <f t="shared" si="92"/>
        <v>0</v>
      </c>
      <c r="AB41" s="34">
        <f t="shared" si="93"/>
        <v>0</v>
      </c>
      <c r="AC41" s="144"/>
      <c r="AD41" s="145"/>
      <c r="AE41" s="145"/>
      <c r="AF41" s="34">
        <f t="shared" si="94"/>
        <v>0</v>
      </c>
      <c r="AG41" s="34">
        <f t="shared" si="95"/>
        <v>0</v>
      </c>
      <c r="AH41" s="43"/>
      <c r="AI41" s="38"/>
      <c r="AJ41" s="38"/>
      <c r="AK41" s="34">
        <f t="shared" si="0"/>
        <v>0</v>
      </c>
      <c r="AL41" s="44">
        <f t="shared" si="1"/>
        <v>0</v>
      </c>
      <c r="AM41" s="45">
        <f t="shared" si="99"/>
        <v>0</v>
      </c>
      <c r="AN41" s="51">
        <f t="shared" si="100"/>
        <v>0</v>
      </c>
      <c r="AO41" s="51">
        <f t="shared" si="101"/>
        <v>0</v>
      </c>
      <c r="AP41" s="47" t="e">
        <f t="shared" si="102"/>
        <v>#DIV/0!</v>
      </c>
      <c r="AQ41" s="48">
        <f t="shared" si="112"/>
        <v>0</v>
      </c>
      <c r="AR41" s="49">
        <f t="shared" si="27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36"/>
        <v>46223</v>
      </c>
      <c r="C42" s="23" t="s">
        <v>54</v>
      </c>
      <c r="D42" s="50">
        <f t="shared" ref="D42" si="120">AH41</f>
        <v>0</v>
      </c>
      <c r="E42" s="34">
        <f t="shared" ref="E42" si="121">AI41</f>
        <v>0</v>
      </c>
      <c r="F42" s="34">
        <f t="shared" ref="F42" si="122">AJ41</f>
        <v>0</v>
      </c>
      <c r="G42" s="34">
        <f t="shared" ref="G42:G65" si="123">+D42*E42%</f>
        <v>0</v>
      </c>
      <c r="H42" s="35">
        <f t="shared" ref="H42:H65" si="124">+D42*F42%</f>
        <v>0</v>
      </c>
      <c r="I42" s="26">
        <f t="shared" si="7"/>
        <v>0</v>
      </c>
      <c r="J42" s="27"/>
      <c r="K42" s="28"/>
      <c r="L42" s="28"/>
      <c r="M42" s="61"/>
      <c r="N42" s="106"/>
      <c r="O42" s="31"/>
      <c r="P42" s="28"/>
      <c r="Q42" s="28"/>
      <c r="R42" s="64">
        <f t="shared" ref="R42:R65" si="125">O42+J42</f>
        <v>0</v>
      </c>
      <c r="S42" s="34">
        <f t="shared" ref="S42:S65" si="126">(J42*K42%)+(O42*P42%)</f>
        <v>0</v>
      </c>
      <c r="T42" s="34">
        <f t="shared" ref="T42:T65" si="127">(J42*L42%)+(O42*Q42%)</f>
        <v>0</v>
      </c>
      <c r="U42" s="37"/>
      <c r="V42" s="37"/>
      <c r="W42" s="38"/>
      <c r="X42" s="140"/>
      <c r="Y42" s="141"/>
      <c r="Z42" s="141"/>
      <c r="AA42" s="34">
        <f t="shared" si="92"/>
        <v>0</v>
      </c>
      <c r="AB42" s="34">
        <f t="shared" si="93"/>
        <v>0</v>
      </c>
      <c r="AC42" s="130"/>
      <c r="AD42" s="130"/>
      <c r="AE42" s="130"/>
      <c r="AF42" s="34">
        <f t="shared" ref="AF42:AF65" si="128">AC42*AD42%</f>
        <v>0</v>
      </c>
      <c r="AG42" s="34">
        <f t="shared" ref="AG42:AG65" si="129">AC42*AE42%</f>
        <v>0</v>
      </c>
      <c r="AH42" s="62"/>
      <c r="AI42" s="38"/>
      <c r="AJ42" s="38"/>
      <c r="AK42" s="34">
        <f t="shared" ref="AK42:AK65" si="130">AH42*AI42%</f>
        <v>0</v>
      </c>
      <c r="AL42" s="44">
        <f t="shared" ref="AL42:AL65" si="131">AH42*AJ42%</f>
        <v>0</v>
      </c>
      <c r="AM42" s="45">
        <f t="shared" si="99"/>
        <v>0</v>
      </c>
      <c r="AN42" s="51">
        <f t="shared" si="100"/>
        <v>0</v>
      </c>
      <c r="AO42" s="51">
        <f t="shared" si="101"/>
        <v>0</v>
      </c>
      <c r="AP42" s="47" t="e">
        <f t="shared" si="102"/>
        <v>#DIV/0!</v>
      </c>
      <c r="AQ42" s="48">
        <f t="shared" si="112"/>
        <v>0</v>
      </c>
      <c r="AR42" s="49">
        <f t="shared" si="27"/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36"/>
        <v>46223</v>
      </c>
      <c r="C43" s="23" t="s">
        <v>55</v>
      </c>
      <c r="D43" s="50">
        <f t="shared" ref="D43:D59" si="132">AH42</f>
        <v>0</v>
      </c>
      <c r="E43" s="34">
        <f t="shared" ref="E43:E59" si="133">AI42</f>
        <v>0</v>
      </c>
      <c r="F43" s="34">
        <f t="shared" ref="F43:F59" si="134">AJ42</f>
        <v>0</v>
      </c>
      <c r="G43" s="34">
        <f t="shared" si="123"/>
        <v>0</v>
      </c>
      <c r="H43" s="35">
        <f t="shared" si="124"/>
        <v>0</v>
      </c>
      <c r="I43" s="26">
        <f t="shared" si="7"/>
        <v>0</v>
      </c>
      <c r="J43" s="27"/>
      <c r="K43" s="28"/>
      <c r="L43" s="28"/>
      <c r="M43" s="61"/>
      <c r="N43" s="61"/>
      <c r="O43" s="31"/>
      <c r="P43" s="28"/>
      <c r="Q43" s="28"/>
      <c r="R43" s="64">
        <f t="shared" si="125"/>
        <v>0</v>
      </c>
      <c r="S43" s="34">
        <f t="shared" si="126"/>
        <v>0</v>
      </c>
      <c r="T43" s="34">
        <f t="shared" si="127"/>
        <v>0</v>
      </c>
      <c r="U43" s="37"/>
      <c r="V43" s="37"/>
      <c r="W43" s="38"/>
      <c r="X43" s="39"/>
      <c r="Y43" s="40"/>
      <c r="Z43" s="40"/>
      <c r="AA43" s="34">
        <f t="shared" si="92"/>
        <v>0</v>
      </c>
      <c r="AB43" s="34">
        <f t="shared" si="93"/>
        <v>0</v>
      </c>
      <c r="AC43" s="42"/>
      <c r="AD43" s="42"/>
      <c r="AE43" s="42"/>
      <c r="AF43" s="34">
        <f t="shared" si="128"/>
        <v>0</v>
      </c>
      <c r="AG43" s="34">
        <f t="shared" si="129"/>
        <v>0</v>
      </c>
      <c r="AH43" s="62"/>
      <c r="AI43" s="38"/>
      <c r="AJ43" s="38"/>
      <c r="AK43" s="34">
        <f>AH43*AI43%</f>
        <v>0</v>
      </c>
      <c r="AL43" s="44">
        <f>AH43*AJ43%</f>
        <v>0</v>
      </c>
      <c r="AM43" s="45">
        <f t="shared" si="99"/>
        <v>0</v>
      </c>
      <c r="AN43" s="51">
        <f t="shared" si="100"/>
        <v>0</v>
      </c>
      <c r="AO43" s="51">
        <f t="shared" si="101"/>
        <v>0</v>
      </c>
      <c r="AP43" s="47" t="e">
        <f t="shared" si="102"/>
        <v>#DIV/0!</v>
      </c>
      <c r="AQ43" s="48">
        <f t="shared" si="112"/>
        <v>0</v>
      </c>
      <c r="AR43" s="49">
        <f>(D43+J43+O43)-(X43+AH43)</f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36"/>
        <v>46224</v>
      </c>
      <c r="C44" s="23" t="s">
        <v>54</v>
      </c>
      <c r="D44" s="50">
        <f t="shared" ref="D44" si="135">AH43</f>
        <v>0</v>
      </c>
      <c r="E44" s="34">
        <f t="shared" ref="E44" si="136">AI43</f>
        <v>0</v>
      </c>
      <c r="F44" s="34">
        <f t="shared" ref="F44" si="137">AJ43</f>
        <v>0</v>
      </c>
      <c r="G44" s="34">
        <f t="shared" si="123"/>
        <v>0</v>
      </c>
      <c r="H44" s="35">
        <f t="shared" si="124"/>
        <v>0</v>
      </c>
      <c r="I44" s="26">
        <f t="shared" si="7"/>
        <v>0</v>
      </c>
      <c r="J44" s="27"/>
      <c r="K44" s="28"/>
      <c r="L44" s="28"/>
      <c r="M44" s="61"/>
      <c r="N44" s="61"/>
      <c r="O44" s="31"/>
      <c r="P44" s="28"/>
      <c r="Q44" s="28"/>
      <c r="R44" s="64">
        <f t="shared" si="125"/>
        <v>0</v>
      </c>
      <c r="S44" s="34">
        <f t="shared" si="126"/>
        <v>0</v>
      </c>
      <c r="T44" s="34">
        <f t="shared" si="127"/>
        <v>0</v>
      </c>
      <c r="U44" s="37"/>
      <c r="V44" s="37"/>
      <c r="W44" s="38"/>
      <c r="X44" s="39"/>
      <c r="Y44" s="40"/>
      <c r="Z44" s="40"/>
      <c r="AA44" s="34">
        <f t="shared" si="92"/>
        <v>0</v>
      </c>
      <c r="AB44" s="34">
        <f t="shared" si="93"/>
        <v>0</v>
      </c>
      <c r="AC44" s="42"/>
      <c r="AD44" s="42"/>
      <c r="AE44" s="42"/>
      <c r="AF44" s="34">
        <f t="shared" si="128"/>
        <v>0</v>
      </c>
      <c r="AG44" s="34">
        <f t="shared" si="129"/>
        <v>0</v>
      </c>
      <c r="AH44" s="62"/>
      <c r="AI44" s="38"/>
      <c r="AJ44" s="38"/>
      <c r="AK44" s="34">
        <f t="shared" si="130"/>
        <v>0</v>
      </c>
      <c r="AL44" s="44">
        <f t="shared" si="131"/>
        <v>0</v>
      </c>
      <c r="AM44" s="45">
        <f t="shared" si="99"/>
        <v>0</v>
      </c>
      <c r="AN44" s="51">
        <f t="shared" si="100"/>
        <v>0</v>
      </c>
      <c r="AO44" s="51">
        <f t="shared" si="101"/>
        <v>0</v>
      </c>
      <c r="AP44" s="47" t="e">
        <f t="shared" si="102"/>
        <v>#DIV/0!</v>
      </c>
      <c r="AQ44" s="48">
        <f t="shared" si="112"/>
        <v>0</v>
      </c>
      <c r="AR44" s="49">
        <f t="shared" si="27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36"/>
        <v>46224</v>
      </c>
      <c r="C45" s="23" t="s">
        <v>55</v>
      </c>
      <c r="D45" s="50">
        <f t="shared" si="132"/>
        <v>0</v>
      </c>
      <c r="E45" s="34">
        <f t="shared" si="133"/>
        <v>0</v>
      </c>
      <c r="F45" s="34">
        <f t="shared" si="134"/>
        <v>0</v>
      </c>
      <c r="G45" s="34">
        <f t="shared" si="123"/>
        <v>0</v>
      </c>
      <c r="H45" s="35">
        <f t="shared" si="124"/>
        <v>0</v>
      </c>
      <c r="I45" s="26">
        <f t="shared" si="7"/>
        <v>0</v>
      </c>
      <c r="J45" s="27"/>
      <c r="K45" s="28"/>
      <c r="L45" s="28"/>
      <c r="M45" s="61"/>
      <c r="N45" s="61"/>
      <c r="O45" s="31"/>
      <c r="P45" s="28"/>
      <c r="Q45" s="28"/>
      <c r="R45" s="64">
        <f t="shared" si="125"/>
        <v>0</v>
      </c>
      <c r="S45" s="34">
        <f t="shared" si="126"/>
        <v>0</v>
      </c>
      <c r="T45" s="34">
        <f t="shared" si="127"/>
        <v>0</v>
      </c>
      <c r="U45" s="313"/>
      <c r="V45" s="37"/>
      <c r="W45" s="38"/>
      <c r="X45" s="39"/>
      <c r="Y45" s="40"/>
      <c r="Z45" s="40"/>
      <c r="AA45" s="34">
        <f t="shared" si="92"/>
        <v>0</v>
      </c>
      <c r="AB45" s="34">
        <f t="shared" si="93"/>
        <v>0</v>
      </c>
      <c r="AC45" s="130"/>
      <c r="AD45" s="130"/>
      <c r="AE45" s="130"/>
      <c r="AF45" s="34">
        <f t="shared" si="128"/>
        <v>0</v>
      </c>
      <c r="AG45" s="34">
        <f t="shared" si="129"/>
        <v>0</v>
      </c>
      <c r="AH45" s="62"/>
      <c r="AI45" s="38"/>
      <c r="AJ45" s="38"/>
      <c r="AK45" s="34">
        <f t="shared" si="130"/>
        <v>0</v>
      </c>
      <c r="AL45" s="44">
        <f t="shared" si="131"/>
        <v>0</v>
      </c>
      <c r="AM45" s="45">
        <f t="shared" si="99"/>
        <v>0</v>
      </c>
      <c r="AN45" s="51">
        <f t="shared" si="100"/>
        <v>0</v>
      </c>
      <c r="AO45" s="51">
        <f t="shared" si="101"/>
        <v>0</v>
      </c>
      <c r="AP45" s="47" t="e">
        <f t="shared" si="102"/>
        <v>#DIV/0!</v>
      </c>
      <c r="AQ45" s="48">
        <f t="shared" si="112"/>
        <v>0</v>
      </c>
      <c r="AR45" s="49">
        <f t="shared" si="27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36"/>
        <v>46225</v>
      </c>
      <c r="C46" s="23" t="s">
        <v>54</v>
      </c>
      <c r="D46" s="50">
        <f t="shared" ref="D46" si="138">AH45</f>
        <v>0</v>
      </c>
      <c r="E46" s="34">
        <f t="shared" ref="E46" si="139">AI45</f>
        <v>0</v>
      </c>
      <c r="F46" s="34">
        <f t="shared" ref="F46" si="140">AJ45</f>
        <v>0</v>
      </c>
      <c r="G46" s="34">
        <f t="shared" si="123"/>
        <v>0</v>
      </c>
      <c r="H46" s="35">
        <f t="shared" si="124"/>
        <v>0</v>
      </c>
      <c r="I46" s="26">
        <f t="shared" si="7"/>
        <v>0</v>
      </c>
      <c r="J46" s="27"/>
      <c r="K46" s="28"/>
      <c r="L46" s="28"/>
      <c r="M46" s="61"/>
      <c r="N46" s="61"/>
      <c r="O46" s="31"/>
      <c r="P46" s="28"/>
      <c r="Q46" s="28"/>
      <c r="R46" s="64">
        <f t="shared" si="125"/>
        <v>0</v>
      </c>
      <c r="S46" s="34">
        <f t="shared" si="126"/>
        <v>0</v>
      </c>
      <c r="T46" s="34">
        <f t="shared" si="127"/>
        <v>0</v>
      </c>
      <c r="U46" s="37"/>
      <c r="V46" s="37"/>
      <c r="W46" s="38"/>
      <c r="X46" s="39"/>
      <c r="Y46" s="40"/>
      <c r="Z46" s="40"/>
      <c r="AA46" s="34">
        <f t="shared" si="92"/>
        <v>0</v>
      </c>
      <c r="AB46" s="34">
        <f t="shared" si="93"/>
        <v>0</v>
      </c>
      <c r="AC46" s="42"/>
      <c r="AD46" s="42"/>
      <c r="AE46" s="42"/>
      <c r="AF46" s="34">
        <f>AC46*AD46%</f>
        <v>0</v>
      </c>
      <c r="AG46" s="34">
        <f>AC46*AE46%</f>
        <v>0</v>
      </c>
      <c r="AH46" s="62"/>
      <c r="AI46" s="38"/>
      <c r="AJ46" s="38"/>
      <c r="AK46" s="34">
        <f t="shared" ref="AK46" si="141">AH46*AI46%</f>
        <v>0</v>
      </c>
      <c r="AL46" s="44">
        <f t="shared" ref="AL46" si="142">AH46*AJ46%</f>
        <v>0</v>
      </c>
      <c r="AM46" s="45">
        <f t="shared" si="99"/>
        <v>0</v>
      </c>
      <c r="AN46" s="51">
        <f t="shared" si="100"/>
        <v>0</v>
      </c>
      <c r="AO46" s="51">
        <f t="shared" si="101"/>
        <v>0</v>
      </c>
      <c r="AP46" s="47" t="e">
        <f t="shared" si="102"/>
        <v>#DIV/0!</v>
      </c>
      <c r="AQ46" s="48">
        <f t="shared" si="112"/>
        <v>0</v>
      </c>
      <c r="AR46" s="49">
        <f t="shared" si="27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36"/>
        <v>46225</v>
      </c>
      <c r="C47" s="23" t="s">
        <v>55</v>
      </c>
      <c r="D47" s="50">
        <f t="shared" ref="D47" si="143">AH46</f>
        <v>0</v>
      </c>
      <c r="E47" s="34">
        <f t="shared" ref="E47" si="144">AI46</f>
        <v>0</v>
      </c>
      <c r="F47" s="34">
        <f t="shared" ref="F47" si="145">AJ46</f>
        <v>0</v>
      </c>
      <c r="G47" s="34">
        <f t="shared" si="123"/>
        <v>0</v>
      </c>
      <c r="H47" s="35">
        <f t="shared" si="124"/>
        <v>0</v>
      </c>
      <c r="I47" s="26">
        <f t="shared" si="7"/>
        <v>0</v>
      </c>
      <c r="J47" s="27"/>
      <c r="K47" s="28"/>
      <c r="L47" s="28"/>
      <c r="M47" s="61"/>
      <c r="N47" s="61"/>
      <c r="O47" s="31"/>
      <c r="P47" s="28"/>
      <c r="Q47" s="28"/>
      <c r="R47" s="64">
        <f t="shared" ref="R47:R49" si="146">O47+J47</f>
        <v>0</v>
      </c>
      <c r="S47" s="34">
        <f t="shared" ref="S47" si="147">(J47*K47%)+(O47*P47%)</f>
        <v>0</v>
      </c>
      <c r="T47" s="34">
        <f t="shared" ref="T47" si="148">(J47*L47%)+(O47*Q47%)</f>
        <v>0</v>
      </c>
      <c r="U47" s="37"/>
      <c r="V47" s="37"/>
      <c r="W47" s="38"/>
      <c r="X47" s="39"/>
      <c r="Y47" s="40"/>
      <c r="Z47" s="40"/>
      <c r="AA47" s="34">
        <f t="shared" si="92"/>
        <v>0</v>
      </c>
      <c r="AB47" s="34">
        <f t="shared" si="93"/>
        <v>0</v>
      </c>
      <c r="AC47" s="42"/>
      <c r="AD47" s="42"/>
      <c r="AE47" s="42"/>
      <c r="AF47" s="34">
        <f t="shared" si="128"/>
        <v>0</v>
      </c>
      <c r="AG47" s="34">
        <f t="shared" si="129"/>
        <v>0</v>
      </c>
      <c r="AH47" s="62"/>
      <c r="AI47" s="38"/>
      <c r="AJ47" s="38"/>
      <c r="AK47" s="34">
        <f t="shared" si="130"/>
        <v>0</v>
      </c>
      <c r="AL47" s="44">
        <f t="shared" si="131"/>
        <v>0</v>
      </c>
      <c r="AM47" s="45">
        <f t="shared" si="99"/>
        <v>0</v>
      </c>
      <c r="AN47" s="51">
        <f t="shared" si="100"/>
        <v>0</v>
      </c>
      <c r="AO47" s="51">
        <f t="shared" si="101"/>
        <v>0</v>
      </c>
      <c r="AP47" s="47" t="e">
        <f t="shared" si="102"/>
        <v>#DIV/0!</v>
      </c>
      <c r="AQ47" s="48">
        <f t="shared" si="112"/>
        <v>0</v>
      </c>
      <c r="AR47" s="49">
        <f t="shared" si="27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6"/>
        <v>46226</v>
      </c>
      <c r="C48" s="23" t="s">
        <v>54</v>
      </c>
      <c r="D48" s="50">
        <f t="shared" ref="D48" si="149">AH47</f>
        <v>0</v>
      </c>
      <c r="E48" s="34">
        <f t="shared" ref="E48" si="150">AI47</f>
        <v>0</v>
      </c>
      <c r="F48" s="34">
        <f t="shared" ref="F48" si="151">AJ47</f>
        <v>0</v>
      </c>
      <c r="G48" s="34">
        <f t="shared" si="123"/>
        <v>0</v>
      </c>
      <c r="H48" s="35">
        <f t="shared" si="124"/>
        <v>0</v>
      </c>
      <c r="I48" s="26">
        <f t="shared" si="7"/>
        <v>0</v>
      </c>
      <c r="J48" s="27"/>
      <c r="K48" s="28"/>
      <c r="L48" s="28"/>
      <c r="M48" s="61"/>
      <c r="N48" s="61"/>
      <c r="O48" s="31"/>
      <c r="P48" s="28"/>
      <c r="Q48" s="28"/>
      <c r="R48" s="64">
        <f t="shared" si="146"/>
        <v>0</v>
      </c>
      <c r="S48" s="34">
        <f t="shared" si="126"/>
        <v>0</v>
      </c>
      <c r="T48" s="34">
        <f t="shared" si="127"/>
        <v>0</v>
      </c>
      <c r="U48" s="37"/>
      <c r="V48" s="37"/>
      <c r="W48" s="38"/>
      <c r="X48" s="39"/>
      <c r="Y48" s="40"/>
      <c r="Z48" s="40"/>
      <c r="AA48" s="34">
        <f t="shared" si="92"/>
        <v>0</v>
      </c>
      <c r="AB48" s="34">
        <f t="shared" si="93"/>
        <v>0</v>
      </c>
      <c r="AC48" s="144"/>
      <c r="AD48" s="145"/>
      <c r="AE48" s="145"/>
      <c r="AF48" s="34">
        <f t="shared" si="128"/>
        <v>0</v>
      </c>
      <c r="AG48" s="34">
        <f t="shared" si="129"/>
        <v>0</v>
      </c>
      <c r="AH48" s="62"/>
      <c r="AI48" s="38"/>
      <c r="AJ48" s="38"/>
      <c r="AK48" s="34">
        <f t="shared" si="130"/>
        <v>0</v>
      </c>
      <c r="AL48" s="44">
        <f t="shared" si="131"/>
        <v>0</v>
      </c>
      <c r="AM48" s="45">
        <f t="shared" si="99"/>
        <v>0</v>
      </c>
      <c r="AN48" s="51">
        <f t="shared" si="100"/>
        <v>0</v>
      </c>
      <c r="AO48" s="51">
        <f t="shared" si="101"/>
        <v>0</v>
      </c>
      <c r="AP48" s="47" t="e">
        <f t="shared" si="102"/>
        <v>#DIV/0!</v>
      </c>
      <c r="AQ48" s="48">
        <f t="shared" si="112"/>
        <v>0</v>
      </c>
      <c r="AR48" s="49">
        <f t="shared" si="27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36"/>
        <v>46226</v>
      </c>
      <c r="C49" s="23" t="s">
        <v>55</v>
      </c>
      <c r="D49" s="50">
        <f t="shared" ref="D49" si="152">AH48</f>
        <v>0</v>
      </c>
      <c r="E49" s="34">
        <f t="shared" ref="E49" si="153">AI48</f>
        <v>0</v>
      </c>
      <c r="F49" s="34">
        <f t="shared" ref="F49" si="154">AJ48</f>
        <v>0</v>
      </c>
      <c r="G49" s="34">
        <f t="shared" si="123"/>
        <v>0</v>
      </c>
      <c r="H49" s="35">
        <f t="shared" si="124"/>
        <v>0</v>
      </c>
      <c r="I49" s="26">
        <f t="shared" si="7"/>
        <v>0</v>
      </c>
      <c r="J49" s="27"/>
      <c r="K49" s="28"/>
      <c r="L49" s="28"/>
      <c r="M49" s="61"/>
      <c r="N49" s="61"/>
      <c r="O49" s="31"/>
      <c r="P49" s="28"/>
      <c r="Q49" s="28"/>
      <c r="R49" s="64">
        <f t="shared" si="146"/>
        <v>0</v>
      </c>
      <c r="S49" s="34">
        <f t="shared" si="126"/>
        <v>0</v>
      </c>
      <c r="T49" s="34">
        <f t="shared" si="127"/>
        <v>0</v>
      </c>
      <c r="U49" s="37"/>
      <c r="V49" s="37"/>
      <c r="W49" s="38"/>
      <c r="X49" s="39"/>
      <c r="Y49" s="40"/>
      <c r="Z49" s="40"/>
      <c r="AA49" s="34">
        <f t="shared" si="92"/>
        <v>0</v>
      </c>
      <c r="AB49" s="34">
        <f t="shared" si="93"/>
        <v>0</v>
      </c>
      <c r="AC49" s="42"/>
      <c r="AD49" s="42"/>
      <c r="AE49" s="42"/>
      <c r="AF49" s="34">
        <f t="shared" si="128"/>
        <v>0</v>
      </c>
      <c r="AG49" s="34">
        <f t="shared" si="129"/>
        <v>0</v>
      </c>
      <c r="AH49" s="62"/>
      <c r="AI49" s="38"/>
      <c r="AJ49" s="38"/>
      <c r="AK49" s="34">
        <f t="shared" si="130"/>
        <v>0</v>
      </c>
      <c r="AL49" s="44">
        <f t="shared" si="131"/>
        <v>0</v>
      </c>
      <c r="AM49" s="45">
        <f t="shared" si="99"/>
        <v>0</v>
      </c>
      <c r="AN49" s="51">
        <f t="shared" si="100"/>
        <v>0</v>
      </c>
      <c r="AO49" s="51">
        <f t="shared" si="101"/>
        <v>0</v>
      </c>
      <c r="AP49" s="47" t="e">
        <f t="shared" si="102"/>
        <v>#DIV/0!</v>
      </c>
      <c r="AQ49" s="48">
        <f t="shared" si="112"/>
        <v>0</v>
      </c>
      <c r="AR49" s="49">
        <f t="shared" si="27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36"/>
        <v>46227</v>
      </c>
      <c r="C50" s="23" t="s">
        <v>54</v>
      </c>
      <c r="D50" s="50">
        <f t="shared" ref="D50" si="155">AH49</f>
        <v>0</v>
      </c>
      <c r="E50" s="34">
        <f t="shared" ref="E50" si="156">AI49</f>
        <v>0</v>
      </c>
      <c r="F50" s="34">
        <f t="shared" ref="F50" si="157">AJ49</f>
        <v>0</v>
      </c>
      <c r="G50" s="34">
        <f t="shared" si="123"/>
        <v>0</v>
      </c>
      <c r="H50" s="35">
        <f t="shared" si="124"/>
        <v>0</v>
      </c>
      <c r="I50" s="26">
        <f t="shared" si="7"/>
        <v>0</v>
      </c>
      <c r="J50" s="27"/>
      <c r="K50" s="28"/>
      <c r="L50" s="28"/>
      <c r="M50" s="61"/>
      <c r="N50" s="61"/>
      <c r="O50" s="31"/>
      <c r="P50" s="28"/>
      <c r="Q50" s="28"/>
      <c r="R50" s="64">
        <f t="shared" si="125"/>
        <v>0</v>
      </c>
      <c r="S50" s="34">
        <f t="shared" si="126"/>
        <v>0</v>
      </c>
      <c r="T50" s="34">
        <f t="shared" si="127"/>
        <v>0</v>
      </c>
      <c r="U50" s="37"/>
      <c r="V50" s="37"/>
      <c r="W50" s="38"/>
      <c r="X50" s="39"/>
      <c r="Y50" s="40"/>
      <c r="Z50" s="40"/>
      <c r="AA50" s="34">
        <f t="shared" si="92"/>
        <v>0</v>
      </c>
      <c r="AB50" s="34">
        <f t="shared" si="93"/>
        <v>0</v>
      </c>
      <c r="AC50" s="110"/>
      <c r="AD50" s="111"/>
      <c r="AE50" s="111"/>
      <c r="AF50" s="34">
        <f t="shared" si="128"/>
        <v>0</v>
      </c>
      <c r="AG50" s="34">
        <f t="shared" si="129"/>
        <v>0</v>
      </c>
      <c r="AH50" s="62"/>
      <c r="AI50" s="38"/>
      <c r="AJ50" s="38"/>
      <c r="AK50" s="34">
        <f t="shared" si="130"/>
        <v>0</v>
      </c>
      <c r="AL50" s="44">
        <f t="shared" si="131"/>
        <v>0</v>
      </c>
      <c r="AM50" s="45">
        <f t="shared" si="99"/>
        <v>0</v>
      </c>
      <c r="AN50" s="51">
        <f t="shared" si="100"/>
        <v>0</v>
      </c>
      <c r="AO50" s="51">
        <f t="shared" si="101"/>
        <v>0</v>
      </c>
      <c r="AP50" s="47" t="e">
        <f t="shared" si="102"/>
        <v>#DIV/0!</v>
      </c>
      <c r="AQ50" s="48">
        <f t="shared" si="112"/>
        <v>0</v>
      </c>
      <c r="AR50" s="49">
        <f t="shared" si="27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36"/>
        <v>46227</v>
      </c>
      <c r="C51" s="23" t="s">
        <v>55</v>
      </c>
      <c r="D51" s="50">
        <f t="shared" ref="D51" si="158">AH50</f>
        <v>0</v>
      </c>
      <c r="E51" s="34">
        <f t="shared" ref="E51" si="159">AI50</f>
        <v>0</v>
      </c>
      <c r="F51" s="34">
        <f t="shared" ref="F51" si="160">AJ50</f>
        <v>0</v>
      </c>
      <c r="G51" s="34">
        <f t="shared" si="123"/>
        <v>0</v>
      </c>
      <c r="H51" s="35">
        <f t="shared" si="124"/>
        <v>0</v>
      </c>
      <c r="I51" s="26">
        <f t="shared" si="7"/>
        <v>0</v>
      </c>
      <c r="J51" s="27"/>
      <c r="K51" s="28"/>
      <c r="L51" s="28"/>
      <c r="M51" s="61"/>
      <c r="N51" s="61"/>
      <c r="O51" s="31"/>
      <c r="P51" s="28"/>
      <c r="Q51" s="28"/>
      <c r="R51" s="64">
        <f t="shared" si="125"/>
        <v>0</v>
      </c>
      <c r="S51" s="34">
        <f t="shared" si="126"/>
        <v>0</v>
      </c>
      <c r="T51" s="34">
        <f t="shared" si="127"/>
        <v>0</v>
      </c>
      <c r="U51" s="37"/>
      <c r="V51" s="37"/>
      <c r="W51" s="38"/>
      <c r="X51" s="39"/>
      <c r="Y51" s="40"/>
      <c r="Z51" s="40"/>
      <c r="AA51" s="34">
        <f t="shared" si="92"/>
        <v>0</v>
      </c>
      <c r="AB51" s="34">
        <f t="shared" si="93"/>
        <v>0</v>
      </c>
      <c r="AC51" s="42"/>
      <c r="AD51" s="42"/>
      <c r="AE51" s="42"/>
      <c r="AF51" s="34">
        <f t="shared" si="128"/>
        <v>0</v>
      </c>
      <c r="AG51" s="34">
        <f t="shared" si="129"/>
        <v>0</v>
      </c>
      <c r="AH51" s="62"/>
      <c r="AI51" s="38"/>
      <c r="AJ51" s="38"/>
      <c r="AK51" s="34">
        <f t="shared" si="130"/>
        <v>0</v>
      </c>
      <c r="AL51" s="44">
        <f t="shared" si="131"/>
        <v>0</v>
      </c>
      <c r="AM51" s="45">
        <f t="shared" si="99"/>
        <v>0</v>
      </c>
      <c r="AN51" s="51">
        <f t="shared" si="100"/>
        <v>0</v>
      </c>
      <c r="AO51" s="51">
        <f t="shared" si="101"/>
        <v>0</v>
      </c>
      <c r="AP51" s="47" t="e">
        <f t="shared" si="102"/>
        <v>#DIV/0!</v>
      </c>
      <c r="AQ51" s="48">
        <f t="shared" si="112"/>
        <v>0</v>
      </c>
      <c r="AR51" s="49">
        <f t="shared" si="27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36"/>
        <v>46228</v>
      </c>
      <c r="C52" s="23" t="s">
        <v>54</v>
      </c>
      <c r="D52" s="50">
        <f t="shared" ref="D52" si="161">AH51</f>
        <v>0</v>
      </c>
      <c r="E52" s="34">
        <f t="shared" ref="E52" si="162">AI51</f>
        <v>0</v>
      </c>
      <c r="F52" s="34">
        <f t="shared" ref="F52" si="163">AJ51</f>
        <v>0</v>
      </c>
      <c r="G52" s="34">
        <f t="shared" si="123"/>
        <v>0</v>
      </c>
      <c r="H52" s="35">
        <f t="shared" si="124"/>
        <v>0</v>
      </c>
      <c r="I52" s="26">
        <f t="shared" si="7"/>
        <v>0</v>
      </c>
      <c r="J52" s="27"/>
      <c r="K52" s="28"/>
      <c r="L52" s="28"/>
      <c r="M52" s="61"/>
      <c r="N52" s="61"/>
      <c r="O52" s="31"/>
      <c r="P52" s="28"/>
      <c r="Q52" s="28"/>
      <c r="R52" s="64">
        <f t="shared" si="125"/>
        <v>0</v>
      </c>
      <c r="S52" s="34">
        <f t="shared" si="126"/>
        <v>0</v>
      </c>
      <c r="T52" s="34">
        <f t="shared" si="127"/>
        <v>0</v>
      </c>
      <c r="U52" s="37"/>
      <c r="V52" s="37"/>
      <c r="W52" s="38"/>
      <c r="X52" s="39"/>
      <c r="Y52" s="40"/>
      <c r="Z52" s="40"/>
      <c r="AA52" s="34">
        <f t="shared" si="92"/>
        <v>0</v>
      </c>
      <c r="AB52" s="34">
        <f t="shared" si="93"/>
        <v>0</v>
      </c>
      <c r="AC52" s="130"/>
      <c r="AD52" s="130"/>
      <c r="AE52" s="130"/>
      <c r="AF52" s="34">
        <f t="shared" si="128"/>
        <v>0</v>
      </c>
      <c r="AG52" s="34">
        <f t="shared" si="129"/>
        <v>0</v>
      </c>
      <c r="AH52" s="62"/>
      <c r="AI52" s="38"/>
      <c r="AJ52" s="38"/>
      <c r="AK52" s="34">
        <f t="shared" si="130"/>
        <v>0</v>
      </c>
      <c r="AL52" s="44">
        <f t="shared" si="131"/>
        <v>0</v>
      </c>
      <c r="AM52" s="45">
        <f t="shared" si="99"/>
        <v>0</v>
      </c>
      <c r="AN52" s="51">
        <f t="shared" si="100"/>
        <v>0</v>
      </c>
      <c r="AO52" s="51">
        <f t="shared" si="101"/>
        <v>0</v>
      </c>
      <c r="AP52" s="47" t="e">
        <f t="shared" si="102"/>
        <v>#DIV/0!</v>
      </c>
      <c r="AQ52" s="48">
        <f t="shared" si="112"/>
        <v>0</v>
      </c>
      <c r="AR52" s="49">
        <f t="shared" si="27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36"/>
        <v>46228</v>
      </c>
      <c r="C53" s="23" t="s">
        <v>55</v>
      </c>
      <c r="D53" s="50">
        <f t="shared" ref="D53" si="164">AH52</f>
        <v>0</v>
      </c>
      <c r="E53" s="34">
        <f t="shared" ref="E53" si="165">AI52</f>
        <v>0</v>
      </c>
      <c r="F53" s="34">
        <f t="shared" ref="F53" si="166">AJ52</f>
        <v>0</v>
      </c>
      <c r="G53" s="34">
        <f t="shared" si="123"/>
        <v>0</v>
      </c>
      <c r="H53" s="35">
        <f t="shared" si="124"/>
        <v>0</v>
      </c>
      <c r="I53" s="26">
        <f t="shared" si="7"/>
        <v>0</v>
      </c>
      <c r="J53" s="27"/>
      <c r="K53" s="28"/>
      <c r="L53" s="28"/>
      <c r="M53" s="61"/>
      <c r="N53" s="61"/>
      <c r="O53" s="31"/>
      <c r="P53" s="28"/>
      <c r="Q53" s="28"/>
      <c r="R53" s="64">
        <f t="shared" si="125"/>
        <v>0</v>
      </c>
      <c r="S53" s="34">
        <f t="shared" si="126"/>
        <v>0</v>
      </c>
      <c r="T53" s="34">
        <f t="shared" si="127"/>
        <v>0</v>
      </c>
      <c r="U53" s="37"/>
      <c r="V53" s="37"/>
      <c r="W53" s="38"/>
      <c r="X53" s="39"/>
      <c r="Y53" s="40"/>
      <c r="Z53" s="40"/>
      <c r="AA53" s="34">
        <f t="shared" si="92"/>
        <v>0</v>
      </c>
      <c r="AB53" s="34">
        <f t="shared" si="93"/>
        <v>0</v>
      </c>
      <c r="AC53" s="130"/>
      <c r="AD53" s="130"/>
      <c r="AE53" s="130"/>
      <c r="AF53" s="34">
        <f t="shared" si="128"/>
        <v>0</v>
      </c>
      <c r="AG53" s="34">
        <f t="shared" si="129"/>
        <v>0</v>
      </c>
      <c r="AH53" s="62"/>
      <c r="AI53" s="38"/>
      <c r="AJ53" s="38"/>
      <c r="AK53" s="34">
        <f t="shared" si="130"/>
        <v>0</v>
      </c>
      <c r="AL53" s="44">
        <f t="shared" si="131"/>
        <v>0</v>
      </c>
      <c r="AM53" s="45">
        <f t="shared" si="99"/>
        <v>0</v>
      </c>
      <c r="AN53" s="51">
        <f t="shared" si="100"/>
        <v>0</v>
      </c>
      <c r="AO53" s="51">
        <f t="shared" si="101"/>
        <v>0</v>
      </c>
      <c r="AP53" s="47" t="e">
        <f t="shared" si="102"/>
        <v>#DIV/0!</v>
      </c>
      <c r="AQ53" s="48">
        <f t="shared" si="112"/>
        <v>0</v>
      </c>
      <c r="AR53" s="49">
        <f t="shared" si="27"/>
        <v>0</v>
      </c>
      <c r="AS53" s="49"/>
      <c r="AT53" s="52"/>
      <c r="AU53" s="52"/>
      <c r="AV53" s="52"/>
      <c r="AW53" s="52"/>
    </row>
    <row r="54" spans="2:49" x14ac:dyDescent="0.25">
      <c r="B54" s="22">
        <f t="shared" si="36"/>
        <v>46229</v>
      </c>
      <c r="C54" s="23" t="s">
        <v>54</v>
      </c>
      <c r="D54" s="50">
        <f t="shared" ref="D54" si="167">AH53</f>
        <v>0</v>
      </c>
      <c r="E54" s="34">
        <f t="shared" ref="E54" si="168">AI53</f>
        <v>0</v>
      </c>
      <c r="F54" s="34">
        <f t="shared" ref="F54" si="169">AJ53</f>
        <v>0</v>
      </c>
      <c r="G54" s="34">
        <f t="shared" si="123"/>
        <v>0</v>
      </c>
      <c r="H54" s="35">
        <f t="shared" si="124"/>
        <v>0</v>
      </c>
      <c r="I54" s="26">
        <f t="shared" si="7"/>
        <v>0</v>
      </c>
      <c r="J54" s="27"/>
      <c r="K54" s="28"/>
      <c r="L54" s="28"/>
      <c r="M54" s="61"/>
      <c r="N54" s="61"/>
      <c r="O54" s="31"/>
      <c r="P54" s="28"/>
      <c r="Q54" s="28"/>
      <c r="R54" s="64">
        <f t="shared" si="125"/>
        <v>0</v>
      </c>
      <c r="S54" s="34">
        <f t="shared" si="126"/>
        <v>0</v>
      </c>
      <c r="T54" s="34">
        <f t="shared" si="127"/>
        <v>0</v>
      </c>
      <c r="U54" s="37"/>
      <c r="V54" s="37"/>
      <c r="W54" s="38"/>
      <c r="X54" s="39"/>
      <c r="Y54" s="40"/>
      <c r="Z54" s="40"/>
      <c r="AA54" s="34">
        <f t="shared" si="92"/>
        <v>0</v>
      </c>
      <c r="AB54" s="34">
        <f t="shared" si="93"/>
        <v>0</v>
      </c>
      <c r="AC54" s="130"/>
      <c r="AD54" s="130"/>
      <c r="AE54" s="130"/>
      <c r="AF54" s="34">
        <f t="shared" si="128"/>
        <v>0</v>
      </c>
      <c r="AG54" s="34">
        <f t="shared" si="129"/>
        <v>0</v>
      </c>
      <c r="AH54" s="62"/>
      <c r="AI54" s="38"/>
      <c r="AJ54" s="38"/>
      <c r="AK54" s="34">
        <f t="shared" si="130"/>
        <v>0</v>
      </c>
      <c r="AL54" s="44">
        <f t="shared" si="131"/>
        <v>0</v>
      </c>
      <c r="AM54" s="45">
        <f t="shared" si="99"/>
        <v>0</v>
      </c>
      <c r="AN54" s="51">
        <f t="shared" si="100"/>
        <v>0</v>
      </c>
      <c r="AO54" s="51">
        <f t="shared" si="101"/>
        <v>0</v>
      </c>
      <c r="AP54" s="47" t="e">
        <f t="shared" si="102"/>
        <v>#DIV/0!</v>
      </c>
      <c r="AQ54" s="48">
        <f t="shared" si="112"/>
        <v>0</v>
      </c>
      <c r="AR54" s="49">
        <f t="shared" si="27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36"/>
        <v>46229</v>
      </c>
      <c r="C55" s="23" t="s">
        <v>55</v>
      </c>
      <c r="D55" s="50">
        <f t="shared" ref="D55" si="170">AH54</f>
        <v>0</v>
      </c>
      <c r="E55" s="34">
        <f t="shared" ref="E55" si="171">AI54</f>
        <v>0</v>
      </c>
      <c r="F55" s="34">
        <f t="shared" ref="F55" si="172">AJ54</f>
        <v>0</v>
      </c>
      <c r="G55" s="34">
        <f t="shared" si="123"/>
        <v>0</v>
      </c>
      <c r="H55" s="35">
        <f t="shared" si="124"/>
        <v>0</v>
      </c>
      <c r="I55" s="26">
        <f t="shared" si="7"/>
        <v>0</v>
      </c>
      <c r="J55" s="27"/>
      <c r="K55" s="28"/>
      <c r="L55" s="28"/>
      <c r="M55" s="61"/>
      <c r="N55" s="61"/>
      <c r="O55" s="31"/>
      <c r="P55" s="28"/>
      <c r="Q55" s="28"/>
      <c r="R55" s="64">
        <f t="shared" si="125"/>
        <v>0</v>
      </c>
      <c r="S55" s="34">
        <f t="shared" si="126"/>
        <v>0</v>
      </c>
      <c r="T55" s="34">
        <f t="shared" si="127"/>
        <v>0</v>
      </c>
      <c r="U55" s="37"/>
      <c r="V55" s="37"/>
      <c r="W55" s="38"/>
      <c r="X55" s="39"/>
      <c r="Y55" s="40"/>
      <c r="Z55" s="40"/>
      <c r="AA55" s="34">
        <f t="shared" si="92"/>
        <v>0</v>
      </c>
      <c r="AB55" s="34">
        <f t="shared" si="93"/>
        <v>0</v>
      </c>
      <c r="AC55" s="130"/>
      <c r="AD55" s="130"/>
      <c r="AE55" s="130"/>
      <c r="AF55" s="34">
        <f t="shared" si="128"/>
        <v>0</v>
      </c>
      <c r="AG55" s="34">
        <f t="shared" si="129"/>
        <v>0</v>
      </c>
      <c r="AH55" s="62"/>
      <c r="AI55" s="38"/>
      <c r="AJ55" s="38"/>
      <c r="AK55" s="34">
        <f t="shared" si="130"/>
        <v>0</v>
      </c>
      <c r="AL55" s="44">
        <f t="shared" si="131"/>
        <v>0</v>
      </c>
      <c r="AM55" s="45">
        <f t="shared" si="99"/>
        <v>0</v>
      </c>
      <c r="AN55" s="51">
        <f t="shared" si="100"/>
        <v>0</v>
      </c>
      <c r="AO55" s="51">
        <f t="shared" si="101"/>
        <v>0</v>
      </c>
      <c r="AP55" s="47" t="e">
        <f t="shared" si="102"/>
        <v>#DIV/0!</v>
      </c>
      <c r="AQ55" s="48">
        <f t="shared" si="112"/>
        <v>0</v>
      </c>
      <c r="AR55" s="49">
        <f t="shared" si="27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36"/>
        <v>46230</v>
      </c>
      <c r="C56" s="23" t="s">
        <v>54</v>
      </c>
      <c r="D56" s="50">
        <f t="shared" ref="D56" si="173">AH55</f>
        <v>0</v>
      </c>
      <c r="E56" s="34">
        <f t="shared" ref="E56" si="174">AI55</f>
        <v>0</v>
      </c>
      <c r="F56" s="34">
        <f t="shared" ref="F56" si="175">AJ55</f>
        <v>0</v>
      </c>
      <c r="G56" s="34">
        <f t="shared" si="123"/>
        <v>0</v>
      </c>
      <c r="H56" s="35">
        <f t="shared" si="124"/>
        <v>0</v>
      </c>
      <c r="I56" s="26">
        <f t="shared" si="7"/>
        <v>0</v>
      </c>
      <c r="J56" s="27"/>
      <c r="K56" s="28"/>
      <c r="L56" s="28"/>
      <c r="M56" s="61"/>
      <c r="N56" s="61"/>
      <c r="O56" s="31"/>
      <c r="P56" s="28"/>
      <c r="Q56" s="28"/>
      <c r="R56" s="64">
        <f t="shared" si="125"/>
        <v>0</v>
      </c>
      <c r="S56" s="34">
        <f t="shared" si="126"/>
        <v>0</v>
      </c>
      <c r="T56" s="34">
        <f t="shared" si="127"/>
        <v>0</v>
      </c>
      <c r="U56" s="37"/>
      <c r="V56" s="37"/>
      <c r="W56" s="38"/>
      <c r="X56" s="39"/>
      <c r="Y56" s="40"/>
      <c r="Z56" s="40"/>
      <c r="AA56" s="34">
        <f t="shared" si="92"/>
        <v>0</v>
      </c>
      <c r="AB56" s="34">
        <f t="shared" si="93"/>
        <v>0</v>
      </c>
      <c r="AC56" s="130"/>
      <c r="AD56" s="130"/>
      <c r="AE56" s="130"/>
      <c r="AF56" s="34">
        <f t="shared" si="128"/>
        <v>0</v>
      </c>
      <c r="AG56" s="34">
        <f t="shared" si="129"/>
        <v>0</v>
      </c>
      <c r="AH56" s="62"/>
      <c r="AI56" s="38"/>
      <c r="AJ56" s="38"/>
      <c r="AK56" s="34">
        <f t="shared" si="130"/>
        <v>0</v>
      </c>
      <c r="AL56" s="44">
        <f t="shared" si="131"/>
        <v>0</v>
      </c>
      <c r="AM56" s="45">
        <f t="shared" si="99"/>
        <v>0</v>
      </c>
      <c r="AN56" s="51">
        <f t="shared" si="100"/>
        <v>0</v>
      </c>
      <c r="AO56" s="51">
        <f t="shared" si="101"/>
        <v>0</v>
      </c>
      <c r="AP56" s="47" t="e">
        <f t="shared" si="102"/>
        <v>#DIV/0!</v>
      </c>
      <c r="AQ56" s="48">
        <f t="shared" si="112"/>
        <v>0</v>
      </c>
      <c r="AR56" s="49">
        <f t="shared" si="27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36"/>
        <v>46230</v>
      </c>
      <c r="C57" s="23" t="s">
        <v>55</v>
      </c>
      <c r="D57" s="50">
        <f t="shared" ref="D57" si="176">AH56</f>
        <v>0</v>
      </c>
      <c r="E57" s="34">
        <f t="shared" ref="E57" si="177">AI56</f>
        <v>0</v>
      </c>
      <c r="F57" s="34">
        <f t="shared" ref="F57" si="178">AJ56</f>
        <v>0</v>
      </c>
      <c r="G57" s="34">
        <f t="shared" si="123"/>
        <v>0</v>
      </c>
      <c r="H57" s="35">
        <f t="shared" si="124"/>
        <v>0</v>
      </c>
      <c r="I57" s="26">
        <f t="shared" si="7"/>
        <v>0</v>
      </c>
      <c r="J57" s="27"/>
      <c r="K57" s="28"/>
      <c r="L57" s="28"/>
      <c r="M57" s="61"/>
      <c r="N57" s="61"/>
      <c r="O57" s="31"/>
      <c r="P57" s="28"/>
      <c r="Q57" s="28"/>
      <c r="R57" s="64">
        <f t="shared" si="125"/>
        <v>0</v>
      </c>
      <c r="S57" s="34">
        <f t="shared" si="126"/>
        <v>0</v>
      </c>
      <c r="T57" s="34">
        <f t="shared" si="127"/>
        <v>0</v>
      </c>
      <c r="U57" s="37"/>
      <c r="V57" s="37"/>
      <c r="W57" s="38"/>
      <c r="X57" s="39"/>
      <c r="Y57" s="40"/>
      <c r="Z57" s="40"/>
      <c r="AA57" s="34">
        <f t="shared" ref="AA57" si="179">X57*Y57%</f>
        <v>0</v>
      </c>
      <c r="AB57" s="34">
        <f t="shared" ref="AB57" si="180">X57*Z57%</f>
        <v>0</v>
      </c>
      <c r="AC57" s="130"/>
      <c r="AD57" s="130"/>
      <c r="AE57" s="130"/>
      <c r="AF57" s="34">
        <f t="shared" si="128"/>
        <v>0</v>
      </c>
      <c r="AG57" s="34">
        <f t="shared" si="129"/>
        <v>0</v>
      </c>
      <c r="AH57" s="62"/>
      <c r="AI57" s="38"/>
      <c r="AJ57" s="38"/>
      <c r="AK57" s="34">
        <f t="shared" si="130"/>
        <v>0</v>
      </c>
      <c r="AL57" s="44">
        <f t="shared" si="131"/>
        <v>0</v>
      </c>
      <c r="AM57" s="45">
        <f t="shared" si="99"/>
        <v>0</v>
      </c>
      <c r="AN57" s="51">
        <f t="shared" si="100"/>
        <v>0</v>
      </c>
      <c r="AO57" s="51">
        <f t="shared" si="101"/>
        <v>0</v>
      </c>
      <c r="AP57" s="47" t="e">
        <f t="shared" si="102"/>
        <v>#DIV/0!</v>
      </c>
      <c r="AQ57" s="48">
        <f t="shared" si="112"/>
        <v>0</v>
      </c>
      <c r="AR57" s="49">
        <f t="shared" si="27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36"/>
        <v>46231</v>
      </c>
      <c r="C58" s="23" t="s">
        <v>54</v>
      </c>
      <c r="D58" s="50">
        <f t="shared" ref="D58" si="181">AH57</f>
        <v>0</v>
      </c>
      <c r="E58" s="34">
        <f t="shared" ref="E58" si="182">AI57</f>
        <v>0</v>
      </c>
      <c r="F58" s="34">
        <f t="shared" ref="F58" si="183">AJ57</f>
        <v>0</v>
      </c>
      <c r="G58" s="34">
        <f t="shared" si="123"/>
        <v>0</v>
      </c>
      <c r="H58" s="35">
        <f t="shared" si="124"/>
        <v>0</v>
      </c>
      <c r="I58" s="26">
        <f t="shared" si="7"/>
        <v>0</v>
      </c>
      <c r="J58" s="27"/>
      <c r="K58" s="28"/>
      <c r="L58" s="28"/>
      <c r="M58" s="61"/>
      <c r="N58" s="61"/>
      <c r="O58" s="31"/>
      <c r="P58" s="28"/>
      <c r="Q58" s="28"/>
      <c r="R58" s="64">
        <f t="shared" si="125"/>
        <v>0</v>
      </c>
      <c r="S58" s="34">
        <f t="shared" si="126"/>
        <v>0</v>
      </c>
      <c r="T58" s="34">
        <f t="shared" si="127"/>
        <v>0</v>
      </c>
      <c r="U58" s="37"/>
      <c r="V58" s="37"/>
      <c r="W58" s="38"/>
      <c r="X58" s="39"/>
      <c r="Y58" s="40"/>
      <c r="Z58" s="40"/>
      <c r="AA58" s="34">
        <f t="shared" ref="AA58:AA61" si="184">X58*Y58%</f>
        <v>0</v>
      </c>
      <c r="AB58" s="34">
        <f t="shared" ref="AB58:AB61" si="185">X58*Z58%</f>
        <v>0</v>
      </c>
      <c r="AC58" s="130"/>
      <c r="AD58" s="130"/>
      <c r="AE58" s="130"/>
      <c r="AF58" s="34">
        <f t="shared" si="128"/>
        <v>0</v>
      </c>
      <c r="AG58" s="34">
        <f t="shared" si="129"/>
        <v>0</v>
      </c>
      <c r="AH58" s="62"/>
      <c r="AI58" s="38"/>
      <c r="AJ58" s="38"/>
      <c r="AK58" s="34">
        <f t="shared" si="130"/>
        <v>0</v>
      </c>
      <c r="AL58" s="44">
        <f t="shared" si="131"/>
        <v>0</v>
      </c>
      <c r="AM58" s="45">
        <f t="shared" si="99"/>
        <v>0</v>
      </c>
      <c r="AN58" s="51">
        <f t="shared" si="100"/>
        <v>0</v>
      </c>
      <c r="AO58" s="51">
        <f t="shared" si="101"/>
        <v>0</v>
      </c>
      <c r="AP58" s="47" t="e">
        <f t="shared" si="102"/>
        <v>#DIV/0!</v>
      </c>
      <c r="AQ58" s="48">
        <f t="shared" si="112"/>
        <v>0</v>
      </c>
      <c r="AR58" s="49">
        <f t="shared" si="27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36"/>
        <v>46231</v>
      </c>
      <c r="C59" s="23" t="s">
        <v>55</v>
      </c>
      <c r="D59" s="50">
        <f t="shared" si="132"/>
        <v>0</v>
      </c>
      <c r="E59" s="34">
        <f t="shared" si="133"/>
        <v>0</v>
      </c>
      <c r="F59" s="34">
        <f t="shared" si="134"/>
        <v>0</v>
      </c>
      <c r="G59" s="34">
        <f t="shared" si="123"/>
        <v>0</v>
      </c>
      <c r="H59" s="35">
        <f t="shared" si="124"/>
        <v>0</v>
      </c>
      <c r="I59" s="26">
        <f t="shared" si="7"/>
        <v>0</v>
      </c>
      <c r="J59" s="27"/>
      <c r="K59" s="28"/>
      <c r="L59" s="28"/>
      <c r="M59" s="61"/>
      <c r="N59" s="61"/>
      <c r="O59" s="31"/>
      <c r="P59" s="28"/>
      <c r="Q59" s="28"/>
      <c r="R59" s="64">
        <f t="shared" si="125"/>
        <v>0</v>
      </c>
      <c r="S59" s="34">
        <f t="shared" si="126"/>
        <v>0</v>
      </c>
      <c r="T59" s="34">
        <f t="shared" si="127"/>
        <v>0</v>
      </c>
      <c r="U59" s="37"/>
      <c r="V59" s="37"/>
      <c r="W59" s="38"/>
      <c r="X59" s="39"/>
      <c r="Y59" s="40"/>
      <c r="Z59" s="40"/>
      <c r="AA59" s="34">
        <f t="shared" si="184"/>
        <v>0</v>
      </c>
      <c r="AB59" s="34">
        <f t="shared" si="185"/>
        <v>0</v>
      </c>
      <c r="AC59" s="130"/>
      <c r="AD59" s="130"/>
      <c r="AE59" s="130"/>
      <c r="AF59" s="34">
        <f t="shared" si="128"/>
        <v>0</v>
      </c>
      <c r="AG59" s="34">
        <f t="shared" si="129"/>
        <v>0</v>
      </c>
      <c r="AH59" s="62"/>
      <c r="AI59" s="38"/>
      <c r="AJ59" s="38"/>
      <c r="AK59" s="34">
        <f t="shared" si="130"/>
        <v>0</v>
      </c>
      <c r="AL59" s="44">
        <f t="shared" si="131"/>
        <v>0</v>
      </c>
      <c r="AM59" s="45">
        <f t="shared" si="99"/>
        <v>0</v>
      </c>
      <c r="AN59" s="51">
        <f t="shared" si="100"/>
        <v>0</v>
      </c>
      <c r="AO59" s="51">
        <f t="shared" si="101"/>
        <v>0</v>
      </c>
      <c r="AP59" s="47" t="e">
        <f t="shared" si="102"/>
        <v>#DIV/0!</v>
      </c>
      <c r="AQ59" s="48">
        <f t="shared" si="112"/>
        <v>0</v>
      </c>
      <c r="AR59" s="49">
        <f t="shared" si="27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36"/>
        <v>46232</v>
      </c>
      <c r="C60" s="23" t="s">
        <v>54</v>
      </c>
      <c r="D60" s="50">
        <f t="shared" ref="D60:D65" si="186">AH59</f>
        <v>0</v>
      </c>
      <c r="E60" s="34">
        <f t="shared" ref="E60:E65" si="187">AI59</f>
        <v>0</v>
      </c>
      <c r="F60" s="34">
        <f t="shared" ref="F60:F65" si="188">AJ59</f>
        <v>0</v>
      </c>
      <c r="G60" s="34">
        <f t="shared" si="123"/>
        <v>0</v>
      </c>
      <c r="H60" s="35">
        <f t="shared" si="124"/>
        <v>0</v>
      </c>
      <c r="I60" s="26">
        <f t="shared" si="7"/>
        <v>0</v>
      </c>
      <c r="J60" s="27"/>
      <c r="K60" s="28"/>
      <c r="L60" s="28"/>
      <c r="M60" s="61"/>
      <c r="N60" s="61"/>
      <c r="O60" s="31"/>
      <c r="P60" s="28"/>
      <c r="Q60" s="28"/>
      <c r="R60" s="64">
        <f t="shared" si="125"/>
        <v>0</v>
      </c>
      <c r="S60" s="34">
        <f t="shared" si="126"/>
        <v>0</v>
      </c>
      <c r="T60" s="34">
        <f t="shared" si="127"/>
        <v>0</v>
      </c>
      <c r="U60" s="37"/>
      <c r="V60" s="37"/>
      <c r="W60" s="38"/>
      <c r="X60" s="39"/>
      <c r="Y60" s="40"/>
      <c r="Z60" s="40"/>
      <c r="AA60" s="34">
        <f t="shared" ref="AA60" si="189">X60*Y60%</f>
        <v>0</v>
      </c>
      <c r="AB60" s="34">
        <f t="shared" ref="AB60" si="190">X60*Z60%</f>
        <v>0</v>
      </c>
      <c r="AC60" s="130"/>
      <c r="AD60" s="130"/>
      <c r="AE60" s="130"/>
      <c r="AF60" s="34">
        <f t="shared" si="128"/>
        <v>0</v>
      </c>
      <c r="AG60" s="34">
        <f t="shared" si="129"/>
        <v>0</v>
      </c>
      <c r="AH60" s="62"/>
      <c r="AI60" s="38"/>
      <c r="AJ60" s="38"/>
      <c r="AK60" s="34">
        <f t="shared" si="130"/>
        <v>0</v>
      </c>
      <c r="AL60" s="44">
        <f t="shared" si="131"/>
        <v>0</v>
      </c>
      <c r="AM60" s="45">
        <f t="shared" si="99"/>
        <v>0</v>
      </c>
      <c r="AN60" s="51">
        <f t="shared" si="100"/>
        <v>0</v>
      </c>
      <c r="AO60" s="51">
        <f t="shared" si="101"/>
        <v>0</v>
      </c>
      <c r="AP60" s="47" t="e">
        <f t="shared" si="102"/>
        <v>#DIV/0!</v>
      </c>
      <c r="AQ60" s="48">
        <f t="shared" si="112"/>
        <v>0</v>
      </c>
      <c r="AR60" s="49">
        <f t="shared" si="27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36"/>
        <v>46232</v>
      </c>
      <c r="C61" s="23" t="s">
        <v>55</v>
      </c>
      <c r="D61" s="50">
        <f t="shared" si="186"/>
        <v>0</v>
      </c>
      <c r="E61" s="34">
        <f t="shared" si="187"/>
        <v>0</v>
      </c>
      <c r="F61" s="34">
        <f t="shared" si="188"/>
        <v>0</v>
      </c>
      <c r="G61" s="34">
        <f t="shared" si="123"/>
        <v>0</v>
      </c>
      <c r="H61" s="35">
        <f t="shared" si="124"/>
        <v>0</v>
      </c>
      <c r="I61" s="26">
        <f t="shared" si="7"/>
        <v>0</v>
      </c>
      <c r="J61" s="27"/>
      <c r="K61" s="28"/>
      <c r="L61" s="28"/>
      <c r="M61" s="61"/>
      <c r="N61" s="61"/>
      <c r="O61" s="31"/>
      <c r="P61" s="28"/>
      <c r="Q61" s="28"/>
      <c r="R61" s="64">
        <f t="shared" si="125"/>
        <v>0</v>
      </c>
      <c r="S61" s="34">
        <f t="shared" si="126"/>
        <v>0</v>
      </c>
      <c r="T61" s="34">
        <f t="shared" si="127"/>
        <v>0</v>
      </c>
      <c r="U61" s="37"/>
      <c r="V61" s="37"/>
      <c r="W61" s="38"/>
      <c r="X61" s="39"/>
      <c r="Y61" s="40"/>
      <c r="Z61" s="40"/>
      <c r="AA61" s="34">
        <f t="shared" si="184"/>
        <v>0</v>
      </c>
      <c r="AB61" s="34">
        <f t="shared" si="185"/>
        <v>0</v>
      </c>
      <c r="AC61" s="42"/>
      <c r="AD61" s="42"/>
      <c r="AE61" s="42"/>
      <c r="AF61" s="34">
        <f t="shared" si="128"/>
        <v>0</v>
      </c>
      <c r="AG61" s="34">
        <f t="shared" si="129"/>
        <v>0</v>
      </c>
      <c r="AH61" s="62"/>
      <c r="AI61" s="38"/>
      <c r="AJ61" s="38"/>
      <c r="AK61" s="34">
        <f t="shared" si="130"/>
        <v>0</v>
      </c>
      <c r="AL61" s="44">
        <f t="shared" si="131"/>
        <v>0</v>
      </c>
      <c r="AM61" s="45">
        <f t="shared" si="99"/>
        <v>0</v>
      </c>
      <c r="AN61" s="51">
        <f t="shared" si="100"/>
        <v>0</v>
      </c>
      <c r="AO61" s="51">
        <f t="shared" si="101"/>
        <v>0</v>
      </c>
      <c r="AP61" s="47" t="e">
        <f t="shared" si="102"/>
        <v>#DIV/0!</v>
      </c>
      <c r="AQ61" s="48">
        <f t="shared" si="112"/>
        <v>0</v>
      </c>
      <c r="AR61" s="49">
        <f t="shared" si="27"/>
        <v>0</v>
      </c>
      <c r="AS61" s="49"/>
      <c r="AT61" s="52"/>
      <c r="AU61" s="52"/>
      <c r="AV61" s="52"/>
      <c r="AW61" s="52"/>
    </row>
    <row r="62" spans="2:49" x14ac:dyDescent="0.25">
      <c r="B62" s="22">
        <f t="shared" si="36"/>
        <v>46233</v>
      </c>
      <c r="C62" s="23" t="s">
        <v>54</v>
      </c>
      <c r="D62" s="50">
        <f t="shared" si="186"/>
        <v>0</v>
      </c>
      <c r="E62" s="34">
        <f t="shared" si="187"/>
        <v>0</v>
      </c>
      <c r="F62" s="34">
        <f t="shared" si="188"/>
        <v>0</v>
      </c>
      <c r="G62" s="34">
        <f t="shared" si="123"/>
        <v>0</v>
      </c>
      <c r="H62" s="35">
        <f t="shared" si="124"/>
        <v>0</v>
      </c>
      <c r="I62" s="26">
        <f t="shared" si="7"/>
        <v>0</v>
      </c>
      <c r="J62" s="27"/>
      <c r="K62" s="28"/>
      <c r="L62" s="28"/>
      <c r="M62" s="61"/>
      <c r="N62" s="61"/>
      <c r="O62" s="31"/>
      <c r="P62" s="28"/>
      <c r="Q62" s="28"/>
      <c r="R62" s="64">
        <f t="shared" si="125"/>
        <v>0</v>
      </c>
      <c r="S62" s="34">
        <f t="shared" si="126"/>
        <v>0</v>
      </c>
      <c r="T62" s="34">
        <f t="shared" si="127"/>
        <v>0</v>
      </c>
      <c r="U62" s="37"/>
      <c r="V62" s="37"/>
      <c r="W62" s="38"/>
      <c r="X62" s="39"/>
      <c r="Y62" s="40"/>
      <c r="Z62" s="40"/>
      <c r="AA62" s="34">
        <f t="shared" ref="AA62:AA65" si="191">X62*Y62%</f>
        <v>0</v>
      </c>
      <c r="AB62" s="34">
        <f t="shared" ref="AB62:AB65" si="192">X62*Z62%</f>
        <v>0</v>
      </c>
      <c r="AC62" s="42"/>
      <c r="AD62" s="42"/>
      <c r="AE62" s="42"/>
      <c r="AF62" s="34">
        <f t="shared" si="128"/>
        <v>0</v>
      </c>
      <c r="AG62" s="34">
        <f t="shared" si="129"/>
        <v>0</v>
      </c>
      <c r="AH62" s="62"/>
      <c r="AI62" s="38"/>
      <c r="AJ62" s="38"/>
      <c r="AK62" s="34">
        <f t="shared" si="130"/>
        <v>0</v>
      </c>
      <c r="AL62" s="44">
        <f t="shared" si="131"/>
        <v>0</v>
      </c>
      <c r="AM62" s="45">
        <f t="shared" si="99"/>
        <v>0</v>
      </c>
      <c r="AN62" s="51">
        <f t="shared" si="100"/>
        <v>0</v>
      </c>
      <c r="AO62" s="51">
        <f t="shared" si="101"/>
        <v>0</v>
      </c>
      <c r="AP62" s="47" t="e">
        <f t="shared" si="102"/>
        <v>#DIV/0!</v>
      </c>
      <c r="AQ62" s="48">
        <f t="shared" si="112"/>
        <v>0</v>
      </c>
      <c r="AR62" s="49">
        <f t="shared" si="27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36"/>
        <v>46233</v>
      </c>
      <c r="C63" s="23" t="s">
        <v>55</v>
      </c>
      <c r="D63" s="50">
        <f t="shared" si="186"/>
        <v>0</v>
      </c>
      <c r="E63" s="34">
        <f t="shared" si="187"/>
        <v>0</v>
      </c>
      <c r="F63" s="34">
        <f t="shared" si="188"/>
        <v>0</v>
      </c>
      <c r="G63" s="34">
        <f t="shared" si="123"/>
        <v>0</v>
      </c>
      <c r="H63" s="35">
        <f t="shared" si="124"/>
        <v>0</v>
      </c>
      <c r="I63" s="26">
        <f t="shared" si="7"/>
        <v>0</v>
      </c>
      <c r="J63" s="27"/>
      <c r="K63" s="28"/>
      <c r="L63" s="28"/>
      <c r="M63" s="61"/>
      <c r="N63" s="61"/>
      <c r="O63" s="31"/>
      <c r="P63" s="28"/>
      <c r="Q63" s="28"/>
      <c r="R63" s="64">
        <f t="shared" si="125"/>
        <v>0</v>
      </c>
      <c r="S63" s="34">
        <f t="shared" si="126"/>
        <v>0</v>
      </c>
      <c r="T63" s="34">
        <f t="shared" si="127"/>
        <v>0</v>
      </c>
      <c r="U63" s="37"/>
      <c r="V63" s="37"/>
      <c r="W63" s="38"/>
      <c r="X63" s="39"/>
      <c r="Y63" s="40"/>
      <c r="Z63" s="40"/>
      <c r="AA63" s="34">
        <f t="shared" si="191"/>
        <v>0</v>
      </c>
      <c r="AB63" s="34">
        <f t="shared" si="192"/>
        <v>0</v>
      </c>
      <c r="AC63" s="291"/>
      <c r="AD63" s="292"/>
      <c r="AE63" s="292"/>
      <c r="AF63" s="34">
        <f t="shared" si="128"/>
        <v>0</v>
      </c>
      <c r="AG63" s="34">
        <f t="shared" si="129"/>
        <v>0</v>
      </c>
      <c r="AH63" s="62"/>
      <c r="AI63" s="38"/>
      <c r="AJ63" s="38"/>
      <c r="AK63" s="34">
        <f t="shared" si="130"/>
        <v>0</v>
      </c>
      <c r="AL63" s="44">
        <f t="shared" si="131"/>
        <v>0</v>
      </c>
      <c r="AM63" s="45">
        <f t="shared" si="99"/>
        <v>0</v>
      </c>
      <c r="AN63" s="51">
        <f t="shared" si="100"/>
        <v>0</v>
      </c>
      <c r="AO63" s="51">
        <f t="shared" si="101"/>
        <v>0</v>
      </c>
      <c r="AP63" s="47" t="e">
        <f t="shared" si="102"/>
        <v>#DIV/0!</v>
      </c>
      <c r="AQ63" s="48">
        <f t="shared" si="112"/>
        <v>0</v>
      </c>
      <c r="AR63" s="49">
        <f t="shared" si="27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36"/>
        <v>46234</v>
      </c>
      <c r="C64" s="23" t="s">
        <v>54</v>
      </c>
      <c r="D64" s="50"/>
      <c r="E64" s="34"/>
      <c r="F64" s="34"/>
      <c r="G64" s="34">
        <f t="shared" ref="G64" si="193">+D64*E64%</f>
        <v>0</v>
      </c>
      <c r="H64" s="35">
        <f t="shared" si="124"/>
        <v>0</v>
      </c>
      <c r="I64" s="26">
        <f t="shared" si="7"/>
        <v>0</v>
      </c>
      <c r="J64" s="27"/>
      <c r="K64" s="28"/>
      <c r="L64" s="28"/>
      <c r="M64" s="61"/>
      <c r="N64" s="61"/>
      <c r="O64" s="31"/>
      <c r="P64" s="28"/>
      <c r="Q64" s="28"/>
      <c r="R64" s="64">
        <f t="shared" si="125"/>
        <v>0</v>
      </c>
      <c r="S64" s="34">
        <f t="shared" si="126"/>
        <v>0</v>
      </c>
      <c r="T64" s="34">
        <f t="shared" si="127"/>
        <v>0</v>
      </c>
      <c r="U64" s="37"/>
      <c r="V64" s="37"/>
      <c r="W64" s="38"/>
      <c r="X64" s="39"/>
      <c r="Y64" s="40"/>
      <c r="Z64" s="40"/>
      <c r="AA64" s="34">
        <f t="shared" si="191"/>
        <v>0</v>
      </c>
      <c r="AB64" s="34">
        <f t="shared" si="192"/>
        <v>0</v>
      </c>
      <c r="AC64" s="42"/>
      <c r="AD64" s="42"/>
      <c r="AE64" s="42"/>
      <c r="AF64" s="34">
        <f t="shared" si="128"/>
        <v>0</v>
      </c>
      <c r="AG64" s="34">
        <f t="shared" si="129"/>
        <v>0</v>
      </c>
      <c r="AH64" s="62"/>
      <c r="AI64" s="38"/>
      <c r="AJ64" s="38"/>
      <c r="AK64" s="34">
        <f t="shared" si="130"/>
        <v>0</v>
      </c>
      <c r="AL64" s="44">
        <f t="shared" si="131"/>
        <v>0</v>
      </c>
      <c r="AM64" s="45">
        <f t="shared" si="99"/>
        <v>0</v>
      </c>
      <c r="AN64" s="51">
        <f t="shared" si="100"/>
        <v>0</v>
      </c>
      <c r="AO64" s="51">
        <f t="shared" si="101"/>
        <v>0</v>
      </c>
      <c r="AP64" s="47" t="e">
        <f t="shared" si="102"/>
        <v>#DIV/0!</v>
      </c>
      <c r="AQ64" s="48">
        <f t="shared" si="112"/>
        <v>0</v>
      </c>
      <c r="AR64" s="49">
        <f t="shared" si="27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6"/>
        <v>46234</v>
      </c>
      <c r="C65" s="23" t="s">
        <v>55</v>
      </c>
      <c r="D65" s="50">
        <f t="shared" si="186"/>
        <v>0</v>
      </c>
      <c r="E65" s="34">
        <f t="shared" si="187"/>
        <v>0</v>
      </c>
      <c r="F65" s="34">
        <f t="shared" si="188"/>
        <v>0</v>
      </c>
      <c r="G65" s="34">
        <f t="shared" si="123"/>
        <v>0</v>
      </c>
      <c r="H65" s="35">
        <f t="shared" si="124"/>
        <v>0</v>
      </c>
      <c r="I65" s="26">
        <f t="shared" si="7"/>
        <v>0</v>
      </c>
      <c r="J65" s="27"/>
      <c r="K65" s="28"/>
      <c r="L65" s="28"/>
      <c r="M65" s="61"/>
      <c r="N65" s="61"/>
      <c r="O65" s="31"/>
      <c r="P65" s="28"/>
      <c r="Q65" s="28"/>
      <c r="R65" s="64">
        <f t="shared" si="125"/>
        <v>0</v>
      </c>
      <c r="S65" s="34">
        <f t="shared" si="126"/>
        <v>0</v>
      </c>
      <c r="T65" s="34">
        <f t="shared" si="127"/>
        <v>0</v>
      </c>
      <c r="U65" s="37"/>
      <c r="V65" s="37"/>
      <c r="W65" s="38"/>
      <c r="X65" s="39"/>
      <c r="Y65" s="40"/>
      <c r="Z65" s="40"/>
      <c r="AA65" s="34">
        <f t="shared" si="191"/>
        <v>0</v>
      </c>
      <c r="AB65" s="34">
        <f t="shared" si="192"/>
        <v>0</v>
      </c>
      <c r="AC65" s="130"/>
      <c r="AD65" s="130"/>
      <c r="AE65" s="130"/>
      <c r="AF65" s="34">
        <f t="shared" si="128"/>
        <v>0</v>
      </c>
      <c r="AG65" s="34">
        <f t="shared" si="129"/>
        <v>0</v>
      </c>
      <c r="AH65" s="62"/>
      <c r="AI65" s="38"/>
      <c r="AJ65" s="38"/>
      <c r="AK65" s="34">
        <f t="shared" si="130"/>
        <v>0</v>
      </c>
      <c r="AL65" s="44">
        <f t="shared" si="131"/>
        <v>0</v>
      </c>
      <c r="AM65" s="45">
        <f t="shared" si="99"/>
        <v>0</v>
      </c>
      <c r="AN65" s="51">
        <f t="shared" si="100"/>
        <v>0</v>
      </c>
      <c r="AO65" s="51">
        <f t="shared" si="101"/>
        <v>0</v>
      </c>
      <c r="AP65" s="47" t="e">
        <f t="shared" si="102"/>
        <v>#DIV/0!</v>
      </c>
      <c r="AQ65" s="48">
        <f t="shared" si="112"/>
        <v>0</v>
      </c>
      <c r="AR65" s="49">
        <f t="shared" si="27"/>
        <v>0</v>
      </c>
      <c r="AS65" s="49">
        <f>SUM(J52:J65)</f>
        <v>0</v>
      </c>
      <c r="AT65" s="52">
        <f>SUM(AM52:AM65)</f>
        <v>0</v>
      </c>
      <c r="AU65" s="52">
        <f>SUM(AN52:AN65)</f>
        <v>0</v>
      </c>
      <c r="AV65" s="52">
        <f>SUM(AO52:AO65)</f>
        <v>0</v>
      </c>
      <c r="AW65" s="52">
        <f>-SUM(AQ52:AQ65)</f>
        <v>0</v>
      </c>
    </row>
    <row r="66" spans="2:49" x14ac:dyDescent="0.25">
      <c r="J66" s="49">
        <f>SUM(J4:J65)</f>
        <v>10783.451100000002</v>
      </c>
      <c r="K66">
        <f>SUMPRODUCT(J4:J65,K4:K65)/J66</f>
        <v>3.9178097631471611</v>
      </c>
      <c r="L66">
        <f>SUMPRODUCT(J4:J65,L4:L65)/J66</f>
        <v>8.3963027383691653</v>
      </c>
      <c r="X66" s="49">
        <f>SUM(X6:X65)</f>
        <v>5387</v>
      </c>
      <c r="AC66" s="152">
        <f>SUM(AC6:AC65)</f>
        <v>5290</v>
      </c>
      <c r="AH66" s="251"/>
      <c r="AM66" s="55">
        <f>-SUM(AM4:AM65)</f>
        <v>-39.451100000002043</v>
      </c>
      <c r="AN66" s="55">
        <f>-SUM(AN4:AN65)</f>
        <v>9.2924999999999613</v>
      </c>
      <c r="AO66" s="55">
        <f>-SUM(AO4:AO65)</f>
        <v>5.172699999999935</v>
      </c>
      <c r="AQ66" s="55">
        <f>-SUM(AQ4:AQ65)</f>
        <v>5733.4349999999631</v>
      </c>
    </row>
    <row r="67" spans="2:49" x14ac:dyDescent="0.25">
      <c r="J67" s="253">
        <f>J66</f>
        <v>10783.451100000002</v>
      </c>
      <c r="K67">
        <f>J67*K66%</f>
        <v>422.47510000000005</v>
      </c>
      <c r="L67" s="49">
        <f>J67*L66%</f>
        <v>905.41120000000012</v>
      </c>
      <c r="O67">
        <v>497.82</v>
      </c>
      <c r="P67">
        <v>3.98</v>
      </c>
      <c r="Q67">
        <v>8.07</v>
      </c>
    </row>
    <row r="68" spans="2:49" x14ac:dyDescent="0.25">
      <c r="J68" s="254"/>
    </row>
    <row r="69" spans="2:49" x14ac:dyDescent="0.25">
      <c r="J69" s="254"/>
    </row>
    <row r="71" spans="2:49" x14ac:dyDescent="0.25">
      <c r="O71" s="31">
        <v>2480</v>
      </c>
      <c r="P71" s="28">
        <v>4.7</v>
      </c>
      <c r="Q71" s="32">
        <v>8.52</v>
      </c>
      <c r="R71">
        <f>+O71*P71%</f>
        <v>116.56</v>
      </c>
      <c r="S71">
        <f>+O71*Q71%</f>
        <v>211.29599999999999</v>
      </c>
      <c r="W71">
        <v>18506</v>
      </c>
    </row>
    <row r="72" spans="2:49" x14ac:dyDescent="0.25">
      <c r="O72">
        <v>5310</v>
      </c>
      <c r="P72">
        <v>4.3499999999999996</v>
      </c>
      <c r="Q72">
        <v>8.41</v>
      </c>
      <c r="R72">
        <f>+O72*P72%</f>
        <v>230.98499999999999</v>
      </c>
      <c r="S72">
        <f>+O72*Q72%</f>
        <v>446.57100000000003</v>
      </c>
      <c r="W72">
        <v>41588</v>
      </c>
    </row>
    <row r="73" spans="2:49" x14ac:dyDescent="0.25">
      <c r="O73" s="49">
        <f>SUM(O71:O72)</f>
        <v>7790</v>
      </c>
      <c r="P73">
        <f>+R73/O73%</f>
        <v>4.4614249037227207</v>
      </c>
      <c r="Q73">
        <f>+S73/O73%</f>
        <v>8.445019255455712</v>
      </c>
      <c r="R73">
        <f>SUM(R71:R72)</f>
        <v>347.54499999999996</v>
      </c>
      <c r="S73">
        <f>SUM(S71:S72)</f>
        <v>657.86699999999996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1" priority="1" operator="lessThan">
      <formula>0.1</formula>
    </cfRule>
    <cfRule type="cellIs" dxfId="40" priority="2" operator="greaterThan">
      <formula>0.1</formula>
    </cfRule>
  </conditionalFormatting>
  <conditionalFormatting sqref="AP1:AQ1">
    <cfRule type="cellIs" dxfId="39" priority="3" operator="lessThan">
      <formula>1</formula>
    </cfRule>
  </conditionalFormatting>
  <conditionalFormatting sqref="AQ4:AQ65">
    <cfRule type="cellIs" dxfId="38" priority="10" operator="lessThan">
      <formula>0</formula>
    </cfRule>
    <cfRule type="cellIs" dxfId="37" priority="1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AB247"/>
  <sheetViews>
    <sheetView zoomScale="90" zoomScaleNormal="9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X18" sqref="X18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85546875" bestFit="1" customWidth="1"/>
    <col min="20" max="21" width="8.28515625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100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104"/>
      <c r="K4" s="86"/>
      <c r="L4" s="86"/>
      <c r="M4" s="87"/>
      <c r="N4" s="100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86"/>
      <c r="I5" s="86"/>
      <c r="J5" s="104"/>
      <c r="K5" s="68"/>
      <c r="L5" s="68"/>
      <c r="M5" s="76"/>
      <c r="N5" s="100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100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100"/>
      <c r="O7" s="77"/>
      <c r="P7" s="89"/>
      <c r="Q7" s="79">
        <v>0</v>
      </c>
      <c r="R7" s="80">
        <v>0</v>
      </c>
      <c r="S7" s="80">
        <v>0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10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86"/>
      <c r="E9" s="86"/>
      <c r="F9" s="86"/>
      <c r="G9" s="86"/>
      <c r="H9" s="86"/>
      <c r="I9" s="86"/>
      <c r="J9" s="86"/>
      <c r="K9" s="86"/>
      <c r="L9" s="86"/>
      <c r="M9" s="87"/>
      <c r="N9" s="100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10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100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100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100"/>
      <c r="O13" s="77"/>
      <c r="P13" s="89"/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100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7"/>
      <c r="N15" s="100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100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10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100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100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10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100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100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100"/>
      <c r="O23" s="77"/>
      <c r="P23" s="89"/>
      <c r="Q23" s="79"/>
      <c r="R23" s="80"/>
      <c r="S23" s="80"/>
      <c r="T23" s="80"/>
      <c r="U23" s="80"/>
      <c r="V23" s="95"/>
      <c r="W23" s="96"/>
      <c r="X23" s="97"/>
      <c r="Y23" s="97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100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100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100"/>
      <c r="O26" s="77"/>
      <c r="P26" s="89"/>
      <c r="Q26" s="79"/>
      <c r="R26" s="80"/>
      <c r="S26" s="80"/>
      <c r="T26" s="80"/>
      <c r="U26" s="80"/>
      <c r="V26" s="90"/>
      <c r="W26" s="91"/>
      <c r="X26" s="92"/>
      <c r="Y26" s="92"/>
      <c r="Z26" s="97"/>
      <c r="AA26" s="97"/>
    </row>
    <row r="27" spans="1:28" x14ac:dyDescent="0.25">
      <c r="A27" s="83"/>
      <c r="B27" s="84" t="s">
        <v>73</v>
      </c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100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100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10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100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100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100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0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10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100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/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146"/>
      <c r="F42" s="86"/>
      <c r="G42" s="86"/>
      <c r="H42" s="86"/>
      <c r="I42" s="86"/>
      <c r="J42" s="86"/>
      <c r="K42" s="86"/>
      <c r="L42" s="86"/>
      <c r="M42" s="87"/>
      <c r="N42" s="100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146"/>
      <c r="F43" s="86"/>
      <c r="G43" s="86"/>
      <c r="H43" s="86"/>
      <c r="I43" s="86"/>
      <c r="J43" s="86"/>
      <c r="K43" s="86"/>
      <c r="L43" s="86"/>
      <c r="M43" s="87"/>
      <c r="N43" s="100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100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10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/>
      <c r="L48" s="86"/>
      <c r="M48" s="87"/>
      <c r="N48" s="100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10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10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98"/>
      <c r="E51" s="86"/>
      <c r="F51" s="86"/>
      <c r="G51" s="86"/>
      <c r="H51" s="86"/>
      <c r="I51" s="86"/>
      <c r="J51" s="86"/>
      <c r="K51" s="86"/>
      <c r="L51" s="86"/>
      <c r="M51" s="87"/>
      <c r="N51" s="100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107"/>
      <c r="N52" s="100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10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98"/>
      <c r="E54" s="86"/>
      <c r="F54" s="86"/>
      <c r="G54" s="86"/>
      <c r="H54" s="86"/>
      <c r="I54" s="86"/>
      <c r="J54" s="86"/>
      <c r="K54" s="86"/>
      <c r="L54" s="86"/>
      <c r="M54" s="107"/>
      <c r="N54" s="100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98"/>
      <c r="E55" s="86"/>
      <c r="F55" s="86"/>
      <c r="G55" s="86"/>
      <c r="H55" s="86"/>
      <c r="I55" s="86"/>
      <c r="J55" s="86"/>
      <c r="K55" s="86"/>
      <c r="L55" s="86"/>
      <c r="M55" s="107"/>
      <c r="N55" s="100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100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100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94"/>
      <c r="I63" s="94"/>
      <c r="J63" s="94"/>
      <c r="K63" s="86"/>
      <c r="L63" s="86"/>
      <c r="M63" s="87"/>
      <c r="N63" s="80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5"/>
      <c r="W63" s="96"/>
      <c r="X63" s="97"/>
      <c r="Y63" s="97"/>
      <c r="Z63" s="97"/>
      <c r="AA63" s="97"/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94"/>
      <c r="I64" s="94"/>
      <c r="J64" s="94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5"/>
      <c r="W64" s="96"/>
      <c r="X64" s="97"/>
      <c r="Y64" s="97"/>
      <c r="Z64" s="97"/>
      <c r="AA64" s="97"/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100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8"/>
      <c r="O70" s="77"/>
      <c r="P70" s="89">
        <f>V70</f>
        <v>0</v>
      </c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86"/>
      <c r="I71" s="86"/>
      <c r="J71" s="86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0"/>
      <c r="W71" s="91"/>
      <c r="X71" s="92"/>
      <c r="Y71" s="92"/>
      <c r="Z71" s="92"/>
      <c r="AA71" s="92"/>
      <c r="AB71" s="93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100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8"/>
      <c r="O73" s="77"/>
      <c r="P73" s="89">
        <f>V73</f>
        <v>0</v>
      </c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98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98"/>
      <c r="E79" s="86"/>
      <c r="F79" s="86"/>
      <c r="G79" s="86"/>
      <c r="H79" s="86"/>
      <c r="I79" s="86"/>
      <c r="J79" s="86"/>
      <c r="K79" s="86"/>
      <c r="L79" s="86"/>
      <c r="M79" s="87"/>
      <c r="N79" s="88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73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8"/>
      <c r="O83" s="77"/>
      <c r="P83" s="89"/>
      <c r="Q83" s="79"/>
      <c r="R83" s="80"/>
      <c r="S83" s="80"/>
      <c r="T83" s="80"/>
      <c r="U83" s="80"/>
      <c r="V83" s="90"/>
      <c r="W83" s="91"/>
      <c r="X83" s="92"/>
      <c r="Y83" s="92"/>
      <c r="Z83" s="92"/>
      <c r="AA83" s="92"/>
      <c r="AB83" s="93"/>
    </row>
    <row r="84" spans="1:28" x14ac:dyDescent="0.25">
      <c r="A84" s="83"/>
      <c r="B84" s="84" t="s">
        <v>76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>
        <f>V88</f>
        <v>0</v>
      </c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77</v>
      </c>
      <c r="C90" s="85"/>
      <c r="D90" s="98"/>
      <c r="E90" s="86"/>
      <c r="F90" s="86"/>
      <c r="G90" s="86"/>
      <c r="H90" s="94"/>
      <c r="I90" s="94"/>
      <c r="J90" s="94"/>
      <c r="K90" s="86"/>
      <c r="L90" s="86"/>
      <c r="M90" s="87"/>
      <c r="N90" s="80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5"/>
      <c r="W90" s="96"/>
      <c r="X90" s="97"/>
      <c r="Y90" s="97"/>
      <c r="Z90" s="97"/>
      <c r="AA90" s="97"/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94"/>
      <c r="I91" s="94"/>
      <c r="J91" s="94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5"/>
      <c r="W91" s="96"/>
      <c r="X91" s="97"/>
      <c r="Y91" s="97"/>
      <c r="Z91" s="97"/>
      <c r="AA91" s="97"/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76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>
        <f>V100</f>
        <v>0</v>
      </c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76</v>
      </c>
      <c r="C102" s="85"/>
      <c r="D102" s="98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>
        <f>V103</f>
        <v>0</v>
      </c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>
        <f>V106</f>
        <v>0</v>
      </c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8"/>
      <c r="O109" s="77"/>
      <c r="P109" s="89">
        <f>V109</f>
        <v>0</v>
      </c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8"/>
      <c r="O112" s="77"/>
      <c r="P112" s="89">
        <f>V112</f>
        <v>0</v>
      </c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73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>
        <f>V114</f>
        <v>0</v>
      </c>
      <c r="Q114" s="79">
        <f>W114-H114</f>
        <v>0</v>
      </c>
      <c r="R114" s="80" t="e">
        <f>T114/Q114%</f>
        <v>#DIV/0!</v>
      </c>
      <c r="S114" s="80" t="e">
        <f>U114/Q114%</f>
        <v>#DIV/0!</v>
      </c>
      <c r="T114" s="80">
        <f>Z114-K114</f>
        <v>0</v>
      </c>
      <c r="U114" s="80">
        <f>AA114-L114</f>
        <v>0</v>
      </c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>
        <f>V115</f>
        <v>0</v>
      </c>
      <c r="Q115" s="79">
        <f>W115-H115</f>
        <v>0</v>
      </c>
      <c r="R115" s="80" t="e">
        <f>T115/Q115%</f>
        <v>#DIV/0!</v>
      </c>
      <c r="S115" s="80" t="e">
        <f>U115/Q115%</f>
        <v>#DIV/0!</v>
      </c>
      <c r="T115" s="80">
        <f>Z115-K115</f>
        <v>0</v>
      </c>
      <c r="U115" s="80">
        <f>AA115-L115</f>
        <v>0</v>
      </c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98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>
        <f>V118</f>
        <v>0</v>
      </c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76</v>
      </c>
      <c r="C120" s="85"/>
      <c r="D120" s="98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8"/>
      <c r="O121" s="77"/>
      <c r="P121" s="89">
        <f>V121</f>
        <v>0</v>
      </c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</row>
    <row r="123" spans="1:28" x14ac:dyDescent="0.25">
      <c r="A123" s="83"/>
      <c r="B123" s="84" t="s">
        <v>76</v>
      </c>
      <c r="C123" s="85"/>
      <c r="D123" s="98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>
        <f>V123</f>
        <v>0</v>
      </c>
      <c r="Q123" s="79">
        <f>W123-H123</f>
        <v>0</v>
      </c>
      <c r="R123" s="80" t="e">
        <f>T123/Q123%</f>
        <v>#DIV/0!</v>
      </c>
      <c r="S123" s="80" t="e">
        <f>U123/Q123%</f>
        <v>#DIV/0!</v>
      </c>
      <c r="T123" s="80">
        <f>Z123-K123</f>
        <v>0</v>
      </c>
      <c r="U123" s="80">
        <f>AA123-L123</f>
        <v>0</v>
      </c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8"/>
      <c r="O124" s="77"/>
      <c r="P124" s="89">
        <f>V124</f>
        <v>0</v>
      </c>
      <c r="Q124" s="79">
        <f>W124-H124</f>
        <v>0</v>
      </c>
      <c r="R124" s="80" t="e">
        <f>T124/Q124%</f>
        <v>#DIV/0!</v>
      </c>
      <c r="S124" s="80" t="e">
        <f>U124/Q124%</f>
        <v>#DIV/0!</v>
      </c>
      <c r="T124" s="80">
        <f>Z124-K124</f>
        <v>0</v>
      </c>
      <c r="U124" s="80">
        <f>AA124-L124</f>
        <v>0</v>
      </c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86"/>
      <c r="I125" s="86"/>
      <c r="J125" s="86"/>
      <c r="K125" s="86"/>
      <c r="L125" s="86"/>
      <c r="M125" s="87"/>
      <c r="N125" s="88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>
        <f>V126</f>
        <v>0</v>
      </c>
      <c r="Q126" s="79">
        <f>W126-H126</f>
        <v>0</v>
      </c>
      <c r="R126" s="80" t="e">
        <f>T126/Q126%</f>
        <v>#DIV/0!</v>
      </c>
      <c r="S126" s="80" t="e">
        <f>U126/Q126%</f>
        <v>#DIV/0!</v>
      </c>
      <c r="T126" s="80">
        <f>Z126-K126</f>
        <v>0</v>
      </c>
      <c r="U126" s="80">
        <f>AA126-L126</f>
        <v>0</v>
      </c>
      <c r="V126" s="90"/>
      <c r="W126" s="91"/>
      <c r="X126" s="92"/>
      <c r="Y126" s="92"/>
      <c r="Z126" s="92">
        <f>W126*X126%</f>
        <v>0</v>
      </c>
      <c r="AA126" s="92">
        <f>W126*Y126%</f>
        <v>0</v>
      </c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>
        <f>W127-H127</f>
        <v>0</v>
      </c>
      <c r="R127" s="80" t="e">
        <f>T127/Q127%</f>
        <v>#DIV/0!</v>
      </c>
      <c r="S127" s="80" t="e">
        <f>U127/Q127%</f>
        <v>#DIV/0!</v>
      </c>
      <c r="T127" s="80">
        <f>Z127-K127</f>
        <v>0</v>
      </c>
      <c r="U127" s="80">
        <f>AA127-L127</f>
        <v>0</v>
      </c>
      <c r="V127" s="90"/>
      <c r="W127" s="91"/>
      <c r="X127" s="92"/>
      <c r="Y127" s="92"/>
      <c r="Z127" s="92">
        <f>W127*X127%</f>
        <v>0</v>
      </c>
      <c r="AA127" s="92">
        <f>W127*Y127%</f>
        <v>0</v>
      </c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</row>
    <row r="129" spans="1:28" x14ac:dyDescent="0.25">
      <c r="A129" s="83"/>
      <c r="B129" s="84" t="s">
        <v>73</v>
      </c>
      <c r="C129" s="85"/>
      <c r="D129" s="98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>
        <f>V129</f>
        <v>0</v>
      </c>
      <c r="Q129" s="79">
        <f>W129-H129</f>
        <v>0</v>
      </c>
      <c r="R129" s="80" t="e">
        <f>T129/Q129%</f>
        <v>#DIV/0!</v>
      </c>
      <c r="S129" s="80" t="e">
        <f>U129/Q129%</f>
        <v>#DIV/0!</v>
      </c>
      <c r="T129" s="80">
        <f>Z129-K129</f>
        <v>0</v>
      </c>
      <c r="U129" s="80">
        <f>AA129-L129</f>
        <v>0</v>
      </c>
      <c r="V129" s="90"/>
      <c r="W129" s="91"/>
      <c r="X129" s="92"/>
      <c r="Y129" s="92"/>
      <c r="Z129" s="92">
        <f>W129*X129%</f>
        <v>0</v>
      </c>
      <c r="AA129" s="92">
        <f>W129*Y129%</f>
        <v>0</v>
      </c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>
        <f>V130</f>
        <v>0</v>
      </c>
      <c r="Q130" s="79">
        <f>W130-H130</f>
        <v>0</v>
      </c>
      <c r="R130" s="80" t="e">
        <f>T130/Q130%</f>
        <v>#DIV/0!</v>
      </c>
      <c r="S130" s="80" t="e">
        <f>U130/Q130%</f>
        <v>#DIV/0!</v>
      </c>
      <c r="T130" s="80">
        <f>Z130-K130</f>
        <v>0</v>
      </c>
      <c r="U130" s="80">
        <f>AA130-L130</f>
        <v>0</v>
      </c>
      <c r="V130" s="90"/>
      <c r="W130" s="91"/>
      <c r="X130" s="92"/>
      <c r="Y130" s="92"/>
      <c r="Z130" s="92">
        <f>W130*X130%</f>
        <v>0</v>
      </c>
      <c r="AA130" s="92">
        <f>W130*Y130%</f>
        <v>0</v>
      </c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86"/>
      <c r="L131" s="86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>
        <f>V132</f>
        <v>0</v>
      </c>
      <c r="Q132" s="79">
        <f>W132-H132</f>
        <v>0</v>
      </c>
      <c r="R132" s="80" t="e">
        <f>T132/Q132%</f>
        <v>#DIV/0!</v>
      </c>
      <c r="S132" s="80" t="e">
        <f>U132/Q132%</f>
        <v>#DIV/0!</v>
      </c>
      <c r="T132" s="80">
        <f>Z132-K132</f>
        <v>0</v>
      </c>
      <c r="U132" s="80">
        <f>AA132-L132</f>
        <v>0</v>
      </c>
      <c r="V132" s="90"/>
      <c r="W132" s="91"/>
      <c r="X132" s="92"/>
      <c r="Y132" s="92"/>
      <c r="Z132" s="92">
        <f>W132*X132%</f>
        <v>0</v>
      </c>
      <c r="AA132" s="92">
        <f>W132*Y132%</f>
        <v>0</v>
      </c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>
        <f>V133</f>
        <v>0</v>
      </c>
      <c r="Q133" s="79">
        <f>W133-H133</f>
        <v>0</v>
      </c>
      <c r="R133" s="80" t="e">
        <f>T133/Q133%</f>
        <v>#DIV/0!</v>
      </c>
      <c r="S133" s="80" t="e">
        <f>U133/Q133%</f>
        <v>#DIV/0!</v>
      </c>
      <c r="T133" s="80">
        <f>Z133-K133</f>
        <v>0</v>
      </c>
      <c r="U133" s="80">
        <f>AA133-L133</f>
        <v>0</v>
      </c>
      <c r="V133" s="90"/>
      <c r="W133" s="91"/>
      <c r="X133" s="92"/>
      <c r="Y133" s="92"/>
      <c r="Z133" s="92">
        <f>W133*X133%</f>
        <v>0</v>
      </c>
      <c r="AA133" s="92">
        <f>W133*Y133%</f>
        <v>0</v>
      </c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86"/>
      <c r="L134" s="86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</row>
    <row r="135" spans="1:28" x14ac:dyDescent="0.25">
      <c r="A135" s="83"/>
      <c r="B135" s="84" t="s">
        <v>76</v>
      </c>
      <c r="C135" s="85"/>
      <c r="D135" s="98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>
        <f>V135</f>
        <v>0</v>
      </c>
      <c r="Q135" s="79">
        <f>W135-H135</f>
        <v>0</v>
      </c>
      <c r="R135" s="80" t="e">
        <f>T135/Q135%</f>
        <v>#DIV/0!</v>
      </c>
      <c r="S135" s="80" t="e">
        <f>U135/Q135%</f>
        <v>#DIV/0!</v>
      </c>
      <c r="T135" s="80">
        <f>Z135-K135</f>
        <v>0</v>
      </c>
      <c r="U135" s="80">
        <f>AA135-L135</f>
        <v>0</v>
      </c>
      <c r="V135" s="90"/>
      <c r="W135" s="91"/>
      <c r="X135" s="92"/>
      <c r="Y135" s="92"/>
      <c r="Z135" s="92">
        <f>W135*X135%</f>
        <v>0</v>
      </c>
      <c r="AA135" s="92">
        <f>W135*Y135%</f>
        <v>0</v>
      </c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>
        <f>V136</f>
        <v>0</v>
      </c>
      <c r="Q136" s="79">
        <f>W136-H136</f>
        <v>0</v>
      </c>
      <c r="R136" s="80" t="e">
        <f>T136/Q136%</f>
        <v>#DIV/0!</v>
      </c>
      <c r="S136" s="80" t="e">
        <f>U136/Q136%</f>
        <v>#DIV/0!</v>
      </c>
      <c r="T136" s="80">
        <f>Z136-K136</f>
        <v>0</v>
      </c>
      <c r="U136" s="80">
        <f>AA136-L136</f>
        <v>0</v>
      </c>
      <c r="V136" s="90"/>
      <c r="W136" s="91"/>
      <c r="X136" s="92"/>
      <c r="Y136" s="92"/>
      <c r="Z136" s="92">
        <f>W136*X136%</f>
        <v>0</v>
      </c>
      <c r="AA136" s="92">
        <f>W136*Y136%</f>
        <v>0</v>
      </c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86"/>
      <c r="L137" s="86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>
        <f>V138</f>
        <v>0</v>
      </c>
      <c r="Q138" s="79">
        <f>W138-H138</f>
        <v>0</v>
      </c>
      <c r="R138" s="80" t="e">
        <f>T138/Q138%</f>
        <v>#DIV/0!</v>
      </c>
      <c r="S138" s="80" t="e">
        <f>U138/Q138%</f>
        <v>#DIV/0!</v>
      </c>
      <c r="T138" s="80">
        <f>Z138-K138</f>
        <v>0</v>
      </c>
      <c r="U138" s="80">
        <f>AA138-L138</f>
        <v>0</v>
      </c>
      <c r="V138" s="90"/>
      <c r="W138" s="91"/>
      <c r="X138" s="92"/>
      <c r="Y138" s="92"/>
      <c r="Z138" s="92">
        <f>W138*X138%</f>
        <v>0</v>
      </c>
      <c r="AA138" s="92">
        <f>W138*Y138%</f>
        <v>0</v>
      </c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8"/>
      <c r="O139" s="77"/>
      <c r="P139" s="89">
        <f>V139</f>
        <v>0</v>
      </c>
      <c r="Q139" s="79">
        <f>W139-H139</f>
        <v>0</v>
      </c>
      <c r="R139" s="80" t="e">
        <f>T139/Q139%</f>
        <v>#DIV/0!</v>
      </c>
      <c r="S139" s="80" t="e">
        <f>U139/Q139%</f>
        <v>#DIV/0!</v>
      </c>
      <c r="T139" s="80">
        <f>Z139-K139</f>
        <v>0</v>
      </c>
      <c r="U139" s="80">
        <f>AA139-L139</f>
        <v>0</v>
      </c>
      <c r="V139" s="90"/>
      <c r="W139" s="91"/>
      <c r="X139" s="92"/>
      <c r="Y139" s="92"/>
      <c r="Z139" s="92">
        <f>W139*X139%</f>
        <v>0</v>
      </c>
      <c r="AA139" s="92">
        <f>W139*Y139%</f>
        <v>0</v>
      </c>
      <c r="AB139" s="93" t="s">
        <v>74</v>
      </c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86"/>
      <c r="L140" s="86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76</v>
      </c>
      <c r="C141" s="85">
        <v>0.88541666666666663</v>
      </c>
      <c r="D141" s="98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>
        <f>V141</f>
        <v>0</v>
      </c>
      <c r="Q141" s="79">
        <f>W141-H141</f>
        <v>0</v>
      </c>
      <c r="R141" s="80" t="e">
        <f>T141/Q141%</f>
        <v>#DIV/0!</v>
      </c>
      <c r="S141" s="80" t="e">
        <f>U141/Q141%</f>
        <v>#DIV/0!</v>
      </c>
      <c r="T141" s="80">
        <f>Z141-K141</f>
        <v>0</v>
      </c>
      <c r="U141" s="80">
        <f>AA141-L141</f>
        <v>0</v>
      </c>
      <c r="V141" s="90"/>
      <c r="W141" s="91"/>
      <c r="X141" s="92"/>
      <c r="Y141" s="92"/>
      <c r="Z141" s="92">
        <f>W141*X141%</f>
        <v>0</v>
      </c>
      <c r="AA141" s="92">
        <f>W141*Y141%</f>
        <v>0</v>
      </c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8"/>
      <c r="O142" s="77"/>
      <c r="P142" s="89">
        <f>V142</f>
        <v>0</v>
      </c>
      <c r="Q142" s="79">
        <f>W142-H142</f>
        <v>0</v>
      </c>
      <c r="R142" s="80" t="e">
        <f>T142/Q142%</f>
        <v>#DIV/0!</v>
      </c>
      <c r="S142" s="80" t="e">
        <f>U142/Q142%</f>
        <v>#DIV/0!</v>
      </c>
      <c r="T142" s="80">
        <f>Z142-K142</f>
        <v>0</v>
      </c>
      <c r="U142" s="80">
        <f>AA142-L142</f>
        <v>0</v>
      </c>
      <c r="V142" s="90"/>
      <c r="W142" s="91"/>
      <c r="X142" s="92"/>
      <c r="Y142" s="92"/>
      <c r="Z142" s="92">
        <f>W142*X142%</f>
        <v>0</v>
      </c>
      <c r="AA142" s="92">
        <f>W142*Y142%</f>
        <v>0</v>
      </c>
      <c r="AB142" s="93" t="s">
        <v>74</v>
      </c>
    </row>
    <row r="143" spans="1:28" x14ac:dyDescent="0.25">
      <c r="A143" s="83"/>
      <c r="B143" s="84"/>
      <c r="C143" s="85"/>
      <c r="D143" s="86"/>
      <c r="E143" s="86"/>
      <c r="F143" s="86"/>
      <c r="G143" s="86"/>
      <c r="H143" s="86"/>
      <c r="I143" s="86"/>
      <c r="J143" s="86"/>
      <c r="K143" s="86"/>
      <c r="L143" s="86"/>
      <c r="M143" s="87"/>
      <c r="N143" s="88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  <c r="AB143" s="93" t="s">
        <v>74</v>
      </c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>
        <f>V144</f>
        <v>0</v>
      </c>
      <c r="Q144" s="79">
        <f>W144-H144</f>
        <v>0</v>
      </c>
      <c r="R144" s="80" t="e">
        <f>T144/Q144%</f>
        <v>#DIV/0!</v>
      </c>
      <c r="S144" s="80" t="e">
        <f>U144/Q144%</f>
        <v>#DIV/0!</v>
      </c>
      <c r="T144" s="80">
        <f>Z144-K144</f>
        <v>0</v>
      </c>
      <c r="U144" s="80">
        <f>AA144-L144</f>
        <v>0</v>
      </c>
      <c r="V144" s="90"/>
      <c r="W144" s="91"/>
      <c r="X144" s="92"/>
      <c r="Y144" s="92"/>
      <c r="Z144" s="92">
        <f>W144*X144%</f>
        <v>0</v>
      </c>
      <c r="AA144" s="92">
        <f>W144*Y144%</f>
        <v>0</v>
      </c>
      <c r="AB144" s="93" t="s">
        <v>74</v>
      </c>
    </row>
    <row r="145" spans="1:28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0"/>
      <c r="O145" s="77"/>
      <c r="P145" s="89"/>
      <c r="Q145" s="79">
        <f>W145-H145</f>
        <v>0</v>
      </c>
      <c r="R145" s="80" t="e">
        <f>T145/Q145%</f>
        <v>#DIV/0!</v>
      </c>
      <c r="S145" s="80" t="e">
        <f>U145/Q145%</f>
        <v>#DIV/0!</v>
      </c>
      <c r="T145" s="80">
        <f>Z145-K145</f>
        <v>0</v>
      </c>
      <c r="U145" s="80">
        <f>AA145-L145</f>
        <v>0</v>
      </c>
      <c r="V145" s="90"/>
      <c r="W145" s="91"/>
      <c r="X145" s="92"/>
      <c r="Y145" s="92"/>
      <c r="Z145" s="92">
        <f>W145*X145%</f>
        <v>0</v>
      </c>
      <c r="AA145" s="92">
        <f>W145*Y145%</f>
        <v>0</v>
      </c>
      <c r="AB145" s="93" t="s">
        <v>74</v>
      </c>
    </row>
    <row r="146" spans="1:28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86"/>
      <c r="L146" s="86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</row>
    <row r="147" spans="1:28" x14ac:dyDescent="0.25">
      <c r="A147" s="83"/>
      <c r="B147" s="84" t="s">
        <v>73</v>
      </c>
      <c r="C147" s="85">
        <v>0.99305555555555558</v>
      </c>
      <c r="D147" s="86"/>
      <c r="E147" s="86"/>
      <c r="F147" s="86"/>
      <c r="G147" s="86"/>
      <c r="H147" s="86"/>
      <c r="I147" s="86"/>
      <c r="J147" s="86"/>
      <c r="K147" s="86"/>
      <c r="L147" s="86"/>
      <c r="M147" s="87"/>
      <c r="N147" s="88"/>
      <c r="O147" s="77"/>
      <c r="P147" s="89">
        <f>V147</f>
        <v>0</v>
      </c>
      <c r="Q147" s="79">
        <f>W147-H147</f>
        <v>0</v>
      </c>
      <c r="R147" s="80" t="e">
        <f>T147/Q147%</f>
        <v>#DIV/0!</v>
      </c>
      <c r="S147" s="80" t="e">
        <f>U147/Q147%</f>
        <v>#DIV/0!</v>
      </c>
      <c r="T147" s="80">
        <f>Z147-K147</f>
        <v>0</v>
      </c>
      <c r="U147" s="80">
        <f>AA147-L147</f>
        <v>0</v>
      </c>
      <c r="V147" s="90"/>
      <c r="W147" s="91"/>
      <c r="X147" s="92"/>
      <c r="Y147" s="92"/>
      <c r="Z147" s="92">
        <f>W147*X147%</f>
        <v>0</v>
      </c>
      <c r="AA147" s="92">
        <f>W147*Y147%</f>
        <v>0</v>
      </c>
      <c r="AB147" s="93" t="s">
        <v>74</v>
      </c>
    </row>
    <row r="148" spans="1:28" x14ac:dyDescent="0.25">
      <c r="A148" s="83"/>
      <c r="B148" s="84" t="s">
        <v>75</v>
      </c>
      <c r="C148" s="85"/>
      <c r="D148" s="86"/>
      <c r="E148" s="86"/>
      <c r="F148" s="86"/>
      <c r="G148" s="86"/>
      <c r="H148" s="86"/>
      <c r="I148" s="86"/>
      <c r="J148" s="86"/>
      <c r="K148" s="86"/>
      <c r="L148" s="86"/>
      <c r="M148" s="87"/>
      <c r="N148" s="80"/>
      <c r="O148" s="77"/>
      <c r="P148" s="89">
        <f>V148</f>
        <v>0</v>
      </c>
      <c r="Q148" s="79">
        <f>W148-H148</f>
        <v>0</v>
      </c>
      <c r="R148" s="80" t="e">
        <f>T148/Q148%</f>
        <v>#DIV/0!</v>
      </c>
      <c r="S148" s="80" t="e">
        <f>U148/Q148%</f>
        <v>#DIV/0!</v>
      </c>
      <c r="T148" s="80">
        <f>Z148-K148</f>
        <v>0</v>
      </c>
      <c r="U148" s="80">
        <f>AA148-L148</f>
        <v>0</v>
      </c>
      <c r="V148" s="90"/>
      <c r="W148" s="91"/>
      <c r="X148" s="92"/>
      <c r="Y148" s="92"/>
      <c r="Z148" s="92">
        <f>W148*X148%</f>
        <v>0</v>
      </c>
      <c r="AA148" s="92">
        <f>W148*Y148%</f>
        <v>0</v>
      </c>
      <c r="AB148" s="93" t="s">
        <v>74</v>
      </c>
    </row>
    <row r="149" spans="1:28" x14ac:dyDescent="0.25">
      <c r="A149" s="83"/>
      <c r="B149" s="84"/>
      <c r="C149" s="85"/>
      <c r="D149" s="86"/>
      <c r="E149" s="86"/>
      <c r="F149" s="86"/>
      <c r="G149" s="86"/>
      <c r="H149" s="94"/>
      <c r="I149" s="94"/>
      <c r="J149" s="94"/>
      <c r="K149" s="86"/>
      <c r="L149" s="86"/>
      <c r="M149" s="87"/>
      <c r="N149" s="80"/>
      <c r="O149" s="77"/>
      <c r="P149" s="89"/>
      <c r="Q149" s="79"/>
      <c r="R149" s="80"/>
      <c r="S149" s="80"/>
      <c r="T149" s="80"/>
      <c r="U149" s="80"/>
      <c r="V149" s="95"/>
      <c r="W149" s="96"/>
      <c r="X149" s="97"/>
      <c r="Y149" s="97"/>
      <c r="Z149" s="97"/>
      <c r="AA149" s="97"/>
    </row>
    <row r="150" spans="1:28" x14ac:dyDescent="0.25">
      <c r="A150" s="83"/>
      <c r="B150" s="84" t="s">
        <v>76</v>
      </c>
      <c r="C150" s="85"/>
      <c r="D150" s="98"/>
      <c r="E150" s="86"/>
      <c r="F150" s="86"/>
      <c r="G150" s="86"/>
      <c r="H150" s="86"/>
      <c r="I150" s="86"/>
      <c r="J150" s="86"/>
      <c r="K150" s="86"/>
      <c r="L150" s="86"/>
      <c r="M150" s="87"/>
      <c r="N150" s="88"/>
      <c r="O150" s="77"/>
      <c r="P150" s="89">
        <f>V150</f>
        <v>0</v>
      </c>
      <c r="Q150" s="79">
        <f>W150-H150</f>
        <v>0</v>
      </c>
      <c r="R150" s="80" t="e">
        <f>T150/Q150%</f>
        <v>#DIV/0!</v>
      </c>
      <c r="S150" s="80" t="e">
        <f>U150/Q150%</f>
        <v>#DIV/0!</v>
      </c>
      <c r="T150" s="80">
        <f>Z150-K150</f>
        <v>0</v>
      </c>
      <c r="U150" s="80">
        <f>AA150-L150</f>
        <v>0</v>
      </c>
      <c r="V150" s="90"/>
      <c r="W150" s="91"/>
      <c r="X150" s="92"/>
      <c r="Y150" s="92"/>
      <c r="Z150" s="92">
        <f>W150*X150%</f>
        <v>0</v>
      </c>
      <c r="AA150" s="92">
        <f>W150*Y150%</f>
        <v>0</v>
      </c>
      <c r="AB150" s="93" t="s">
        <v>74</v>
      </c>
    </row>
    <row r="151" spans="1:28" x14ac:dyDescent="0.25">
      <c r="A151" s="83"/>
      <c r="B151" s="84" t="s">
        <v>75</v>
      </c>
      <c r="C151" s="85"/>
      <c r="D151" s="86"/>
      <c r="E151" s="86"/>
      <c r="F151" s="86"/>
      <c r="G151" s="86"/>
      <c r="H151" s="86"/>
      <c r="I151" s="86"/>
      <c r="J151" s="86"/>
      <c r="K151" s="86"/>
      <c r="L151" s="86"/>
      <c r="M151" s="87"/>
      <c r="N151" s="80"/>
      <c r="O151" s="77"/>
      <c r="P151" s="89">
        <f>V151</f>
        <v>0</v>
      </c>
      <c r="Q151" s="79">
        <f>W151-H151</f>
        <v>0</v>
      </c>
      <c r="R151" s="80" t="e">
        <f>T151/Q151%</f>
        <v>#DIV/0!</v>
      </c>
      <c r="S151" s="80" t="e">
        <f>U151/Q151%</f>
        <v>#DIV/0!</v>
      </c>
      <c r="T151" s="80">
        <f>Z151-K151</f>
        <v>0</v>
      </c>
      <c r="U151" s="80">
        <f>AA151-L151</f>
        <v>0</v>
      </c>
      <c r="V151" s="90"/>
      <c r="W151" s="91"/>
      <c r="X151" s="92"/>
      <c r="Y151" s="92"/>
      <c r="Z151" s="92">
        <f>W151*X151%</f>
        <v>0</v>
      </c>
      <c r="AA151" s="92">
        <f>W151*Y151%</f>
        <v>0</v>
      </c>
      <c r="AB151" s="93" t="s">
        <v>74</v>
      </c>
    </row>
    <row r="152" spans="1:28" x14ac:dyDescent="0.25">
      <c r="A152" s="83"/>
      <c r="B152" s="84"/>
      <c r="C152" s="85"/>
      <c r="D152" s="86"/>
      <c r="E152" s="86"/>
      <c r="F152" s="86"/>
      <c r="G152" s="86"/>
      <c r="H152" s="94"/>
      <c r="I152" s="94"/>
      <c r="J152" s="94"/>
      <c r="K152" s="86"/>
      <c r="L152" s="86"/>
      <c r="M152" s="87"/>
      <c r="N152" s="80"/>
      <c r="O152" s="77"/>
      <c r="P152" s="89"/>
      <c r="Q152" s="79"/>
      <c r="R152" s="80"/>
      <c r="S152" s="80"/>
      <c r="T152" s="80"/>
      <c r="U152" s="80"/>
      <c r="V152" s="95"/>
      <c r="W152" s="96"/>
      <c r="X152" s="97"/>
      <c r="Y152" s="97"/>
      <c r="Z152" s="97"/>
      <c r="AA152" s="97"/>
    </row>
    <row r="153" spans="1:28" x14ac:dyDescent="0.25">
      <c r="A153" s="83"/>
      <c r="B153" s="84" t="s">
        <v>76</v>
      </c>
      <c r="C153" s="85"/>
      <c r="D153" s="98"/>
      <c r="E153" s="86"/>
      <c r="F153" s="86"/>
      <c r="G153" s="86"/>
      <c r="H153" s="86"/>
      <c r="I153" s="86"/>
      <c r="J153" s="86"/>
      <c r="K153" s="86"/>
      <c r="L153" s="86"/>
      <c r="M153" s="87"/>
      <c r="N153" s="88"/>
      <c r="O153" s="77"/>
      <c r="P153" s="89">
        <f>V153</f>
        <v>0</v>
      </c>
      <c r="Q153" s="79">
        <f>W153-H153</f>
        <v>0</v>
      </c>
      <c r="R153" s="80" t="e">
        <f>T153/Q153%</f>
        <v>#DIV/0!</v>
      </c>
      <c r="S153" s="80" t="e">
        <f>U153/Q153%</f>
        <v>#DIV/0!</v>
      </c>
      <c r="T153" s="80">
        <f>Z153-K153</f>
        <v>0</v>
      </c>
      <c r="U153" s="80">
        <f>AA153-L153</f>
        <v>0</v>
      </c>
      <c r="V153" s="90"/>
      <c r="W153" s="91"/>
      <c r="X153" s="92"/>
      <c r="Y153" s="92"/>
      <c r="Z153" s="92">
        <f>W153*X153%</f>
        <v>0</v>
      </c>
      <c r="AA153" s="92">
        <f>W153*Y153%</f>
        <v>0</v>
      </c>
      <c r="AB153" s="93" t="s">
        <v>74</v>
      </c>
    </row>
    <row r="154" spans="1:28" x14ac:dyDescent="0.25">
      <c r="A154" s="83"/>
      <c r="B154" s="84" t="s">
        <v>75</v>
      </c>
      <c r="C154" s="85"/>
      <c r="D154" s="86"/>
      <c r="E154" s="86"/>
      <c r="F154" s="86"/>
      <c r="G154" s="86"/>
      <c r="H154" s="86"/>
      <c r="I154" s="86"/>
      <c r="J154" s="86"/>
      <c r="K154" s="86"/>
      <c r="L154" s="86"/>
      <c r="M154" s="87"/>
      <c r="N154" s="80"/>
      <c r="O154" s="77"/>
      <c r="P154" s="89">
        <f>V154</f>
        <v>0</v>
      </c>
      <c r="Q154" s="79">
        <f>W154-H154</f>
        <v>0</v>
      </c>
      <c r="R154" s="80" t="e">
        <f>T154/Q154%</f>
        <v>#DIV/0!</v>
      </c>
      <c r="S154" s="80" t="e">
        <f>U154/Q154%</f>
        <v>#DIV/0!</v>
      </c>
      <c r="T154" s="80">
        <f>Z154-K154</f>
        <v>0</v>
      </c>
      <c r="U154" s="80">
        <f>AA154-L154</f>
        <v>0</v>
      </c>
      <c r="V154" s="90"/>
      <c r="W154" s="91"/>
      <c r="X154" s="92"/>
      <c r="Y154" s="92"/>
      <c r="Z154" s="92">
        <f>W154*X154%</f>
        <v>0</v>
      </c>
      <c r="AA154" s="92">
        <f>W154*Y154%</f>
        <v>0</v>
      </c>
      <c r="AB154" s="93" t="s">
        <v>74</v>
      </c>
    </row>
    <row r="155" spans="1:28" x14ac:dyDescent="0.25">
      <c r="A155" s="83"/>
      <c r="B155" s="84"/>
      <c r="C155" s="85"/>
      <c r="D155" s="86"/>
      <c r="E155" s="86"/>
      <c r="F155" s="86"/>
      <c r="G155" s="86"/>
      <c r="H155" s="94"/>
      <c r="I155" s="94"/>
      <c r="J155" s="94"/>
      <c r="K155" s="86"/>
      <c r="L155" s="86"/>
      <c r="M155" s="87"/>
      <c r="N155" s="80"/>
      <c r="O155" s="77"/>
      <c r="P155" s="89"/>
      <c r="Q155" s="79"/>
      <c r="R155" s="80"/>
      <c r="S155" s="80"/>
      <c r="T155" s="80"/>
      <c r="U155" s="80"/>
      <c r="V155" s="95"/>
      <c r="W155" s="96"/>
      <c r="X155" s="97"/>
      <c r="Y155" s="97"/>
      <c r="Z155" s="97"/>
      <c r="AA155" s="97"/>
    </row>
    <row r="156" spans="1:28" x14ac:dyDescent="0.25">
      <c r="A156" s="83"/>
      <c r="B156" s="84" t="s">
        <v>76</v>
      </c>
      <c r="C156" s="85"/>
      <c r="D156" s="86"/>
      <c r="E156" s="86"/>
      <c r="F156" s="86"/>
      <c r="G156" s="86"/>
      <c r="H156" s="86"/>
      <c r="I156" s="86"/>
      <c r="J156" s="86"/>
      <c r="K156" s="86"/>
      <c r="L156" s="86"/>
      <c r="M156" s="87"/>
      <c r="N156" s="88"/>
      <c r="O156" s="77"/>
      <c r="P156" s="89">
        <f>V156</f>
        <v>0</v>
      </c>
      <c r="Q156" s="79">
        <f>W156-H156</f>
        <v>0</v>
      </c>
      <c r="R156" s="80" t="e">
        <f>T156/Q156%</f>
        <v>#DIV/0!</v>
      </c>
      <c r="S156" s="80" t="e">
        <f>U156/Q156%</f>
        <v>#DIV/0!</v>
      </c>
      <c r="T156" s="80">
        <f>Z156-K156</f>
        <v>0</v>
      </c>
      <c r="U156" s="80">
        <f>AA156-L156</f>
        <v>0</v>
      </c>
      <c r="V156" s="90"/>
      <c r="W156" s="91"/>
      <c r="X156" s="92"/>
      <c r="Y156" s="92"/>
      <c r="Z156" s="92">
        <f>W156*X156%</f>
        <v>0</v>
      </c>
      <c r="AA156" s="92">
        <f>W156*Y156%</f>
        <v>0</v>
      </c>
      <c r="AB156" s="93" t="s">
        <v>74</v>
      </c>
    </row>
    <row r="157" spans="1:28" x14ac:dyDescent="0.25">
      <c r="A157" s="83"/>
      <c r="B157" s="84" t="s">
        <v>75</v>
      </c>
      <c r="C157" s="85"/>
      <c r="D157" s="86"/>
      <c r="E157" s="86"/>
      <c r="F157" s="86"/>
      <c r="G157" s="86"/>
      <c r="H157" s="86"/>
      <c r="I157" s="86"/>
      <c r="J157" s="86"/>
      <c r="K157" s="86"/>
      <c r="L157" s="86"/>
      <c r="M157" s="87"/>
      <c r="N157" s="88"/>
      <c r="O157" s="77"/>
      <c r="P157" s="89">
        <f>V157</f>
        <v>0</v>
      </c>
      <c r="Q157" s="79">
        <f>W157-H157</f>
        <v>0</v>
      </c>
      <c r="R157" s="80" t="e">
        <f>T157/Q157%</f>
        <v>#DIV/0!</v>
      </c>
      <c r="S157" s="80" t="e">
        <f>U157/Q157%</f>
        <v>#DIV/0!</v>
      </c>
      <c r="T157" s="80">
        <f>Z157-K157</f>
        <v>0</v>
      </c>
      <c r="U157" s="80">
        <f>AA157-L157</f>
        <v>0</v>
      </c>
      <c r="V157" s="90"/>
      <c r="W157" s="91"/>
      <c r="X157" s="92"/>
      <c r="Y157" s="92"/>
      <c r="Z157" s="92">
        <f>W157*X157%</f>
        <v>0</v>
      </c>
      <c r="AA157" s="92">
        <f>W157*Y157%</f>
        <v>0</v>
      </c>
      <c r="AB157" s="93" t="s">
        <v>74</v>
      </c>
    </row>
    <row r="158" spans="1:28" x14ac:dyDescent="0.25">
      <c r="A158" s="83"/>
      <c r="B158" s="84"/>
      <c r="C158" s="85"/>
      <c r="D158" s="86"/>
      <c r="E158" s="86"/>
      <c r="F158" s="86"/>
      <c r="G158" s="86"/>
      <c r="H158" s="94"/>
      <c r="I158" s="94"/>
      <c r="J158" s="94"/>
      <c r="K158" s="86"/>
      <c r="L158" s="86"/>
      <c r="M158" s="87"/>
      <c r="N158" s="80"/>
      <c r="O158" s="77"/>
      <c r="P158" s="89"/>
      <c r="Q158" s="79"/>
      <c r="R158" s="80"/>
      <c r="S158" s="80"/>
      <c r="T158" s="80"/>
      <c r="U158" s="80"/>
      <c r="V158" s="95"/>
      <c r="W158" s="96"/>
      <c r="X158" s="97"/>
      <c r="Y158" s="97"/>
      <c r="Z158" s="97"/>
      <c r="AA158" s="97"/>
    </row>
    <row r="159" spans="1:28" x14ac:dyDescent="0.25">
      <c r="A159" s="83"/>
      <c r="B159" s="84" t="s">
        <v>76</v>
      </c>
      <c r="C159" s="85">
        <v>0.91666666666666663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87"/>
      <c r="N159" s="88"/>
      <c r="O159" s="77"/>
      <c r="P159" s="89">
        <f>V159</f>
        <v>0</v>
      </c>
      <c r="Q159" s="79">
        <f>W159-H159</f>
        <v>0</v>
      </c>
      <c r="R159" s="80" t="e">
        <f>T159/Q159%</f>
        <v>#DIV/0!</v>
      </c>
      <c r="S159" s="80" t="e">
        <f>U159/Q159%</f>
        <v>#DIV/0!</v>
      </c>
      <c r="T159" s="80">
        <f>Z159-K159</f>
        <v>0</v>
      </c>
      <c r="U159" s="80">
        <f>AA159-L159</f>
        <v>0</v>
      </c>
      <c r="V159" s="90"/>
      <c r="W159" s="91"/>
      <c r="X159" s="92"/>
      <c r="Y159" s="92"/>
      <c r="Z159" s="92">
        <f>W159*X159%</f>
        <v>0</v>
      </c>
      <c r="AA159" s="92">
        <f>W159*Y159%</f>
        <v>0</v>
      </c>
      <c r="AB159" s="93" t="s">
        <v>74</v>
      </c>
    </row>
    <row r="160" spans="1:28" x14ac:dyDescent="0.25">
      <c r="A160" s="83"/>
      <c r="B160" s="84" t="s">
        <v>75</v>
      </c>
      <c r="C160" s="85"/>
      <c r="D160" s="86"/>
      <c r="E160" s="86"/>
      <c r="F160" s="86"/>
      <c r="G160" s="86"/>
      <c r="H160" s="86"/>
      <c r="I160" s="86"/>
      <c r="J160" s="86"/>
      <c r="K160" s="86"/>
      <c r="L160" s="86"/>
      <c r="M160" s="87"/>
      <c r="N160" s="88"/>
      <c r="O160" s="77"/>
      <c r="P160" s="89">
        <f>V160</f>
        <v>0</v>
      </c>
      <c r="Q160" s="79">
        <f>W160-H160</f>
        <v>0</v>
      </c>
      <c r="R160" s="80" t="e">
        <f>T160/Q160%</f>
        <v>#DIV/0!</v>
      </c>
      <c r="S160" s="80" t="e">
        <f>U160/Q160%</f>
        <v>#DIV/0!</v>
      </c>
      <c r="T160" s="80">
        <f>Z160-K160</f>
        <v>0</v>
      </c>
      <c r="U160" s="80">
        <f>AA160-L160</f>
        <v>0</v>
      </c>
      <c r="V160" s="90"/>
      <c r="W160" s="91"/>
      <c r="X160" s="92"/>
      <c r="Y160" s="92"/>
      <c r="Z160" s="92">
        <f>W160*X160%</f>
        <v>0</v>
      </c>
      <c r="AA160" s="92">
        <f>W160*Y160%</f>
        <v>0</v>
      </c>
      <c r="AB160" s="93" t="s">
        <v>74</v>
      </c>
    </row>
    <row r="161" spans="1:28" x14ac:dyDescent="0.25">
      <c r="A161" s="83"/>
      <c r="B161" s="84"/>
      <c r="C161" s="85"/>
      <c r="D161" s="86"/>
      <c r="E161" s="86"/>
      <c r="F161" s="86"/>
      <c r="G161" s="86"/>
      <c r="H161" s="86"/>
      <c r="I161" s="86"/>
      <c r="J161" s="86"/>
      <c r="K161" s="86"/>
      <c r="L161" s="86"/>
      <c r="M161" s="87"/>
      <c r="N161" s="88"/>
      <c r="O161" s="77"/>
      <c r="P161" s="89"/>
      <c r="Q161" s="79"/>
      <c r="R161" s="80"/>
      <c r="S161" s="80"/>
      <c r="T161" s="80"/>
      <c r="U161" s="80"/>
      <c r="V161" s="95"/>
      <c r="W161" s="96"/>
      <c r="X161" s="97"/>
      <c r="Y161" s="97"/>
      <c r="Z161" s="97"/>
      <c r="AA161" s="97"/>
      <c r="AB161" s="93" t="s">
        <v>74</v>
      </c>
    </row>
    <row r="162" spans="1:28" x14ac:dyDescent="0.25">
      <c r="A162" s="83"/>
      <c r="B162" s="84" t="s">
        <v>76</v>
      </c>
      <c r="C162" s="85"/>
      <c r="D162" s="86"/>
      <c r="E162" s="86"/>
      <c r="F162" s="86"/>
      <c r="G162" s="86"/>
      <c r="H162" s="86"/>
      <c r="I162" s="86"/>
      <c r="J162" s="86"/>
      <c r="K162" s="86"/>
      <c r="L162" s="86"/>
      <c r="M162" s="87"/>
      <c r="N162" s="88"/>
      <c r="O162" s="77"/>
      <c r="P162" s="89">
        <f>V162</f>
        <v>0</v>
      </c>
      <c r="Q162" s="79">
        <f>W162-H162</f>
        <v>0</v>
      </c>
      <c r="R162" s="80" t="e">
        <f>T162/Q162%</f>
        <v>#DIV/0!</v>
      </c>
      <c r="S162" s="80" t="e">
        <f>U162/Q162%</f>
        <v>#DIV/0!</v>
      </c>
      <c r="T162" s="80">
        <f>Z162-K162</f>
        <v>0</v>
      </c>
      <c r="U162" s="80">
        <f>AA162-L162</f>
        <v>0</v>
      </c>
      <c r="V162" s="90"/>
      <c r="W162" s="91"/>
      <c r="X162" s="92"/>
      <c r="Y162" s="92"/>
      <c r="Z162" s="92">
        <f>W162*X162%</f>
        <v>0</v>
      </c>
      <c r="AA162" s="92">
        <f>W162*Y162%</f>
        <v>0</v>
      </c>
      <c r="AB162" s="93" t="s">
        <v>74</v>
      </c>
    </row>
    <row r="163" spans="1:28" x14ac:dyDescent="0.25">
      <c r="A163" s="83"/>
      <c r="B163" s="84" t="s">
        <v>75</v>
      </c>
      <c r="C163" s="85"/>
      <c r="D163" s="86"/>
      <c r="E163" s="86"/>
      <c r="F163" s="86"/>
      <c r="G163" s="86"/>
      <c r="H163" s="86"/>
      <c r="I163" s="86"/>
      <c r="J163" s="86"/>
      <c r="K163" s="86"/>
      <c r="L163" s="86"/>
      <c r="M163" s="87"/>
      <c r="N163" s="80"/>
      <c r="O163" s="77"/>
      <c r="P163" s="89"/>
      <c r="Q163" s="79">
        <f>W163-H163</f>
        <v>0</v>
      </c>
      <c r="R163" s="80" t="e">
        <f>T163/Q163%</f>
        <v>#DIV/0!</v>
      </c>
      <c r="S163" s="80" t="e">
        <f>U163/Q163%</f>
        <v>#DIV/0!</v>
      </c>
      <c r="T163" s="80">
        <f>Z163-K163</f>
        <v>0</v>
      </c>
      <c r="U163" s="80">
        <f>AA163-L163</f>
        <v>0</v>
      </c>
      <c r="V163" s="90"/>
      <c r="W163" s="91"/>
      <c r="X163" s="92"/>
      <c r="Y163" s="92"/>
      <c r="Z163" s="92">
        <f>W163*X163%</f>
        <v>0</v>
      </c>
      <c r="AA163" s="92">
        <f>W163*Y163%</f>
        <v>0</v>
      </c>
      <c r="AB163" s="93" t="s">
        <v>74</v>
      </c>
    </row>
    <row r="164" spans="1:28" x14ac:dyDescent="0.25">
      <c r="A164" s="83"/>
      <c r="B164" s="84"/>
      <c r="C164" s="85"/>
      <c r="D164" s="86"/>
      <c r="E164" s="86"/>
      <c r="F164" s="86"/>
      <c r="G164" s="86"/>
      <c r="H164" s="94"/>
      <c r="I164" s="94"/>
      <c r="J164" s="94"/>
      <c r="K164" s="86"/>
      <c r="L164" s="86"/>
      <c r="M164" s="87"/>
      <c r="N164" s="80"/>
      <c r="O164" s="77"/>
      <c r="P164" s="89"/>
      <c r="Q164" s="79"/>
      <c r="R164" s="80"/>
      <c r="S164" s="80"/>
      <c r="T164" s="80"/>
      <c r="U164" s="80"/>
      <c r="V164" s="95"/>
      <c r="W164" s="96"/>
      <c r="X164" s="97"/>
      <c r="Y164" s="97"/>
      <c r="Z164" s="97"/>
      <c r="AA164" s="97"/>
    </row>
    <row r="165" spans="1:28" x14ac:dyDescent="0.25">
      <c r="A165" s="83"/>
      <c r="B165" s="84" t="s">
        <v>73</v>
      </c>
      <c r="C165" s="85">
        <v>0.91666666666666663</v>
      </c>
      <c r="D165" s="86"/>
      <c r="E165" s="86"/>
      <c r="F165" s="86"/>
      <c r="G165" s="86"/>
      <c r="H165" s="86"/>
      <c r="I165" s="86"/>
      <c r="J165" s="86"/>
      <c r="K165" s="86"/>
      <c r="L165" s="86"/>
      <c r="M165" s="87"/>
      <c r="N165" s="88"/>
      <c r="O165" s="77"/>
      <c r="P165" s="89">
        <f>V165</f>
        <v>0</v>
      </c>
      <c r="Q165" s="79">
        <f>W165-H165</f>
        <v>0</v>
      </c>
      <c r="R165" s="80" t="e">
        <f>T165/Q165%</f>
        <v>#DIV/0!</v>
      </c>
      <c r="S165" s="80" t="e">
        <f>U165/Q165%</f>
        <v>#DIV/0!</v>
      </c>
      <c r="T165" s="80">
        <f>Z165-K165</f>
        <v>0</v>
      </c>
      <c r="U165" s="80">
        <f>AA165-L165</f>
        <v>0</v>
      </c>
      <c r="V165" s="90"/>
      <c r="W165" s="91"/>
      <c r="X165" s="92"/>
      <c r="Y165" s="92"/>
      <c r="Z165" s="92">
        <f>W165*X165%</f>
        <v>0</v>
      </c>
      <c r="AA165" s="92">
        <f>W165*Y165%</f>
        <v>0</v>
      </c>
      <c r="AB165" s="93" t="s">
        <v>74</v>
      </c>
    </row>
    <row r="166" spans="1:28" x14ac:dyDescent="0.25">
      <c r="A166" s="83"/>
      <c r="B166" s="84" t="s">
        <v>75</v>
      </c>
      <c r="C166" s="85"/>
      <c r="D166" s="86"/>
      <c r="E166" s="86"/>
      <c r="F166" s="86"/>
      <c r="G166" s="86"/>
      <c r="H166" s="86"/>
      <c r="I166" s="86"/>
      <c r="J166" s="86"/>
      <c r="K166" s="86"/>
      <c r="L166" s="86"/>
      <c r="M166" s="87"/>
      <c r="N166" s="80"/>
      <c r="O166" s="77"/>
      <c r="P166" s="89">
        <f>V166</f>
        <v>0</v>
      </c>
      <c r="Q166" s="79">
        <f>W166-H166</f>
        <v>0</v>
      </c>
      <c r="R166" s="80" t="e">
        <f>T166/Q166%</f>
        <v>#DIV/0!</v>
      </c>
      <c r="S166" s="80" t="e">
        <f>U166/Q166%</f>
        <v>#DIV/0!</v>
      </c>
      <c r="T166" s="80">
        <f>Z166-K166</f>
        <v>0</v>
      </c>
      <c r="U166" s="80">
        <f>AA166-L166</f>
        <v>0</v>
      </c>
      <c r="V166" s="90"/>
      <c r="W166" s="91"/>
      <c r="X166" s="92"/>
      <c r="Y166" s="92"/>
      <c r="Z166" s="92">
        <f>W166*X166%</f>
        <v>0</v>
      </c>
      <c r="AA166" s="92">
        <f>W166*Y166%</f>
        <v>0</v>
      </c>
      <c r="AB166" s="93" t="s">
        <v>74</v>
      </c>
    </row>
    <row r="167" spans="1:28" x14ac:dyDescent="0.25">
      <c r="A167" s="83"/>
      <c r="B167" s="84"/>
      <c r="C167" s="85"/>
      <c r="D167" s="86"/>
      <c r="E167" s="86"/>
      <c r="F167" s="86"/>
      <c r="G167" s="86"/>
      <c r="H167" s="94"/>
      <c r="I167" s="94"/>
      <c r="J167" s="94"/>
      <c r="K167" s="86"/>
      <c r="L167" s="86"/>
      <c r="M167" s="87"/>
      <c r="N167" s="80"/>
      <c r="O167" s="77"/>
      <c r="P167" s="89"/>
      <c r="Q167" s="79"/>
      <c r="R167" s="80"/>
      <c r="S167" s="80"/>
      <c r="T167" s="80"/>
      <c r="U167" s="80"/>
      <c r="V167" s="95"/>
      <c r="W167" s="96"/>
      <c r="X167" s="97"/>
      <c r="Y167" s="97"/>
      <c r="Z167" s="97"/>
      <c r="AA167" s="97"/>
    </row>
    <row r="168" spans="1:28" x14ac:dyDescent="0.25">
      <c r="A168" s="83"/>
      <c r="B168" s="84" t="s">
        <v>76</v>
      </c>
      <c r="C168" s="85"/>
      <c r="D168" s="98"/>
      <c r="E168" s="86"/>
      <c r="F168" s="86"/>
      <c r="G168" s="86"/>
      <c r="H168" s="86"/>
      <c r="I168" s="86"/>
      <c r="J168" s="86"/>
      <c r="K168" s="86"/>
      <c r="L168" s="86"/>
      <c r="M168" s="87"/>
      <c r="N168" s="88"/>
      <c r="O168" s="77"/>
      <c r="P168" s="89">
        <f>V168</f>
        <v>0</v>
      </c>
      <c r="Q168" s="79">
        <f>W168-H168</f>
        <v>0</v>
      </c>
      <c r="R168" s="80" t="e">
        <f>T168/Q168%</f>
        <v>#DIV/0!</v>
      </c>
      <c r="S168" s="80" t="e">
        <f>U168/Q168%</f>
        <v>#DIV/0!</v>
      </c>
      <c r="T168" s="80">
        <f>Z168-K168</f>
        <v>0</v>
      </c>
      <c r="U168" s="80">
        <f>AA168-L168</f>
        <v>0</v>
      </c>
      <c r="V168" s="90"/>
      <c r="W168" s="91"/>
      <c r="X168" s="92"/>
      <c r="Y168" s="92"/>
      <c r="Z168" s="92">
        <f>W168*X168%</f>
        <v>0</v>
      </c>
      <c r="AA168" s="92">
        <f>W168*Y168%</f>
        <v>0</v>
      </c>
      <c r="AB168" s="93" t="s">
        <v>74</v>
      </c>
    </row>
    <row r="169" spans="1:28" x14ac:dyDescent="0.25">
      <c r="A169" s="83"/>
      <c r="B169" s="84" t="s">
        <v>75</v>
      </c>
      <c r="C169" s="85"/>
      <c r="D169" s="86"/>
      <c r="E169" s="86"/>
      <c r="F169" s="86"/>
      <c r="G169" s="86"/>
      <c r="H169" s="86"/>
      <c r="I169" s="86"/>
      <c r="J169" s="86"/>
      <c r="K169" s="86"/>
      <c r="L169" s="86"/>
      <c r="M169" s="87"/>
      <c r="N169" s="80"/>
      <c r="O169" s="77"/>
      <c r="P169" s="89">
        <f>V169</f>
        <v>0</v>
      </c>
      <c r="Q169" s="79">
        <f>W169-H169</f>
        <v>0</v>
      </c>
      <c r="R169" s="80" t="e">
        <f>T169/Q169%</f>
        <v>#DIV/0!</v>
      </c>
      <c r="S169" s="80" t="e">
        <f>U169/Q169%</f>
        <v>#DIV/0!</v>
      </c>
      <c r="T169" s="80">
        <f>Z169-K169</f>
        <v>0</v>
      </c>
      <c r="U169" s="80">
        <f>AA169-L169</f>
        <v>0</v>
      </c>
      <c r="V169" s="90"/>
      <c r="W169" s="91"/>
      <c r="X169" s="92"/>
      <c r="Y169" s="92"/>
      <c r="Z169" s="92">
        <f>W169*X169%</f>
        <v>0</v>
      </c>
      <c r="AA169" s="92">
        <f>W169*Y169%</f>
        <v>0</v>
      </c>
      <c r="AB169" s="93" t="s">
        <v>74</v>
      </c>
    </row>
    <row r="170" spans="1:28" x14ac:dyDescent="0.25">
      <c r="A170" s="83"/>
      <c r="B170" s="84"/>
      <c r="C170" s="85"/>
      <c r="D170" s="86"/>
      <c r="E170" s="86"/>
      <c r="F170" s="86"/>
      <c r="G170" s="86"/>
      <c r="H170" s="94"/>
      <c r="I170" s="94"/>
      <c r="J170" s="94"/>
      <c r="K170" s="86"/>
      <c r="L170" s="86"/>
      <c r="M170" s="87"/>
      <c r="N170" s="80"/>
      <c r="O170" s="77"/>
      <c r="P170" s="89"/>
      <c r="Q170" s="79"/>
      <c r="R170" s="80"/>
      <c r="S170" s="80"/>
      <c r="T170" s="80"/>
      <c r="U170" s="80"/>
      <c r="V170" s="95"/>
      <c r="W170" s="96"/>
      <c r="X170" s="97"/>
      <c r="Y170" s="97"/>
      <c r="Z170" s="97"/>
      <c r="AA170" s="97"/>
    </row>
    <row r="171" spans="1:28" x14ac:dyDescent="0.25">
      <c r="A171" s="83"/>
      <c r="B171" s="84" t="s">
        <v>76</v>
      </c>
      <c r="C171" s="85">
        <v>0.9375</v>
      </c>
      <c r="D171" s="98"/>
      <c r="E171" s="86"/>
      <c r="F171" s="86"/>
      <c r="G171" s="86"/>
      <c r="H171" s="86"/>
      <c r="I171" s="86"/>
      <c r="J171" s="86"/>
      <c r="K171" s="86"/>
      <c r="L171" s="86"/>
      <c r="M171" s="87"/>
      <c r="N171" s="88"/>
      <c r="O171" s="77"/>
      <c r="P171" s="89">
        <f>V171</f>
        <v>0</v>
      </c>
      <c r="Q171" s="79">
        <f>W171-H171</f>
        <v>0</v>
      </c>
      <c r="R171" s="80" t="e">
        <f>T171/Q171%</f>
        <v>#DIV/0!</v>
      </c>
      <c r="S171" s="80" t="e">
        <f>U171/Q171%</f>
        <v>#DIV/0!</v>
      </c>
      <c r="T171" s="80">
        <f>Z171-K171</f>
        <v>0</v>
      </c>
      <c r="U171" s="80">
        <f>AA171-L171</f>
        <v>0</v>
      </c>
      <c r="V171" s="90"/>
      <c r="W171" s="91"/>
      <c r="X171" s="92"/>
      <c r="Y171" s="92"/>
      <c r="Z171" s="92">
        <f>W171*X171%</f>
        <v>0</v>
      </c>
      <c r="AA171" s="92">
        <f>W171*Y171%</f>
        <v>0</v>
      </c>
      <c r="AB171" s="93" t="s">
        <v>74</v>
      </c>
    </row>
    <row r="172" spans="1:28" x14ac:dyDescent="0.25">
      <c r="A172" s="83"/>
      <c r="B172" s="84" t="s">
        <v>75</v>
      </c>
      <c r="C172" s="85"/>
      <c r="D172" s="86"/>
      <c r="E172" s="86"/>
      <c r="F172" s="86"/>
      <c r="G172" s="86"/>
      <c r="H172" s="86"/>
      <c r="I172" s="86"/>
      <c r="J172" s="86"/>
      <c r="K172" s="86"/>
      <c r="L172" s="86"/>
      <c r="M172" s="87"/>
      <c r="N172" s="80"/>
      <c r="O172" s="77"/>
      <c r="P172" s="89">
        <f>V172</f>
        <v>0</v>
      </c>
      <c r="Q172" s="79">
        <f>W172-H172</f>
        <v>0</v>
      </c>
      <c r="R172" s="80" t="e">
        <f>T172/Q172%</f>
        <v>#DIV/0!</v>
      </c>
      <c r="S172" s="80" t="e">
        <f>U172/Q172%</f>
        <v>#DIV/0!</v>
      </c>
      <c r="T172" s="80">
        <f>Z172-K172</f>
        <v>0</v>
      </c>
      <c r="U172" s="80">
        <f>AA172-L172</f>
        <v>0</v>
      </c>
      <c r="V172" s="90"/>
      <c r="W172" s="91"/>
      <c r="X172" s="92"/>
      <c r="Y172" s="92"/>
      <c r="Z172" s="92">
        <f>W172*X172%</f>
        <v>0</v>
      </c>
      <c r="AA172" s="92">
        <f>W172*Y172%</f>
        <v>0</v>
      </c>
      <c r="AB172" s="93" t="s">
        <v>74</v>
      </c>
    </row>
    <row r="173" spans="1:28" x14ac:dyDescent="0.25">
      <c r="A173" s="83"/>
      <c r="B173" s="84"/>
      <c r="C173" s="85"/>
      <c r="D173" s="86"/>
      <c r="E173" s="86"/>
      <c r="F173" s="86"/>
      <c r="G173" s="86"/>
      <c r="H173" s="94"/>
      <c r="I173" s="94"/>
      <c r="J173" s="94"/>
      <c r="K173" s="86"/>
      <c r="L173" s="86"/>
      <c r="M173" s="87"/>
      <c r="N173" s="80"/>
      <c r="O173" s="77"/>
      <c r="P173" s="89"/>
      <c r="Q173" s="79"/>
      <c r="R173" s="80"/>
      <c r="S173" s="80"/>
      <c r="T173" s="80"/>
      <c r="U173" s="80"/>
      <c r="V173" s="95"/>
      <c r="W173" s="96"/>
      <c r="X173" s="97"/>
      <c r="Y173" s="97"/>
      <c r="Z173" s="97"/>
      <c r="AA173" s="97"/>
    </row>
    <row r="174" spans="1:28" x14ac:dyDescent="0.25">
      <c r="A174" s="83"/>
      <c r="B174" s="84" t="s">
        <v>76</v>
      </c>
      <c r="C174" s="85"/>
      <c r="D174" s="86"/>
      <c r="E174" s="86"/>
      <c r="F174" s="86"/>
      <c r="G174" s="86"/>
      <c r="H174" s="86"/>
      <c r="I174" s="86"/>
      <c r="J174" s="86"/>
      <c r="K174" s="86"/>
      <c r="L174" s="86"/>
      <c r="M174" s="87"/>
      <c r="N174" s="88"/>
      <c r="O174" s="77"/>
      <c r="P174" s="89">
        <f>V174</f>
        <v>0</v>
      </c>
      <c r="Q174" s="79">
        <f>W174-H174</f>
        <v>0</v>
      </c>
      <c r="R174" s="80" t="e">
        <f>T174/Q174%</f>
        <v>#DIV/0!</v>
      </c>
      <c r="S174" s="80" t="e">
        <f>U174/Q174%</f>
        <v>#DIV/0!</v>
      </c>
      <c r="T174" s="80">
        <f>Z174-K174</f>
        <v>0</v>
      </c>
      <c r="U174" s="80">
        <f>AA174-L174</f>
        <v>0</v>
      </c>
      <c r="V174" s="90"/>
      <c r="W174" s="91"/>
      <c r="X174" s="92"/>
      <c r="Y174" s="92"/>
      <c r="Z174" s="92">
        <f>W174*X174%</f>
        <v>0</v>
      </c>
      <c r="AA174" s="92">
        <f>W174*Y174%</f>
        <v>0</v>
      </c>
      <c r="AB174" s="93" t="s">
        <v>74</v>
      </c>
    </row>
    <row r="175" spans="1:28" x14ac:dyDescent="0.25">
      <c r="A175" s="83"/>
      <c r="B175" s="84" t="s">
        <v>75</v>
      </c>
      <c r="C175" s="85"/>
      <c r="D175" s="86"/>
      <c r="E175" s="86"/>
      <c r="F175" s="86"/>
      <c r="G175" s="86"/>
      <c r="H175" s="86"/>
      <c r="I175" s="86"/>
      <c r="J175" s="86"/>
      <c r="K175" s="86"/>
      <c r="L175" s="86"/>
      <c r="M175" s="87"/>
      <c r="N175" s="88"/>
      <c r="O175" s="77"/>
      <c r="P175" s="89">
        <f>V175</f>
        <v>0</v>
      </c>
      <c r="Q175" s="79">
        <f>W175-H175</f>
        <v>0</v>
      </c>
      <c r="R175" s="80" t="e">
        <f>T175/Q175%</f>
        <v>#DIV/0!</v>
      </c>
      <c r="S175" s="80" t="e">
        <f>U175/Q175%</f>
        <v>#DIV/0!</v>
      </c>
      <c r="T175" s="80">
        <f>Z175-K175</f>
        <v>0</v>
      </c>
      <c r="U175" s="80">
        <f>AA175-L175</f>
        <v>0</v>
      </c>
      <c r="V175" s="90"/>
      <c r="W175" s="91"/>
      <c r="X175" s="92"/>
      <c r="Y175" s="92"/>
      <c r="Z175" s="92">
        <f>W175*X175%</f>
        <v>0</v>
      </c>
      <c r="AA175" s="92">
        <f>W175*Y175%</f>
        <v>0</v>
      </c>
      <c r="AB175" s="93" t="s">
        <v>74</v>
      </c>
    </row>
    <row r="176" spans="1:28" x14ac:dyDescent="0.25">
      <c r="A176" s="83"/>
      <c r="B176" s="84"/>
      <c r="C176" s="85"/>
      <c r="D176" s="86"/>
      <c r="E176" s="86"/>
      <c r="F176" s="86"/>
      <c r="G176" s="86"/>
      <c r="H176" s="94"/>
      <c r="I176" s="94"/>
      <c r="J176" s="94"/>
      <c r="K176" s="86"/>
      <c r="L176" s="86"/>
      <c r="M176" s="87"/>
      <c r="N176" s="80"/>
      <c r="O176" s="77"/>
      <c r="P176" s="89"/>
      <c r="Q176" s="79"/>
      <c r="R176" s="80"/>
      <c r="S176" s="80"/>
      <c r="T176" s="80"/>
      <c r="U176" s="80"/>
      <c r="V176" s="95"/>
      <c r="W176" s="96"/>
      <c r="X176" s="97"/>
      <c r="Y176" s="97"/>
      <c r="Z176" s="97"/>
      <c r="AA176" s="97"/>
    </row>
    <row r="177" spans="1:28" x14ac:dyDescent="0.25">
      <c r="A177" s="83"/>
      <c r="B177" s="84" t="s">
        <v>76</v>
      </c>
      <c r="C177" s="85"/>
      <c r="D177" s="98"/>
      <c r="E177" s="86"/>
      <c r="F177" s="86"/>
      <c r="G177" s="86"/>
      <c r="H177" s="86"/>
      <c r="I177" s="86"/>
      <c r="J177" s="86"/>
      <c r="K177" s="86"/>
      <c r="L177" s="86"/>
      <c r="M177" s="87"/>
      <c r="N177" s="88"/>
      <c r="O177" s="77"/>
      <c r="P177" s="89">
        <f>V177</f>
        <v>0</v>
      </c>
      <c r="Q177" s="79">
        <f>W177-H177</f>
        <v>0</v>
      </c>
      <c r="R177" s="80" t="e">
        <f>T177/Q177%</f>
        <v>#DIV/0!</v>
      </c>
      <c r="S177" s="80" t="e">
        <f>U177/Q177%</f>
        <v>#DIV/0!</v>
      </c>
      <c r="T177" s="80">
        <f>Z177-K177</f>
        <v>0</v>
      </c>
      <c r="U177" s="80">
        <f>AA177-L177</f>
        <v>0</v>
      </c>
      <c r="V177" s="90"/>
      <c r="W177" s="91"/>
      <c r="X177" s="92"/>
      <c r="Y177" s="92"/>
      <c r="Z177" s="92">
        <f>W177*X177%</f>
        <v>0</v>
      </c>
      <c r="AA177" s="92">
        <f>W177*Y177%</f>
        <v>0</v>
      </c>
      <c r="AB177" s="93" t="s">
        <v>74</v>
      </c>
    </row>
    <row r="178" spans="1:28" x14ac:dyDescent="0.25">
      <c r="A178" s="83"/>
      <c r="B178" s="84" t="s">
        <v>75</v>
      </c>
      <c r="C178" s="85"/>
      <c r="D178" s="86"/>
      <c r="E178" s="86"/>
      <c r="F178" s="86"/>
      <c r="G178" s="86"/>
      <c r="H178" s="86"/>
      <c r="I178" s="86"/>
      <c r="J178" s="86"/>
      <c r="K178" s="86"/>
      <c r="L178" s="86"/>
      <c r="M178" s="87"/>
      <c r="N178" s="88"/>
      <c r="O178" s="77"/>
      <c r="P178" s="89">
        <f>V178</f>
        <v>0</v>
      </c>
      <c r="Q178" s="79">
        <f>W178-H178</f>
        <v>0</v>
      </c>
      <c r="R178" s="80" t="e">
        <f>T178/Q178%</f>
        <v>#DIV/0!</v>
      </c>
      <c r="S178" s="80" t="e">
        <f>U178/Q178%</f>
        <v>#DIV/0!</v>
      </c>
      <c r="T178" s="80">
        <f>Z178-K178</f>
        <v>0</v>
      </c>
      <c r="U178" s="80">
        <f>AA178-L178</f>
        <v>0</v>
      </c>
      <c r="V178" s="90"/>
      <c r="W178" s="91"/>
      <c r="X178" s="92"/>
      <c r="Y178" s="92"/>
      <c r="Z178" s="92">
        <f>W178*X178%</f>
        <v>0</v>
      </c>
      <c r="AA178" s="92">
        <f>W178*Y178%</f>
        <v>0</v>
      </c>
      <c r="AB178" s="93" t="s">
        <v>74</v>
      </c>
    </row>
    <row r="179" spans="1:28" x14ac:dyDescent="0.25">
      <c r="A179" s="83"/>
      <c r="B179" s="84"/>
      <c r="C179" s="85"/>
      <c r="D179" s="86"/>
      <c r="E179" s="86"/>
      <c r="F179" s="86"/>
      <c r="G179" s="86"/>
      <c r="H179" s="86"/>
      <c r="I179" s="86"/>
      <c r="J179" s="86"/>
      <c r="K179" s="86"/>
      <c r="L179" s="86"/>
      <c r="M179" s="87"/>
      <c r="N179" s="88"/>
      <c r="O179" s="77"/>
      <c r="P179" s="89"/>
      <c r="Q179" s="79"/>
      <c r="R179" s="80"/>
      <c r="S179" s="80"/>
      <c r="T179" s="80"/>
      <c r="U179" s="80"/>
      <c r="V179" s="95"/>
      <c r="W179" s="96"/>
      <c r="X179" s="97"/>
      <c r="Y179" s="97"/>
      <c r="Z179" s="97"/>
      <c r="AA179" s="97"/>
      <c r="AB179" s="93" t="s">
        <v>74</v>
      </c>
    </row>
    <row r="180" spans="1:28" x14ac:dyDescent="0.25">
      <c r="A180" s="83"/>
      <c r="B180" s="84" t="s">
        <v>76</v>
      </c>
      <c r="C180" s="85"/>
      <c r="D180" s="86"/>
      <c r="E180" s="86"/>
      <c r="F180" s="86"/>
      <c r="G180" s="86"/>
      <c r="H180" s="86"/>
      <c r="I180" s="86"/>
      <c r="J180" s="86"/>
      <c r="K180" s="86"/>
      <c r="L180" s="86"/>
      <c r="M180" s="87"/>
      <c r="N180" s="88"/>
      <c r="O180" s="77"/>
      <c r="P180" s="89">
        <f>V180</f>
        <v>0</v>
      </c>
      <c r="Q180" s="79">
        <f>W180-H180</f>
        <v>0</v>
      </c>
      <c r="R180" s="80" t="e">
        <f>T180/Q180%</f>
        <v>#DIV/0!</v>
      </c>
      <c r="S180" s="80" t="e">
        <f>U180/Q180%</f>
        <v>#DIV/0!</v>
      </c>
      <c r="T180" s="80">
        <f>Z180-K180</f>
        <v>0</v>
      </c>
      <c r="U180" s="80">
        <f>AA180-L180</f>
        <v>0</v>
      </c>
      <c r="V180" s="90"/>
      <c r="W180" s="91"/>
      <c r="X180" s="92"/>
      <c r="Y180" s="92"/>
      <c r="Z180" s="92">
        <f>W180*X180%</f>
        <v>0</v>
      </c>
      <c r="AA180" s="92">
        <f>W180*Y180%</f>
        <v>0</v>
      </c>
      <c r="AB180" s="93" t="s">
        <v>74</v>
      </c>
    </row>
    <row r="181" spans="1:28" x14ac:dyDescent="0.25">
      <c r="A181" s="83"/>
      <c r="B181" s="84" t="s">
        <v>75</v>
      </c>
      <c r="C181" s="85"/>
      <c r="D181" s="86"/>
      <c r="E181" s="86"/>
      <c r="F181" s="86"/>
      <c r="G181" s="86"/>
      <c r="H181" s="86"/>
      <c r="I181" s="86"/>
      <c r="J181" s="86"/>
      <c r="K181" s="86"/>
      <c r="L181" s="86"/>
      <c r="M181" s="87"/>
      <c r="N181" s="80"/>
      <c r="O181" s="77"/>
      <c r="P181" s="89"/>
      <c r="Q181" s="79">
        <f>W181-H181</f>
        <v>0</v>
      </c>
      <c r="R181" s="80" t="e">
        <f>T181/Q181%</f>
        <v>#DIV/0!</v>
      </c>
      <c r="S181" s="80" t="e">
        <f>U181/Q181%</f>
        <v>#DIV/0!</v>
      </c>
      <c r="T181" s="80">
        <f>Z181-K181</f>
        <v>0</v>
      </c>
      <c r="U181" s="80">
        <f>AA181-L181</f>
        <v>0</v>
      </c>
      <c r="V181" s="90"/>
      <c r="W181" s="91"/>
      <c r="X181" s="92"/>
      <c r="Y181" s="92"/>
      <c r="Z181" s="92">
        <f>W181*X181%</f>
        <v>0</v>
      </c>
      <c r="AA181" s="92">
        <f>W181*Y181%</f>
        <v>0</v>
      </c>
      <c r="AB181" s="93" t="s">
        <v>74</v>
      </c>
    </row>
    <row r="182" spans="1:28" x14ac:dyDescent="0.25">
      <c r="A182" s="83"/>
      <c r="B182" s="84"/>
      <c r="C182" s="85"/>
      <c r="D182" s="86"/>
      <c r="E182" s="86"/>
      <c r="F182" s="86"/>
      <c r="G182" s="86"/>
      <c r="H182" s="94"/>
      <c r="I182" s="94"/>
      <c r="J182" s="94"/>
      <c r="K182" s="86"/>
      <c r="L182" s="86"/>
      <c r="M182" s="87"/>
      <c r="N182" s="80"/>
      <c r="O182" s="77"/>
      <c r="P182" s="89"/>
      <c r="Q182" s="79"/>
      <c r="R182" s="80"/>
      <c r="S182" s="80"/>
      <c r="T182" s="80"/>
      <c r="U182" s="80"/>
      <c r="V182" s="95"/>
      <c r="W182" s="96"/>
      <c r="X182" s="97"/>
      <c r="Y182" s="97"/>
      <c r="Z182" s="97"/>
      <c r="AA182" s="97"/>
    </row>
    <row r="183" spans="1:28" x14ac:dyDescent="0.25">
      <c r="A183" s="83"/>
      <c r="B183" s="84" t="s">
        <v>73</v>
      </c>
      <c r="C183" s="85"/>
      <c r="D183" s="86"/>
      <c r="E183" s="86"/>
      <c r="F183" s="86"/>
      <c r="G183" s="86"/>
      <c r="H183" s="86"/>
      <c r="I183" s="86"/>
      <c r="J183" s="86"/>
      <c r="K183" s="86"/>
      <c r="L183" s="86"/>
      <c r="M183" s="87"/>
      <c r="N183" s="88"/>
      <c r="O183" s="77"/>
      <c r="P183" s="89">
        <f>V183</f>
        <v>0</v>
      </c>
      <c r="Q183" s="79">
        <f>W183-H183</f>
        <v>0</v>
      </c>
      <c r="R183" s="80" t="e">
        <f>T183/Q183%</f>
        <v>#DIV/0!</v>
      </c>
      <c r="S183" s="80" t="e">
        <f>U183/Q183%</f>
        <v>#DIV/0!</v>
      </c>
      <c r="T183" s="80">
        <f>Z183-K183</f>
        <v>0</v>
      </c>
      <c r="U183" s="80">
        <f>AA183-L183</f>
        <v>0</v>
      </c>
      <c r="V183" s="90"/>
      <c r="W183" s="91"/>
      <c r="X183" s="92"/>
      <c r="Y183" s="92"/>
      <c r="Z183" s="92">
        <f>W183*X183%</f>
        <v>0</v>
      </c>
      <c r="AA183" s="92">
        <f>W183*Y183%</f>
        <v>0</v>
      </c>
      <c r="AB183" s="93" t="s">
        <v>74</v>
      </c>
    </row>
    <row r="184" spans="1:28" x14ac:dyDescent="0.25">
      <c r="A184" s="83"/>
      <c r="B184" s="84" t="s">
        <v>75</v>
      </c>
      <c r="C184" s="85"/>
      <c r="D184" s="86"/>
      <c r="E184" s="86"/>
      <c r="F184" s="86"/>
      <c r="G184" s="86"/>
      <c r="H184" s="86"/>
      <c r="I184" s="86"/>
      <c r="J184" s="86"/>
      <c r="K184" s="86"/>
      <c r="L184" s="86"/>
      <c r="M184" s="87"/>
      <c r="N184" s="80"/>
      <c r="O184" s="77"/>
      <c r="P184" s="89">
        <f>V184</f>
        <v>0</v>
      </c>
      <c r="Q184" s="79">
        <f>W184-H184</f>
        <v>0</v>
      </c>
      <c r="R184" s="80" t="e">
        <f>T184/Q184%</f>
        <v>#DIV/0!</v>
      </c>
      <c r="S184" s="80" t="e">
        <f>U184/Q184%</f>
        <v>#DIV/0!</v>
      </c>
      <c r="T184" s="80">
        <f>Z184-K184</f>
        <v>0</v>
      </c>
      <c r="U184" s="80">
        <f>AA184-L184</f>
        <v>0</v>
      </c>
      <c r="V184" s="90"/>
      <c r="W184" s="91"/>
      <c r="X184" s="92"/>
      <c r="Y184" s="92"/>
      <c r="Z184" s="92">
        <f>W184*X184%</f>
        <v>0</v>
      </c>
      <c r="AA184" s="92">
        <f>W184*Y184%</f>
        <v>0</v>
      </c>
      <c r="AB184" s="93" t="s">
        <v>74</v>
      </c>
    </row>
    <row r="185" spans="1:28" x14ac:dyDescent="0.25">
      <c r="A185" s="83"/>
      <c r="B185" s="84"/>
      <c r="C185" s="85"/>
      <c r="D185" s="86"/>
      <c r="E185" s="86"/>
      <c r="F185" s="86"/>
      <c r="G185" s="86"/>
      <c r="H185" s="94"/>
      <c r="I185" s="94"/>
      <c r="J185" s="94"/>
      <c r="K185" s="86"/>
      <c r="L185" s="86"/>
      <c r="M185" s="87"/>
      <c r="N185" s="80"/>
      <c r="O185" s="77"/>
      <c r="P185" s="89"/>
      <c r="Q185" s="79"/>
      <c r="R185" s="80"/>
      <c r="S185" s="80"/>
      <c r="T185" s="80"/>
      <c r="U185" s="80"/>
      <c r="V185" s="95"/>
      <c r="W185" s="96"/>
      <c r="X185" s="97"/>
      <c r="Y185" s="97"/>
      <c r="Z185" s="97"/>
      <c r="AA185" s="97"/>
    </row>
    <row r="186" spans="1:28" x14ac:dyDescent="0.25">
      <c r="A186" s="83"/>
      <c r="B186" s="84" t="s">
        <v>76</v>
      </c>
      <c r="C186" s="85"/>
      <c r="D186" s="98"/>
      <c r="E186" s="86"/>
      <c r="F186" s="86"/>
      <c r="G186" s="86"/>
      <c r="H186" s="86"/>
      <c r="I186" s="86"/>
      <c r="J186" s="86"/>
      <c r="K186" s="86"/>
      <c r="L186" s="86"/>
      <c r="M186" s="87"/>
      <c r="N186" s="88"/>
      <c r="O186" s="77"/>
      <c r="P186" s="89">
        <f>V186</f>
        <v>0</v>
      </c>
      <c r="Q186" s="79">
        <f>W186-H186</f>
        <v>0</v>
      </c>
      <c r="R186" s="80" t="e">
        <f>T186/Q186%</f>
        <v>#DIV/0!</v>
      </c>
      <c r="S186" s="80" t="e">
        <f>U186/Q186%</f>
        <v>#DIV/0!</v>
      </c>
      <c r="T186" s="80">
        <f>Z186-K186</f>
        <v>0</v>
      </c>
      <c r="U186" s="80">
        <f>AA186-L186</f>
        <v>0</v>
      </c>
      <c r="V186" s="90"/>
      <c r="W186" s="91"/>
      <c r="X186" s="92"/>
      <c r="Y186" s="92"/>
      <c r="Z186" s="92">
        <f>W186*X186%</f>
        <v>0</v>
      </c>
      <c r="AA186" s="92">
        <f>W186*Y186%</f>
        <v>0</v>
      </c>
      <c r="AB186" s="93" t="s">
        <v>74</v>
      </c>
    </row>
    <row r="187" spans="1:28" x14ac:dyDescent="0.25">
      <c r="A187" s="83"/>
      <c r="B187" s="84" t="s">
        <v>75</v>
      </c>
      <c r="C187" s="85"/>
      <c r="D187" s="86"/>
      <c r="E187" s="86"/>
      <c r="F187" s="86"/>
      <c r="G187" s="86"/>
      <c r="H187" s="86"/>
      <c r="I187" s="86"/>
      <c r="J187" s="86"/>
      <c r="K187" s="86"/>
      <c r="L187" s="86"/>
      <c r="M187" s="87"/>
      <c r="N187" s="80"/>
      <c r="O187" s="77"/>
      <c r="P187" s="89">
        <f>V187</f>
        <v>0</v>
      </c>
      <c r="Q187" s="79">
        <f>W187-H187</f>
        <v>0</v>
      </c>
      <c r="R187" s="80" t="e">
        <f>T187/Q187%</f>
        <v>#DIV/0!</v>
      </c>
      <c r="S187" s="80" t="e">
        <f>U187/Q187%</f>
        <v>#DIV/0!</v>
      </c>
      <c r="T187" s="80">
        <f>Z187-K187</f>
        <v>0</v>
      </c>
      <c r="U187" s="80">
        <f>AA187-L187</f>
        <v>0</v>
      </c>
      <c r="V187" s="90"/>
      <c r="W187" s="91"/>
      <c r="X187" s="92"/>
      <c r="Y187" s="92"/>
      <c r="Z187" s="92">
        <f>W187*X187%</f>
        <v>0</v>
      </c>
      <c r="AA187" s="92">
        <f>W187*Y187%</f>
        <v>0</v>
      </c>
      <c r="AB187" s="93" t="s">
        <v>74</v>
      </c>
    </row>
    <row r="188" spans="1:28" x14ac:dyDescent="0.25">
      <c r="A188" s="83"/>
      <c r="B188" s="84"/>
      <c r="C188" s="85"/>
      <c r="D188" s="86"/>
      <c r="E188" s="86"/>
      <c r="F188" s="86"/>
      <c r="G188" s="86"/>
      <c r="H188" s="94"/>
      <c r="I188" s="94"/>
      <c r="J188" s="94"/>
      <c r="K188" s="86"/>
      <c r="L188" s="86"/>
      <c r="M188" s="87"/>
      <c r="N188" s="80"/>
      <c r="O188" s="77"/>
      <c r="P188" s="89"/>
      <c r="Q188" s="79"/>
      <c r="R188" s="80"/>
      <c r="S188" s="80"/>
      <c r="T188" s="80"/>
      <c r="U188" s="80"/>
      <c r="V188" s="95"/>
      <c r="W188" s="96"/>
      <c r="X188" s="97"/>
      <c r="Y188" s="97"/>
      <c r="Z188" s="97"/>
      <c r="AA188" s="97"/>
    </row>
    <row r="189" spans="1:28" x14ac:dyDescent="0.25">
      <c r="A189" s="83"/>
      <c r="B189" s="84" t="s">
        <v>76</v>
      </c>
      <c r="C189" s="85"/>
      <c r="D189" s="98"/>
      <c r="E189" s="86"/>
      <c r="F189" s="86"/>
      <c r="G189" s="86"/>
      <c r="H189" s="86"/>
      <c r="I189" s="86"/>
      <c r="J189" s="86"/>
      <c r="K189" s="86"/>
      <c r="L189" s="86"/>
      <c r="M189" s="87"/>
      <c r="N189" s="88"/>
      <c r="O189" s="77"/>
      <c r="P189" s="89">
        <f>V189</f>
        <v>0</v>
      </c>
      <c r="Q189" s="79">
        <f>W189-H189</f>
        <v>0</v>
      </c>
      <c r="R189" s="80" t="e">
        <f>T189/Q189%</f>
        <v>#DIV/0!</v>
      </c>
      <c r="S189" s="80" t="e">
        <f>U189/Q189%</f>
        <v>#DIV/0!</v>
      </c>
      <c r="T189" s="80">
        <f>Z189-K189</f>
        <v>0</v>
      </c>
      <c r="U189" s="80">
        <f>AA189-L189</f>
        <v>0</v>
      </c>
      <c r="V189" s="90"/>
      <c r="W189" s="91"/>
      <c r="X189" s="92"/>
      <c r="Y189" s="92"/>
      <c r="Z189" s="92">
        <f>W189*X189%</f>
        <v>0</v>
      </c>
      <c r="AA189" s="92">
        <f>W189*Y189%</f>
        <v>0</v>
      </c>
      <c r="AB189" s="93" t="s">
        <v>74</v>
      </c>
    </row>
    <row r="190" spans="1:28" x14ac:dyDescent="0.25">
      <c r="A190" s="83"/>
      <c r="B190" s="84" t="s">
        <v>75</v>
      </c>
      <c r="C190" s="85"/>
      <c r="D190" s="86"/>
      <c r="E190" s="86"/>
      <c r="F190" s="86"/>
      <c r="G190" s="86"/>
      <c r="H190" s="86"/>
      <c r="I190" s="86"/>
      <c r="J190" s="86"/>
      <c r="K190" s="86"/>
      <c r="L190" s="86"/>
      <c r="M190" s="87"/>
      <c r="N190" s="80"/>
      <c r="O190" s="77"/>
      <c r="P190" s="89">
        <f>V190</f>
        <v>0</v>
      </c>
      <c r="Q190" s="79">
        <f>W190-H190</f>
        <v>0</v>
      </c>
      <c r="R190" s="80" t="e">
        <f>T190/Q190%</f>
        <v>#DIV/0!</v>
      </c>
      <c r="S190" s="80" t="e">
        <f>U190/Q190%</f>
        <v>#DIV/0!</v>
      </c>
      <c r="T190" s="80">
        <f>Z190-K190</f>
        <v>0</v>
      </c>
      <c r="U190" s="80">
        <f>AA190-L190</f>
        <v>0</v>
      </c>
      <c r="V190" s="90"/>
      <c r="W190" s="91"/>
      <c r="X190" s="92"/>
      <c r="Y190" s="92"/>
      <c r="Z190" s="92">
        <f>W190*X190%</f>
        <v>0</v>
      </c>
      <c r="AA190" s="92">
        <f>W190*Y190%</f>
        <v>0</v>
      </c>
      <c r="AB190" s="93" t="s">
        <v>74</v>
      </c>
    </row>
    <row r="191" spans="1:28" x14ac:dyDescent="0.25">
      <c r="A191" s="83"/>
      <c r="B191" s="84"/>
      <c r="C191" s="85"/>
      <c r="D191" s="86"/>
      <c r="E191" s="86"/>
      <c r="F191" s="86"/>
      <c r="G191" s="86"/>
      <c r="H191" s="94"/>
      <c r="I191" s="94"/>
      <c r="J191" s="94"/>
      <c r="K191" s="86"/>
      <c r="L191" s="86"/>
      <c r="M191" s="87"/>
      <c r="N191" s="80"/>
      <c r="O191" s="77"/>
      <c r="P191" s="89"/>
      <c r="Q191" s="79"/>
      <c r="R191" s="80"/>
      <c r="S191" s="80"/>
      <c r="T191" s="80"/>
      <c r="U191" s="80"/>
      <c r="V191" s="95"/>
      <c r="W191" s="96"/>
      <c r="X191" s="97"/>
      <c r="Y191" s="97"/>
      <c r="Z191" s="97"/>
      <c r="AA191" s="97"/>
    </row>
    <row r="192" spans="1:28" x14ac:dyDescent="0.25">
      <c r="A192" s="83"/>
      <c r="B192" s="84" t="s">
        <v>76</v>
      </c>
      <c r="C192" s="85"/>
      <c r="D192" s="86"/>
      <c r="E192" s="86"/>
      <c r="F192" s="86"/>
      <c r="G192" s="86"/>
      <c r="H192" s="86"/>
      <c r="I192" s="86"/>
      <c r="J192" s="86"/>
      <c r="K192" s="86"/>
      <c r="L192" s="86"/>
      <c r="M192" s="87"/>
      <c r="N192" s="88"/>
      <c r="O192" s="77"/>
      <c r="P192" s="89">
        <f>V192</f>
        <v>0</v>
      </c>
      <c r="Q192" s="79">
        <f>W192-H192</f>
        <v>0</v>
      </c>
      <c r="R192" s="80" t="e">
        <f>T192/Q192%</f>
        <v>#DIV/0!</v>
      </c>
      <c r="S192" s="80" t="e">
        <f>U192/Q192%</f>
        <v>#DIV/0!</v>
      </c>
      <c r="T192" s="80">
        <f>Z192-K192</f>
        <v>0</v>
      </c>
      <c r="U192" s="80">
        <f>AA192-L192</f>
        <v>0</v>
      </c>
      <c r="V192" s="90"/>
      <c r="W192" s="91"/>
      <c r="X192" s="92"/>
      <c r="Y192" s="92"/>
      <c r="Z192" s="92">
        <f>W192*X192%</f>
        <v>0</v>
      </c>
      <c r="AA192" s="92">
        <f>W192*Y192%</f>
        <v>0</v>
      </c>
      <c r="AB192" s="93" t="s">
        <v>74</v>
      </c>
    </row>
    <row r="193" spans="1:28" x14ac:dyDescent="0.25">
      <c r="A193" s="83"/>
      <c r="B193" s="84" t="s">
        <v>75</v>
      </c>
      <c r="C193" s="85"/>
      <c r="D193" s="86"/>
      <c r="E193" s="86"/>
      <c r="F193" s="86"/>
      <c r="G193" s="86"/>
      <c r="H193" s="86"/>
      <c r="I193" s="86"/>
      <c r="J193" s="86"/>
      <c r="K193" s="86"/>
      <c r="L193" s="86"/>
      <c r="M193" s="87"/>
      <c r="N193" s="88"/>
      <c r="O193" s="77"/>
      <c r="P193" s="89">
        <f>V193</f>
        <v>0</v>
      </c>
      <c r="Q193" s="79">
        <f>W193-H193</f>
        <v>0</v>
      </c>
      <c r="R193" s="80" t="e">
        <f>T193/Q193%</f>
        <v>#DIV/0!</v>
      </c>
      <c r="S193" s="80" t="e">
        <f>U193/Q193%</f>
        <v>#DIV/0!</v>
      </c>
      <c r="T193" s="80">
        <f>Z193-K193</f>
        <v>0</v>
      </c>
      <c r="U193" s="80">
        <f>AA193-L193</f>
        <v>0</v>
      </c>
      <c r="V193" s="90"/>
      <c r="W193" s="91"/>
      <c r="X193" s="92"/>
      <c r="Y193" s="92"/>
      <c r="Z193" s="92">
        <f>W193*X193%</f>
        <v>0</v>
      </c>
      <c r="AA193" s="92">
        <f>W193*Y193%</f>
        <v>0</v>
      </c>
      <c r="AB193" s="93" t="s">
        <v>74</v>
      </c>
    </row>
    <row r="194" spans="1:28" x14ac:dyDescent="0.25">
      <c r="A194" s="83"/>
      <c r="B194" s="84"/>
      <c r="C194" s="85"/>
      <c r="D194" s="86"/>
      <c r="E194" s="86"/>
      <c r="F194" s="86"/>
      <c r="G194" s="86"/>
      <c r="H194" s="94"/>
      <c r="I194" s="94"/>
      <c r="J194" s="94"/>
      <c r="K194" s="86"/>
      <c r="L194" s="86"/>
      <c r="M194" s="87"/>
      <c r="N194" s="80"/>
      <c r="O194" s="77"/>
      <c r="P194" s="89"/>
      <c r="Q194" s="79"/>
      <c r="R194" s="80"/>
      <c r="S194" s="80"/>
      <c r="T194" s="80"/>
      <c r="U194" s="80"/>
      <c r="V194" s="95"/>
      <c r="W194" s="96"/>
      <c r="X194" s="97"/>
      <c r="Y194" s="97"/>
      <c r="Z194" s="97"/>
      <c r="AA194" s="97"/>
    </row>
    <row r="195" spans="1:28" x14ac:dyDescent="0.25">
      <c r="A195" s="83"/>
      <c r="B195" s="84" t="s">
        <v>76</v>
      </c>
      <c r="C195" s="85"/>
      <c r="D195" s="86"/>
      <c r="E195" s="86"/>
      <c r="F195" s="86"/>
      <c r="G195" s="86"/>
      <c r="H195" s="86"/>
      <c r="I195" s="86"/>
      <c r="J195" s="86"/>
      <c r="K195" s="86"/>
      <c r="L195" s="86"/>
      <c r="M195" s="87"/>
      <c r="N195" s="88"/>
      <c r="O195" s="77"/>
      <c r="P195" s="89">
        <f>V195</f>
        <v>0</v>
      </c>
      <c r="Q195" s="79">
        <f>W195-H195</f>
        <v>0</v>
      </c>
      <c r="R195" s="80" t="e">
        <f>T195/Q195%</f>
        <v>#DIV/0!</v>
      </c>
      <c r="S195" s="80" t="e">
        <f>U195/Q195%</f>
        <v>#DIV/0!</v>
      </c>
      <c r="T195" s="80">
        <f>Z195-K195</f>
        <v>0</v>
      </c>
      <c r="U195" s="80">
        <f>AA195-L195</f>
        <v>0</v>
      </c>
      <c r="V195" s="90"/>
      <c r="W195" s="91"/>
      <c r="X195" s="92"/>
      <c r="Y195" s="92"/>
      <c r="Z195" s="92">
        <f>W195*X195%</f>
        <v>0</v>
      </c>
      <c r="AA195" s="92">
        <f>W195*Y195%</f>
        <v>0</v>
      </c>
      <c r="AB195" s="93" t="s">
        <v>74</v>
      </c>
    </row>
    <row r="196" spans="1:28" x14ac:dyDescent="0.25">
      <c r="A196" s="83"/>
      <c r="B196" s="84" t="s">
        <v>75</v>
      </c>
      <c r="C196" s="85"/>
      <c r="D196" s="86"/>
      <c r="E196" s="86"/>
      <c r="F196" s="86"/>
      <c r="G196" s="86"/>
      <c r="H196" s="86"/>
      <c r="I196" s="86"/>
      <c r="J196" s="86"/>
      <c r="K196" s="86"/>
      <c r="L196" s="86"/>
      <c r="M196" s="87"/>
      <c r="N196" s="88"/>
      <c r="O196" s="77"/>
      <c r="P196" s="89">
        <f>V196</f>
        <v>0</v>
      </c>
      <c r="Q196" s="79">
        <f>W196-H196</f>
        <v>0</v>
      </c>
      <c r="R196" s="80" t="e">
        <f>T196/Q196%</f>
        <v>#DIV/0!</v>
      </c>
      <c r="S196" s="80" t="e">
        <f>U196/Q196%</f>
        <v>#DIV/0!</v>
      </c>
      <c r="T196" s="80">
        <f>Z196-K196</f>
        <v>0</v>
      </c>
      <c r="U196" s="80">
        <f>AA196-L196</f>
        <v>0</v>
      </c>
      <c r="V196" s="90"/>
      <c r="W196" s="91"/>
      <c r="X196" s="92"/>
      <c r="Y196" s="92"/>
      <c r="Z196" s="92">
        <f>W196*X196%</f>
        <v>0</v>
      </c>
      <c r="AA196" s="92">
        <f>W196*Y196%</f>
        <v>0</v>
      </c>
      <c r="AB196" s="93" t="s">
        <v>74</v>
      </c>
    </row>
    <row r="197" spans="1:28" x14ac:dyDescent="0.25">
      <c r="A197" s="83"/>
      <c r="B197" s="84"/>
      <c r="C197" s="85"/>
      <c r="D197" s="86"/>
      <c r="E197" s="86"/>
      <c r="F197" s="86"/>
      <c r="G197" s="86"/>
      <c r="H197" s="86"/>
      <c r="I197" s="86"/>
      <c r="J197" s="86"/>
      <c r="K197" s="86"/>
      <c r="L197" s="86"/>
      <c r="M197" s="87"/>
      <c r="N197" s="88"/>
      <c r="O197" s="77"/>
      <c r="P197" s="89"/>
      <c r="Q197" s="79"/>
      <c r="R197" s="80"/>
      <c r="S197" s="80"/>
      <c r="T197" s="80"/>
      <c r="U197" s="80"/>
      <c r="V197" s="95"/>
      <c r="W197" s="96"/>
      <c r="X197" s="97"/>
      <c r="Y197" s="97"/>
      <c r="Z197" s="97"/>
      <c r="AA197" s="97"/>
      <c r="AB197" s="93" t="s">
        <v>74</v>
      </c>
    </row>
    <row r="198" spans="1:28" x14ac:dyDescent="0.25">
      <c r="A198" s="83"/>
      <c r="B198" s="84" t="s">
        <v>76</v>
      </c>
      <c r="C198" s="85"/>
      <c r="D198" s="86"/>
      <c r="E198" s="86"/>
      <c r="F198" s="86"/>
      <c r="G198" s="86"/>
      <c r="H198" s="86"/>
      <c r="I198" s="86"/>
      <c r="J198" s="86"/>
      <c r="K198" s="86"/>
      <c r="L198" s="86"/>
      <c r="M198" s="87"/>
      <c r="N198" s="88"/>
      <c r="O198" s="77"/>
      <c r="P198" s="89">
        <f>V198</f>
        <v>0</v>
      </c>
      <c r="Q198" s="79">
        <f>W198-H198</f>
        <v>0</v>
      </c>
      <c r="R198" s="80" t="e">
        <f>T198/Q198%</f>
        <v>#DIV/0!</v>
      </c>
      <c r="S198" s="80" t="e">
        <f>U198/Q198%</f>
        <v>#DIV/0!</v>
      </c>
      <c r="T198" s="80">
        <f>Z198-K198</f>
        <v>0</v>
      </c>
      <c r="U198" s="80">
        <f>AA198-L198</f>
        <v>0</v>
      </c>
      <c r="V198" s="90"/>
      <c r="W198" s="91"/>
      <c r="X198" s="92"/>
      <c r="Y198" s="92"/>
      <c r="Z198" s="92">
        <f>W198*X198%</f>
        <v>0</v>
      </c>
      <c r="AA198" s="92">
        <f>W198*Y198%</f>
        <v>0</v>
      </c>
      <c r="AB198" s="93" t="s">
        <v>74</v>
      </c>
    </row>
    <row r="199" spans="1:28" x14ac:dyDescent="0.25">
      <c r="A199" s="83"/>
      <c r="B199" s="84" t="s">
        <v>75</v>
      </c>
      <c r="C199" s="85"/>
      <c r="D199" s="86"/>
      <c r="E199" s="86"/>
      <c r="F199" s="86"/>
      <c r="G199" s="86"/>
      <c r="H199" s="86"/>
      <c r="I199" s="86"/>
      <c r="J199" s="86"/>
      <c r="K199" s="86"/>
      <c r="L199" s="86"/>
      <c r="M199" s="87"/>
      <c r="N199" s="80"/>
      <c r="O199" s="77"/>
      <c r="P199" s="89"/>
      <c r="Q199" s="79">
        <f>W199-H199</f>
        <v>0</v>
      </c>
      <c r="R199" s="80" t="e">
        <f>T199/Q199%</f>
        <v>#DIV/0!</v>
      </c>
      <c r="S199" s="80" t="e">
        <f>U199/Q199%</f>
        <v>#DIV/0!</v>
      </c>
      <c r="T199" s="80">
        <f>Z199-K199</f>
        <v>0</v>
      </c>
      <c r="U199" s="80">
        <f>AA199-L199</f>
        <v>0</v>
      </c>
      <c r="V199" s="90"/>
      <c r="W199" s="91"/>
      <c r="X199" s="92"/>
      <c r="Y199" s="92"/>
      <c r="Z199" s="92">
        <f>W199*X199%</f>
        <v>0</v>
      </c>
      <c r="AA199" s="92">
        <f>W199*Y199%</f>
        <v>0</v>
      </c>
      <c r="AB199" s="93" t="s">
        <v>74</v>
      </c>
    </row>
    <row r="200" spans="1:28" x14ac:dyDescent="0.25">
      <c r="A200" s="83"/>
      <c r="B200" s="84"/>
      <c r="C200" s="85"/>
      <c r="D200" s="86"/>
      <c r="E200" s="86"/>
      <c r="F200" s="86"/>
      <c r="G200" s="86"/>
      <c r="H200" s="94"/>
      <c r="I200" s="94"/>
      <c r="J200" s="94"/>
      <c r="K200" s="86"/>
      <c r="L200" s="86"/>
      <c r="M200" s="87"/>
      <c r="N200" s="80"/>
      <c r="O200" s="77"/>
      <c r="P200" s="89"/>
      <c r="Q200" s="79"/>
      <c r="R200" s="80"/>
      <c r="S200" s="80"/>
      <c r="T200" s="80"/>
      <c r="U200" s="80"/>
      <c r="V200" s="95"/>
      <c r="W200" s="96"/>
      <c r="X200" s="97"/>
      <c r="Y200" s="97"/>
      <c r="Z200" s="97"/>
      <c r="AA200" s="97"/>
    </row>
    <row r="201" spans="1:28" x14ac:dyDescent="0.25">
      <c r="A201" s="83"/>
      <c r="B201" s="84" t="s">
        <v>73</v>
      </c>
      <c r="C201" s="85"/>
      <c r="D201" s="86"/>
      <c r="E201" s="86"/>
      <c r="F201" s="86"/>
      <c r="G201" s="86"/>
      <c r="H201" s="86"/>
      <c r="I201" s="86"/>
      <c r="J201" s="86"/>
      <c r="K201" s="86"/>
      <c r="L201" s="86"/>
      <c r="M201" s="87"/>
      <c r="N201" s="88"/>
      <c r="O201" s="77"/>
      <c r="P201" s="89">
        <f>V201</f>
        <v>0</v>
      </c>
      <c r="Q201" s="79">
        <f>W201-H201</f>
        <v>0</v>
      </c>
      <c r="R201" s="80" t="e">
        <f>T201/Q201%</f>
        <v>#DIV/0!</v>
      </c>
      <c r="S201" s="80" t="e">
        <f>U201/Q201%</f>
        <v>#DIV/0!</v>
      </c>
      <c r="T201" s="80">
        <f>Z201-K201</f>
        <v>0</v>
      </c>
      <c r="U201" s="80">
        <f>AA201-L201</f>
        <v>0</v>
      </c>
      <c r="V201" s="90"/>
      <c r="W201" s="91"/>
      <c r="X201" s="92"/>
      <c r="Y201" s="92"/>
      <c r="Z201" s="92">
        <f>W201*X201%</f>
        <v>0</v>
      </c>
      <c r="AA201" s="92">
        <f>W201*Y201%</f>
        <v>0</v>
      </c>
      <c r="AB201" s="93" t="s">
        <v>74</v>
      </c>
    </row>
    <row r="202" spans="1:28" x14ac:dyDescent="0.25">
      <c r="A202" s="83"/>
      <c r="B202" s="84" t="s">
        <v>75</v>
      </c>
      <c r="C202" s="85"/>
      <c r="D202" s="86"/>
      <c r="E202" s="86"/>
      <c r="F202" s="86"/>
      <c r="G202" s="86"/>
      <c r="H202" s="86"/>
      <c r="I202" s="86"/>
      <c r="J202" s="86"/>
      <c r="K202" s="86"/>
      <c r="L202" s="86"/>
      <c r="M202" s="87"/>
      <c r="N202" s="80"/>
      <c r="O202" s="77"/>
      <c r="P202" s="89">
        <f>V202</f>
        <v>0</v>
      </c>
      <c r="Q202" s="79">
        <f>W202-H202</f>
        <v>0</v>
      </c>
      <c r="R202" s="80" t="e">
        <f>T202/Q202%</f>
        <v>#DIV/0!</v>
      </c>
      <c r="S202" s="80" t="e">
        <f>U202/Q202%</f>
        <v>#DIV/0!</v>
      </c>
      <c r="T202" s="80">
        <f>Z202-K202</f>
        <v>0</v>
      </c>
      <c r="U202" s="80">
        <f>AA202-L202</f>
        <v>0</v>
      </c>
      <c r="V202" s="90"/>
      <c r="W202" s="91"/>
      <c r="X202" s="92"/>
      <c r="Y202" s="92"/>
      <c r="Z202" s="92">
        <f>W202*X202%</f>
        <v>0</v>
      </c>
      <c r="AA202" s="92">
        <f>W202*Y202%</f>
        <v>0</v>
      </c>
      <c r="AB202" s="93" t="s">
        <v>74</v>
      </c>
    </row>
    <row r="203" spans="1:28" x14ac:dyDescent="0.25">
      <c r="A203" s="83"/>
      <c r="B203" s="84"/>
      <c r="C203" s="85"/>
      <c r="D203" s="86"/>
      <c r="E203" s="86"/>
      <c r="F203" s="86"/>
      <c r="G203" s="86"/>
      <c r="H203" s="94"/>
      <c r="I203" s="94"/>
      <c r="J203" s="94"/>
      <c r="K203" s="86"/>
      <c r="L203" s="86"/>
      <c r="M203" s="87"/>
      <c r="N203" s="80"/>
      <c r="O203" s="77"/>
      <c r="P203" s="89"/>
      <c r="Q203" s="79"/>
      <c r="R203" s="80"/>
      <c r="S203" s="80"/>
      <c r="T203" s="80"/>
      <c r="U203" s="80"/>
      <c r="V203" s="95"/>
      <c r="W203" s="96"/>
      <c r="X203" s="97"/>
      <c r="Y203" s="97"/>
      <c r="Z203" s="97"/>
      <c r="AA203" s="97"/>
    </row>
    <row r="204" spans="1:28" x14ac:dyDescent="0.25">
      <c r="A204" s="83"/>
      <c r="B204" s="84" t="s">
        <v>76</v>
      </c>
      <c r="C204" s="85"/>
      <c r="D204" s="98"/>
      <c r="E204" s="86"/>
      <c r="F204" s="86"/>
      <c r="G204" s="86"/>
      <c r="H204" s="86"/>
      <c r="I204" s="86"/>
      <c r="J204" s="86"/>
      <c r="K204" s="86"/>
      <c r="L204" s="86"/>
      <c r="M204" s="87"/>
      <c r="N204" s="88"/>
      <c r="O204" s="77"/>
      <c r="P204" s="89">
        <f>V204</f>
        <v>0</v>
      </c>
      <c r="Q204" s="79">
        <f>W204-H204</f>
        <v>0</v>
      </c>
      <c r="R204" s="80" t="e">
        <f>T204/Q204%</f>
        <v>#DIV/0!</v>
      </c>
      <c r="S204" s="80" t="e">
        <f>U204/Q204%</f>
        <v>#DIV/0!</v>
      </c>
      <c r="T204" s="80">
        <f>Z204-K204</f>
        <v>0</v>
      </c>
      <c r="U204" s="80">
        <f>AA204-L204</f>
        <v>0</v>
      </c>
      <c r="V204" s="90"/>
      <c r="W204" s="91"/>
      <c r="X204" s="92"/>
      <c r="Y204" s="92"/>
      <c r="Z204" s="92">
        <f>W204*X204%</f>
        <v>0</v>
      </c>
      <c r="AA204" s="92">
        <f>W204*Y204%</f>
        <v>0</v>
      </c>
      <c r="AB204" s="93" t="s">
        <v>74</v>
      </c>
    </row>
    <row r="205" spans="1:28" x14ac:dyDescent="0.25">
      <c r="A205" s="83"/>
      <c r="B205" s="84" t="s">
        <v>75</v>
      </c>
      <c r="C205" s="85"/>
      <c r="D205" s="86"/>
      <c r="E205" s="86"/>
      <c r="F205" s="86"/>
      <c r="G205" s="86"/>
      <c r="H205" s="86"/>
      <c r="I205" s="86"/>
      <c r="J205" s="86"/>
      <c r="K205" s="86"/>
      <c r="L205" s="86"/>
      <c r="M205" s="87"/>
      <c r="N205" s="80"/>
      <c r="O205" s="77"/>
      <c r="P205" s="89">
        <f>V205</f>
        <v>0</v>
      </c>
      <c r="Q205" s="79">
        <f>W205-H205</f>
        <v>0</v>
      </c>
      <c r="R205" s="80" t="e">
        <f>T205/Q205%</f>
        <v>#DIV/0!</v>
      </c>
      <c r="S205" s="80" t="e">
        <f>U205/Q205%</f>
        <v>#DIV/0!</v>
      </c>
      <c r="T205" s="80">
        <f>Z205-K205</f>
        <v>0</v>
      </c>
      <c r="U205" s="80">
        <f>AA205-L205</f>
        <v>0</v>
      </c>
      <c r="V205" s="90"/>
      <c r="W205" s="91"/>
      <c r="X205" s="92"/>
      <c r="Y205" s="92"/>
      <c r="Z205" s="92">
        <f>W205*X205%</f>
        <v>0</v>
      </c>
      <c r="AA205" s="92">
        <f>W205*Y205%</f>
        <v>0</v>
      </c>
      <c r="AB205" s="93" t="s">
        <v>74</v>
      </c>
    </row>
    <row r="206" spans="1:28" x14ac:dyDescent="0.25">
      <c r="A206" s="83"/>
      <c r="B206" s="84"/>
      <c r="C206" s="85"/>
      <c r="D206" s="86"/>
      <c r="E206" s="86"/>
      <c r="F206" s="86"/>
      <c r="G206" s="86"/>
      <c r="H206" s="94"/>
      <c r="I206" s="94"/>
      <c r="J206" s="94"/>
      <c r="K206" s="86"/>
      <c r="L206" s="86"/>
      <c r="M206" s="87"/>
      <c r="N206" s="80"/>
      <c r="O206" s="77"/>
      <c r="P206" s="89"/>
      <c r="Q206" s="79"/>
      <c r="R206" s="80"/>
      <c r="S206" s="80"/>
      <c r="T206" s="80"/>
      <c r="U206" s="80"/>
      <c r="V206" s="95"/>
      <c r="W206" s="96"/>
      <c r="X206" s="97"/>
      <c r="Y206" s="97"/>
      <c r="Z206" s="97"/>
      <c r="AA206" s="97"/>
    </row>
    <row r="207" spans="1:28" x14ac:dyDescent="0.25">
      <c r="A207" s="83"/>
      <c r="B207" s="84" t="s">
        <v>76</v>
      </c>
      <c r="C207" s="85"/>
      <c r="D207" s="98"/>
      <c r="E207" s="86"/>
      <c r="F207" s="86"/>
      <c r="G207" s="86"/>
      <c r="H207" s="86"/>
      <c r="I207" s="86"/>
      <c r="J207" s="86"/>
      <c r="K207" s="86"/>
      <c r="L207" s="86"/>
      <c r="M207" s="87"/>
      <c r="N207" s="88"/>
      <c r="O207" s="77"/>
      <c r="P207" s="89">
        <f>V207</f>
        <v>0</v>
      </c>
      <c r="Q207" s="79">
        <f>W207-H207</f>
        <v>0</v>
      </c>
      <c r="R207" s="80" t="e">
        <f>T207/Q207%</f>
        <v>#DIV/0!</v>
      </c>
      <c r="S207" s="80" t="e">
        <f>U207/Q207%</f>
        <v>#DIV/0!</v>
      </c>
      <c r="T207" s="80">
        <f>Z207-K207</f>
        <v>0</v>
      </c>
      <c r="U207" s="80">
        <f>AA207-L207</f>
        <v>0</v>
      </c>
      <c r="V207" s="90"/>
      <c r="W207" s="91"/>
      <c r="X207" s="92"/>
      <c r="Y207" s="92"/>
      <c r="Z207" s="92">
        <f>W207*X207%</f>
        <v>0</v>
      </c>
      <c r="AA207" s="92">
        <f>W207*Y207%</f>
        <v>0</v>
      </c>
      <c r="AB207" s="93" t="s">
        <v>74</v>
      </c>
    </row>
    <row r="208" spans="1:28" x14ac:dyDescent="0.25">
      <c r="A208" s="83"/>
      <c r="B208" s="84" t="s">
        <v>75</v>
      </c>
      <c r="C208" s="85"/>
      <c r="D208" s="86"/>
      <c r="E208" s="86"/>
      <c r="F208" s="86"/>
      <c r="G208" s="86"/>
      <c r="H208" s="86"/>
      <c r="I208" s="86"/>
      <c r="J208" s="86"/>
      <c r="K208" s="86"/>
      <c r="L208" s="86"/>
      <c r="M208" s="87"/>
      <c r="N208" s="80"/>
      <c r="O208" s="77"/>
      <c r="P208" s="89">
        <f>V208</f>
        <v>0</v>
      </c>
      <c r="Q208" s="79">
        <f>W208-H208</f>
        <v>0</v>
      </c>
      <c r="R208" s="80" t="e">
        <f>T208/Q208%</f>
        <v>#DIV/0!</v>
      </c>
      <c r="S208" s="80" t="e">
        <f>U208/Q208%</f>
        <v>#DIV/0!</v>
      </c>
      <c r="T208" s="80">
        <f>Z208-K208</f>
        <v>0</v>
      </c>
      <c r="U208" s="80">
        <f>AA208-L208</f>
        <v>0</v>
      </c>
      <c r="V208" s="90"/>
      <c r="W208" s="91"/>
      <c r="X208" s="92"/>
      <c r="Y208" s="92"/>
      <c r="Z208" s="92">
        <f>W208*X208%</f>
        <v>0</v>
      </c>
      <c r="AA208" s="92">
        <f>W208*Y208%</f>
        <v>0</v>
      </c>
      <c r="AB208" s="93" t="s">
        <v>74</v>
      </c>
    </row>
    <row r="209" spans="1:28" x14ac:dyDescent="0.25">
      <c r="A209" s="83"/>
      <c r="B209" s="84"/>
      <c r="C209" s="85"/>
      <c r="D209" s="86"/>
      <c r="E209" s="86"/>
      <c r="F209" s="86"/>
      <c r="G209" s="86"/>
      <c r="H209" s="94"/>
      <c r="I209" s="94"/>
      <c r="J209" s="94"/>
      <c r="K209" s="86"/>
      <c r="L209" s="86"/>
      <c r="M209" s="87"/>
      <c r="N209" s="80"/>
      <c r="O209" s="77"/>
      <c r="P209" s="89"/>
      <c r="Q209" s="79"/>
      <c r="R209" s="80"/>
      <c r="S209" s="80"/>
      <c r="T209" s="80"/>
      <c r="U209" s="80"/>
      <c r="V209" s="95"/>
      <c r="W209" s="96"/>
      <c r="X209" s="97"/>
      <c r="Y209" s="97"/>
      <c r="Z209" s="97"/>
      <c r="AA209" s="97"/>
    </row>
    <row r="210" spans="1:28" x14ac:dyDescent="0.25">
      <c r="A210" s="83"/>
      <c r="B210" s="84" t="s">
        <v>76</v>
      </c>
      <c r="C210" s="85"/>
      <c r="D210" s="86"/>
      <c r="E210" s="86"/>
      <c r="F210" s="86"/>
      <c r="G210" s="86"/>
      <c r="H210" s="86"/>
      <c r="I210" s="86"/>
      <c r="J210" s="86"/>
      <c r="K210" s="86"/>
      <c r="L210" s="86"/>
      <c r="M210" s="87"/>
      <c r="N210" s="88"/>
      <c r="O210" s="77"/>
      <c r="P210" s="89">
        <f>V210</f>
        <v>0</v>
      </c>
      <c r="Q210" s="79">
        <f>W210-H210</f>
        <v>0</v>
      </c>
      <c r="R210" s="80" t="e">
        <f>T210/Q210%</f>
        <v>#DIV/0!</v>
      </c>
      <c r="S210" s="80" t="e">
        <f>U210/Q210%</f>
        <v>#DIV/0!</v>
      </c>
      <c r="T210" s="80">
        <f>Z210-K210</f>
        <v>0</v>
      </c>
      <c r="U210" s="80">
        <f>AA210-L210</f>
        <v>0</v>
      </c>
      <c r="V210" s="90"/>
      <c r="W210" s="91"/>
      <c r="X210" s="92"/>
      <c r="Y210" s="92"/>
      <c r="Z210" s="92">
        <f>W210*X210%</f>
        <v>0</v>
      </c>
      <c r="AA210" s="92">
        <f>W210*Y210%</f>
        <v>0</v>
      </c>
      <c r="AB210" s="93" t="s">
        <v>74</v>
      </c>
    </row>
    <row r="211" spans="1:28" x14ac:dyDescent="0.25">
      <c r="A211" s="83"/>
      <c r="B211" s="84" t="s">
        <v>75</v>
      </c>
      <c r="C211" s="85"/>
      <c r="D211" s="86"/>
      <c r="E211" s="86"/>
      <c r="F211" s="86"/>
      <c r="G211" s="86"/>
      <c r="H211" s="86"/>
      <c r="I211" s="86"/>
      <c r="J211" s="86"/>
      <c r="K211" s="86"/>
      <c r="L211" s="86"/>
      <c r="M211" s="87"/>
      <c r="N211" s="88"/>
      <c r="O211" s="77"/>
      <c r="P211" s="89">
        <f>V211</f>
        <v>0</v>
      </c>
      <c r="Q211" s="79">
        <f>W211-H211</f>
        <v>0</v>
      </c>
      <c r="R211" s="80" t="e">
        <f>T211/Q211%</f>
        <v>#DIV/0!</v>
      </c>
      <c r="S211" s="80" t="e">
        <f>U211/Q211%</f>
        <v>#DIV/0!</v>
      </c>
      <c r="T211" s="80">
        <f>Z211-K211</f>
        <v>0</v>
      </c>
      <c r="U211" s="80">
        <f>AA211-L211</f>
        <v>0</v>
      </c>
      <c r="V211" s="90"/>
      <c r="W211" s="91"/>
      <c r="X211" s="92"/>
      <c r="Y211" s="92"/>
      <c r="Z211" s="92">
        <f>W211*X211%</f>
        <v>0</v>
      </c>
      <c r="AA211" s="92">
        <f>W211*Y211%</f>
        <v>0</v>
      </c>
      <c r="AB211" s="93" t="s">
        <v>74</v>
      </c>
    </row>
    <row r="212" spans="1:28" x14ac:dyDescent="0.25">
      <c r="A212" s="83"/>
      <c r="B212" s="84"/>
      <c r="C212" s="85"/>
      <c r="D212" s="86"/>
      <c r="E212" s="86"/>
      <c r="F212" s="86"/>
      <c r="G212" s="86"/>
      <c r="H212" s="94"/>
      <c r="I212" s="94"/>
      <c r="J212" s="94"/>
      <c r="K212" s="86"/>
      <c r="L212" s="86"/>
      <c r="M212" s="87"/>
      <c r="N212" s="80"/>
      <c r="O212" s="77"/>
      <c r="P212" s="89"/>
      <c r="Q212" s="79"/>
      <c r="R212" s="80"/>
      <c r="S212" s="80"/>
      <c r="T212" s="80"/>
      <c r="U212" s="80"/>
      <c r="V212" s="95"/>
      <c r="W212" s="96"/>
      <c r="X212" s="97"/>
      <c r="Y212" s="97"/>
      <c r="Z212" s="97"/>
      <c r="AA212" s="97"/>
    </row>
    <row r="213" spans="1:28" x14ac:dyDescent="0.25">
      <c r="A213" s="83"/>
      <c r="B213" s="84" t="s">
        <v>76</v>
      </c>
      <c r="C213" s="85"/>
      <c r="D213" s="98"/>
      <c r="E213" s="86"/>
      <c r="F213" s="86"/>
      <c r="G213" s="86"/>
      <c r="H213" s="86"/>
      <c r="I213" s="86"/>
      <c r="J213" s="86"/>
      <c r="K213" s="86"/>
      <c r="L213" s="86"/>
      <c r="M213" s="87"/>
      <c r="N213" s="88"/>
      <c r="O213" s="77"/>
      <c r="P213" s="89">
        <f>V213</f>
        <v>0</v>
      </c>
      <c r="Q213" s="79">
        <f>W213-H213</f>
        <v>0</v>
      </c>
      <c r="R213" s="80" t="e">
        <f>T213/Q213%</f>
        <v>#DIV/0!</v>
      </c>
      <c r="S213" s="80" t="e">
        <f>U213/Q213%</f>
        <v>#DIV/0!</v>
      </c>
      <c r="T213" s="80">
        <f>Z213-K213</f>
        <v>0</v>
      </c>
      <c r="U213" s="80">
        <f>AA213-L213</f>
        <v>0</v>
      </c>
      <c r="V213" s="90"/>
      <c r="W213" s="91"/>
      <c r="X213" s="92"/>
      <c r="Y213" s="92"/>
      <c r="Z213" s="92">
        <f>W213*X213%</f>
        <v>0</v>
      </c>
      <c r="AA213" s="92">
        <f>W213*Y213%</f>
        <v>0</v>
      </c>
      <c r="AB213" s="93" t="s">
        <v>74</v>
      </c>
    </row>
    <row r="214" spans="1:28" x14ac:dyDescent="0.25">
      <c r="A214" s="83"/>
      <c r="B214" s="84" t="s">
        <v>75</v>
      </c>
      <c r="C214" s="85"/>
      <c r="D214" s="86"/>
      <c r="E214" s="86"/>
      <c r="F214" s="86"/>
      <c r="G214" s="86"/>
      <c r="H214" s="86"/>
      <c r="I214" s="86"/>
      <c r="J214" s="86"/>
      <c r="K214" s="86"/>
      <c r="L214" s="86"/>
      <c r="M214" s="87"/>
      <c r="N214" s="88"/>
      <c r="O214" s="77"/>
      <c r="P214" s="89">
        <f>V214</f>
        <v>0</v>
      </c>
      <c r="Q214" s="79">
        <f>W214-H214</f>
        <v>0</v>
      </c>
      <c r="R214" s="80" t="e">
        <f>T214/Q214%</f>
        <v>#DIV/0!</v>
      </c>
      <c r="S214" s="80" t="e">
        <f>U214/Q214%</f>
        <v>#DIV/0!</v>
      </c>
      <c r="T214" s="80">
        <f>Z214-K214</f>
        <v>0</v>
      </c>
      <c r="U214" s="80">
        <f>AA214-L214</f>
        <v>0</v>
      </c>
      <c r="V214" s="90"/>
      <c r="W214" s="91"/>
      <c r="X214" s="92"/>
      <c r="Y214" s="92"/>
      <c r="Z214" s="92">
        <f>W214*X214%</f>
        <v>0</v>
      </c>
      <c r="AA214" s="92">
        <f>W214*Y214%</f>
        <v>0</v>
      </c>
      <c r="AB214" s="93" t="s">
        <v>74</v>
      </c>
    </row>
    <row r="215" spans="1:28" x14ac:dyDescent="0.25">
      <c r="A215" s="83"/>
      <c r="B215" s="84"/>
      <c r="C215" s="85"/>
      <c r="D215" s="86"/>
      <c r="E215" s="86"/>
      <c r="F215" s="86"/>
      <c r="G215" s="86"/>
      <c r="H215" s="86"/>
      <c r="I215" s="86"/>
      <c r="J215" s="86"/>
      <c r="K215" s="86"/>
      <c r="L215" s="86"/>
      <c r="M215" s="87"/>
      <c r="N215" s="88"/>
      <c r="O215" s="77"/>
      <c r="P215" s="89"/>
      <c r="Q215" s="79"/>
      <c r="R215" s="80"/>
      <c r="S215" s="80"/>
      <c r="T215" s="80"/>
      <c r="U215" s="80"/>
      <c r="V215" s="95"/>
      <c r="W215" s="96"/>
      <c r="X215" s="97"/>
      <c r="Y215" s="97"/>
      <c r="Z215" s="97"/>
      <c r="AA215" s="97"/>
      <c r="AB215" s="93" t="s">
        <v>74</v>
      </c>
    </row>
    <row r="216" spans="1:28" x14ac:dyDescent="0.25">
      <c r="A216" s="83"/>
      <c r="B216" s="84" t="s">
        <v>76</v>
      </c>
      <c r="C216" s="85"/>
      <c r="D216" s="86"/>
      <c r="E216" s="86"/>
      <c r="F216" s="86"/>
      <c r="G216" s="86"/>
      <c r="H216" s="86"/>
      <c r="I216" s="86"/>
      <c r="J216" s="86"/>
      <c r="K216" s="86"/>
      <c r="L216" s="86"/>
      <c r="M216" s="87"/>
      <c r="N216" s="88"/>
      <c r="O216" s="77"/>
      <c r="P216" s="89">
        <f>V216</f>
        <v>0</v>
      </c>
      <c r="Q216" s="79">
        <f>W216-H216</f>
        <v>0</v>
      </c>
      <c r="R216" s="80" t="e">
        <f>T216/Q216%</f>
        <v>#DIV/0!</v>
      </c>
      <c r="S216" s="80" t="e">
        <f>U216/Q216%</f>
        <v>#DIV/0!</v>
      </c>
      <c r="T216" s="80">
        <f>Z216-K216</f>
        <v>0</v>
      </c>
      <c r="U216" s="80">
        <f>AA216-L216</f>
        <v>0</v>
      </c>
      <c r="V216" s="90"/>
      <c r="W216" s="91"/>
      <c r="X216" s="92"/>
      <c r="Y216" s="92"/>
      <c r="Z216" s="92">
        <f>W216*X216%</f>
        <v>0</v>
      </c>
      <c r="AA216" s="92">
        <f>W216*Y216%</f>
        <v>0</v>
      </c>
      <c r="AB216" s="93" t="s">
        <v>74</v>
      </c>
    </row>
    <row r="217" spans="1:28" x14ac:dyDescent="0.25">
      <c r="A217" s="83"/>
      <c r="B217" s="84" t="s">
        <v>75</v>
      </c>
      <c r="C217" s="85"/>
      <c r="D217" s="86"/>
      <c r="E217" s="86"/>
      <c r="F217" s="86"/>
      <c r="G217" s="86"/>
      <c r="H217" s="86"/>
      <c r="I217" s="86"/>
      <c r="J217" s="86"/>
      <c r="K217" s="86"/>
      <c r="L217" s="86"/>
      <c r="M217" s="87"/>
      <c r="N217" s="80"/>
      <c r="O217" s="77"/>
      <c r="P217" s="89"/>
      <c r="Q217" s="79">
        <f>W217-H217</f>
        <v>0</v>
      </c>
      <c r="R217" s="80" t="e">
        <f>T217/Q217%</f>
        <v>#DIV/0!</v>
      </c>
      <c r="S217" s="80" t="e">
        <f>U217/Q217%</f>
        <v>#DIV/0!</v>
      </c>
      <c r="T217" s="80">
        <f>Z217-K217</f>
        <v>0</v>
      </c>
      <c r="U217" s="80">
        <f>AA217-L217</f>
        <v>0</v>
      </c>
      <c r="V217" s="90"/>
      <c r="W217" s="91"/>
      <c r="X217" s="92"/>
      <c r="Y217" s="92"/>
      <c r="Z217" s="92">
        <f>W217*X217%</f>
        <v>0</v>
      </c>
      <c r="AA217" s="92">
        <f>W217*Y217%</f>
        <v>0</v>
      </c>
      <c r="AB217" s="93" t="s">
        <v>74</v>
      </c>
    </row>
    <row r="218" spans="1:28" x14ac:dyDescent="0.25">
      <c r="A218" s="83"/>
      <c r="B218" s="84"/>
      <c r="C218" s="85"/>
      <c r="D218" s="86"/>
      <c r="E218" s="86"/>
      <c r="F218" s="86"/>
      <c r="G218" s="86"/>
      <c r="H218" s="94"/>
      <c r="I218" s="94"/>
      <c r="J218" s="94"/>
      <c r="K218" s="86"/>
      <c r="L218" s="86"/>
      <c r="M218" s="87"/>
      <c r="N218" s="80"/>
      <c r="O218" s="77"/>
      <c r="P218" s="89"/>
      <c r="Q218" s="79"/>
      <c r="R218" s="80"/>
      <c r="S218" s="80"/>
      <c r="T218" s="80"/>
      <c r="U218" s="80"/>
      <c r="V218" s="95"/>
      <c r="W218" s="96"/>
      <c r="X218" s="97"/>
      <c r="Y218" s="97"/>
      <c r="Z218" s="97"/>
      <c r="AA218" s="97"/>
    </row>
    <row r="219" spans="1:28" x14ac:dyDescent="0.25">
      <c r="A219" s="83"/>
      <c r="B219" s="84" t="s">
        <v>73</v>
      </c>
      <c r="C219" s="85"/>
      <c r="D219" s="86"/>
      <c r="E219" s="86"/>
      <c r="F219" s="86"/>
      <c r="G219" s="86"/>
      <c r="H219" s="86"/>
      <c r="I219" s="86"/>
      <c r="J219" s="86"/>
      <c r="K219" s="86"/>
      <c r="L219" s="86"/>
      <c r="M219" s="87"/>
      <c r="N219" s="88"/>
      <c r="O219" s="77"/>
      <c r="P219" s="89">
        <f>V219</f>
        <v>0</v>
      </c>
      <c r="Q219" s="79">
        <f>W219-H219</f>
        <v>0</v>
      </c>
      <c r="R219" s="80" t="e">
        <f>T219/Q219%</f>
        <v>#DIV/0!</v>
      </c>
      <c r="S219" s="80" t="e">
        <f>U219/Q219%</f>
        <v>#DIV/0!</v>
      </c>
      <c r="T219" s="80">
        <f>Z219-K219</f>
        <v>0</v>
      </c>
      <c r="U219" s="80">
        <f>AA219-L219</f>
        <v>0</v>
      </c>
      <c r="V219" s="90"/>
      <c r="W219" s="91"/>
      <c r="X219" s="92"/>
      <c r="Y219" s="92"/>
      <c r="Z219" s="92">
        <f>W219*X219%</f>
        <v>0</v>
      </c>
      <c r="AA219" s="92">
        <f>W219*Y219%</f>
        <v>0</v>
      </c>
      <c r="AB219" s="93" t="s">
        <v>74</v>
      </c>
    </row>
    <row r="220" spans="1:28" x14ac:dyDescent="0.25">
      <c r="A220" s="83"/>
      <c r="B220" s="84" t="s">
        <v>75</v>
      </c>
      <c r="C220" s="85"/>
      <c r="D220" s="86"/>
      <c r="E220" s="86"/>
      <c r="F220" s="86"/>
      <c r="G220" s="86"/>
      <c r="H220" s="86"/>
      <c r="I220" s="86"/>
      <c r="J220" s="86"/>
      <c r="K220" s="86"/>
      <c r="L220" s="86"/>
      <c r="M220" s="87"/>
      <c r="N220" s="80"/>
      <c r="O220" s="77"/>
      <c r="P220" s="89">
        <f>V220</f>
        <v>0</v>
      </c>
      <c r="Q220" s="79">
        <f>W220-H220</f>
        <v>0</v>
      </c>
      <c r="R220" s="80" t="e">
        <f>T220/Q220%</f>
        <v>#DIV/0!</v>
      </c>
      <c r="S220" s="80" t="e">
        <f>U220/Q220%</f>
        <v>#DIV/0!</v>
      </c>
      <c r="T220" s="80">
        <f>Z220-K220</f>
        <v>0</v>
      </c>
      <c r="U220" s="80">
        <f>AA220-L220</f>
        <v>0</v>
      </c>
      <c r="V220" s="90"/>
      <c r="W220" s="91"/>
      <c r="X220" s="92"/>
      <c r="Y220" s="92"/>
      <c r="Z220" s="92">
        <f>W220*X220%</f>
        <v>0</v>
      </c>
      <c r="AA220" s="92">
        <f>W220*Y220%</f>
        <v>0</v>
      </c>
      <c r="AB220" s="93" t="s">
        <v>74</v>
      </c>
    </row>
    <row r="221" spans="1:28" x14ac:dyDescent="0.25">
      <c r="A221" s="83"/>
      <c r="B221" s="84"/>
      <c r="C221" s="85"/>
      <c r="D221" s="86"/>
      <c r="E221" s="86"/>
      <c r="F221" s="86"/>
      <c r="G221" s="86"/>
      <c r="H221" s="94"/>
      <c r="I221" s="94"/>
      <c r="J221" s="94"/>
      <c r="K221" s="86"/>
      <c r="L221" s="86"/>
      <c r="M221" s="87"/>
      <c r="N221" s="80"/>
      <c r="O221" s="77"/>
      <c r="P221" s="89"/>
      <c r="Q221" s="79"/>
      <c r="R221" s="80"/>
      <c r="S221" s="80"/>
      <c r="T221" s="80"/>
      <c r="U221" s="80"/>
      <c r="V221" s="95"/>
      <c r="W221" s="96"/>
      <c r="X221" s="97"/>
      <c r="Y221" s="97"/>
      <c r="Z221" s="97"/>
      <c r="AA221" s="97"/>
    </row>
    <row r="222" spans="1:28" x14ac:dyDescent="0.25">
      <c r="A222" s="83"/>
      <c r="B222" s="84" t="s">
        <v>76</v>
      </c>
      <c r="C222" s="85"/>
      <c r="D222" s="98"/>
      <c r="E222" s="86"/>
      <c r="F222" s="86"/>
      <c r="G222" s="86"/>
      <c r="H222" s="86"/>
      <c r="I222" s="86"/>
      <c r="J222" s="86"/>
      <c r="K222" s="86"/>
      <c r="L222" s="86"/>
      <c r="M222" s="87"/>
      <c r="N222" s="88"/>
      <c r="O222" s="77"/>
      <c r="P222" s="89">
        <f>V222</f>
        <v>0</v>
      </c>
      <c r="Q222" s="79">
        <f>W222-H222</f>
        <v>0</v>
      </c>
      <c r="R222" s="80" t="e">
        <f>T222/Q222%</f>
        <v>#DIV/0!</v>
      </c>
      <c r="S222" s="80" t="e">
        <f>U222/Q222%</f>
        <v>#DIV/0!</v>
      </c>
      <c r="T222" s="80">
        <f>Z222-K222</f>
        <v>0</v>
      </c>
      <c r="U222" s="80">
        <f>AA222-L222</f>
        <v>0</v>
      </c>
      <c r="V222" s="90"/>
      <c r="W222" s="91"/>
      <c r="X222" s="92"/>
      <c r="Y222" s="92"/>
      <c r="Z222" s="92">
        <f>W222*X222%</f>
        <v>0</v>
      </c>
      <c r="AA222" s="92">
        <f>W222*Y222%</f>
        <v>0</v>
      </c>
      <c r="AB222" s="93" t="s">
        <v>74</v>
      </c>
    </row>
    <row r="223" spans="1:28" x14ac:dyDescent="0.25">
      <c r="A223" s="83"/>
      <c r="B223" s="84" t="s">
        <v>75</v>
      </c>
      <c r="C223" s="85"/>
      <c r="D223" s="86"/>
      <c r="E223" s="86"/>
      <c r="F223" s="86"/>
      <c r="G223" s="86"/>
      <c r="H223" s="86"/>
      <c r="I223" s="86"/>
      <c r="J223" s="86"/>
      <c r="K223" s="86"/>
      <c r="L223" s="86"/>
      <c r="M223" s="87"/>
      <c r="N223" s="80"/>
      <c r="O223" s="77"/>
      <c r="P223" s="89">
        <f>V223</f>
        <v>0</v>
      </c>
      <c r="Q223" s="79">
        <f>W223-H223</f>
        <v>0</v>
      </c>
      <c r="R223" s="80" t="e">
        <f>T223/Q223%</f>
        <v>#DIV/0!</v>
      </c>
      <c r="S223" s="80" t="e">
        <f>U223/Q223%</f>
        <v>#DIV/0!</v>
      </c>
      <c r="T223" s="80">
        <f>Z223-K223</f>
        <v>0</v>
      </c>
      <c r="U223" s="80">
        <f>AA223-L223</f>
        <v>0</v>
      </c>
      <c r="V223" s="90"/>
      <c r="W223" s="91"/>
      <c r="X223" s="92"/>
      <c r="Y223" s="92"/>
      <c r="Z223" s="92">
        <f>W223*X223%</f>
        <v>0</v>
      </c>
      <c r="AA223" s="92">
        <f>W223*Y223%</f>
        <v>0</v>
      </c>
      <c r="AB223" s="93" t="s">
        <v>74</v>
      </c>
    </row>
    <row r="224" spans="1:28" x14ac:dyDescent="0.25">
      <c r="A224" s="83"/>
      <c r="B224" s="84"/>
      <c r="C224" s="85"/>
      <c r="D224" s="86"/>
      <c r="E224" s="86"/>
      <c r="F224" s="86"/>
      <c r="G224" s="86"/>
      <c r="H224" s="94"/>
      <c r="I224" s="94"/>
      <c r="J224" s="94"/>
      <c r="K224" s="86"/>
      <c r="L224" s="86"/>
      <c r="M224" s="87"/>
      <c r="N224" s="80"/>
      <c r="O224" s="77"/>
      <c r="P224" s="89"/>
      <c r="Q224" s="79"/>
      <c r="R224" s="80"/>
      <c r="S224" s="80"/>
      <c r="T224" s="80"/>
      <c r="U224" s="80"/>
      <c r="V224" s="95"/>
      <c r="W224" s="96"/>
      <c r="X224" s="97"/>
      <c r="Y224" s="97"/>
      <c r="Z224" s="97"/>
      <c r="AA224" s="97"/>
    </row>
    <row r="225" spans="1:28" x14ac:dyDescent="0.25">
      <c r="A225" s="83"/>
      <c r="B225" s="84" t="s">
        <v>76</v>
      </c>
      <c r="C225" s="85"/>
      <c r="D225" s="98"/>
      <c r="E225" s="86"/>
      <c r="F225" s="86"/>
      <c r="G225" s="86"/>
      <c r="H225" s="86"/>
      <c r="I225" s="86"/>
      <c r="J225" s="86"/>
      <c r="K225" s="86"/>
      <c r="L225" s="86"/>
      <c r="M225" s="87"/>
      <c r="N225" s="88"/>
      <c r="O225" s="77"/>
      <c r="P225" s="89">
        <f>V225</f>
        <v>0</v>
      </c>
      <c r="Q225" s="79">
        <f>W225-H225</f>
        <v>0</v>
      </c>
      <c r="R225" s="80" t="e">
        <f>T225/Q225%</f>
        <v>#DIV/0!</v>
      </c>
      <c r="S225" s="80" t="e">
        <f>U225/Q225%</f>
        <v>#DIV/0!</v>
      </c>
      <c r="T225" s="80">
        <f>Z225-K225</f>
        <v>0</v>
      </c>
      <c r="U225" s="80">
        <f>AA225-L225</f>
        <v>0</v>
      </c>
      <c r="V225" s="90"/>
      <c r="W225" s="91"/>
      <c r="X225" s="92"/>
      <c r="Y225" s="92"/>
      <c r="Z225" s="92">
        <f>W225*X225%</f>
        <v>0</v>
      </c>
      <c r="AA225" s="92">
        <f>W225*Y225%</f>
        <v>0</v>
      </c>
      <c r="AB225" s="93" t="s">
        <v>74</v>
      </c>
    </row>
    <row r="226" spans="1:28" x14ac:dyDescent="0.25">
      <c r="A226" s="83"/>
      <c r="B226" s="84" t="s">
        <v>75</v>
      </c>
      <c r="C226" s="85"/>
      <c r="D226" s="86"/>
      <c r="E226" s="86"/>
      <c r="F226" s="86"/>
      <c r="G226" s="86"/>
      <c r="H226" s="86"/>
      <c r="I226" s="86"/>
      <c r="J226" s="86"/>
      <c r="K226" s="86"/>
      <c r="L226" s="86"/>
      <c r="M226" s="87"/>
      <c r="N226" s="80"/>
      <c r="O226" s="77"/>
      <c r="P226" s="89">
        <f>V226</f>
        <v>0</v>
      </c>
      <c r="Q226" s="79">
        <f>W226-H226</f>
        <v>0</v>
      </c>
      <c r="R226" s="80" t="e">
        <f>T226/Q226%</f>
        <v>#DIV/0!</v>
      </c>
      <c r="S226" s="80" t="e">
        <f>U226/Q226%</f>
        <v>#DIV/0!</v>
      </c>
      <c r="T226" s="80">
        <f>Z226-K226</f>
        <v>0</v>
      </c>
      <c r="U226" s="80">
        <f>AA226-L226</f>
        <v>0</v>
      </c>
      <c r="V226" s="90"/>
      <c r="W226" s="91"/>
      <c r="X226" s="92"/>
      <c r="Y226" s="92"/>
      <c r="Z226" s="92">
        <f>W226*X226%</f>
        <v>0</v>
      </c>
      <c r="AA226" s="92">
        <f>W226*Y226%</f>
        <v>0</v>
      </c>
      <c r="AB226" s="93" t="s">
        <v>74</v>
      </c>
    </row>
    <row r="227" spans="1:28" x14ac:dyDescent="0.25">
      <c r="A227" s="83"/>
      <c r="B227" s="84"/>
      <c r="C227" s="85"/>
      <c r="D227" s="86"/>
      <c r="E227" s="86"/>
      <c r="F227" s="86"/>
      <c r="G227" s="86"/>
      <c r="H227" s="94"/>
      <c r="I227" s="94"/>
      <c r="J227" s="94"/>
      <c r="K227" s="86"/>
      <c r="L227" s="86"/>
      <c r="M227" s="87"/>
      <c r="N227" s="80"/>
      <c r="O227" s="77"/>
      <c r="P227" s="89"/>
      <c r="Q227" s="79"/>
      <c r="R227" s="80"/>
      <c r="S227" s="80"/>
      <c r="T227" s="80"/>
      <c r="U227" s="80"/>
      <c r="V227" s="95"/>
      <c r="W227" s="96"/>
      <c r="X227" s="97"/>
      <c r="Y227" s="97"/>
      <c r="Z227" s="97"/>
      <c r="AA227" s="97"/>
    </row>
    <row r="228" spans="1:28" x14ac:dyDescent="0.25">
      <c r="A228" s="83"/>
      <c r="B228" s="84" t="s">
        <v>76</v>
      </c>
      <c r="C228" s="85"/>
      <c r="D228" s="86"/>
      <c r="E228" s="86"/>
      <c r="F228" s="86"/>
      <c r="G228" s="86"/>
      <c r="H228" s="86"/>
      <c r="I228" s="86"/>
      <c r="J228" s="86"/>
      <c r="K228" s="86"/>
      <c r="L228" s="86"/>
      <c r="M228" s="87"/>
      <c r="N228" s="88"/>
      <c r="O228" s="77"/>
      <c r="P228" s="89">
        <f>V228</f>
        <v>0</v>
      </c>
      <c r="Q228" s="79">
        <f>W228-H228</f>
        <v>0</v>
      </c>
      <c r="R228" s="80" t="e">
        <f>T228/Q228%</f>
        <v>#DIV/0!</v>
      </c>
      <c r="S228" s="80" t="e">
        <f>U228/Q228%</f>
        <v>#DIV/0!</v>
      </c>
      <c r="T228" s="80">
        <f>Z228-K228</f>
        <v>0</v>
      </c>
      <c r="U228" s="80">
        <f>AA228-L228</f>
        <v>0</v>
      </c>
      <c r="V228" s="90"/>
      <c r="W228" s="91"/>
      <c r="X228" s="92"/>
      <c r="Y228" s="92"/>
      <c r="Z228" s="92">
        <f>W228*X228%</f>
        <v>0</v>
      </c>
      <c r="AA228" s="92">
        <f>W228*Y228%</f>
        <v>0</v>
      </c>
      <c r="AB228" s="93" t="s">
        <v>74</v>
      </c>
    </row>
    <row r="229" spans="1:28" x14ac:dyDescent="0.25">
      <c r="A229" s="83"/>
      <c r="B229" s="84" t="s">
        <v>75</v>
      </c>
      <c r="C229" s="85"/>
      <c r="D229" s="86"/>
      <c r="E229" s="86"/>
      <c r="F229" s="86"/>
      <c r="G229" s="86"/>
      <c r="H229" s="86"/>
      <c r="I229" s="86"/>
      <c r="J229" s="86"/>
      <c r="K229" s="86"/>
      <c r="L229" s="86"/>
      <c r="M229" s="87"/>
      <c r="N229" s="88"/>
      <c r="O229" s="77"/>
      <c r="P229" s="89">
        <f>V229</f>
        <v>0</v>
      </c>
      <c r="Q229" s="79">
        <f>W229-H229</f>
        <v>0</v>
      </c>
      <c r="R229" s="80" t="e">
        <f>T229/Q229%</f>
        <v>#DIV/0!</v>
      </c>
      <c r="S229" s="80" t="e">
        <f>U229/Q229%</f>
        <v>#DIV/0!</v>
      </c>
      <c r="T229" s="80">
        <f>Z229-K229</f>
        <v>0</v>
      </c>
      <c r="U229" s="80">
        <f>AA229-L229</f>
        <v>0</v>
      </c>
      <c r="V229" s="90"/>
      <c r="W229" s="91"/>
      <c r="X229" s="92"/>
      <c r="Y229" s="92"/>
      <c r="Z229" s="92">
        <f>W229*X229%</f>
        <v>0</v>
      </c>
      <c r="AA229" s="92">
        <f>W229*Y229%</f>
        <v>0</v>
      </c>
      <c r="AB229" s="93" t="s">
        <v>74</v>
      </c>
    </row>
    <row r="230" spans="1:28" x14ac:dyDescent="0.25">
      <c r="A230" s="83"/>
      <c r="B230" s="84"/>
      <c r="C230" s="85"/>
      <c r="D230" s="86"/>
      <c r="E230" s="86"/>
      <c r="F230" s="86"/>
      <c r="G230" s="86"/>
      <c r="H230" s="94"/>
      <c r="I230" s="94"/>
      <c r="J230" s="94"/>
      <c r="K230" s="86"/>
      <c r="L230" s="86"/>
      <c r="M230" s="87"/>
      <c r="N230" s="80"/>
      <c r="O230" s="77"/>
      <c r="P230" s="89"/>
      <c r="Q230" s="79"/>
      <c r="R230" s="80"/>
      <c r="S230" s="80"/>
      <c r="T230" s="80"/>
      <c r="U230" s="80"/>
      <c r="V230" s="95"/>
      <c r="W230" s="96"/>
      <c r="X230" s="97"/>
      <c r="Y230" s="97"/>
      <c r="Z230" s="97"/>
      <c r="AA230" s="97"/>
    </row>
    <row r="231" spans="1:28" x14ac:dyDescent="0.25">
      <c r="A231" s="83"/>
      <c r="B231" s="84" t="s">
        <v>76</v>
      </c>
      <c r="C231" s="85"/>
      <c r="D231" s="86"/>
      <c r="E231" s="86"/>
      <c r="F231" s="86"/>
      <c r="G231" s="86"/>
      <c r="H231" s="86"/>
      <c r="I231" s="86"/>
      <c r="J231" s="86"/>
      <c r="K231" s="86"/>
      <c r="L231" s="86"/>
      <c r="M231" s="87"/>
      <c r="N231" s="88"/>
      <c r="O231" s="77"/>
      <c r="P231" s="89">
        <f>V231</f>
        <v>0</v>
      </c>
      <c r="Q231" s="79">
        <f>W231-H231</f>
        <v>0</v>
      </c>
      <c r="R231" s="80" t="e">
        <f>T231/Q231%</f>
        <v>#DIV/0!</v>
      </c>
      <c r="S231" s="80" t="e">
        <f>U231/Q231%</f>
        <v>#DIV/0!</v>
      </c>
      <c r="T231" s="80">
        <f>Z231-K231</f>
        <v>0</v>
      </c>
      <c r="U231" s="80">
        <f>AA231-L231</f>
        <v>0</v>
      </c>
      <c r="V231" s="90"/>
      <c r="W231" s="91"/>
      <c r="X231" s="92"/>
      <c r="Y231" s="92"/>
      <c r="Z231" s="92">
        <f>W231*X231%</f>
        <v>0</v>
      </c>
      <c r="AA231" s="92">
        <f>W231*Y231%</f>
        <v>0</v>
      </c>
      <c r="AB231" s="93" t="s">
        <v>74</v>
      </c>
    </row>
    <row r="232" spans="1:28" x14ac:dyDescent="0.25">
      <c r="A232" s="83"/>
      <c r="B232" s="84" t="s">
        <v>75</v>
      </c>
      <c r="C232" s="85"/>
      <c r="D232" s="86"/>
      <c r="E232" s="86"/>
      <c r="F232" s="86"/>
      <c r="G232" s="86"/>
      <c r="H232" s="86"/>
      <c r="I232" s="86"/>
      <c r="J232" s="86"/>
      <c r="K232" s="86"/>
      <c r="L232" s="86"/>
      <c r="M232" s="87"/>
      <c r="N232" s="88"/>
      <c r="O232" s="77"/>
      <c r="P232" s="89">
        <f>V232</f>
        <v>0</v>
      </c>
      <c r="Q232" s="79">
        <f>W232-H232</f>
        <v>0</v>
      </c>
      <c r="R232" s="80" t="e">
        <f>T232/Q232%</f>
        <v>#DIV/0!</v>
      </c>
      <c r="S232" s="80" t="e">
        <f>U232/Q232%</f>
        <v>#DIV/0!</v>
      </c>
      <c r="T232" s="80">
        <f>Z232-K232</f>
        <v>0</v>
      </c>
      <c r="U232" s="80">
        <f>AA232-L232</f>
        <v>0</v>
      </c>
      <c r="V232" s="90"/>
      <c r="W232" s="91"/>
      <c r="X232" s="92"/>
      <c r="Y232" s="92"/>
      <c r="Z232" s="92">
        <f>W232*X232%</f>
        <v>0</v>
      </c>
      <c r="AA232" s="92">
        <f>W232*Y232%</f>
        <v>0</v>
      </c>
      <c r="AB232" s="93" t="s">
        <v>74</v>
      </c>
    </row>
    <row r="233" spans="1:28" x14ac:dyDescent="0.25">
      <c r="A233" s="83"/>
      <c r="B233" s="84"/>
      <c r="C233" s="85"/>
      <c r="D233" s="86"/>
      <c r="E233" s="86"/>
      <c r="F233" s="86"/>
      <c r="G233" s="86"/>
      <c r="H233" s="86"/>
      <c r="I233" s="86"/>
      <c r="J233" s="86"/>
      <c r="K233" s="86"/>
      <c r="L233" s="86"/>
      <c r="M233" s="87"/>
      <c r="N233" s="88"/>
      <c r="O233" s="77"/>
      <c r="P233" s="89"/>
      <c r="Q233" s="79"/>
      <c r="R233" s="80"/>
      <c r="S233" s="80"/>
      <c r="T233" s="80"/>
      <c r="U233" s="80"/>
      <c r="V233" s="95"/>
      <c r="W233" s="96"/>
      <c r="X233" s="97"/>
      <c r="Y233" s="97"/>
      <c r="Z233" s="97"/>
      <c r="AA233" s="97"/>
      <c r="AB233" s="93" t="s">
        <v>74</v>
      </c>
    </row>
    <row r="234" spans="1:28" x14ac:dyDescent="0.25">
      <c r="A234" s="83"/>
      <c r="B234" s="84" t="s">
        <v>76</v>
      </c>
      <c r="C234" s="85"/>
      <c r="D234" s="86"/>
      <c r="E234" s="86"/>
      <c r="F234" s="86"/>
      <c r="G234" s="86"/>
      <c r="H234" s="86"/>
      <c r="I234" s="86"/>
      <c r="J234" s="86"/>
      <c r="K234" s="86"/>
      <c r="L234" s="86"/>
      <c r="M234" s="87"/>
      <c r="N234" s="88"/>
      <c r="O234" s="77"/>
      <c r="P234" s="89">
        <f>V234</f>
        <v>0</v>
      </c>
      <c r="Q234" s="79">
        <f>W234-H234</f>
        <v>0</v>
      </c>
      <c r="R234" s="80" t="e">
        <f>T234/Q234%</f>
        <v>#DIV/0!</v>
      </c>
      <c r="S234" s="80" t="e">
        <f>U234/Q234%</f>
        <v>#DIV/0!</v>
      </c>
      <c r="T234" s="80">
        <f>Z234-K234</f>
        <v>0</v>
      </c>
      <c r="U234" s="80">
        <f>AA234-L234</f>
        <v>0</v>
      </c>
      <c r="V234" s="90"/>
      <c r="W234" s="91"/>
      <c r="X234" s="92"/>
      <c r="Y234" s="92"/>
      <c r="Z234" s="92">
        <f>W234*X234%</f>
        <v>0</v>
      </c>
      <c r="AA234" s="92">
        <f>W234*Y234%</f>
        <v>0</v>
      </c>
      <c r="AB234" s="93" t="s">
        <v>74</v>
      </c>
    </row>
    <row r="235" spans="1:28" x14ac:dyDescent="0.25">
      <c r="A235" s="83"/>
      <c r="B235" s="84" t="s">
        <v>75</v>
      </c>
      <c r="C235" s="85"/>
      <c r="D235" s="86"/>
      <c r="E235" s="86"/>
      <c r="F235" s="86"/>
      <c r="G235" s="86"/>
      <c r="H235" s="86"/>
      <c r="I235" s="86"/>
      <c r="J235" s="86"/>
      <c r="K235" s="86"/>
      <c r="L235" s="86"/>
      <c r="M235" s="87"/>
      <c r="N235" s="80"/>
      <c r="O235" s="77"/>
      <c r="P235" s="89"/>
      <c r="Q235" s="79">
        <f>W235-H235</f>
        <v>0</v>
      </c>
      <c r="R235" s="80" t="e">
        <f>T235/Q235%</f>
        <v>#DIV/0!</v>
      </c>
      <c r="S235" s="80" t="e">
        <f>U235/Q235%</f>
        <v>#DIV/0!</v>
      </c>
      <c r="T235" s="80">
        <f>Z235-K235</f>
        <v>0</v>
      </c>
      <c r="U235" s="80">
        <f>AA235-L235</f>
        <v>0</v>
      </c>
      <c r="V235" s="90"/>
      <c r="W235" s="91"/>
      <c r="X235" s="92"/>
      <c r="Y235" s="92"/>
      <c r="Z235" s="92">
        <f>W235*X235%</f>
        <v>0</v>
      </c>
      <c r="AA235" s="92">
        <f>W235*Y235%</f>
        <v>0</v>
      </c>
      <c r="AB235" s="93" t="s">
        <v>74</v>
      </c>
    </row>
    <row r="236" spans="1:28" x14ac:dyDescent="0.25">
      <c r="A236" s="83"/>
      <c r="B236" s="84"/>
      <c r="C236" s="85"/>
      <c r="D236" s="86"/>
      <c r="E236" s="86"/>
      <c r="F236" s="86"/>
      <c r="G236" s="86"/>
      <c r="H236" s="94"/>
      <c r="I236" s="94"/>
      <c r="J236" s="94"/>
      <c r="K236" s="86"/>
      <c r="L236" s="86"/>
      <c r="M236" s="87"/>
      <c r="N236" s="80"/>
      <c r="O236" s="77"/>
      <c r="P236" s="89"/>
      <c r="Q236" s="79"/>
      <c r="R236" s="80"/>
      <c r="S236" s="80"/>
      <c r="T236" s="80"/>
      <c r="U236" s="80"/>
      <c r="V236" s="95"/>
      <c r="W236" s="96"/>
      <c r="X236" s="97"/>
      <c r="Y236" s="97"/>
      <c r="Z236" s="97"/>
      <c r="AA236" s="97"/>
    </row>
    <row r="237" spans="1:28" x14ac:dyDescent="0.25">
      <c r="A237" s="83"/>
      <c r="B237" s="84" t="s">
        <v>73</v>
      </c>
      <c r="C237" s="85"/>
      <c r="D237" s="86"/>
      <c r="E237" s="86"/>
      <c r="F237" s="86"/>
      <c r="G237" s="86"/>
      <c r="H237" s="86"/>
      <c r="I237" s="86"/>
      <c r="J237" s="86"/>
      <c r="K237" s="86"/>
      <c r="L237" s="86"/>
      <c r="M237" s="87"/>
      <c r="N237" s="88"/>
      <c r="O237" s="77"/>
      <c r="P237" s="89">
        <f>V237</f>
        <v>0</v>
      </c>
      <c r="Q237" s="79">
        <f>W237-H237</f>
        <v>0</v>
      </c>
      <c r="R237" s="80" t="e">
        <f>T237/Q237%</f>
        <v>#DIV/0!</v>
      </c>
      <c r="S237" s="80" t="e">
        <f>U237/Q237%</f>
        <v>#DIV/0!</v>
      </c>
      <c r="T237" s="80">
        <f>Z237-K237</f>
        <v>0</v>
      </c>
      <c r="U237" s="80">
        <f>AA237-L237</f>
        <v>0</v>
      </c>
      <c r="V237" s="90"/>
      <c r="W237" s="91"/>
      <c r="X237" s="92"/>
      <c r="Y237" s="92"/>
      <c r="Z237" s="92">
        <f>W237*X237%</f>
        <v>0</v>
      </c>
      <c r="AA237" s="92">
        <f>W237*Y237%</f>
        <v>0</v>
      </c>
      <c r="AB237" s="93" t="s">
        <v>74</v>
      </c>
    </row>
    <row r="238" spans="1:28" x14ac:dyDescent="0.25">
      <c r="A238" s="83"/>
      <c r="B238" s="84" t="s">
        <v>75</v>
      </c>
      <c r="C238" s="85"/>
      <c r="D238" s="86"/>
      <c r="E238" s="86"/>
      <c r="F238" s="86"/>
      <c r="G238" s="86"/>
      <c r="H238" s="86"/>
      <c r="I238" s="86"/>
      <c r="J238" s="86"/>
      <c r="K238" s="86"/>
      <c r="L238" s="86"/>
      <c r="M238" s="87"/>
      <c r="N238" s="80"/>
      <c r="O238" s="77"/>
      <c r="P238" s="89">
        <f>V238</f>
        <v>0</v>
      </c>
      <c r="Q238" s="79">
        <f>W238-H238</f>
        <v>0</v>
      </c>
      <c r="R238" s="80" t="e">
        <f>T238/Q238%</f>
        <v>#DIV/0!</v>
      </c>
      <c r="S238" s="80" t="e">
        <f>U238/Q238%</f>
        <v>#DIV/0!</v>
      </c>
      <c r="T238" s="80">
        <f>Z238-K238</f>
        <v>0</v>
      </c>
      <c r="U238" s="80">
        <f>AA238-L238</f>
        <v>0</v>
      </c>
      <c r="V238" s="90"/>
      <c r="W238" s="91"/>
      <c r="X238" s="92"/>
      <c r="Y238" s="92"/>
      <c r="Z238" s="92">
        <f>W238*X238%</f>
        <v>0</v>
      </c>
      <c r="AA238" s="92">
        <f>W238*Y238%</f>
        <v>0</v>
      </c>
      <c r="AB238" s="93" t="s">
        <v>74</v>
      </c>
    </row>
    <row r="239" spans="1:28" x14ac:dyDescent="0.25">
      <c r="A239" s="83"/>
      <c r="B239" s="84"/>
      <c r="C239" s="85"/>
      <c r="D239" s="86"/>
      <c r="E239" s="86"/>
      <c r="F239" s="86"/>
      <c r="G239" s="86"/>
      <c r="H239" s="94"/>
      <c r="I239" s="94"/>
      <c r="J239" s="94"/>
      <c r="K239" s="86"/>
      <c r="L239" s="86"/>
      <c r="M239" s="87"/>
      <c r="N239" s="80"/>
      <c r="O239" s="77"/>
      <c r="P239" s="89"/>
      <c r="Q239" s="79"/>
      <c r="R239" s="80"/>
      <c r="S239" s="80"/>
      <c r="T239" s="80"/>
      <c r="U239" s="80"/>
      <c r="V239" s="95"/>
      <c r="W239" s="96"/>
      <c r="X239" s="97"/>
      <c r="Y239" s="97"/>
      <c r="Z239" s="97"/>
      <c r="AA239" s="97"/>
    </row>
    <row r="240" spans="1:28" x14ac:dyDescent="0.25">
      <c r="A240" s="83"/>
      <c r="B240" s="84" t="s">
        <v>76</v>
      </c>
      <c r="C240" s="85"/>
      <c r="D240" s="98"/>
      <c r="E240" s="86"/>
      <c r="F240" s="86"/>
      <c r="G240" s="86"/>
      <c r="H240" s="86"/>
      <c r="I240" s="86"/>
      <c r="J240" s="86"/>
      <c r="K240" s="86"/>
      <c r="L240" s="86"/>
      <c r="M240" s="87"/>
      <c r="N240" s="88"/>
      <c r="O240" s="77"/>
      <c r="P240" s="89">
        <f>V240</f>
        <v>0</v>
      </c>
      <c r="Q240" s="79">
        <f>W240-H240</f>
        <v>0</v>
      </c>
      <c r="R240" s="80" t="e">
        <f>T240/Q240%</f>
        <v>#DIV/0!</v>
      </c>
      <c r="S240" s="80" t="e">
        <f>U240/Q240%</f>
        <v>#DIV/0!</v>
      </c>
      <c r="T240" s="80">
        <f>Z240-K240</f>
        <v>0</v>
      </c>
      <c r="U240" s="80">
        <f>AA240-L240</f>
        <v>0</v>
      </c>
      <c r="V240" s="90"/>
      <c r="W240" s="91"/>
      <c r="X240" s="92"/>
      <c r="Y240" s="92"/>
      <c r="Z240" s="92">
        <f>W240*X240%</f>
        <v>0</v>
      </c>
      <c r="AA240" s="92">
        <f>W240*Y240%</f>
        <v>0</v>
      </c>
      <c r="AB240" s="93" t="s">
        <v>74</v>
      </c>
    </row>
    <row r="241" spans="1:28" x14ac:dyDescent="0.25">
      <c r="A241" s="83"/>
      <c r="B241" s="84" t="s">
        <v>75</v>
      </c>
      <c r="C241" s="85"/>
      <c r="D241" s="86"/>
      <c r="E241" s="86"/>
      <c r="F241" s="86"/>
      <c r="G241" s="86"/>
      <c r="H241" s="86"/>
      <c r="I241" s="86"/>
      <c r="J241" s="86"/>
      <c r="K241" s="86"/>
      <c r="L241" s="86"/>
      <c r="M241" s="87"/>
      <c r="N241" s="80"/>
      <c r="O241" s="77"/>
      <c r="P241" s="89">
        <f>V241</f>
        <v>0</v>
      </c>
      <c r="Q241" s="79">
        <f>W241-H241</f>
        <v>0</v>
      </c>
      <c r="R241" s="80" t="e">
        <f>T241/Q241%</f>
        <v>#DIV/0!</v>
      </c>
      <c r="S241" s="80" t="e">
        <f>U241/Q241%</f>
        <v>#DIV/0!</v>
      </c>
      <c r="T241" s="80">
        <f>Z241-K241</f>
        <v>0</v>
      </c>
      <c r="U241" s="80">
        <f>AA241-L241</f>
        <v>0</v>
      </c>
      <c r="V241" s="90"/>
      <c r="W241" s="91"/>
      <c r="X241" s="92"/>
      <c r="Y241" s="92"/>
      <c r="Z241" s="92">
        <f>W241*X241%</f>
        <v>0</v>
      </c>
      <c r="AA241" s="92">
        <f>W241*Y241%</f>
        <v>0</v>
      </c>
      <c r="AB241" s="93" t="s">
        <v>74</v>
      </c>
    </row>
    <row r="242" spans="1:28" x14ac:dyDescent="0.25">
      <c r="A242" s="83"/>
      <c r="B242" s="84"/>
      <c r="C242" s="85"/>
      <c r="D242" s="86"/>
      <c r="E242" s="86"/>
      <c r="F242" s="86"/>
      <c r="G242" s="86"/>
      <c r="H242" s="94"/>
      <c r="I242" s="94"/>
      <c r="J242" s="94"/>
      <c r="K242" s="86"/>
      <c r="L242" s="86"/>
      <c r="M242" s="87"/>
      <c r="N242" s="80"/>
      <c r="O242" s="77"/>
      <c r="P242" s="89"/>
      <c r="Q242" s="79"/>
      <c r="R242" s="80"/>
      <c r="S242" s="80"/>
      <c r="T242" s="80"/>
      <c r="U242" s="80"/>
      <c r="V242" s="95"/>
      <c r="W242" s="96"/>
      <c r="X242" s="97"/>
      <c r="Y242" s="97"/>
      <c r="Z242" s="97"/>
      <c r="AA242" s="97"/>
    </row>
    <row r="243" spans="1:28" x14ac:dyDescent="0.25">
      <c r="A243" s="83"/>
      <c r="B243" s="84" t="s">
        <v>76</v>
      </c>
      <c r="C243" s="85"/>
      <c r="D243" s="98"/>
      <c r="E243" s="86"/>
      <c r="F243" s="86"/>
      <c r="G243" s="86"/>
      <c r="H243" s="86"/>
      <c r="I243" s="86"/>
      <c r="J243" s="86"/>
      <c r="K243" s="86"/>
      <c r="L243" s="86"/>
      <c r="M243" s="87"/>
      <c r="N243" s="88"/>
      <c r="O243" s="77"/>
      <c r="P243" s="89">
        <f>V243</f>
        <v>0</v>
      </c>
      <c r="Q243" s="79">
        <f>W243-H243</f>
        <v>0</v>
      </c>
      <c r="R243" s="80" t="e">
        <f>T243/Q243%</f>
        <v>#DIV/0!</v>
      </c>
      <c r="S243" s="80" t="e">
        <f>U243/Q243%</f>
        <v>#DIV/0!</v>
      </c>
      <c r="T243" s="80">
        <f>Z243-K243</f>
        <v>0</v>
      </c>
      <c r="U243" s="80">
        <f>AA243-L243</f>
        <v>0</v>
      </c>
      <c r="V243" s="90"/>
      <c r="W243" s="91"/>
      <c r="X243" s="92"/>
      <c r="Y243" s="92"/>
      <c r="Z243" s="92">
        <f>W243*X243%</f>
        <v>0</v>
      </c>
      <c r="AA243" s="92">
        <f>W243*Y243%</f>
        <v>0</v>
      </c>
      <c r="AB243" s="93" t="s">
        <v>74</v>
      </c>
    </row>
    <row r="244" spans="1:28" x14ac:dyDescent="0.25">
      <c r="A244" s="83"/>
      <c r="B244" s="84" t="s">
        <v>75</v>
      </c>
      <c r="C244" s="85"/>
      <c r="D244" s="86"/>
      <c r="E244" s="86"/>
      <c r="F244" s="86"/>
      <c r="G244" s="86"/>
      <c r="H244" s="86"/>
      <c r="I244" s="86"/>
      <c r="J244" s="86"/>
      <c r="K244" s="86"/>
      <c r="L244" s="86"/>
      <c r="M244" s="87"/>
      <c r="N244" s="80"/>
      <c r="O244" s="77"/>
      <c r="P244" s="89">
        <f>V244</f>
        <v>0</v>
      </c>
      <c r="Q244" s="79">
        <f>W244-H244</f>
        <v>0</v>
      </c>
      <c r="R244" s="80" t="e">
        <f>T244/Q244%</f>
        <v>#DIV/0!</v>
      </c>
      <c r="S244" s="80" t="e">
        <f>U244/Q244%</f>
        <v>#DIV/0!</v>
      </c>
      <c r="T244" s="80">
        <f>Z244-K244</f>
        <v>0</v>
      </c>
      <c r="U244" s="80">
        <f>AA244-L244</f>
        <v>0</v>
      </c>
      <c r="V244" s="90"/>
      <c r="W244" s="91"/>
      <c r="X244" s="92"/>
      <c r="Y244" s="92"/>
      <c r="Z244" s="92">
        <f>W244*X244%</f>
        <v>0</v>
      </c>
      <c r="AA244" s="92">
        <f>W244*Y244%</f>
        <v>0</v>
      </c>
      <c r="AB244" s="93" t="s">
        <v>74</v>
      </c>
    </row>
    <row r="245" spans="1:28" x14ac:dyDescent="0.25">
      <c r="A245" s="83"/>
      <c r="B245" s="84"/>
      <c r="C245" s="85"/>
      <c r="D245" s="86"/>
      <c r="E245" s="86"/>
      <c r="F245" s="86"/>
      <c r="G245" s="86"/>
      <c r="H245" s="94"/>
      <c r="I245" s="94"/>
      <c r="J245" s="94"/>
      <c r="K245" s="86"/>
      <c r="L245" s="86"/>
      <c r="M245" s="87"/>
      <c r="N245" s="80"/>
      <c r="O245" s="77"/>
      <c r="P245" s="89"/>
      <c r="Q245" s="79"/>
      <c r="R245" s="80"/>
      <c r="S245" s="80"/>
      <c r="T245" s="80"/>
      <c r="U245" s="80"/>
      <c r="V245" s="95"/>
      <c r="W245" s="96"/>
      <c r="X245" s="97"/>
      <c r="Y245" s="97"/>
      <c r="Z245" s="97"/>
      <c r="AA245" s="97"/>
    </row>
    <row r="246" spans="1:28" x14ac:dyDescent="0.25">
      <c r="A246" s="83"/>
      <c r="B246" s="84" t="s">
        <v>76</v>
      </c>
      <c r="C246" s="85"/>
      <c r="D246" s="86"/>
      <c r="E246" s="86"/>
      <c r="F246" s="86"/>
      <c r="G246" s="86"/>
      <c r="H246" s="86"/>
      <c r="I246" s="86"/>
      <c r="J246" s="86"/>
      <c r="K246" s="86"/>
      <c r="L246" s="86"/>
      <c r="M246" s="87"/>
      <c r="N246" s="88"/>
      <c r="O246" s="77"/>
      <c r="P246" s="89">
        <f>V246</f>
        <v>0</v>
      </c>
      <c r="Q246" s="79">
        <f>W246-H246</f>
        <v>0</v>
      </c>
      <c r="R246" s="80" t="e">
        <f>T246/Q246%</f>
        <v>#DIV/0!</v>
      </c>
      <c r="S246" s="80" t="e">
        <f>U246/Q246%</f>
        <v>#DIV/0!</v>
      </c>
      <c r="T246" s="80">
        <f>Z246-K246</f>
        <v>0</v>
      </c>
      <c r="U246" s="80">
        <f>AA246-L246</f>
        <v>0</v>
      </c>
      <c r="V246" s="90"/>
      <c r="W246" s="91"/>
      <c r="X246" s="92"/>
      <c r="Y246" s="92"/>
      <c r="Z246" s="92">
        <f>W246*X246%</f>
        <v>0</v>
      </c>
      <c r="AA246" s="92">
        <f>W246*Y246%</f>
        <v>0</v>
      </c>
      <c r="AB246" s="93" t="s">
        <v>74</v>
      </c>
    </row>
    <row r="247" spans="1:28" x14ac:dyDescent="0.25">
      <c r="A247" s="83"/>
      <c r="B247" s="84" t="s">
        <v>75</v>
      </c>
      <c r="C247" s="85"/>
      <c r="D247" s="86"/>
      <c r="E247" s="86"/>
      <c r="F247" s="86"/>
      <c r="G247" s="86"/>
      <c r="H247" s="86"/>
      <c r="I247" s="86"/>
      <c r="J247" s="86"/>
      <c r="K247" s="86"/>
      <c r="L247" s="86"/>
      <c r="M247" s="87"/>
      <c r="N247" s="88"/>
      <c r="O247" s="77"/>
      <c r="P247" s="89">
        <f>V247</f>
        <v>0</v>
      </c>
      <c r="Q247" s="79">
        <f>W247-H247</f>
        <v>0</v>
      </c>
      <c r="R247" s="80" t="e">
        <f>T247/Q247%</f>
        <v>#DIV/0!</v>
      </c>
      <c r="S247" s="80" t="e">
        <f>U247/Q247%</f>
        <v>#DIV/0!</v>
      </c>
      <c r="T247" s="80">
        <f>Z247-K247</f>
        <v>0</v>
      </c>
      <c r="U247" s="80">
        <f>AA247-L247</f>
        <v>0</v>
      </c>
      <c r="V247" s="90"/>
      <c r="W247" s="91"/>
      <c r="X247" s="92"/>
      <c r="Y247" s="92"/>
      <c r="Z247" s="92">
        <f>W247*X247%</f>
        <v>0</v>
      </c>
      <c r="AA247" s="92">
        <f>W247*Y247%</f>
        <v>0</v>
      </c>
      <c r="AB247" s="93" t="s">
        <v>74</v>
      </c>
    </row>
  </sheetData>
  <autoFilter ref="A1:AB61" xr:uid="{00000000-0009-0000-0000-000008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AW71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:L7"/>
    </sheetView>
  </sheetViews>
  <sheetFormatPr defaultRowHeight="15" x14ac:dyDescent="0.25"/>
  <cols>
    <col min="1" max="1" width="8.5703125" bestFit="1" customWidth="1"/>
    <col min="2" max="2" width="11" bestFit="1" customWidth="1"/>
    <col min="3" max="3" width="5" bestFit="1" customWidth="1"/>
    <col min="4" max="4" width="7.7109375" customWidth="1"/>
    <col min="5" max="5" width="5.28515625" customWidth="1"/>
    <col min="6" max="6" width="8.28515625" customWidth="1"/>
    <col min="7" max="7" width="6.85546875" customWidth="1"/>
    <col min="8" max="8" width="0.140625" customWidth="1"/>
    <col min="9" max="9" width="7" bestFit="1" customWidth="1"/>
    <col min="10" max="11" width="8.28515625" bestFit="1" customWidth="1"/>
    <col min="12" max="12" width="6.5703125" bestFit="1" customWidth="1"/>
    <col min="13" max="13" width="9.28515625" hidden="1" customWidth="1"/>
    <col min="14" max="14" width="11.85546875" hidden="1" customWidth="1"/>
    <col min="15" max="15" width="6.7109375" hidden="1" customWidth="1"/>
    <col min="16" max="16" width="5.28515625" hidden="1" customWidth="1"/>
    <col min="17" max="17" width="7.140625" hidden="1" customWidth="1"/>
    <col min="18" max="18" width="10" bestFit="1" customWidth="1"/>
    <col min="19" max="19" width="6.85546875" bestFit="1" customWidth="1"/>
    <col min="20" max="20" width="7" bestFit="1" customWidth="1"/>
    <col min="21" max="21" width="6.85546875" bestFit="1" customWidth="1"/>
    <col min="22" max="22" width="7.42578125" bestFit="1" customWidth="1"/>
    <col min="23" max="23" width="10.140625" bestFit="1" customWidth="1"/>
    <col min="24" max="24" width="7.140625" bestFit="1" customWidth="1"/>
    <col min="25" max="25" width="5.28515625" bestFit="1" customWidth="1"/>
    <col min="26" max="26" width="6" bestFit="1" customWidth="1"/>
    <col min="27" max="27" width="6.85546875" bestFit="1" customWidth="1"/>
    <col min="28" max="28" width="7" bestFit="1" customWidth="1"/>
    <col min="29" max="29" width="9.28515625" bestFit="1" customWidth="1"/>
    <col min="30" max="31" width="5.28515625" bestFit="1" customWidth="1"/>
    <col min="32" max="32" width="6.85546875" bestFit="1" customWidth="1"/>
    <col min="33" max="33" width="7" bestFit="1" customWidth="1"/>
    <col min="34" max="34" width="8.85546875" bestFit="1" customWidth="1"/>
    <col min="35" max="35" width="6" bestFit="1" customWidth="1"/>
    <col min="36" max="38" width="7.140625" bestFit="1" customWidth="1"/>
    <col min="39" max="39" width="7.8554687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7109375" bestFit="1" customWidth="1"/>
    <col min="45" max="49" width="8.7109375" bestFit="1" customWidth="1"/>
  </cols>
  <sheetData>
    <row r="1" spans="1:49" ht="15.75" thickBot="1" x14ac:dyDescent="0.3">
      <c r="B1" s="14" t="s">
        <v>57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295">
        <v>1248.57</v>
      </c>
      <c r="E4" s="38">
        <v>3.7</v>
      </c>
      <c r="F4" s="38">
        <v>8.2799999999999994</v>
      </c>
      <c r="G4" s="24">
        <f>+D4*E4%</f>
        <v>46.197090000000003</v>
      </c>
      <c r="H4" s="25">
        <f>+D4*F4%</f>
        <v>103.38159599999999</v>
      </c>
      <c r="I4" s="26">
        <f>J4/1.03</f>
        <v>775.57</v>
      </c>
      <c r="J4" s="31">
        <v>798.83710000000008</v>
      </c>
      <c r="K4" s="28">
        <v>3.8797271684051724</v>
      </c>
      <c r="L4" s="32">
        <v>8.3744858620111629</v>
      </c>
      <c r="M4" s="29"/>
      <c r="N4" s="131"/>
      <c r="O4" s="31"/>
      <c r="P4" s="28"/>
      <c r="Q4" s="32"/>
      <c r="R4" s="53">
        <f>O4+J4</f>
        <v>798.83710000000008</v>
      </c>
      <c r="S4" s="34">
        <f>(J4*K4%)+(O4*P4%)</f>
        <v>30.992699999999999</v>
      </c>
      <c r="T4" s="35">
        <f>(J4*L4%)+(O4*Q4%)</f>
        <v>66.898499999999984</v>
      </c>
      <c r="U4" s="36"/>
      <c r="V4" s="37"/>
      <c r="W4" s="38"/>
      <c r="X4" s="39">
        <v>2048</v>
      </c>
      <c r="Y4" s="40">
        <v>3.8</v>
      </c>
      <c r="Z4" s="40">
        <v>8.2899999999999991</v>
      </c>
      <c r="AA4" s="34">
        <f t="shared" ref="AA4:AA7" si="0">X4*Y4%</f>
        <v>77.823999999999998</v>
      </c>
      <c r="AB4" s="34">
        <f t="shared" ref="AB4:AB6" si="1">X4*Z4%</f>
        <v>169.77919999999997</v>
      </c>
      <c r="AC4" s="129">
        <v>2046</v>
      </c>
      <c r="AD4" s="130">
        <v>3.74</v>
      </c>
      <c r="AE4" s="130">
        <v>8.2100000000000009</v>
      </c>
      <c r="AF4" s="34">
        <f>AC4*AD4%</f>
        <v>76.520400000000009</v>
      </c>
      <c r="AG4" s="34">
        <f>AC4*AE4%</f>
        <v>167.97660000000002</v>
      </c>
      <c r="AH4" s="43">
        <v>0</v>
      </c>
      <c r="AI4" s="38">
        <v>0</v>
      </c>
      <c r="AJ4" s="38">
        <v>0</v>
      </c>
      <c r="AK4" s="34">
        <f t="shared" ref="AK4:AK41" si="2">AH4*AI4%</f>
        <v>0</v>
      </c>
      <c r="AL4" s="44">
        <f t="shared" ref="AL4:AL41" si="3">AH4*AJ4%</f>
        <v>0</v>
      </c>
      <c r="AM4" s="45">
        <f>+D4+R4-AC4-AH4</f>
        <v>1.4070999999999003</v>
      </c>
      <c r="AN4" s="46">
        <f t="shared" ref="AN4:AO17" si="4">+G4+S4-AF4-AK4</f>
        <v>0.66938999999999282</v>
      </c>
      <c r="AO4" s="46">
        <f t="shared" si="4"/>
        <v>2.3034959999999387</v>
      </c>
      <c r="AP4" s="47">
        <f>(AN4+AO4)/(S4+T4)</f>
        <v>3.0369287535548978E-2</v>
      </c>
      <c r="AQ4" s="48">
        <f>($AP$1*AN4+$AQ$1*AO4)</f>
        <v>992.27429999997844</v>
      </c>
      <c r="AR4" s="49">
        <f>(D4+J4+O4)-(X4+AH4)</f>
        <v>-0.59290000000009968</v>
      </c>
      <c r="AS4" s="49"/>
    </row>
    <row r="5" spans="1:49" x14ac:dyDescent="0.25">
      <c r="A5" t="str">
        <f t="shared" ref="A5:A8" si="5">CONCATENATE(B5,C5)</f>
        <v>46174E</v>
      </c>
      <c r="B5" s="22">
        <f>+B4</f>
        <v>46174</v>
      </c>
      <c r="C5" s="23" t="s">
        <v>55</v>
      </c>
      <c r="D5" s="50">
        <f t="shared" ref="D5:F19" si="6">AH4</f>
        <v>0</v>
      </c>
      <c r="E5" s="34">
        <f t="shared" si="6"/>
        <v>0</v>
      </c>
      <c r="F5" s="34">
        <f t="shared" si="6"/>
        <v>0</v>
      </c>
      <c r="G5" s="34">
        <f t="shared" ref="G5:G41" si="7">+D5*E5%</f>
        <v>0</v>
      </c>
      <c r="H5" s="35">
        <f t="shared" ref="H5:H41" si="8">+D5*F5%</f>
        <v>0</v>
      </c>
      <c r="I5" s="26">
        <f>J5/1.03</f>
        <v>383.61</v>
      </c>
      <c r="J5" s="27">
        <v>395.11830000000003</v>
      </c>
      <c r="K5" s="28">
        <v>3.6443262688668181</v>
      </c>
      <c r="L5" s="32">
        <v>8.2375329110294313</v>
      </c>
      <c r="M5" s="29"/>
      <c r="N5" s="30"/>
      <c r="O5" s="31"/>
      <c r="P5" s="28"/>
      <c r="Q5" s="32"/>
      <c r="R5" s="53">
        <f>O5+J5</f>
        <v>395.11830000000003</v>
      </c>
      <c r="S5" s="34">
        <f t="shared" ref="S5:S8" si="9">(J5*K5%)+(O5*P5%)</f>
        <v>14.399400000000002</v>
      </c>
      <c r="T5" s="35">
        <f t="shared" ref="T5:T8" si="10">(J5*L5%)+(O5*Q5%)</f>
        <v>32.548000000000002</v>
      </c>
      <c r="U5" s="36"/>
      <c r="V5" s="37"/>
      <c r="W5" s="38"/>
      <c r="X5" s="39"/>
      <c r="Y5" s="40"/>
      <c r="Z5" s="40"/>
      <c r="AA5" s="34">
        <f t="shared" si="0"/>
        <v>0</v>
      </c>
      <c r="AB5" s="34">
        <f t="shared" si="1"/>
        <v>0</v>
      </c>
      <c r="AC5" s="129"/>
      <c r="AD5" s="130"/>
      <c r="AE5" s="130"/>
      <c r="AF5" s="34">
        <f t="shared" ref="AF5:AF8" si="11">AC5*AD5%</f>
        <v>0</v>
      </c>
      <c r="AG5" s="34">
        <f t="shared" ref="AG5:AG8" si="12">AC5*AE5%</f>
        <v>0</v>
      </c>
      <c r="AH5" s="43">
        <v>395.14</v>
      </c>
      <c r="AI5" s="38">
        <v>3.64</v>
      </c>
      <c r="AJ5" s="38">
        <v>8.24</v>
      </c>
      <c r="AK5" s="34">
        <f t="shared" si="2"/>
        <v>14.383096</v>
      </c>
      <c r="AL5" s="44">
        <f t="shared" si="3"/>
        <v>32.559536000000001</v>
      </c>
      <c r="AM5" s="45">
        <f t="shared" ref="AM5:AM41" si="13">+D5+R5-AC5-AH5</f>
        <v>-2.1699999999952979E-2</v>
      </c>
      <c r="AN5" s="51">
        <f t="shared" si="4"/>
        <v>1.6304000000001651E-2</v>
      </c>
      <c r="AO5" s="51">
        <f t="shared" si="4"/>
        <v>-1.1535999999999547E-2</v>
      </c>
      <c r="AP5" s="47">
        <f t="shared" ref="AP5:AP41" si="14">(AN5+AO5)/(S5+T5)</f>
        <v>1.0156046980241938E-4</v>
      </c>
      <c r="AQ5" s="48">
        <f>($AP$1*AN5+$AQ$1*AO5)</f>
        <v>3.8760000000008787</v>
      </c>
      <c r="AR5" s="49">
        <f t="shared" ref="AR5:AR65" si="15">(D5+J5+O5)-(X5+AH5)</f>
        <v>-2.1699999999952979E-2</v>
      </c>
      <c r="AS5" s="49"/>
    </row>
    <row r="6" spans="1:49" x14ac:dyDescent="0.25">
      <c r="A6" t="str">
        <f t="shared" si="5"/>
        <v>46175M</v>
      </c>
      <c r="B6" s="22">
        <f>+B4+1</f>
        <v>46175</v>
      </c>
      <c r="C6" s="23" t="s">
        <v>54</v>
      </c>
      <c r="D6" s="50">
        <f t="shared" ref="D6" si="16">AH5</f>
        <v>395.14</v>
      </c>
      <c r="E6" s="34">
        <f t="shared" ref="E6" si="17">AI5</f>
        <v>3.64</v>
      </c>
      <c r="F6" s="34">
        <f t="shared" ref="F6" si="18">AJ5</f>
        <v>8.24</v>
      </c>
      <c r="G6" s="34">
        <f t="shared" si="7"/>
        <v>14.383096</v>
      </c>
      <c r="H6" s="35">
        <f t="shared" si="8"/>
        <v>32.559536000000001</v>
      </c>
      <c r="I6" s="26">
        <f t="shared" ref="I6:I65" si="19">J6/1.03</f>
        <v>874.02</v>
      </c>
      <c r="J6" s="27">
        <v>900.24059999999997</v>
      </c>
      <c r="K6" s="28">
        <v>3.8134138806892288</v>
      </c>
      <c r="L6" s="32">
        <v>8.373950252854625</v>
      </c>
      <c r="M6" s="29"/>
      <c r="N6" s="30"/>
      <c r="O6" s="31"/>
      <c r="P6" s="28"/>
      <c r="Q6" s="32"/>
      <c r="R6" s="53">
        <f t="shared" ref="R6:R8" si="20">O6+J6</f>
        <v>900.24059999999997</v>
      </c>
      <c r="S6" s="34">
        <f t="shared" si="9"/>
        <v>34.329899999999995</v>
      </c>
      <c r="T6" s="35">
        <f t="shared" si="10"/>
        <v>75.3857</v>
      </c>
      <c r="U6" s="36"/>
      <c r="V6" s="37"/>
      <c r="W6" s="38"/>
      <c r="X6" s="39">
        <v>1300</v>
      </c>
      <c r="Y6" s="40">
        <v>3.8</v>
      </c>
      <c r="Z6" s="40">
        <v>8.2899999999999991</v>
      </c>
      <c r="AA6" s="34">
        <f t="shared" si="0"/>
        <v>49.4</v>
      </c>
      <c r="AB6" s="34">
        <f t="shared" si="1"/>
        <v>107.76999999999998</v>
      </c>
      <c r="AC6" s="129">
        <v>1316</v>
      </c>
      <c r="AD6" s="130">
        <v>3.68</v>
      </c>
      <c r="AE6" s="130">
        <v>8.09</v>
      </c>
      <c r="AF6" s="34">
        <f t="shared" si="11"/>
        <v>48.428800000000003</v>
      </c>
      <c r="AG6" s="34">
        <f t="shared" si="12"/>
        <v>106.4644</v>
      </c>
      <c r="AH6" s="43">
        <v>0</v>
      </c>
      <c r="AI6" s="38">
        <v>0</v>
      </c>
      <c r="AJ6" s="38">
        <v>0</v>
      </c>
      <c r="AK6" s="34">
        <f t="shared" ref="AK6" si="21">AH6*AI6%</f>
        <v>0</v>
      </c>
      <c r="AL6" s="44">
        <f t="shared" ref="AL6" si="22">AH6*AJ6%</f>
        <v>0</v>
      </c>
      <c r="AM6" s="54">
        <f t="shared" si="13"/>
        <v>-20.619400000000041</v>
      </c>
      <c r="AN6" s="51">
        <f t="shared" si="4"/>
        <v>0.28419599999999434</v>
      </c>
      <c r="AO6" s="51">
        <f t="shared" si="4"/>
        <v>1.4808359999999965</v>
      </c>
      <c r="AP6" s="47">
        <f t="shared" si="14"/>
        <v>1.6087338537090358E-2</v>
      </c>
      <c r="AQ6" s="48">
        <f>($AP$1*AN6+$AQ$1*AO6)</f>
        <v>572.13899999999637</v>
      </c>
      <c r="AR6" s="49">
        <f t="shared" si="15"/>
        <v>-4.6194000000000415</v>
      </c>
      <c r="AS6" s="49"/>
    </row>
    <row r="7" spans="1:49" x14ac:dyDescent="0.25">
      <c r="A7" t="str">
        <f t="shared" si="5"/>
        <v>46175E</v>
      </c>
      <c r="B7" s="22">
        <f>+B5+1</f>
        <v>46175</v>
      </c>
      <c r="C7" s="23" t="s">
        <v>55</v>
      </c>
      <c r="D7" s="50">
        <f t="shared" si="6"/>
        <v>0</v>
      </c>
      <c r="E7" s="34">
        <f t="shared" si="6"/>
        <v>0</v>
      </c>
      <c r="F7" s="34">
        <f t="shared" si="6"/>
        <v>0</v>
      </c>
      <c r="G7" s="34">
        <f t="shared" si="7"/>
        <v>0</v>
      </c>
      <c r="H7" s="35">
        <f t="shared" si="8"/>
        <v>0</v>
      </c>
      <c r="I7" s="26">
        <f t="shared" si="19"/>
        <v>383.8</v>
      </c>
      <c r="J7" s="27">
        <v>395.31400000000002</v>
      </c>
      <c r="K7" s="28">
        <v>3.7519541427826995</v>
      </c>
      <c r="L7" s="32">
        <v>8.1969775924960917</v>
      </c>
      <c r="M7" s="29"/>
      <c r="N7" s="30"/>
      <c r="O7" s="31"/>
      <c r="P7" s="28"/>
      <c r="Q7" s="32"/>
      <c r="R7" s="53">
        <f t="shared" si="20"/>
        <v>395.31400000000002</v>
      </c>
      <c r="S7" s="34">
        <f t="shared" si="9"/>
        <v>14.832000000000001</v>
      </c>
      <c r="T7" s="35">
        <f t="shared" si="10"/>
        <v>32.403800000000004</v>
      </c>
      <c r="U7" s="36"/>
      <c r="V7" s="37"/>
      <c r="W7" s="38"/>
      <c r="X7" s="39"/>
      <c r="Y7" s="40"/>
      <c r="Z7" s="40"/>
      <c r="AA7" s="34">
        <f t="shared" si="0"/>
        <v>0</v>
      </c>
      <c r="AB7" s="34">
        <f t="shared" ref="AB7:AB8" si="23">X7*Z7%</f>
        <v>0</v>
      </c>
      <c r="AC7" s="129"/>
      <c r="AD7" s="130"/>
      <c r="AE7" s="130"/>
      <c r="AF7" s="34">
        <f t="shared" si="11"/>
        <v>0</v>
      </c>
      <c r="AG7" s="34">
        <f t="shared" si="12"/>
        <v>0</v>
      </c>
      <c r="AH7" s="43">
        <v>395.31</v>
      </c>
      <c r="AI7" s="38">
        <v>3.75</v>
      </c>
      <c r="AJ7" s="38">
        <v>8.19</v>
      </c>
      <c r="AK7" s="34">
        <f t="shared" si="2"/>
        <v>14.824124999999999</v>
      </c>
      <c r="AL7" s="44">
        <f t="shared" si="3"/>
        <v>32.375889000000001</v>
      </c>
      <c r="AM7" s="54">
        <f t="shared" si="13"/>
        <v>4.0000000000190994E-3</v>
      </c>
      <c r="AN7" s="51">
        <f t="shared" si="4"/>
        <v>7.8750000000020748E-3</v>
      </c>
      <c r="AO7" s="51">
        <f t="shared" si="4"/>
        <v>2.7911000000003128E-2</v>
      </c>
      <c r="AP7" s="47">
        <f t="shared" si="14"/>
        <v>7.576033432270693E-4</v>
      </c>
      <c r="AQ7" s="48">
        <f>($AP$1*AN7+$AQ$1*AO7)</f>
        <v>11.917050000001872</v>
      </c>
      <c r="AR7" s="49">
        <f t="shared" si="15"/>
        <v>4.0000000000190994E-3</v>
      </c>
      <c r="AS7" s="49"/>
    </row>
    <row r="8" spans="1:49" x14ac:dyDescent="0.25">
      <c r="A8" t="str">
        <f t="shared" si="5"/>
        <v>46176M</v>
      </c>
      <c r="B8" s="22">
        <f>+B6+1</f>
        <v>46176</v>
      </c>
      <c r="C8" s="23" t="s">
        <v>54</v>
      </c>
      <c r="D8" s="50"/>
      <c r="E8" s="34"/>
      <c r="F8" s="34"/>
      <c r="G8" s="34">
        <f t="shared" si="7"/>
        <v>0</v>
      </c>
      <c r="H8" s="35">
        <f t="shared" si="8"/>
        <v>0</v>
      </c>
      <c r="I8" s="26">
        <f t="shared" si="19"/>
        <v>0</v>
      </c>
      <c r="J8" s="27"/>
      <c r="K8" s="28"/>
      <c r="L8" s="32"/>
      <c r="M8" s="29"/>
      <c r="N8" s="30"/>
      <c r="O8" s="31"/>
      <c r="P8" s="28"/>
      <c r="Q8" s="32"/>
      <c r="R8" s="53">
        <f t="shared" si="20"/>
        <v>0</v>
      </c>
      <c r="S8" s="34">
        <f t="shared" si="9"/>
        <v>0</v>
      </c>
      <c r="T8" s="35">
        <f t="shared" si="10"/>
        <v>0</v>
      </c>
      <c r="U8" s="36"/>
      <c r="V8" s="37"/>
      <c r="W8" s="38"/>
      <c r="X8" s="39"/>
      <c r="Y8" s="40"/>
      <c r="Z8" s="40"/>
      <c r="AA8" s="34">
        <f t="shared" ref="AA8" si="24">X8*Y8%</f>
        <v>0</v>
      </c>
      <c r="AB8" s="44">
        <f t="shared" si="23"/>
        <v>0</v>
      </c>
      <c r="AC8" s="286"/>
      <c r="AD8" s="145"/>
      <c r="AE8" s="145"/>
      <c r="AF8" s="34">
        <f t="shared" si="11"/>
        <v>0</v>
      </c>
      <c r="AG8" s="34">
        <f t="shared" si="12"/>
        <v>0</v>
      </c>
      <c r="AH8" s="43"/>
      <c r="AI8" s="38"/>
      <c r="AJ8" s="38"/>
      <c r="AK8" s="34">
        <f t="shared" si="2"/>
        <v>0</v>
      </c>
      <c r="AL8" s="44">
        <f t="shared" si="3"/>
        <v>0</v>
      </c>
      <c r="AM8" s="45">
        <f t="shared" si="13"/>
        <v>0</v>
      </c>
      <c r="AN8" s="46">
        <f t="shared" si="4"/>
        <v>0</v>
      </c>
      <c r="AO8" s="46">
        <f t="shared" si="4"/>
        <v>0</v>
      </c>
      <c r="AP8" s="47" t="e">
        <f t="shared" si="14"/>
        <v>#DIV/0!</v>
      </c>
      <c r="AQ8" s="48">
        <f>($AP$1*AN8+$AQ$1*AO8)</f>
        <v>0</v>
      </c>
      <c r="AR8" s="49">
        <f t="shared" si="15"/>
        <v>0</v>
      </c>
      <c r="AS8" s="49"/>
    </row>
    <row r="9" spans="1:49" x14ac:dyDescent="0.25">
      <c r="B9" s="22">
        <f t="shared" ref="B9:B65" si="25">+B7+1</f>
        <v>46176</v>
      </c>
      <c r="C9" s="23" t="s">
        <v>55</v>
      </c>
      <c r="D9" s="50">
        <f t="shared" ref="D9" si="26">AH8</f>
        <v>0</v>
      </c>
      <c r="E9" s="34">
        <f t="shared" ref="E9" si="27">AI8</f>
        <v>0</v>
      </c>
      <c r="F9" s="34">
        <f t="shared" ref="F9" si="28">AJ8</f>
        <v>0</v>
      </c>
      <c r="G9" s="34">
        <f t="shared" si="7"/>
        <v>0</v>
      </c>
      <c r="H9" s="35">
        <f t="shared" si="8"/>
        <v>0</v>
      </c>
      <c r="I9" s="26">
        <f t="shared" si="19"/>
        <v>0</v>
      </c>
      <c r="J9" s="27"/>
      <c r="K9" s="28"/>
      <c r="L9" s="32"/>
      <c r="M9" s="29"/>
      <c r="N9" s="30"/>
      <c r="O9" s="31"/>
      <c r="P9" s="28"/>
      <c r="Q9" s="32"/>
      <c r="R9" s="53">
        <f t="shared" ref="R9:R13" si="29">O9+J9</f>
        <v>0</v>
      </c>
      <c r="S9" s="34">
        <f t="shared" ref="S9:S13" si="30">(J9*K9%)+(O9*P9%)</f>
        <v>0</v>
      </c>
      <c r="T9" s="35">
        <f t="shared" ref="T9:T13" si="31">(J9*L9%)+(O9*Q9%)</f>
        <v>0</v>
      </c>
      <c r="U9" s="36"/>
      <c r="V9" s="37"/>
      <c r="W9" s="38"/>
      <c r="X9" s="39"/>
      <c r="Y9" s="40"/>
      <c r="Z9" s="40"/>
      <c r="AA9" s="34">
        <f t="shared" ref="AA9:AA13" si="32">X9*Y9%</f>
        <v>0</v>
      </c>
      <c r="AB9" s="44">
        <f t="shared" ref="AB9:AB13" si="33">X9*Z9%</f>
        <v>0</v>
      </c>
      <c r="AC9" s="129"/>
      <c r="AD9" s="130"/>
      <c r="AE9" s="130"/>
      <c r="AF9" s="34">
        <f t="shared" ref="AF9:AF13" si="34">AC9*AD9%</f>
        <v>0</v>
      </c>
      <c r="AG9" s="34">
        <f t="shared" ref="AG9:AG13" si="35">AC9*AE9%</f>
        <v>0</v>
      </c>
      <c r="AH9" s="43"/>
      <c r="AI9" s="38"/>
      <c r="AJ9" s="38"/>
      <c r="AK9" s="34">
        <f t="shared" si="2"/>
        <v>0</v>
      </c>
      <c r="AL9" s="44">
        <f t="shared" si="3"/>
        <v>0</v>
      </c>
      <c r="AM9" s="45">
        <f t="shared" si="13"/>
        <v>0</v>
      </c>
      <c r="AN9" s="46">
        <f t="shared" si="4"/>
        <v>0</v>
      </c>
      <c r="AO9" s="46">
        <f t="shared" si="4"/>
        <v>0</v>
      </c>
      <c r="AP9" s="47" t="e">
        <f t="shared" si="14"/>
        <v>#DIV/0!</v>
      </c>
      <c r="AQ9" s="48">
        <f t="shared" ref="AQ9:AQ41" si="36">($AP$1*AN9+$AQ$1*AO9)</f>
        <v>0</v>
      </c>
      <c r="AR9" s="49">
        <f t="shared" si="15"/>
        <v>0</v>
      </c>
      <c r="AS9" s="49"/>
    </row>
    <row r="10" spans="1:49" x14ac:dyDescent="0.25">
      <c r="B10" s="22">
        <f t="shared" si="25"/>
        <v>46177</v>
      </c>
      <c r="C10" s="23" t="s">
        <v>54</v>
      </c>
      <c r="D10" s="50">
        <f t="shared" ref="D10" si="37">AH9</f>
        <v>0</v>
      </c>
      <c r="E10" s="34">
        <f t="shared" ref="E10" si="38">AI9</f>
        <v>0</v>
      </c>
      <c r="F10" s="34">
        <f t="shared" ref="F10" si="39">AJ9</f>
        <v>0</v>
      </c>
      <c r="G10" s="34">
        <f t="shared" si="7"/>
        <v>0</v>
      </c>
      <c r="H10" s="35">
        <f t="shared" si="8"/>
        <v>0</v>
      </c>
      <c r="I10" s="26">
        <f t="shared" si="19"/>
        <v>0</v>
      </c>
      <c r="J10" s="27"/>
      <c r="K10" s="28"/>
      <c r="L10" s="32"/>
      <c r="M10" s="29"/>
      <c r="N10" s="30"/>
      <c r="O10" s="31"/>
      <c r="P10" s="28"/>
      <c r="Q10" s="32"/>
      <c r="R10" s="53">
        <f t="shared" si="29"/>
        <v>0</v>
      </c>
      <c r="S10" s="34">
        <f t="shared" si="30"/>
        <v>0</v>
      </c>
      <c r="T10" s="35">
        <f t="shared" si="31"/>
        <v>0</v>
      </c>
      <c r="U10" s="36"/>
      <c r="V10" s="37"/>
      <c r="W10" s="38"/>
      <c r="X10" s="39"/>
      <c r="Y10" s="40"/>
      <c r="Z10" s="40"/>
      <c r="AA10" s="34">
        <f t="shared" si="32"/>
        <v>0</v>
      </c>
      <c r="AB10" s="44">
        <f t="shared" si="33"/>
        <v>0</v>
      </c>
      <c r="AC10" s="129"/>
      <c r="AD10" s="130"/>
      <c r="AE10" s="130"/>
      <c r="AF10" s="34">
        <f t="shared" si="34"/>
        <v>0</v>
      </c>
      <c r="AG10" s="34">
        <f t="shared" si="35"/>
        <v>0</v>
      </c>
      <c r="AH10" s="43"/>
      <c r="AI10" s="38"/>
      <c r="AJ10" s="38"/>
      <c r="AK10" s="34">
        <f t="shared" si="2"/>
        <v>0</v>
      </c>
      <c r="AL10" s="44">
        <f t="shared" si="3"/>
        <v>0</v>
      </c>
      <c r="AM10" s="45">
        <f t="shared" si="13"/>
        <v>0</v>
      </c>
      <c r="AN10" s="46">
        <f t="shared" si="4"/>
        <v>0</v>
      </c>
      <c r="AO10" s="46">
        <f t="shared" si="4"/>
        <v>0</v>
      </c>
      <c r="AP10" s="47" t="e">
        <f t="shared" si="14"/>
        <v>#DIV/0!</v>
      </c>
      <c r="AQ10" s="48">
        <f t="shared" si="36"/>
        <v>0</v>
      </c>
      <c r="AR10" s="49">
        <f t="shared" si="15"/>
        <v>0</v>
      </c>
      <c r="AS10" s="49"/>
    </row>
    <row r="11" spans="1:49" x14ac:dyDescent="0.25">
      <c r="B11" s="22">
        <f t="shared" si="25"/>
        <v>46177</v>
      </c>
      <c r="C11" s="23" t="s">
        <v>55</v>
      </c>
      <c r="D11" s="50">
        <f t="shared" si="6"/>
        <v>0</v>
      </c>
      <c r="E11" s="34">
        <f t="shared" si="6"/>
        <v>0</v>
      </c>
      <c r="F11" s="34">
        <f t="shared" si="6"/>
        <v>0</v>
      </c>
      <c r="G11" s="34">
        <f t="shared" si="7"/>
        <v>0</v>
      </c>
      <c r="H11" s="35">
        <f t="shared" si="8"/>
        <v>0</v>
      </c>
      <c r="I11" s="26">
        <f t="shared" si="19"/>
        <v>0</v>
      </c>
      <c r="J11" s="27"/>
      <c r="K11" s="28"/>
      <c r="L11" s="32"/>
      <c r="M11" s="29"/>
      <c r="N11" s="30"/>
      <c r="O11" s="31"/>
      <c r="P11" s="28"/>
      <c r="Q11" s="32"/>
      <c r="R11" s="53">
        <f t="shared" si="29"/>
        <v>0</v>
      </c>
      <c r="S11" s="34">
        <f t="shared" si="30"/>
        <v>0</v>
      </c>
      <c r="T11" s="35">
        <f t="shared" si="31"/>
        <v>0</v>
      </c>
      <c r="U11" s="36"/>
      <c r="V11" s="37"/>
      <c r="W11" s="38"/>
      <c r="X11" s="39"/>
      <c r="Y11" s="40"/>
      <c r="Z11" s="40"/>
      <c r="AA11" s="34">
        <f t="shared" si="32"/>
        <v>0</v>
      </c>
      <c r="AB11" s="44">
        <f t="shared" si="33"/>
        <v>0</v>
      </c>
      <c r="AC11" s="129"/>
      <c r="AD11" s="130"/>
      <c r="AE11" s="130"/>
      <c r="AF11" s="34">
        <f t="shared" si="34"/>
        <v>0</v>
      </c>
      <c r="AG11" s="34">
        <f t="shared" si="35"/>
        <v>0</v>
      </c>
      <c r="AH11" s="43"/>
      <c r="AI11" s="38"/>
      <c r="AJ11" s="38"/>
      <c r="AK11" s="34">
        <f t="shared" si="2"/>
        <v>0</v>
      </c>
      <c r="AL11" s="44">
        <f t="shared" si="3"/>
        <v>0</v>
      </c>
      <c r="AM11" s="45">
        <f t="shared" si="13"/>
        <v>0</v>
      </c>
      <c r="AN11" s="46">
        <f t="shared" si="4"/>
        <v>0</v>
      </c>
      <c r="AO11" s="46">
        <f t="shared" si="4"/>
        <v>0</v>
      </c>
      <c r="AP11" s="47" t="e">
        <f t="shared" si="14"/>
        <v>#DIV/0!</v>
      </c>
      <c r="AQ11" s="48">
        <f t="shared" si="36"/>
        <v>0</v>
      </c>
      <c r="AR11" s="49">
        <f t="shared" si="15"/>
        <v>0</v>
      </c>
      <c r="AS11" s="57"/>
    </row>
    <row r="12" spans="1:49" x14ac:dyDescent="0.25">
      <c r="B12" s="22">
        <f t="shared" si="25"/>
        <v>46178</v>
      </c>
      <c r="C12" s="23" t="s">
        <v>54</v>
      </c>
      <c r="D12" s="50">
        <f t="shared" si="6"/>
        <v>0</v>
      </c>
      <c r="E12" s="34">
        <f t="shared" si="6"/>
        <v>0</v>
      </c>
      <c r="F12" s="34">
        <f t="shared" si="6"/>
        <v>0</v>
      </c>
      <c r="G12" s="34">
        <f t="shared" si="7"/>
        <v>0</v>
      </c>
      <c r="H12" s="35">
        <f t="shared" si="8"/>
        <v>0</v>
      </c>
      <c r="I12" s="26">
        <f t="shared" si="19"/>
        <v>0</v>
      </c>
      <c r="J12" s="27"/>
      <c r="K12" s="28"/>
      <c r="L12" s="32"/>
      <c r="M12" s="29"/>
      <c r="N12" s="30"/>
      <c r="O12" s="31"/>
      <c r="P12" s="28"/>
      <c r="Q12" s="32"/>
      <c r="R12" s="53">
        <f t="shared" ref="R12" si="40">O12+J12</f>
        <v>0</v>
      </c>
      <c r="S12" s="34">
        <f t="shared" ref="S12" si="41">(J12*K12%)+(O12*P12%)</f>
        <v>0</v>
      </c>
      <c r="T12" s="35">
        <f t="shared" ref="T12" si="42">(J12*L12%)+(O12*Q12%)</f>
        <v>0</v>
      </c>
      <c r="U12" s="36"/>
      <c r="V12" s="37"/>
      <c r="W12" s="38"/>
      <c r="X12" s="39"/>
      <c r="Y12" s="40"/>
      <c r="Z12" s="40"/>
      <c r="AA12" s="34">
        <f t="shared" ref="AA12" si="43">X12*Y12%</f>
        <v>0</v>
      </c>
      <c r="AB12" s="44">
        <f t="shared" ref="AB12" si="44">X12*Z12%</f>
        <v>0</v>
      </c>
      <c r="AC12" s="129"/>
      <c r="AD12" s="130"/>
      <c r="AE12" s="130"/>
      <c r="AF12" s="34">
        <f t="shared" si="34"/>
        <v>0</v>
      </c>
      <c r="AG12" s="34">
        <f t="shared" si="35"/>
        <v>0</v>
      </c>
      <c r="AH12" s="43"/>
      <c r="AI12" s="38"/>
      <c r="AJ12" s="38"/>
      <c r="AK12" s="34">
        <f t="shared" si="2"/>
        <v>0</v>
      </c>
      <c r="AL12" s="44">
        <f t="shared" si="3"/>
        <v>0</v>
      </c>
      <c r="AM12" s="45">
        <f t="shared" si="13"/>
        <v>0</v>
      </c>
      <c r="AN12" s="46">
        <f t="shared" si="4"/>
        <v>0</v>
      </c>
      <c r="AO12" s="46">
        <f t="shared" si="4"/>
        <v>0</v>
      </c>
      <c r="AP12" s="47" t="e">
        <f t="shared" si="14"/>
        <v>#DIV/0!</v>
      </c>
      <c r="AQ12" s="48">
        <f t="shared" si="36"/>
        <v>0</v>
      </c>
      <c r="AR12" s="49">
        <f t="shared" si="15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B13" s="22">
        <f t="shared" si="25"/>
        <v>46178</v>
      </c>
      <c r="C13" s="23" t="s">
        <v>55</v>
      </c>
      <c r="D13" s="50">
        <f t="shared" si="6"/>
        <v>0</v>
      </c>
      <c r="E13" s="34">
        <f t="shared" si="6"/>
        <v>0</v>
      </c>
      <c r="F13" s="34">
        <f t="shared" si="6"/>
        <v>0</v>
      </c>
      <c r="G13" s="34">
        <f t="shared" ref="G13:G14" si="45">+D13*E13%</f>
        <v>0</v>
      </c>
      <c r="H13" s="35">
        <f t="shared" ref="H13:H14" si="46">+D13*F13%</f>
        <v>0</v>
      </c>
      <c r="I13" s="26">
        <f t="shared" si="19"/>
        <v>0</v>
      </c>
      <c r="J13" s="27"/>
      <c r="K13" s="28"/>
      <c r="L13" s="32"/>
      <c r="M13" s="29"/>
      <c r="N13" s="30"/>
      <c r="O13" s="31"/>
      <c r="P13" s="28"/>
      <c r="Q13" s="32"/>
      <c r="R13" s="53">
        <f t="shared" si="29"/>
        <v>0</v>
      </c>
      <c r="S13" s="34">
        <f t="shared" si="30"/>
        <v>0</v>
      </c>
      <c r="T13" s="35">
        <f t="shared" si="31"/>
        <v>0</v>
      </c>
      <c r="U13" s="36"/>
      <c r="V13" s="37"/>
      <c r="W13" s="38"/>
      <c r="X13" s="39"/>
      <c r="Y13" s="40"/>
      <c r="Z13" s="40"/>
      <c r="AA13" s="34">
        <f t="shared" si="32"/>
        <v>0</v>
      </c>
      <c r="AB13" s="44">
        <f t="shared" si="33"/>
        <v>0</v>
      </c>
      <c r="AC13" s="286"/>
      <c r="AD13" s="145"/>
      <c r="AE13" s="145"/>
      <c r="AF13" s="34">
        <f t="shared" si="34"/>
        <v>0</v>
      </c>
      <c r="AG13" s="34">
        <f t="shared" si="35"/>
        <v>0</v>
      </c>
      <c r="AH13" s="43"/>
      <c r="AI13" s="38"/>
      <c r="AJ13" s="38"/>
      <c r="AK13" s="34">
        <f t="shared" si="2"/>
        <v>0</v>
      </c>
      <c r="AL13" s="44">
        <f t="shared" si="3"/>
        <v>0</v>
      </c>
      <c r="AM13" s="45">
        <f t="shared" si="13"/>
        <v>0</v>
      </c>
      <c r="AN13" s="46">
        <f t="shared" si="4"/>
        <v>0</v>
      </c>
      <c r="AO13" s="46">
        <f t="shared" si="4"/>
        <v>0</v>
      </c>
      <c r="AP13" s="47" t="e">
        <f t="shared" si="14"/>
        <v>#DIV/0!</v>
      </c>
      <c r="AQ13" s="48">
        <f t="shared" si="36"/>
        <v>0</v>
      </c>
      <c r="AR13" s="49">
        <f t="shared" si="15"/>
        <v>0</v>
      </c>
      <c r="AS13" s="49">
        <f>SUM(J4:J13)</f>
        <v>2489.5099999999998</v>
      </c>
      <c r="AT13" s="58">
        <f>SUM(AM4:AM13)</f>
        <v>-19.230000000000075</v>
      </c>
      <c r="AU13" s="58">
        <f t="shared" ref="AU13:AV13" si="47">SUM(AN4:AN13)</f>
        <v>0.97776499999999089</v>
      </c>
      <c r="AV13" s="58">
        <f t="shared" si="47"/>
        <v>3.8007069999999388</v>
      </c>
      <c r="AW13" s="58">
        <f>-SUM(AQ4:AQ13)</f>
        <v>-1580.2063499999776</v>
      </c>
    </row>
    <row r="14" spans="1:49" x14ac:dyDescent="0.25">
      <c r="B14" s="22">
        <f t="shared" si="25"/>
        <v>46179</v>
      </c>
      <c r="C14" s="23" t="s">
        <v>54</v>
      </c>
      <c r="D14" s="50">
        <f t="shared" ref="D14" si="48">AH13</f>
        <v>0</v>
      </c>
      <c r="E14" s="34">
        <f t="shared" ref="E14" si="49">AI13</f>
        <v>0</v>
      </c>
      <c r="F14" s="34">
        <f t="shared" ref="F14" si="50">AJ13</f>
        <v>0</v>
      </c>
      <c r="G14" s="34">
        <f t="shared" si="45"/>
        <v>0</v>
      </c>
      <c r="H14" s="35">
        <f t="shared" si="46"/>
        <v>0</v>
      </c>
      <c r="I14" s="26">
        <f t="shared" si="19"/>
        <v>0</v>
      </c>
      <c r="J14" s="27"/>
      <c r="K14" s="28"/>
      <c r="L14" s="32"/>
      <c r="M14" s="29"/>
      <c r="N14" s="30"/>
      <c r="O14" s="31"/>
      <c r="P14" s="28"/>
      <c r="Q14" s="32"/>
      <c r="R14" s="53">
        <f t="shared" ref="R14:R20" si="51">O14+J14</f>
        <v>0</v>
      </c>
      <c r="S14" s="34">
        <f t="shared" ref="S14:S20" si="52">(J14*K14%)+(O14*P14%)</f>
        <v>0</v>
      </c>
      <c r="T14" s="35">
        <f t="shared" ref="T14:T20" si="53">(J14*L14%)+(O14*Q14%)</f>
        <v>0</v>
      </c>
      <c r="U14" s="36"/>
      <c r="V14" s="37"/>
      <c r="W14" s="38"/>
      <c r="X14" s="39"/>
      <c r="Y14" s="40"/>
      <c r="Z14" s="40"/>
      <c r="AA14" s="34">
        <f t="shared" ref="AA14:AA18" si="54">X14*Y14%</f>
        <v>0</v>
      </c>
      <c r="AB14" s="44">
        <f t="shared" ref="AB14:AB18" si="55">X14*Z14%</f>
        <v>0</v>
      </c>
      <c r="AC14" s="286"/>
      <c r="AD14" s="145"/>
      <c r="AE14" s="145"/>
      <c r="AF14" s="34">
        <f t="shared" ref="AF14:AF17" si="56">AC14*AD14%</f>
        <v>0</v>
      </c>
      <c r="AG14" s="34">
        <f t="shared" ref="AG14:AG17" si="57">AC14*AE14%</f>
        <v>0</v>
      </c>
      <c r="AH14" s="43"/>
      <c r="AI14" s="38"/>
      <c r="AJ14" s="38"/>
      <c r="AK14" s="34">
        <f t="shared" si="2"/>
        <v>0</v>
      </c>
      <c r="AL14" s="44">
        <f t="shared" si="3"/>
        <v>0</v>
      </c>
      <c r="AM14" s="45">
        <f t="shared" si="13"/>
        <v>0</v>
      </c>
      <c r="AN14" s="46">
        <f t="shared" si="4"/>
        <v>0</v>
      </c>
      <c r="AO14" s="46">
        <f t="shared" si="4"/>
        <v>0</v>
      </c>
      <c r="AP14" s="47" t="e">
        <f t="shared" si="14"/>
        <v>#DIV/0!</v>
      </c>
      <c r="AQ14" s="48">
        <f t="shared" si="36"/>
        <v>0</v>
      </c>
      <c r="AR14" s="49">
        <f t="shared" si="15"/>
        <v>0</v>
      </c>
      <c r="AS14" s="49"/>
    </row>
    <row r="15" spans="1:49" x14ac:dyDescent="0.25">
      <c r="B15" s="22">
        <f t="shared" si="25"/>
        <v>46179</v>
      </c>
      <c r="C15" s="23" t="s">
        <v>55</v>
      </c>
      <c r="D15" s="50">
        <f t="shared" ref="D15" si="58">AH14</f>
        <v>0</v>
      </c>
      <c r="E15" s="34">
        <f t="shared" ref="E15" si="59">AI14</f>
        <v>0</v>
      </c>
      <c r="F15" s="34">
        <f t="shared" ref="F15" si="60">AJ14</f>
        <v>0</v>
      </c>
      <c r="G15" s="34">
        <f t="shared" si="7"/>
        <v>0</v>
      </c>
      <c r="H15" s="35">
        <f t="shared" si="8"/>
        <v>0</v>
      </c>
      <c r="I15" s="26">
        <f t="shared" si="19"/>
        <v>0</v>
      </c>
      <c r="J15" s="27"/>
      <c r="K15" s="28"/>
      <c r="L15" s="32"/>
      <c r="M15" s="29"/>
      <c r="N15" s="30"/>
      <c r="O15" s="31"/>
      <c r="P15" s="28"/>
      <c r="Q15" s="32"/>
      <c r="R15" s="53">
        <f t="shared" si="51"/>
        <v>0</v>
      </c>
      <c r="S15" s="34">
        <f t="shared" si="52"/>
        <v>0</v>
      </c>
      <c r="T15" s="35">
        <f t="shared" si="53"/>
        <v>0</v>
      </c>
      <c r="U15" s="36"/>
      <c r="V15" s="37"/>
      <c r="W15" s="38"/>
      <c r="X15" s="39"/>
      <c r="Y15" s="40"/>
      <c r="Z15" s="40"/>
      <c r="AA15" s="34">
        <f t="shared" si="54"/>
        <v>0</v>
      </c>
      <c r="AB15" s="44">
        <f t="shared" si="55"/>
        <v>0</v>
      </c>
      <c r="AC15" s="129"/>
      <c r="AD15" s="130"/>
      <c r="AE15" s="130"/>
      <c r="AF15" s="34">
        <f t="shared" si="56"/>
        <v>0</v>
      </c>
      <c r="AG15" s="34">
        <f t="shared" si="57"/>
        <v>0</v>
      </c>
      <c r="AH15" s="43"/>
      <c r="AI15" s="38"/>
      <c r="AJ15" s="38"/>
      <c r="AK15" s="34">
        <f t="shared" si="2"/>
        <v>0</v>
      </c>
      <c r="AL15" s="44">
        <f t="shared" si="3"/>
        <v>0</v>
      </c>
      <c r="AM15" s="45">
        <f t="shared" si="13"/>
        <v>0</v>
      </c>
      <c r="AN15" s="46">
        <f t="shared" si="4"/>
        <v>0</v>
      </c>
      <c r="AO15" s="46">
        <f t="shared" si="4"/>
        <v>0</v>
      </c>
      <c r="AP15" s="47" t="e">
        <f t="shared" si="14"/>
        <v>#DIV/0!</v>
      </c>
      <c r="AQ15" s="48">
        <f t="shared" si="36"/>
        <v>0</v>
      </c>
      <c r="AR15" s="49">
        <f t="shared" si="15"/>
        <v>0</v>
      </c>
      <c r="AS15" s="49"/>
    </row>
    <row r="16" spans="1:49" x14ac:dyDescent="0.25">
      <c r="B16" s="22">
        <f t="shared" si="25"/>
        <v>46180</v>
      </c>
      <c r="C16" s="23" t="s">
        <v>54</v>
      </c>
      <c r="D16" s="50">
        <f t="shared" ref="D16" si="61">AH15</f>
        <v>0</v>
      </c>
      <c r="E16" s="34">
        <f t="shared" ref="E16" si="62">AI15</f>
        <v>0</v>
      </c>
      <c r="F16" s="34">
        <f t="shared" ref="F16" si="63">AJ15</f>
        <v>0</v>
      </c>
      <c r="G16" s="34">
        <f t="shared" si="7"/>
        <v>0</v>
      </c>
      <c r="H16" s="35">
        <f t="shared" si="8"/>
        <v>0</v>
      </c>
      <c r="I16" s="26">
        <f t="shared" si="19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51"/>
        <v>0</v>
      </c>
      <c r="S16" s="34">
        <f t="shared" si="52"/>
        <v>0</v>
      </c>
      <c r="T16" s="35">
        <f t="shared" si="53"/>
        <v>0</v>
      </c>
      <c r="U16" s="36"/>
      <c r="V16" s="37"/>
      <c r="W16" s="38"/>
      <c r="X16" s="39"/>
      <c r="Y16" s="40"/>
      <c r="Z16" s="40"/>
      <c r="AA16" s="34">
        <f t="shared" si="54"/>
        <v>0</v>
      </c>
      <c r="AB16" s="44">
        <f t="shared" si="55"/>
        <v>0</v>
      </c>
      <c r="AC16" s="291"/>
      <c r="AD16" s="292"/>
      <c r="AE16" s="292"/>
      <c r="AF16" s="34">
        <f t="shared" si="56"/>
        <v>0</v>
      </c>
      <c r="AG16" s="34">
        <f t="shared" si="57"/>
        <v>0</v>
      </c>
      <c r="AH16" s="43"/>
      <c r="AI16" s="38"/>
      <c r="AJ16" s="38"/>
      <c r="AK16" s="34">
        <f t="shared" si="2"/>
        <v>0</v>
      </c>
      <c r="AL16" s="44">
        <f t="shared" si="3"/>
        <v>0</v>
      </c>
      <c r="AM16" s="45">
        <f t="shared" si="13"/>
        <v>0</v>
      </c>
      <c r="AN16" s="46">
        <f t="shared" si="4"/>
        <v>0</v>
      </c>
      <c r="AO16" s="46">
        <f t="shared" si="4"/>
        <v>0</v>
      </c>
      <c r="AP16" s="47" t="e">
        <f t="shared" si="14"/>
        <v>#DIV/0!</v>
      </c>
      <c r="AQ16" s="48">
        <f t="shared" si="36"/>
        <v>0</v>
      </c>
      <c r="AR16" s="49">
        <f t="shared" si="15"/>
        <v>0</v>
      </c>
      <c r="AS16" s="49"/>
    </row>
    <row r="17" spans="2:49" x14ac:dyDescent="0.25">
      <c r="B17" s="22">
        <f t="shared" si="25"/>
        <v>46180</v>
      </c>
      <c r="C17" s="23" t="s">
        <v>55</v>
      </c>
      <c r="D17" s="50">
        <f t="shared" ref="D17" si="64">AH16</f>
        <v>0</v>
      </c>
      <c r="E17" s="34">
        <f t="shared" ref="E17" si="65">AI16</f>
        <v>0</v>
      </c>
      <c r="F17" s="34">
        <f t="shared" ref="F17" si="66">AJ16</f>
        <v>0</v>
      </c>
      <c r="G17" s="34">
        <f t="shared" si="7"/>
        <v>0</v>
      </c>
      <c r="H17" s="35">
        <f t="shared" si="8"/>
        <v>0</v>
      </c>
      <c r="I17" s="26">
        <f t="shared" si="19"/>
        <v>0</v>
      </c>
      <c r="J17" s="27"/>
      <c r="K17" s="28"/>
      <c r="L17" s="32"/>
      <c r="M17" s="29"/>
      <c r="N17" s="30"/>
      <c r="O17" s="31"/>
      <c r="P17" s="28"/>
      <c r="Q17" s="32"/>
      <c r="R17" s="53">
        <f t="shared" si="51"/>
        <v>0</v>
      </c>
      <c r="S17" s="34">
        <f t="shared" si="52"/>
        <v>0</v>
      </c>
      <c r="T17" s="35">
        <f t="shared" si="53"/>
        <v>0</v>
      </c>
      <c r="U17" s="36"/>
      <c r="V17" s="37"/>
      <c r="W17" s="38"/>
      <c r="X17" s="39"/>
      <c r="Y17" s="40"/>
      <c r="Z17" s="40"/>
      <c r="AA17" s="34">
        <f t="shared" si="54"/>
        <v>0</v>
      </c>
      <c r="AB17" s="44">
        <f t="shared" si="55"/>
        <v>0</v>
      </c>
      <c r="AC17" s="129"/>
      <c r="AD17" s="130"/>
      <c r="AE17" s="130"/>
      <c r="AF17" s="34">
        <f t="shared" si="56"/>
        <v>0</v>
      </c>
      <c r="AG17" s="34">
        <f t="shared" si="57"/>
        <v>0</v>
      </c>
      <c r="AH17" s="43"/>
      <c r="AI17" s="38"/>
      <c r="AJ17" s="38"/>
      <c r="AK17" s="34">
        <f t="shared" si="2"/>
        <v>0</v>
      </c>
      <c r="AL17" s="44">
        <f t="shared" si="3"/>
        <v>0</v>
      </c>
      <c r="AM17" s="45">
        <f t="shared" si="13"/>
        <v>0</v>
      </c>
      <c r="AN17" s="46">
        <f t="shared" si="4"/>
        <v>0</v>
      </c>
      <c r="AO17" s="46">
        <f t="shared" si="4"/>
        <v>0</v>
      </c>
      <c r="AP17" s="47" t="e">
        <f t="shared" si="14"/>
        <v>#DIV/0!</v>
      </c>
      <c r="AQ17" s="48">
        <f t="shared" si="36"/>
        <v>0</v>
      </c>
      <c r="AR17" s="49">
        <f t="shared" si="15"/>
        <v>0</v>
      </c>
      <c r="AS17" s="49"/>
    </row>
    <row r="18" spans="2:49" x14ac:dyDescent="0.25">
      <c r="B18" s="22">
        <f t="shared" si="25"/>
        <v>46181</v>
      </c>
      <c r="C18" s="23" t="s">
        <v>54</v>
      </c>
      <c r="D18" s="50">
        <f t="shared" ref="D18" si="67">AH17</f>
        <v>0</v>
      </c>
      <c r="E18" s="34">
        <f t="shared" ref="E18" si="68">AI17</f>
        <v>0</v>
      </c>
      <c r="F18" s="34">
        <f t="shared" ref="F18" si="69">AJ17</f>
        <v>0</v>
      </c>
      <c r="G18" s="34">
        <f t="shared" si="7"/>
        <v>0</v>
      </c>
      <c r="H18" s="35">
        <f t="shared" si="8"/>
        <v>0</v>
      </c>
      <c r="I18" s="26">
        <f t="shared" si="19"/>
        <v>0</v>
      </c>
      <c r="J18" s="27"/>
      <c r="K18" s="28"/>
      <c r="L18" s="32"/>
      <c r="M18" s="29"/>
      <c r="N18" s="131"/>
      <c r="O18" s="31"/>
      <c r="P18" s="28"/>
      <c r="Q18" s="32"/>
      <c r="R18" s="53">
        <f t="shared" si="51"/>
        <v>0</v>
      </c>
      <c r="S18" s="34">
        <f t="shared" si="52"/>
        <v>0</v>
      </c>
      <c r="T18" s="35">
        <f t="shared" si="53"/>
        <v>0</v>
      </c>
      <c r="U18" s="36"/>
      <c r="V18" s="37"/>
      <c r="W18" s="38"/>
      <c r="X18" s="39"/>
      <c r="Y18" s="40"/>
      <c r="Z18" s="40"/>
      <c r="AA18" s="34">
        <f t="shared" si="54"/>
        <v>0</v>
      </c>
      <c r="AB18" s="44">
        <f t="shared" si="55"/>
        <v>0</v>
      </c>
      <c r="AC18" s="129"/>
      <c r="AD18" s="130"/>
      <c r="AE18" s="130"/>
      <c r="AF18" s="34">
        <f t="shared" ref="AF18:AF35" si="70">AC18*AD18%</f>
        <v>0</v>
      </c>
      <c r="AG18" s="34">
        <f t="shared" ref="AG18:AG35" si="71">AC18*AE18%</f>
        <v>0</v>
      </c>
      <c r="AH18" s="43"/>
      <c r="AI18" s="38"/>
      <c r="AJ18" s="38"/>
      <c r="AK18" s="34">
        <f t="shared" ref="AK18:AK35" si="72">AH18*AI18%</f>
        <v>0</v>
      </c>
      <c r="AL18" s="44">
        <f t="shared" ref="AL18:AL35" si="73">AH18*AJ18%</f>
        <v>0</v>
      </c>
      <c r="AM18" s="45">
        <f t="shared" ref="AM18:AM35" si="74">+D18+R18-AC18-AH18</f>
        <v>0</v>
      </c>
      <c r="AN18" s="46">
        <f t="shared" ref="AN18:AN35" si="75">+G18+S18-AF18-AK18</f>
        <v>0</v>
      </c>
      <c r="AO18" s="46">
        <f t="shared" ref="AO18:AO35" si="76">+H18+T18-AG18-AL18</f>
        <v>0</v>
      </c>
      <c r="AP18" s="47" t="e">
        <f t="shared" si="14"/>
        <v>#DIV/0!</v>
      </c>
      <c r="AQ18" s="48">
        <f t="shared" si="36"/>
        <v>0</v>
      </c>
      <c r="AR18" s="49">
        <f t="shared" si="15"/>
        <v>0</v>
      </c>
      <c r="AS18" s="49"/>
    </row>
    <row r="19" spans="2:49" x14ac:dyDescent="0.25">
      <c r="B19" s="22">
        <f t="shared" si="25"/>
        <v>46181</v>
      </c>
      <c r="C19" s="23" t="s">
        <v>55</v>
      </c>
      <c r="D19" s="50">
        <f t="shared" si="6"/>
        <v>0</v>
      </c>
      <c r="E19" s="34">
        <f t="shared" si="6"/>
        <v>0</v>
      </c>
      <c r="F19" s="34">
        <f t="shared" si="6"/>
        <v>0</v>
      </c>
      <c r="G19" s="34">
        <f t="shared" ref="G19:G35" si="77">+D19*E19%</f>
        <v>0</v>
      </c>
      <c r="H19" s="35">
        <f t="shared" ref="H19:H35" si="78">+D19*F19%</f>
        <v>0</v>
      </c>
      <c r="I19" s="26">
        <f t="shared" si="19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51"/>
        <v>0</v>
      </c>
      <c r="S19" s="34">
        <f t="shared" si="52"/>
        <v>0</v>
      </c>
      <c r="T19" s="35">
        <f t="shared" si="53"/>
        <v>0</v>
      </c>
      <c r="U19" s="36"/>
      <c r="V19" s="37"/>
      <c r="W19" s="38"/>
      <c r="X19" s="39"/>
      <c r="Y19" s="40"/>
      <c r="Z19" s="40"/>
      <c r="AA19" s="34">
        <f t="shared" ref="AA19:AA33" si="79">X19*Y19%</f>
        <v>0</v>
      </c>
      <c r="AB19" s="44">
        <f t="shared" ref="AB19:AB33" si="80">X19*Z19%</f>
        <v>0</v>
      </c>
      <c r="AC19" s="129"/>
      <c r="AD19" s="130"/>
      <c r="AE19" s="130"/>
      <c r="AF19" s="34">
        <f t="shared" si="70"/>
        <v>0</v>
      </c>
      <c r="AG19" s="34">
        <f t="shared" si="71"/>
        <v>0</v>
      </c>
      <c r="AH19" s="43"/>
      <c r="AI19" s="38"/>
      <c r="AJ19" s="38"/>
      <c r="AK19" s="34">
        <f t="shared" si="72"/>
        <v>0</v>
      </c>
      <c r="AL19" s="44">
        <f t="shared" si="73"/>
        <v>0</v>
      </c>
      <c r="AM19" s="45">
        <f t="shared" si="74"/>
        <v>0</v>
      </c>
      <c r="AN19" s="46">
        <f t="shared" si="75"/>
        <v>0</v>
      </c>
      <c r="AO19" s="46">
        <f t="shared" si="76"/>
        <v>0</v>
      </c>
      <c r="AP19" s="47" t="e">
        <f t="shared" si="14"/>
        <v>#DIV/0!</v>
      </c>
      <c r="AQ19" s="48">
        <f t="shared" si="36"/>
        <v>0</v>
      </c>
      <c r="AR19" s="49">
        <f t="shared" si="15"/>
        <v>0</v>
      </c>
      <c r="AS19" s="49"/>
    </row>
    <row r="20" spans="2:49" x14ac:dyDescent="0.25">
      <c r="B20" s="22">
        <f t="shared" si="25"/>
        <v>46182</v>
      </c>
      <c r="C20" s="23" t="s">
        <v>54</v>
      </c>
      <c r="D20" s="50">
        <f t="shared" ref="D20" si="81">AH19</f>
        <v>0</v>
      </c>
      <c r="E20" s="34">
        <f t="shared" ref="E20" si="82">AI19</f>
        <v>0</v>
      </c>
      <c r="F20" s="34">
        <f t="shared" ref="F20" si="83">AJ19</f>
        <v>0</v>
      </c>
      <c r="G20" s="34">
        <f t="shared" si="77"/>
        <v>0</v>
      </c>
      <c r="H20" s="35">
        <f t="shared" si="78"/>
        <v>0</v>
      </c>
      <c r="I20" s="26">
        <f t="shared" si="19"/>
        <v>0</v>
      </c>
      <c r="J20" s="27"/>
      <c r="K20" s="28"/>
      <c r="L20" s="32"/>
      <c r="M20" s="29"/>
      <c r="N20" s="30"/>
      <c r="O20" s="31"/>
      <c r="P20" s="28"/>
      <c r="Q20" s="32"/>
      <c r="R20" s="53">
        <f t="shared" si="51"/>
        <v>0</v>
      </c>
      <c r="S20" s="34">
        <f t="shared" si="52"/>
        <v>0</v>
      </c>
      <c r="T20" s="35">
        <f t="shared" si="53"/>
        <v>0</v>
      </c>
      <c r="U20" s="36"/>
      <c r="V20" s="37"/>
      <c r="W20" s="38"/>
      <c r="X20" s="39"/>
      <c r="Y20" s="40"/>
      <c r="Z20" s="40"/>
      <c r="AA20" s="34">
        <f t="shared" si="79"/>
        <v>0</v>
      </c>
      <c r="AB20" s="44">
        <f t="shared" si="80"/>
        <v>0</v>
      </c>
      <c r="AC20" s="286"/>
      <c r="AD20" s="145"/>
      <c r="AE20" s="145"/>
      <c r="AF20" s="34">
        <f t="shared" si="70"/>
        <v>0</v>
      </c>
      <c r="AG20" s="34">
        <f t="shared" si="71"/>
        <v>0</v>
      </c>
      <c r="AH20" s="43"/>
      <c r="AI20" s="38"/>
      <c r="AJ20" s="38"/>
      <c r="AK20" s="34">
        <f t="shared" si="72"/>
        <v>0</v>
      </c>
      <c r="AL20" s="44">
        <f t="shared" si="73"/>
        <v>0</v>
      </c>
      <c r="AM20" s="45">
        <f t="shared" si="74"/>
        <v>0</v>
      </c>
      <c r="AN20" s="46">
        <f t="shared" si="75"/>
        <v>0</v>
      </c>
      <c r="AO20" s="46">
        <f t="shared" si="76"/>
        <v>0</v>
      </c>
      <c r="AP20" s="47" t="e">
        <f t="shared" si="14"/>
        <v>#DIV/0!</v>
      </c>
      <c r="AQ20" s="48">
        <f t="shared" si="36"/>
        <v>0</v>
      </c>
      <c r="AR20" s="49">
        <f t="shared" si="15"/>
        <v>0</v>
      </c>
      <c r="AS20" s="49"/>
    </row>
    <row r="21" spans="2:49" x14ac:dyDescent="0.25">
      <c r="B21" s="22">
        <f t="shared" si="25"/>
        <v>46182</v>
      </c>
      <c r="C21" s="23" t="s">
        <v>55</v>
      </c>
      <c r="D21" s="50">
        <f t="shared" ref="D21" si="84">AH20</f>
        <v>0</v>
      </c>
      <c r="E21" s="34">
        <f t="shared" ref="E21" si="85">AI20</f>
        <v>0</v>
      </c>
      <c r="F21" s="34">
        <f t="shared" ref="F21" si="86">AJ20</f>
        <v>0</v>
      </c>
      <c r="G21" s="34">
        <f t="shared" si="77"/>
        <v>0</v>
      </c>
      <c r="H21" s="35">
        <f t="shared" si="78"/>
        <v>0</v>
      </c>
      <c r="I21" s="26">
        <f t="shared" si="19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ref="R21:R35" si="87">O21+J21</f>
        <v>0</v>
      </c>
      <c r="S21" s="34">
        <f t="shared" ref="S21:S35" si="88">(J21*K21%)+(O21*P21%)</f>
        <v>0</v>
      </c>
      <c r="T21" s="35">
        <f t="shared" ref="T21:T35" si="89">(J21*L21%)+(O21*Q21%)</f>
        <v>0</v>
      </c>
      <c r="U21" s="36"/>
      <c r="V21" s="37"/>
      <c r="W21" s="38"/>
      <c r="X21" s="39"/>
      <c r="Y21" s="40"/>
      <c r="Z21" s="40"/>
      <c r="AA21" s="34">
        <f t="shared" si="79"/>
        <v>0</v>
      </c>
      <c r="AB21" s="44">
        <f t="shared" si="80"/>
        <v>0</v>
      </c>
      <c r="AC21" s="286"/>
      <c r="AD21" s="145"/>
      <c r="AE21" s="145"/>
      <c r="AF21" s="34">
        <f t="shared" si="70"/>
        <v>0</v>
      </c>
      <c r="AG21" s="34">
        <f t="shared" si="71"/>
        <v>0</v>
      </c>
      <c r="AH21" s="43"/>
      <c r="AI21" s="38"/>
      <c r="AJ21" s="38"/>
      <c r="AK21" s="34">
        <f t="shared" si="72"/>
        <v>0</v>
      </c>
      <c r="AL21" s="44">
        <f t="shared" si="73"/>
        <v>0</v>
      </c>
      <c r="AM21" s="45">
        <f t="shared" si="74"/>
        <v>0</v>
      </c>
      <c r="AN21" s="46">
        <f t="shared" si="75"/>
        <v>0</v>
      </c>
      <c r="AO21" s="46">
        <f t="shared" si="76"/>
        <v>0</v>
      </c>
      <c r="AP21" s="47" t="e">
        <f t="shared" si="14"/>
        <v>#DIV/0!</v>
      </c>
      <c r="AQ21" s="48">
        <f t="shared" si="36"/>
        <v>0</v>
      </c>
      <c r="AR21" s="49">
        <f t="shared" si="15"/>
        <v>0</v>
      </c>
      <c r="AS21" s="49"/>
    </row>
    <row r="22" spans="2:49" x14ac:dyDescent="0.25">
      <c r="B22" s="22">
        <f t="shared" si="25"/>
        <v>46183</v>
      </c>
      <c r="C22" s="23" t="s">
        <v>54</v>
      </c>
      <c r="D22" s="50">
        <f t="shared" ref="D22" si="90">AH21</f>
        <v>0</v>
      </c>
      <c r="E22" s="34">
        <f t="shared" ref="E22" si="91">AI21</f>
        <v>0</v>
      </c>
      <c r="F22" s="34">
        <f t="shared" ref="F22" si="92">AJ21</f>
        <v>0</v>
      </c>
      <c r="G22" s="34">
        <f t="shared" si="77"/>
        <v>0</v>
      </c>
      <c r="H22" s="35">
        <f t="shared" si="78"/>
        <v>0</v>
      </c>
      <c r="I22" s="26">
        <f t="shared" si="19"/>
        <v>0</v>
      </c>
      <c r="J22" s="27"/>
      <c r="K22" s="28"/>
      <c r="L22" s="32"/>
      <c r="M22" s="29"/>
      <c r="N22" s="30"/>
      <c r="O22" s="31"/>
      <c r="P22" s="28"/>
      <c r="Q22" s="32"/>
      <c r="R22" s="53">
        <f t="shared" si="87"/>
        <v>0</v>
      </c>
      <c r="S22" s="34">
        <f t="shared" si="88"/>
        <v>0</v>
      </c>
      <c r="T22" s="35">
        <f t="shared" si="89"/>
        <v>0</v>
      </c>
      <c r="U22" s="36"/>
      <c r="V22" s="37"/>
      <c r="W22" s="38"/>
      <c r="X22" s="39"/>
      <c r="Y22" s="40"/>
      <c r="Z22" s="40"/>
      <c r="AA22" s="34">
        <f t="shared" si="79"/>
        <v>0</v>
      </c>
      <c r="AB22" s="44">
        <f t="shared" si="80"/>
        <v>0</v>
      </c>
      <c r="AC22" s="129"/>
      <c r="AD22" s="130"/>
      <c r="AE22" s="130"/>
      <c r="AF22" s="34">
        <f t="shared" si="70"/>
        <v>0</v>
      </c>
      <c r="AG22" s="34">
        <f t="shared" si="71"/>
        <v>0</v>
      </c>
      <c r="AH22" s="43"/>
      <c r="AI22" s="38"/>
      <c r="AJ22" s="38"/>
      <c r="AK22" s="34">
        <f t="shared" si="72"/>
        <v>0</v>
      </c>
      <c r="AL22" s="44">
        <f t="shared" si="73"/>
        <v>0</v>
      </c>
      <c r="AM22" s="45">
        <f t="shared" si="74"/>
        <v>0</v>
      </c>
      <c r="AN22" s="46">
        <f t="shared" si="75"/>
        <v>0</v>
      </c>
      <c r="AO22" s="46">
        <f t="shared" si="76"/>
        <v>0</v>
      </c>
      <c r="AP22" s="47" t="e">
        <f t="shared" si="14"/>
        <v>#DIV/0!</v>
      </c>
      <c r="AQ22" s="48">
        <f t="shared" si="36"/>
        <v>0</v>
      </c>
      <c r="AR22" s="49">
        <f>(D22+J22+O22)-(X22+AH22)</f>
        <v>0</v>
      </c>
      <c r="AS22" s="49"/>
    </row>
    <row r="23" spans="2:49" x14ac:dyDescent="0.25">
      <c r="B23" s="22">
        <f t="shared" si="25"/>
        <v>46183</v>
      </c>
      <c r="C23" s="23" t="s">
        <v>55</v>
      </c>
      <c r="D23" s="50">
        <f t="shared" ref="D23" si="93">AH22</f>
        <v>0</v>
      </c>
      <c r="E23" s="34">
        <f t="shared" ref="E23" si="94">AI22</f>
        <v>0</v>
      </c>
      <c r="F23" s="34">
        <f t="shared" ref="F23" si="95">AJ22</f>
        <v>0</v>
      </c>
      <c r="G23" s="34">
        <f t="shared" si="77"/>
        <v>0</v>
      </c>
      <c r="H23" s="35">
        <f t="shared" si="78"/>
        <v>0</v>
      </c>
      <c r="I23" s="26">
        <f t="shared" si="19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87"/>
        <v>0</v>
      </c>
      <c r="S23" s="34">
        <f t="shared" si="88"/>
        <v>0</v>
      </c>
      <c r="T23" s="35">
        <f t="shared" si="89"/>
        <v>0</v>
      </c>
      <c r="U23" s="36"/>
      <c r="V23" s="37"/>
      <c r="W23" s="38"/>
      <c r="X23" s="39"/>
      <c r="Y23" s="40"/>
      <c r="Z23" s="40"/>
      <c r="AA23" s="34">
        <f t="shared" si="79"/>
        <v>0</v>
      </c>
      <c r="AB23" s="44">
        <f t="shared" si="80"/>
        <v>0</v>
      </c>
      <c r="AC23" s="129"/>
      <c r="AD23" s="130"/>
      <c r="AE23" s="130"/>
      <c r="AF23" s="34">
        <f t="shared" si="70"/>
        <v>0</v>
      </c>
      <c r="AG23" s="34">
        <f t="shared" si="71"/>
        <v>0</v>
      </c>
      <c r="AH23" s="43"/>
      <c r="AI23" s="38"/>
      <c r="AJ23" s="38"/>
      <c r="AK23" s="34">
        <f t="shared" si="72"/>
        <v>0</v>
      </c>
      <c r="AL23" s="44">
        <f t="shared" si="73"/>
        <v>0</v>
      </c>
      <c r="AM23" s="45">
        <f t="shared" si="74"/>
        <v>0</v>
      </c>
      <c r="AN23" s="46">
        <f t="shared" si="75"/>
        <v>0</v>
      </c>
      <c r="AO23" s="46">
        <f t="shared" si="76"/>
        <v>0</v>
      </c>
      <c r="AP23" s="47" t="e">
        <f t="shared" si="14"/>
        <v>#DIV/0!</v>
      </c>
      <c r="AQ23" s="48">
        <f t="shared" si="36"/>
        <v>0</v>
      </c>
      <c r="AR23" s="49">
        <f t="shared" si="15"/>
        <v>0</v>
      </c>
      <c r="AS23" s="49"/>
    </row>
    <row r="24" spans="2:49" x14ac:dyDescent="0.25">
      <c r="B24" s="22">
        <f t="shared" si="25"/>
        <v>46184</v>
      </c>
      <c r="C24" s="23" t="s">
        <v>54</v>
      </c>
      <c r="D24" s="50">
        <f t="shared" ref="D24" si="96">AH23</f>
        <v>0</v>
      </c>
      <c r="E24" s="34">
        <f t="shared" ref="E24" si="97">AI23</f>
        <v>0</v>
      </c>
      <c r="F24" s="34">
        <f t="shared" ref="F24" si="98">AJ23</f>
        <v>0</v>
      </c>
      <c r="G24" s="34">
        <f t="shared" si="77"/>
        <v>0</v>
      </c>
      <c r="H24" s="35">
        <f t="shared" si="78"/>
        <v>0</v>
      </c>
      <c r="I24" s="26">
        <f t="shared" si="19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87"/>
        <v>0</v>
      </c>
      <c r="S24" s="34">
        <f t="shared" si="88"/>
        <v>0</v>
      </c>
      <c r="T24" s="35">
        <f t="shared" si="89"/>
        <v>0</v>
      </c>
      <c r="U24" s="36"/>
      <c r="V24" s="37"/>
      <c r="W24" s="38"/>
      <c r="X24" s="39"/>
      <c r="Y24" s="40"/>
      <c r="Z24" s="40"/>
      <c r="AA24" s="34">
        <f t="shared" si="79"/>
        <v>0</v>
      </c>
      <c r="AB24" s="44">
        <f t="shared" si="80"/>
        <v>0</v>
      </c>
      <c r="AC24" s="129"/>
      <c r="AD24" s="130"/>
      <c r="AE24" s="130"/>
      <c r="AF24" s="34">
        <f t="shared" si="70"/>
        <v>0</v>
      </c>
      <c r="AG24" s="34">
        <f t="shared" si="71"/>
        <v>0</v>
      </c>
      <c r="AH24" s="43"/>
      <c r="AI24" s="38"/>
      <c r="AJ24" s="38"/>
      <c r="AK24" s="34">
        <f t="shared" si="72"/>
        <v>0</v>
      </c>
      <c r="AL24" s="44">
        <f t="shared" si="73"/>
        <v>0</v>
      </c>
      <c r="AM24" s="45">
        <f t="shared" si="74"/>
        <v>0</v>
      </c>
      <c r="AN24" s="46">
        <f t="shared" si="75"/>
        <v>0</v>
      </c>
      <c r="AO24" s="46">
        <f t="shared" si="76"/>
        <v>0</v>
      </c>
      <c r="AP24" s="47" t="e">
        <f t="shared" si="14"/>
        <v>#DIV/0!</v>
      </c>
      <c r="AQ24" s="48">
        <f t="shared" si="36"/>
        <v>0</v>
      </c>
      <c r="AR24" s="49">
        <f t="shared" si="15"/>
        <v>0</v>
      </c>
      <c r="AS24" s="49"/>
    </row>
    <row r="25" spans="2:49" x14ac:dyDescent="0.25">
      <c r="B25" s="22">
        <f t="shared" si="25"/>
        <v>46184</v>
      </c>
      <c r="C25" s="23" t="s">
        <v>55</v>
      </c>
      <c r="D25" s="50">
        <f t="shared" ref="D25" si="99">AH24</f>
        <v>0</v>
      </c>
      <c r="E25" s="34">
        <f t="shared" ref="E25" si="100">AI24</f>
        <v>0</v>
      </c>
      <c r="F25" s="34">
        <f t="shared" ref="F25" si="101">AJ24</f>
        <v>0</v>
      </c>
      <c r="G25" s="34">
        <f t="shared" si="77"/>
        <v>0</v>
      </c>
      <c r="H25" s="35">
        <f t="shared" si="78"/>
        <v>0</v>
      </c>
      <c r="I25" s="26">
        <f t="shared" si="19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87"/>
        <v>0</v>
      </c>
      <c r="S25" s="34">
        <f t="shared" si="88"/>
        <v>0</v>
      </c>
      <c r="T25" s="35">
        <f t="shared" si="89"/>
        <v>0</v>
      </c>
      <c r="U25" s="36"/>
      <c r="V25" s="37"/>
      <c r="W25" s="38"/>
      <c r="X25" s="39"/>
      <c r="Y25" s="40"/>
      <c r="Z25" s="40"/>
      <c r="AA25" s="34">
        <f t="shared" si="79"/>
        <v>0</v>
      </c>
      <c r="AB25" s="44">
        <f t="shared" si="80"/>
        <v>0</v>
      </c>
      <c r="AC25" s="129"/>
      <c r="AD25" s="130"/>
      <c r="AE25" s="130"/>
      <c r="AF25" s="34">
        <f t="shared" si="70"/>
        <v>0</v>
      </c>
      <c r="AG25" s="34">
        <f t="shared" si="71"/>
        <v>0</v>
      </c>
      <c r="AH25" s="43"/>
      <c r="AI25" s="38"/>
      <c r="AJ25" s="38"/>
      <c r="AK25" s="34">
        <f t="shared" si="72"/>
        <v>0</v>
      </c>
      <c r="AL25" s="44">
        <f t="shared" si="73"/>
        <v>0</v>
      </c>
      <c r="AM25" s="45">
        <f t="shared" si="74"/>
        <v>0</v>
      </c>
      <c r="AN25" s="46">
        <f t="shared" si="75"/>
        <v>0</v>
      </c>
      <c r="AO25" s="46">
        <f t="shared" si="76"/>
        <v>0</v>
      </c>
      <c r="AP25" s="47" t="e">
        <f t="shared" si="14"/>
        <v>#DIV/0!</v>
      </c>
      <c r="AQ25" s="48">
        <f t="shared" si="36"/>
        <v>0</v>
      </c>
      <c r="AR25" s="49">
        <f t="shared" si="15"/>
        <v>0</v>
      </c>
      <c r="AS25" s="49"/>
    </row>
    <row r="26" spans="2:49" x14ac:dyDescent="0.25">
      <c r="B26" s="22">
        <f t="shared" si="25"/>
        <v>46185</v>
      </c>
      <c r="C26" s="23" t="s">
        <v>54</v>
      </c>
      <c r="D26" s="50">
        <f t="shared" ref="D26" si="102">AH25</f>
        <v>0</v>
      </c>
      <c r="E26" s="34">
        <f t="shared" ref="E26" si="103">AI25</f>
        <v>0</v>
      </c>
      <c r="F26" s="34">
        <f t="shared" ref="F26" si="104">AJ25</f>
        <v>0</v>
      </c>
      <c r="G26" s="34">
        <f t="shared" ref="G26" si="105">+D26*E26%</f>
        <v>0</v>
      </c>
      <c r="H26" s="35">
        <f t="shared" si="78"/>
        <v>0</v>
      </c>
      <c r="I26" s="26">
        <f t="shared" si="19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si="87"/>
        <v>0</v>
      </c>
      <c r="S26" s="34">
        <f t="shared" si="88"/>
        <v>0</v>
      </c>
      <c r="T26" s="35">
        <f t="shared" si="89"/>
        <v>0</v>
      </c>
      <c r="U26" s="36"/>
      <c r="V26" s="37"/>
      <c r="W26" s="38"/>
      <c r="X26" s="39"/>
      <c r="Y26" s="40"/>
      <c r="Z26" s="40"/>
      <c r="AA26" s="34">
        <f t="shared" si="79"/>
        <v>0</v>
      </c>
      <c r="AB26" s="44">
        <f t="shared" si="80"/>
        <v>0</v>
      </c>
      <c r="AC26" s="129"/>
      <c r="AD26" s="130"/>
      <c r="AE26" s="130"/>
      <c r="AF26" s="34">
        <f t="shared" si="70"/>
        <v>0</v>
      </c>
      <c r="AG26" s="34">
        <f t="shared" si="71"/>
        <v>0</v>
      </c>
      <c r="AH26" s="43"/>
      <c r="AI26" s="38"/>
      <c r="AJ26" s="38"/>
      <c r="AK26" s="34">
        <f t="shared" si="72"/>
        <v>0</v>
      </c>
      <c r="AL26" s="44">
        <f t="shared" si="73"/>
        <v>0</v>
      </c>
      <c r="AM26" s="45">
        <f t="shared" si="74"/>
        <v>0</v>
      </c>
      <c r="AN26" s="46">
        <f t="shared" si="75"/>
        <v>0</v>
      </c>
      <c r="AO26" s="46">
        <f t="shared" si="76"/>
        <v>0</v>
      </c>
      <c r="AP26" s="47" t="e">
        <f t="shared" si="14"/>
        <v>#DIV/0!</v>
      </c>
      <c r="AQ26" s="48">
        <f t="shared" si="36"/>
        <v>0</v>
      </c>
      <c r="AR26" s="49">
        <f t="shared" si="15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25"/>
        <v>46185</v>
      </c>
      <c r="C27" s="23" t="s">
        <v>55</v>
      </c>
      <c r="D27" s="50">
        <f t="shared" ref="D27:F33" si="106">AH26</f>
        <v>0</v>
      </c>
      <c r="E27" s="34">
        <f t="shared" si="106"/>
        <v>0</v>
      </c>
      <c r="F27" s="34">
        <f t="shared" si="106"/>
        <v>0</v>
      </c>
      <c r="G27" s="34">
        <f t="shared" si="77"/>
        <v>0</v>
      </c>
      <c r="H27" s="35">
        <f t="shared" si="78"/>
        <v>0</v>
      </c>
      <c r="I27" s="26">
        <f t="shared" si="19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87"/>
        <v>0</v>
      </c>
      <c r="S27" s="34">
        <f t="shared" si="88"/>
        <v>0</v>
      </c>
      <c r="T27" s="35">
        <f t="shared" si="89"/>
        <v>0</v>
      </c>
      <c r="U27" s="36"/>
      <c r="V27" s="37"/>
      <c r="W27" s="38"/>
      <c r="X27" s="39"/>
      <c r="Y27" s="40"/>
      <c r="Z27" s="40"/>
      <c r="AA27" s="34">
        <f t="shared" si="79"/>
        <v>0</v>
      </c>
      <c r="AB27" s="44">
        <f t="shared" si="80"/>
        <v>0</v>
      </c>
      <c r="AC27" s="129"/>
      <c r="AD27" s="130"/>
      <c r="AE27" s="130"/>
      <c r="AF27" s="34">
        <f t="shared" si="70"/>
        <v>0</v>
      </c>
      <c r="AG27" s="34">
        <f t="shared" si="71"/>
        <v>0</v>
      </c>
      <c r="AH27" s="43"/>
      <c r="AI27" s="38"/>
      <c r="AJ27" s="38"/>
      <c r="AK27" s="34">
        <f t="shared" si="72"/>
        <v>0</v>
      </c>
      <c r="AL27" s="44">
        <f t="shared" si="73"/>
        <v>0</v>
      </c>
      <c r="AM27" s="45">
        <f t="shared" si="74"/>
        <v>0</v>
      </c>
      <c r="AN27" s="46">
        <f t="shared" si="75"/>
        <v>0</v>
      </c>
      <c r="AO27" s="46">
        <f t="shared" si="76"/>
        <v>0</v>
      </c>
      <c r="AP27" s="47" t="e">
        <f t="shared" si="14"/>
        <v>#DIV/0!</v>
      </c>
      <c r="AQ27" s="48">
        <f t="shared" si="36"/>
        <v>0</v>
      </c>
      <c r="AR27" s="49">
        <f t="shared" si="15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2:49" x14ac:dyDescent="0.25">
      <c r="B28" s="22">
        <f t="shared" si="25"/>
        <v>46186</v>
      </c>
      <c r="C28" s="23" t="s">
        <v>54</v>
      </c>
      <c r="D28" s="50">
        <f t="shared" ref="D28" si="107">AH27</f>
        <v>0</v>
      </c>
      <c r="E28" s="34">
        <f t="shared" ref="E28" si="108">AI27</f>
        <v>0</v>
      </c>
      <c r="F28" s="34">
        <f t="shared" ref="F28" si="109">AJ27</f>
        <v>0</v>
      </c>
      <c r="G28" s="34">
        <f t="shared" si="77"/>
        <v>0</v>
      </c>
      <c r="H28" s="35">
        <f t="shared" si="78"/>
        <v>0</v>
      </c>
      <c r="I28" s="26">
        <f t="shared" si="19"/>
        <v>0</v>
      </c>
      <c r="J28" s="27"/>
      <c r="K28" s="28"/>
      <c r="L28" s="32"/>
      <c r="M28" s="29"/>
      <c r="N28" s="30"/>
      <c r="O28" s="31"/>
      <c r="P28" s="28"/>
      <c r="Q28" s="32"/>
      <c r="R28" s="53">
        <f t="shared" si="87"/>
        <v>0</v>
      </c>
      <c r="S28" s="34">
        <f t="shared" si="88"/>
        <v>0</v>
      </c>
      <c r="T28" s="35">
        <f t="shared" si="89"/>
        <v>0</v>
      </c>
      <c r="U28" s="36"/>
      <c r="V28" s="37"/>
      <c r="W28" s="38"/>
      <c r="X28" s="39"/>
      <c r="Y28" s="40"/>
      <c r="Z28" s="40"/>
      <c r="AA28" s="34">
        <f t="shared" si="79"/>
        <v>0</v>
      </c>
      <c r="AB28" s="44">
        <f t="shared" si="80"/>
        <v>0</v>
      </c>
      <c r="AC28" s="129"/>
      <c r="AD28" s="130"/>
      <c r="AE28" s="130"/>
      <c r="AF28" s="34">
        <f t="shared" si="70"/>
        <v>0</v>
      </c>
      <c r="AG28" s="34">
        <f t="shared" si="71"/>
        <v>0</v>
      </c>
      <c r="AH28" s="43"/>
      <c r="AI28" s="38"/>
      <c r="AJ28" s="38"/>
      <c r="AK28" s="34">
        <f t="shared" si="72"/>
        <v>0</v>
      </c>
      <c r="AL28" s="44">
        <f t="shared" si="73"/>
        <v>0</v>
      </c>
      <c r="AM28" s="45">
        <f t="shared" si="74"/>
        <v>0</v>
      </c>
      <c r="AN28" s="46">
        <f t="shared" si="75"/>
        <v>0</v>
      </c>
      <c r="AO28" s="46">
        <f t="shared" si="76"/>
        <v>0</v>
      </c>
      <c r="AP28" s="47" t="e">
        <f t="shared" si="14"/>
        <v>#DIV/0!</v>
      </c>
      <c r="AQ28" s="48">
        <f t="shared" si="36"/>
        <v>0</v>
      </c>
      <c r="AR28" s="49">
        <f t="shared" si="15"/>
        <v>0</v>
      </c>
    </row>
    <row r="29" spans="2:49" x14ac:dyDescent="0.25">
      <c r="B29" s="22">
        <f t="shared" si="25"/>
        <v>46186</v>
      </c>
      <c r="C29" s="23" t="s">
        <v>55</v>
      </c>
      <c r="D29" s="50">
        <f t="shared" ref="D29" si="110">AH28</f>
        <v>0</v>
      </c>
      <c r="E29" s="34">
        <f t="shared" ref="E29" si="111">AI28</f>
        <v>0</v>
      </c>
      <c r="F29" s="34">
        <f t="shared" ref="F29" si="112">AJ28</f>
        <v>0</v>
      </c>
      <c r="G29" s="34">
        <f t="shared" si="77"/>
        <v>0</v>
      </c>
      <c r="H29" s="35">
        <f t="shared" si="78"/>
        <v>0</v>
      </c>
      <c r="I29" s="26">
        <f t="shared" si="19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87"/>
        <v>0</v>
      </c>
      <c r="S29" s="34">
        <f t="shared" si="88"/>
        <v>0</v>
      </c>
      <c r="T29" s="35">
        <f t="shared" si="89"/>
        <v>0</v>
      </c>
      <c r="U29" s="36"/>
      <c r="V29" s="37"/>
      <c r="W29" s="38"/>
      <c r="X29" s="39"/>
      <c r="Y29" s="40"/>
      <c r="Z29" s="40"/>
      <c r="AA29" s="34">
        <f t="shared" si="79"/>
        <v>0</v>
      </c>
      <c r="AB29" s="44">
        <f t="shared" si="80"/>
        <v>0</v>
      </c>
      <c r="AC29" s="129"/>
      <c r="AD29" s="130"/>
      <c r="AE29" s="130"/>
      <c r="AF29" s="34">
        <f t="shared" si="70"/>
        <v>0</v>
      </c>
      <c r="AG29" s="34">
        <f t="shared" si="71"/>
        <v>0</v>
      </c>
      <c r="AH29" s="43"/>
      <c r="AI29" s="38"/>
      <c r="AJ29" s="38"/>
      <c r="AK29" s="34">
        <f t="shared" si="72"/>
        <v>0</v>
      </c>
      <c r="AL29" s="44">
        <f t="shared" si="73"/>
        <v>0</v>
      </c>
      <c r="AM29" s="45">
        <f t="shared" si="74"/>
        <v>0</v>
      </c>
      <c r="AN29" s="46">
        <f t="shared" si="75"/>
        <v>0</v>
      </c>
      <c r="AO29" s="46">
        <f t="shared" si="76"/>
        <v>0</v>
      </c>
      <c r="AP29" s="47" t="e">
        <f t="shared" si="14"/>
        <v>#DIV/0!</v>
      </c>
      <c r="AQ29" s="48">
        <f t="shared" si="36"/>
        <v>0</v>
      </c>
      <c r="AR29" s="49">
        <f t="shared" si="15"/>
        <v>0</v>
      </c>
    </row>
    <row r="30" spans="2:49" x14ac:dyDescent="0.25">
      <c r="B30" s="22">
        <f t="shared" si="25"/>
        <v>46187</v>
      </c>
      <c r="C30" s="23" t="s">
        <v>54</v>
      </c>
      <c r="D30" s="50">
        <f t="shared" ref="D30" si="113">AH29</f>
        <v>0</v>
      </c>
      <c r="E30" s="34">
        <f t="shared" ref="E30" si="114">AI29</f>
        <v>0</v>
      </c>
      <c r="F30" s="34">
        <f t="shared" ref="F30" si="115">AJ29</f>
        <v>0</v>
      </c>
      <c r="G30" s="34">
        <f t="shared" si="77"/>
        <v>0</v>
      </c>
      <c r="H30" s="35">
        <f t="shared" si="78"/>
        <v>0</v>
      </c>
      <c r="I30" s="26">
        <f t="shared" si="19"/>
        <v>0</v>
      </c>
      <c r="J30" s="27"/>
      <c r="K30" s="28"/>
      <c r="L30" s="32"/>
      <c r="M30" s="29"/>
      <c r="N30" s="131"/>
      <c r="O30" s="31"/>
      <c r="P30" s="28"/>
      <c r="Q30" s="32"/>
      <c r="R30" s="53">
        <f t="shared" si="87"/>
        <v>0</v>
      </c>
      <c r="S30" s="34">
        <f t="shared" si="88"/>
        <v>0</v>
      </c>
      <c r="T30" s="35">
        <f t="shared" si="89"/>
        <v>0</v>
      </c>
      <c r="U30" s="36"/>
      <c r="V30" s="37"/>
      <c r="W30" s="38"/>
      <c r="X30" s="39"/>
      <c r="Y30" s="40"/>
      <c r="Z30" s="40"/>
      <c r="AA30" s="34">
        <f t="shared" si="79"/>
        <v>0</v>
      </c>
      <c r="AB30" s="44">
        <f t="shared" si="80"/>
        <v>0</v>
      </c>
      <c r="AC30" s="289"/>
      <c r="AD30" s="290"/>
      <c r="AE30" s="290"/>
      <c r="AF30" s="34">
        <f t="shared" si="70"/>
        <v>0</v>
      </c>
      <c r="AG30" s="34">
        <f t="shared" si="71"/>
        <v>0</v>
      </c>
      <c r="AH30" s="43"/>
      <c r="AI30" s="38"/>
      <c r="AJ30" s="38"/>
      <c r="AK30" s="34">
        <f t="shared" si="72"/>
        <v>0</v>
      </c>
      <c r="AL30" s="44">
        <f t="shared" si="73"/>
        <v>0</v>
      </c>
      <c r="AM30" s="45">
        <f t="shared" si="74"/>
        <v>0</v>
      </c>
      <c r="AN30" s="46">
        <f t="shared" si="75"/>
        <v>0</v>
      </c>
      <c r="AO30" s="46">
        <f t="shared" si="76"/>
        <v>0</v>
      </c>
      <c r="AP30" s="47" t="e">
        <f t="shared" si="14"/>
        <v>#DIV/0!</v>
      </c>
      <c r="AQ30" s="48">
        <f t="shared" si="36"/>
        <v>0</v>
      </c>
      <c r="AR30" s="49">
        <f t="shared" si="15"/>
        <v>0</v>
      </c>
    </row>
    <row r="31" spans="2:49" x14ac:dyDescent="0.25">
      <c r="B31" s="22">
        <f t="shared" si="25"/>
        <v>46187</v>
      </c>
      <c r="C31" s="23" t="s">
        <v>55</v>
      </c>
      <c r="D31" s="50">
        <f t="shared" si="106"/>
        <v>0</v>
      </c>
      <c r="E31" s="34">
        <f t="shared" si="106"/>
        <v>0</v>
      </c>
      <c r="F31" s="34">
        <f t="shared" si="106"/>
        <v>0</v>
      </c>
      <c r="G31" s="34">
        <f t="shared" si="77"/>
        <v>0</v>
      </c>
      <c r="H31" s="35">
        <f t="shared" si="78"/>
        <v>0</v>
      </c>
      <c r="I31" s="26">
        <f t="shared" si="19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87"/>
        <v>0</v>
      </c>
      <c r="S31" s="34">
        <f t="shared" si="88"/>
        <v>0</v>
      </c>
      <c r="T31" s="35">
        <f t="shared" si="89"/>
        <v>0</v>
      </c>
      <c r="U31" s="36"/>
      <c r="V31" s="37"/>
      <c r="W31" s="38"/>
      <c r="X31" s="39"/>
      <c r="Y31" s="40"/>
      <c r="Z31" s="40"/>
      <c r="AA31" s="34">
        <f t="shared" si="79"/>
        <v>0</v>
      </c>
      <c r="AB31" s="44">
        <f t="shared" si="80"/>
        <v>0</v>
      </c>
      <c r="AC31" s="301"/>
      <c r="AD31" s="292"/>
      <c r="AE31" s="292"/>
      <c r="AF31" s="34">
        <f t="shared" si="70"/>
        <v>0</v>
      </c>
      <c r="AG31" s="34">
        <f t="shared" si="71"/>
        <v>0</v>
      </c>
      <c r="AH31" s="43"/>
      <c r="AI31" s="38"/>
      <c r="AJ31" s="38"/>
      <c r="AK31" s="34">
        <f t="shared" si="72"/>
        <v>0</v>
      </c>
      <c r="AL31" s="44">
        <f t="shared" si="73"/>
        <v>0</v>
      </c>
      <c r="AM31" s="45">
        <f t="shared" si="74"/>
        <v>0</v>
      </c>
      <c r="AN31" s="46">
        <f t="shared" si="75"/>
        <v>0</v>
      </c>
      <c r="AO31" s="46">
        <f t="shared" si="76"/>
        <v>0</v>
      </c>
      <c r="AP31" s="47" t="e">
        <f t="shared" si="14"/>
        <v>#DIV/0!</v>
      </c>
      <c r="AQ31" s="48">
        <f t="shared" si="36"/>
        <v>0</v>
      </c>
      <c r="AR31" s="49">
        <f t="shared" si="15"/>
        <v>0</v>
      </c>
    </row>
    <row r="32" spans="2:49" x14ac:dyDescent="0.25">
      <c r="B32" s="22">
        <f t="shared" si="25"/>
        <v>46188</v>
      </c>
      <c r="C32" s="23" t="s">
        <v>54</v>
      </c>
      <c r="D32" s="50">
        <f t="shared" ref="D32" si="116">AH31</f>
        <v>0</v>
      </c>
      <c r="E32" s="34">
        <f t="shared" ref="E32" si="117">AI31</f>
        <v>0</v>
      </c>
      <c r="F32" s="34">
        <f t="shared" ref="F32" si="118">AJ31</f>
        <v>0</v>
      </c>
      <c r="G32" s="34">
        <f t="shared" si="77"/>
        <v>0</v>
      </c>
      <c r="H32" s="35">
        <f t="shared" si="78"/>
        <v>0</v>
      </c>
      <c r="I32" s="26">
        <f t="shared" si="19"/>
        <v>0</v>
      </c>
      <c r="J32" s="27"/>
      <c r="K32" s="28"/>
      <c r="L32" s="32"/>
      <c r="M32" s="29"/>
      <c r="N32" s="131"/>
      <c r="O32" s="31"/>
      <c r="P32" s="28"/>
      <c r="Q32" s="32"/>
      <c r="R32" s="53">
        <f t="shared" si="87"/>
        <v>0</v>
      </c>
      <c r="S32" s="34">
        <f t="shared" si="88"/>
        <v>0</v>
      </c>
      <c r="T32" s="35">
        <f t="shared" si="89"/>
        <v>0</v>
      </c>
      <c r="U32" s="36"/>
      <c r="V32" s="37"/>
      <c r="W32" s="38"/>
      <c r="X32" s="39"/>
      <c r="Y32" s="40"/>
      <c r="Z32" s="40"/>
      <c r="AA32" s="34">
        <f t="shared" si="79"/>
        <v>0</v>
      </c>
      <c r="AB32" s="44">
        <f t="shared" si="80"/>
        <v>0</v>
      </c>
      <c r="AC32" s="289"/>
      <c r="AD32" s="290"/>
      <c r="AE32" s="290"/>
      <c r="AF32" s="34">
        <f t="shared" si="70"/>
        <v>0</v>
      </c>
      <c r="AG32" s="34">
        <f t="shared" si="71"/>
        <v>0</v>
      </c>
      <c r="AH32" s="43"/>
      <c r="AI32" s="38"/>
      <c r="AJ32" s="38"/>
      <c r="AK32" s="34">
        <f t="shared" si="72"/>
        <v>0</v>
      </c>
      <c r="AL32" s="44">
        <f t="shared" si="73"/>
        <v>0</v>
      </c>
      <c r="AM32" s="45">
        <f t="shared" si="74"/>
        <v>0</v>
      </c>
      <c r="AN32" s="46">
        <f t="shared" si="75"/>
        <v>0</v>
      </c>
      <c r="AO32" s="46">
        <f t="shared" si="76"/>
        <v>0</v>
      </c>
      <c r="AP32" s="47" t="e">
        <f t="shared" si="14"/>
        <v>#DIV/0!</v>
      </c>
      <c r="AQ32" s="48">
        <f t="shared" si="36"/>
        <v>0</v>
      </c>
      <c r="AR32" s="49">
        <f t="shared" si="15"/>
        <v>0</v>
      </c>
    </row>
    <row r="33" spans="2:49" x14ac:dyDescent="0.25">
      <c r="B33" s="22">
        <f t="shared" si="25"/>
        <v>46188</v>
      </c>
      <c r="C33" s="23" t="s">
        <v>55</v>
      </c>
      <c r="D33" s="50">
        <f t="shared" si="106"/>
        <v>0</v>
      </c>
      <c r="E33" s="34">
        <f t="shared" si="106"/>
        <v>0</v>
      </c>
      <c r="F33" s="34">
        <f t="shared" si="106"/>
        <v>0</v>
      </c>
      <c r="G33" s="34">
        <f t="shared" si="77"/>
        <v>0</v>
      </c>
      <c r="H33" s="35">
        <f t="shared" si="78"/>
        <v>0</v>
      </c>
      <c r="I33" s="26">
        <f t="shared" si="19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87"/>
        <v>0</v>
      </c>
      <c r="S33" s="34">
        <f t="shared" si="88"/>
        <v>0</v>
      </c>
      <c r="T33" s="35">
        <f t="shared" si="89"/>
        <v>0</v>
      </c>
      <c r="U33" s="36"/>
      <c r="V33" s="213"/>
      <c r="W33" s="216"/>
      <c r="X33" s="39"/>
      <c r="Y33" s="40"/>
      <c r="Z33" s="40"/>
      <c r="AA33" s="34">
        <f t="shared" si="79"/>
        <v>0</v>
      </c>
      <c r="AB33" s="44">
        <f t="shared" si="80"/>
        <v>0</v>
      </c>
      <c r="AC33" s="129"/>
      <c r="AD33" s="130"/>
      <c r="AE33" s="130"/>
      <c r="AF33" s="34">
        <f t="shared" si="70"/>
        <v>0</v>
      </c>
      <c r="AG33" s="34">
        <f t="shared" si="71"/>
        <v>0</v>
      </c>
      <c r="AH33" s="43"/>
      <c r="AI33" s="38"/>
      <c r="AJ33" s="38"/>
      <c r="AK33" s="34">
        <f t="shared" si="72"/>
        <v>0</v>
      </c>
      <c r="AL33" s="44">
        <f t="shared" si="73"/>
        <v>0</v>
      </c>
      <c r="AM33" s="45">
        <f t="shared" si="74"/>
        <v>0</v>
      </c>
      <c r="AN33" s="46">
        <f t="shared" si="75"/>
        <v>0</v>
      </c>
      <c r="AO33" s="46">
        <f t="shared" si="76"/>
        <v>0</v>
      </c>
      <c r="AP33" s="47" t="e">
        <f t="shared" si="14"/>
        <v>#DIV/0!</v>
      </c>
      <c r="AQ33" s="48">
        <f t="shared" si="36"/>
        <v>0</v>
      </c>
      <c r="AR33" s="49">
        <f t="shared" si="15"/>
        <v>0</v>
      </c>
    </row>
    <row r="34" spans="2:49" x14ac:dyDescent="0.25">
      <c r="B34" s="22">
        <f t="shared" si="25"/>
        <v>46189</v>
      </c>
      <c r="C34" s="23" t="s">
        <v>54</v>
      </c>
      <c r="D34" s="50">
        <f t="shared" ref="D34" si="119">AH33</f>
        <v>0</v>
      </c>
      <c r="E34" s="34">
        <f t="shared" ref="E34" si="120">AI33</f>
        <v>0</v>
      </c>
      <c r="F34" s="34">
        <f t="shared" ref="F34" si="121">AJ33</f>
        <v>0</v>
      </c>
      <c r="G34" s="34">
        <f t="shared" si="77"/>
        <v>0</v>
      </c>
      <c r="H34" s="35">
        <f t="shared" si="78"/>
        <v>0</v>
      </c>
      <c r="I34" s="26">
        <f t="shared" si="19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87"/>
        <v>0</v>
      </c>
      <c r="S34" s="34">
        <f t="shared" si="88"/>
        <v>0</v>
      </c>
      <c r="T34" s="35">
        <f t="shared" si="89"/>
        <v>0</v>
      </c>
      <c r="U34" s="36"/>
      <c r="V34" s="213"/>
      <c r="W34" s="216"/>
      <c r="X34" s="39"/>
      <c r="Y34" s="40"/>
      <c r="Z34" s="40"/>
      <c r="AA34" s="34">
        <f t="shared" ref="AA34:AA41" si="122">X34*Y34%</f>
        <v>0</v>
      </c>
      <c r="AB34" s="44">
        <f t="shared" ref="AB34:AB41" si="123">X34*Z34%</f>
        <v>0</v>
      </c>
      <c r="AC34" s="286"/>
      <c r="AD34" s="145"/>
      <c r="AE34" s="145"/>
      <c r="AF34" s="34">
        <f t="shared" si="70"/>
        <v>0</v>
      </c>
      <c r="AG34" s="34">
        <f t="shared" si="71"/>
        <v>0</v>
      </c>
      <c r="AH34" s="43"/>
      <c r="AI34" s="38"/>
      <c r="AJ34" s="38"/>
      <c r="AK34" s="34">
        <f t="shared" si="72"/>
        <v>0</v>
      </c>
      <c r="AL34" s="44">
        <f t="shared" si="73"/>
        <v>0</v>
      </c>
      <c r="AM34" s="45">
        <f t="shared" si="74"/>
        <v>0</v>
      </c>
      <c r="AN34" s="46">
        <f t="shared" si="75"/>
        <v>0</v>
      </c>
      <c r="AO34" s="46">
        <f t="shared" si="76"/>
        <v>0</v>
      </c>
      <c r="AP34" s="47" t="e">
        <f t="shared" si="14"/>
        <v>#DIV/0!</v>
      </c>
      <c r="AQ34" s="48">
        <f t="shared" si="36"/>
        <v>0</v>
      </c>
      <c r="AR34" s="49">
        <f t="shared" si="15"/>
        <v>0</v>
      </c>
    </row>
    <row r="35" spans="2:49" x14ac:dyDescent="0.25">
      <c r="B35" s="22">
        <f t="shared" si="25"/>
        <v>46189</v>
      </c>
      <c r="C35" s="23" t="s">
        <v>55</v>
      </c>
      <c r="D35" s="50">
        <f t="shared" ref="D35" si="124">AH34</f>
        <v>0</v>
      </c>
      <c r="E35" s="34">
        <f t="shared" ref="E35" si="125">AI34</f>
        <v>0</v>
      </c>
      <c r="F35" s="34">
        <f t="shared" ref="F35" si="126">AJ34</f>
        <v>0</v>
      </c>
      <c r="G35" s="34">
        <f t="shared" si="77"/>
        <v>0</v>
      </c>
      <c r="H35" s="35">
        <f t="shared" si="78"/>
        <v>0</v>
      </c>
      <c r="I35" s="26">
        <f t="shared" si="19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87"/>
        <v>0</v>
      </c>
      <c r="S35" s="34">
        <f t="shared" si="88"/>
        <v>0</v>
      </c>
      <c r="T35" s="35">
        <f t="shared" si="89"/>
        <v>0</v>
      </c>
      <c r="U35" s="36"/>
      <c r="V35" s="213"/>
      <c r="W35" s="213"/>
      <c r="X35" s="39"/>
      <c r="Y35" s="40"/>
      <c r="Z35" s="40"/>
      <c r="AA35" s="34">
        <f t="shared" si="122"/>
        <v>0</v>
      </c>
      <c r="AB35" s="44">
        <f t="shared" si="123"/>
        <v>0</v>
      </c>
      <c r="AC35" s="129"/>
      <c r="AD35" s="130"/>
      <c r="AE35" s="130"/>
      <c r="AF35" s="34">
        <f t="shared" si="70"/>
        <v>0</v>
      </c>
      <c r="AG35" s="34">
        <f t="shared" si="71"/>
        <v>0</v>
      </c>
      <c r="AH35" s="43"/>
      <c r="AI35" s="38"/>
      <c r="AJ35" s="38"/>
      <c r="AK35" s="34">
        <f t="shared" si="72"/>
        <v>0</v>
      </c>
      <c r="AL35" s="44">
        <f t="shared" si="73"/>
        <v>0</v>
      </c>
      <c r="AM35" s="45">
        <f t="shared" si="74"/>
        <v>0</v>
      </c>
      <c r="AN35" s="46">
        <f t="shared" si="75"/>
        <v>0</v>
      </c>
      <c r="AO35" s="46">
        <f t="shared" si="76"/>
        <v>0</v>
      </c>
      <c r="AP35" s="47" t="e">
        <f t="shared" si="14"/>
        <v>#DIV/0!</v>
      </c>
      <c r="AQ35" s="48">
        <f t="shared" si="36"/>
        <v>0</v>
      </c>
      <c r="AR35" s="49">
        <f t="shared" si="15"/>
        <v>0</v>
      </c>
    </row>
    <row r="36" spans="2:49" x14ac:dyDescent="0.25">
      <c r="B36" s="22">
        <f t="shared" si="25"/>
        <v>46190</v>
      </c>
      <c r="C36" s="23" t="s">
        <v>54</v>
      </c>
      <c r="D36" s="50">
        <f t="shared" ref="D36" si="127">AH35</f>
        <v>0</v>
      </c>
      <c r="E36" s="34">
        <f t="shared" ref="E36" si="128">AI35</f>
        <v>0</v>
      </c>
      <c r="F36" s="34">
        <f t="shared" ref="F36" si="129">AJ35</f>
        <v>0</v>
      </c>
      <c r="G36" s="34">
        <f t="shared" si="7"/>
        <v>0</v>
      </c>
      <c r="H36" s="35">
        <f t="shared" si="8"/>
        <v>0</v>
      </c>
      <c r="I36" s="26">
        <f t="shared" si="19"/>
        <v>0</v>
      </c>
      <c r="J36" s="27"/>
      <c r="K36" s="28"/>
      <c r="L36" s="32"/>
      <c r="M36" s="29"/>
      <c r="N36" s="30"/>
      <c r="O36" s="31"/>
      <c r="P36" s="28"/>
      <c r="Q36" s="32"/>
      <c r="R36" s="53">
        <f t="shared" ref="R36:R41" si="130">O36+J36</f>
        <v>0</v>
      </c>
      <c r="S36" s="34">
        <f t="shared" ref="S36:S41" si="131">(J36*K36%)+(O36*P36%)</f>
        <v>0</v>
      </c>
      <c r="T36" s="35">
        <f t="shared" ref="T36:T41" si="132">(J36*L36%)+(O36*Q36%)</f>
        <v>0</v>
      </c>
      <c r="U36" s="36"/>
      <c r="V36" s="213"/>
      <c r="W36" s="216"/>
      <c r="X36" s="39"/>
      <c r="Y36" s="40"/>
      <c r="Z36" s="40"/>
      <c r="AA36" s="34">
        <f t="shared" si="122"/>
        <v>0</v>
      </c>
      <c r="AB36" s="44">
        <f t="shared" si="123"/>
        <v>0</v>
      </c>
      <c r="AC36" s="286"/>
      <c r="AD36" s="145"/>
      <c r="AE36" s="145"/>
      <c r="AF36" s="34">
        <f t="shared" ref="AF36:AF41" si="133">AC36*AD36%</f>
        <v>0</v>
      </c>
      <c r="AG36" s="34">
        <f t="shared" ref="AG36:AG41" si="134">AC36*AE36%</f>
        <v>0</v>
      </c>
      <c r="AH36" s="43"/>
      <c r="AI36" s="38"/>
      <c r="AJ36" s="38"/>
      <c r="AK36" s="34">
        <f t="shared" si="2"/>
        <v>0</v>
      </c>
      <c r="AL36" s="44">
        <f t="shared" si="3"/>
        <v>0</v>
      </c>
      <c r="AM36" s="45">
        <f t="shared" si="13"/>
        <v>0</v>
      </c>
      <c r="AN36" s="51">
        <f t="shared" ref="AN36:AO41" si="135">+G36+S36-AF36-AK36</f>
        <v>0</v>
      </c>
      <c r="AO36" s="51">
        <f t="shared" si="135"/>
        <v>0</v>
      </c>
      <c r="AP36" s="47" t="e">
        <f t="shared" si="14"/>
        <v>#DIV/0!</v>
      </c>
      <c r="AQ36" s="48">
        <f t="shared" si="36"/>
        <v>0</v>
      </c>
      <c r="AR36" s="49">
        <f t="shared" si="15"/>
        <v>0</v>
      </c>
    </row>
    <row r="37" spans="2:49" x14ac:dyDescent="0.25">
      <c r="B37" s="22">
        <f t="shared" si="25"/>
        <v>46190</v>
      </c>
      <c r="C37" s="23" t="s">
        <v>55</v>
      </c>
      <c r="D37" s="50">
        <f t="shared" ref="D37:F41" si="136">AH36</f>
        <v>0</v>
      </c>
      <c r="E37" s="34">
        <f t="shared" si="136"/>
        <v>0</v>
      </c>
      <c r="F37" s="34">
        <f t="shared" si="136"/>
        <v>0</v>
      </c>
      <c r="G37" s="34">
        <f t="shared" si="7"/>
        <v>0</v>
      </c>
      <c r="H37" s="35">
        <f t="shared" si="8"/>
        <v>0</v>
      </c>
      <c r="I37" s="26">
        <f t="shared" si="19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130"/>
        <v>0</v>
      </c>
      <c r="S37" s="34">
        <f t="shared" si="131"/>
        <v>0</v>
      </c>
      <c r="T37" s="35">
        <f t="shared" si="132"/>
        <v>0</v>
      </c>
      <c r="U37" s="36"/>
      <c r="V37" s="213"/>
      <c r="W37" s="213"/>
      <c r="X37" s="39"/>
      <c r="Y37" s="40"/>
      <c r="Z37" s="40"/>
      <c r="AA37" s="34">
        <f t="shared" si="122"/>
        <v>0</v>
      </c>
      <c r="AB37" s="34">
        <f t="shared" si="123"/>
        <v>0</v>
      </c>
      <c r="AC37" s="129"/>
      <c r="AD37" s="130"/>
      <c r="AE37" s="130"/>
      <c r="AF37" s="34">
        <f t="shared" si="133"/>
        <v>0</v>
      </c>
      <c r="AG37" s="34">
        <f t="shared" si="134"/>
        <v>0</v>
      </c>
      <c r="AH37" s="43"/>
      <c r="AI37" s="38"/>
      <c r="AJ37" s="38"/>
      <c r="AK37" s="34">
        <f t="shared" si="2"/>
        <v>0</v>
      </c>
      <c r="AL37" s="44">
        <f t="shared" si="3"/>
        <v>0</v>
      </c>
      <c r="AM37" s="45">
        <f t="shared" si="13"/>
        <v>0</v>
      </c>
      <c r="AN37" s="51">
        <f t="shared" si="135"/>
        <v>0</v>
      </c>
      <c r="AO37" s="51">
        <f t="shared" si="135"/>
        <v>0</v>
      </c>
      <c r="AP37" s="47" t="e">
        <f t="shared" si="14"/>
        <v>#DIV/0!</v>
      </c>
      <c r="AQ37" s="48">
        <f t="shared" si="36"/>
        <v>0</v>
      </c>
      <c r="AR37" s="49">
        <f t="shared" si="15"/>
        <v>0</v>
      </c>
    </row>
    <row r="38" spans="2:49" x14ac:dyDescent="0.25">
      <c r="B38" s="22">
        <f>+B36+1</f>
        <v>46191</v>
      </c>
      <c r="C38" s="23" t="s">
        <v>54</v>
      </c>
      <c r="D38" s="50">
        <f t="shared" ref="D38" si="137">AH37</f>
        <v>0</v>
      </c>
      <c r="E38" s="34">
        <f t="shared" ref="E38" si="138">AI37</f>
        <v>0</v>
      </c>
      <c r="F38" s="34">
        <f t="shared" ref="F38" si="139">AJ37</f>
        <v>0</v>
      </c>
      <c r="G38" s="34">
        <f t="shared" si="7"/>
        <v>0</v>
      </c>
      <c r="H38" s="35">
        <f t="shared" si="8"/>
        <v>0</v>
      </c>
      <c r="I38" s="26">
        <f t="shared" si="19"/>
        <v>0</v>
      </c>
      <c r="J38" s="27"/>
      <c r="K38" s="28"/>
      <c r="L38" s="32"/>
      <c r="M38" s="29"/>
      <c r="N38" s="30"/>
      <c r="O38" s="31"/>
      <c r="P38" s="28"/>
      <c r="Q38" s="32"/>
      <c r="R38" s="53">
        <f t="shared" ref="R38" si="140">O38+J38</f>
        <v>0</v>
      </c>
      <c r="S38" s="34">
        <f t="shared" ref="S38" si="141">(J38*K38%)+(O38*P38%)</f>
        <v>0</v>
      </c>
      <c r="T38" s="35">
        <f t="shared" ref="T38" si="142">(J38*L38%)+(O38*Q38%)</f>
        <v>0</v>
      </c>
      <c r="U38" s="36"/>
      <c r="V38" s="213"/>
      <c r="W38" s="213"/>
      <c r="X38" s="39"/>
      <c r="Y38" s="40"/>
      <c r="Z38" s="40"/>
      <c r="AA38" s="34">
        <f t="shared" ref="AA38" si="143">X38*Y38%</f>
        <v>0</v>
      </c>
      <c r="AB38" s="44">
        <f t="shared" ref="AB38" si="144">X38*Z38%</f>
        <v>0</v>
      </c>
      <c r="AC38" s="286"/>
      <c r="AD38" s="145"/>
      <c r="AE38" s="145"/>
      <c r="AF38" s="34">
        <f t="shared" ref="AF38" si="145">AC38*AD38%</f>
        <v>0</v>
      </c>
      <c r="AG38" s="34">
        <f t="shared" ref="AG38" si="146">AC38*AE38%</f>
        <v>0</v>
      </c>
      <c r="AH38" s="43"/>
      <c r="AI38" s="38"/>
      <c r="AJ38" s="38"/>
      <c r="AK38" s="34">
        <f t="shared" si="2"/>
        <v>0</v>
      </c>
      <c r="AL38" s="44">
        <f t="shared" si="3"/>
        <v>0</v>
      </c>
      <c r="AM38" s="45">
        <f t="shared" si="13"/>
        <v>0</v>
      </c>
      <c r="AN38" s="51">
        <f t="shared" si="135"/>
        <v>0</v>
      </c>
      <c r="AO38" s="51">
        <f t="shared" si="135"/>
        <v>0</v>
      </c>
      <c r="AP38" s="47" t="e">
        <f t="shared" si="14"/>
        <v>#DIV/0!</v>
      </c>
      <c r="AQ38" s="48">
        <f t="shared" si="36"/>
        <v>0</v>
      </c>
      <c r="AR38" s="49">
        <f t="shared" si="15"/>
        <v>0</v>
      </c>
    </row>
    <row r="39" spans="2:49" x14ac:dyDescent="0.25">
      <c r="B39" s="22">
        <f t="shared" si="25"/>
        <v>46191</v>
      </c>
      <c r="C39" s="23" t="s">
        <v>55</v>
      </c>
      <c r="D39" s="50">
        <f t="shared" ref="D39" si="147">AH38</f>
        <v>0</v>
      </c>
      <c r="E39" s="34">
        <f t="shared" ref="E39" si="148">AI38</f>
        <v>0</v>
      </c>
      <c r="F39" s="34">
        <f t="shared" ref="F39" si="149">AJ38</f>
        <v>0</v>
      </c>
      <c r="G39" s="34">
        <f t="shared" si="7"/>
        <v>0</v>
      </c>
      <c r="H39" s="35">
        <f t="shared" si="8"/>
        <v>0</v>
      </c>
      <c r="I39" s="26">
        <f t="shared" si="19"/>
        <v>0</v>
      </c>
      <c r="J39" s="27"/>
      <c r="K39" s="28"/>
      <c r="L39" s="32"/>
      <c r="M39" s="29"/>
      <c r="N39" s="30"/>
      <c r="O39" s="31"/>
      <c r="P39" s="28"/>
      <c r="Q39" s="32"/>
      <c r="R39" s="53">
        <f t="shared" si="130"/>
        <v>0</v>
      </c>
      <c r="S39" s="34">
        <f t="shared" si="131"/>
        <v>0</v>
      </c>
      <c r="T39" s="35">
        <f t="shared" si="132"/>
        <v>0</v>
      </c>
      <c r="U39" s="36"/>
      <c r="V39" s="213"/>
      <c r="W39" s="213"/>
      <c r="X39" s="39"/>
      <c r="Y39" s="40"/>
      <c r="Z39" s="40"/>
      <c r="AA39" s="34">
        <f t="shared" si="122"/>
        <v>0</v>
      </c>
      <c r="AB39" s="44">
        <f t="shared" si="123"/>
        <v>0</v>
      </c>
      <c r="AC39" s="129"/>
      <c r="AD39" s="130"/>
      <c r="AE39" s="130"/>
      <c r="AF39" s="34">
        <f t="shared" si="133"/>
        <v>0</v>
      </c>
      <c r="AG39" s="34">
        <f t="shared" si="134"/>
        <v>0</v>
      </c>
      <c r="AH39" s="43"/>
      <c r="AI39" s="38"/>
      <c r="AJ39" s="38"/>
      <c r="AK39" s="34">
        <f t="shared" si="2"/>
        <v>0</v>
      </c>
      <c r="AL39" s="44">
        <f t="shared" si="3"/>
        <v>0</v>
      </c>
      <c r="AM39" s="45">
        <f t="shared" si="13"/>
        <v>0</v>
      </c>
      <c r="AN39" s="51">
        <f t="shared" si="135"/>
        <v>0</v>
      </c>
      <c r="AO39" s="51">
        <f t="shared" si="135"/>
        <v>0</v>
      </c>
      <c r="AP39" s="47" t="e">
        <f t="shared" si="14"/>
        <v>#DIV/0!</v>
      </c>
      <c r="AQ39" s="48">
        <f t="shared" si="36"/>
        <v>0</v>
      </c>
      <c r="AR39" s="49">
        <f t="shared" si="15"/>
        <v>0</v>
      </c>
    </row>
    <row r="40" spans="2:49" x14ac:dyDescent="0.25">
      <c r="B40" s="22">
        <f t="shared" si="25"/>
        <v>46192</v>
      </c>
      <c r="C40" s="23" t="s">
        <v>54</v>
      </c>
      <c r="D40" s="50">
        <f t="shared" ref="D40" si="150">AH39</f>
        <v>0</v>
      </c>
      <c r="E40" s="34">
        <f t="shared" ref="E40" si="151">AI39</f>
        <v>0</v>
      </c>
      <c r="F40" s="34">
        <f t="shared" ref="F40" si="152">AJ39</f>
        <v>0</v>
      </c>
      <c r="G40" s="34">
        <f t="shared" si="7"/>
        <v>0</v>
      </c>
      <c r="H40" s="35">
        <f t="shared" si="8"/>
        <v>0</v>
      </c>
      <c r="I40" s="26">
        <f t="shared" si="19"/>
        <v>0</v>
      </c>
      <c r="J40" s="27"/>
      <c r="K40" s="28"/>
      <c r="L40" s="32"/>
      <c r="M40" s="29"/>
      <c r="N40" s="30"/>
      <c r="O40" s="31"/>
      <c r="P40" s="28"/>
      <c r="Q40" s="32"/>
      <c r="R40" s="53">
        <f t="shared" si="130"/>
        <v>0</v>
      </c>
      <c r="S40" s="34">
        <f t="shared" si="131"/>
        <v>0</v>
      </c>
      <c r="T40" s="35">
        <f t="shared" si="132"/>
        <v>0</v>
      </c>
      <c r="U40" s="36"/>
      <c r="V40" s="213"/>
      <c r="W40" s="216"/>
      <c r="X40" s="39"/>
      <c r="Y40" s="40"/>
      <c r="Z40" s="40"/>
      <c r="AA40" s="34">
        <f t="shared" si="122"/>
        <v>0</v>
      </c>
      <c r="AB40" s="44">
        <f t="shared" si="123"/>
        <v>0</v>
      </c>
      <c r="AC40" s="286"/>
      <c r="AD40" s="145"/>
      <c r="AE40" s="145"/>
      <c r="AF40" s="34">
        <f t="shared" si="133"/>
        <v>0</v>
      </c>
      <c r="AG40" s="34">
        <f t="shared" si="134"/>
        <v>0</v>
      </c>
      <c r="AH40" s="43"/>
      <c r="AI40" s="38"/>
      <c r="AJ40" s="38"/>
      <c r="AK40" s="34">
        <f t="shared" si="2"/>
        <v>0</v>
      </c>
      <c r="AL40" s="44">
        <f t="shared" si="3"/>
        <v>0</v>
      </c>
      <c r="AM40" s="45">
        <f t="shared" si="13"/>
        <v>0</v>
      </c>
      <c r="AN40" s="51">
        <f t="shared" si="135"/>
        <v>0</v>
      </c>
      <c r="AO40" s="51">
        <f t="shared" si="135"/>
        <v>0</v>
      </c>
      <c r="AP40" s="47" t="e">
        <f t="shared" si="14"/>
        <v>#DIV/0!</v>
      </c>
      <c r="AQ40" s="48">
        <f t="shared" si="36"/>
        <v>0</v>
      </c>
      <c r="AR40" s="49">
        <f t="shared" si="15"/>
        <v>0</v>
      </c>
    </row>
    <row r="41" spans="2:49" x14ac:dyDescent="0.25">
      <c r="B41" s="22">
        <f t="shared" si="25"/>
        <v>46192</v>
      </c>
      <c r="C41" s="23" t="s">
        <v>55</v>
      </c>
      <c r="D41" s="50">
        <f t="shared" si="136"/>
        <v>0</v>
      </c>
      <c r="E41" s="34">
        <f t="shared" si="136"/>
        <v>0</v>
      </c>
      <c r="F41" s="34">
        <f t="shared" si="136"/>
        <v>0</v>
      </c>
      <c r="G41" s="34">
        <f t="shared" si="7"/>
        <v>0</v>
      </c>
      <c r="H41" s="35">
        <f t="shared" si="8"/>
        <v>0</v>
      </c>
      <c r="I41" s="26">
        <f t="shared" si="19"/>
        <v>0</v>
      </c>
      <c r="J41" s="27"/>
      <c r="K41" s="28"/>
      <c r="L41" s="32"/>
      <c r="M41" s="29"/>
      <c r="N41" s="30"/>
      <c r="O41" s="31"/>
      <c r="P41" s="28"/>
      <c r="Q41" s="32"/>
      <c r="R41" s="53">
        <f t="shared" si="130"/>
        <v>0</v>
      </c>
      <c r="S41" s="34">
        <f t="shared" si="131"/>
        <v>0</v>
      </c>
      <c r="T41" s="35">
        <f t="shared" si="132"/>
        <v>0</v>
      </c>
      <c r="U41" s="36"/>
      <c r="V41" s="213"/>
      <c r="W41" s="213"/>
      <c r="X41" s="39"/>
      <c r="Y41" s="40"/>
      <c r="Z41" s="40"/>
      <c r="AA41" s="34">
        <f t="shared" si="122"/>
        <v>0</v>
      </c>
      <c r="AB41" s="44">
        <f t="shared" si="123"/>
        <v>0</v>
      </c>
      <c r="AC41" s="129"/>
      <c r="AD41" s="130"/>
      <c r="AE41" s="130"/>
      <c r="AF41" s="34">
        <f t="shared" si="133"/>
        <v>0</v>
      </c>
      <c r="AG41" s="34">
        <f t="shared" si="134"/>
        <v>0</v>
      </c>
      <c r="AH41" s="43"/>
      <c r="AI41" s="38"/>
      <c r="AJ41" s="38"/>
      <c r="AK41" s="34">
        <f t="shared" si="2"/>
        <v>0</v>
      </c>
      <c r="AL41" s="44">
        <f t="shared" si="3"/>
        <v>0</v>
      </c>
      <c r="AM41" s="45">
        <f t="shared" si="13"/>
        <v>0</v>
      </c>
      <c r="AN41" s="51">
        <f t="shared" si="135"/>
        <v>0</v>
      </c>
      <c r="AO41" s="51">
        <f t="shared" si="135"/>
        <v>0</v>
      </c>
      <c r="AP41" s="47" t="e">
        <f t="shared" si="14"/>
        <v>#DIV/0!</v>
      </c>
      <c r="AQ41" s="48">
        <f t="shared" si="36"/>
        <v>0</v>
      </c>
      <c r="AR41" s="49">
        <f t="shared" si="15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25"/>
        <v>46193</v>
      </c>
      <c r="C42" s="23" t="s">
        <v>54</v>
      </c>
      <c r="D42" s="50">
        <f t="shared" ref="D42" si="153">AH41</f>
        <v>0</v>
      </c>
      <c r="E42" s="34">
        <f t="shared" ref="E42" si="154">AI41</f>
        <v>0</v>
      </c>
      <c r="F42" s="34">
        <f t="shared" ref="F42" si="155">AJ41</f>
        <v>0</v>
      </c>
      <c r="G42" s="34">
        <f t="shared" ref="G42:G65" si="156">+D42*E42%</f>
        <v>0</v>
      </c>
      <c r="H42" s="35">
        <f t="shared" ref="H42:H65" si="157">+D42*F42%</f>
        <v>0</v>
      </c>
      <c r="I42" s="26">
        <f t="shared" si="19"/>
        <v>0</v>
      </c>
      <c r="J42" s="27"/>
      <c r="K42" s="28"/>
      <c r="L42" s="28"/>
      <c r="M42" s="29"/>
      <c r="N42" s="30"/>
      <c r="O42" s="31"/>
      <c r="P42" s="28"/>
      <c r="Q42" s="293"/>
      <c r="R42" s="294">
        <f t="shared" ref="R42:R64" si="158">O42+J42</f>
        <v>0</v>
      </c>
      <c r="S42" s="34">
        <f t="shared" ref="S42:S64" si="159">(J42*K42%)+(O42*P42%)</f>
        <v>0</v>
      </c>
      <c r="T42" s="44">
        <f t="shared" ref="T42:T64" si="160">(J42*L42%)+(O42*Q42%)</f>
        <v>0</v>
      </c>
      <c r="U42" s="36"/>
      <c r="V42" s="213"/>
      <c r="W42" s="216"/>
      <c r="X42" s="39"/>
      <c r="Y42" s="40"/>
      <c r="Z42" s="40"/>
      <c r="AA42" s="34">
        <f t="shared" ref="AA42:AA65" si="161">X42*Y42%</f>
        <v>0</v>
      </c>
      <c r="AB42" s="44">
        <f t="shared" ref="AB42:AB65" si="162">X42*Z42%</f>
        <v>0</v>
      </c>
      <c r="AC42" s="286"/>
      <c r="AD42" s="145"/>
      <c r="AE42" s="145"/>
      <c r="AF42" s="34">
        <f t="shared" ref="AF42:AF65" si="163">AC42*AD42%</f>
        <v>0</v>
      </c>
      <c r="AG42" s="35">
        <f t="shared" ref="AG42:AG65" si="164">AC42*AE42%</f>
        <v>0</v>
      </c>
      <c r="AH42" s="295"/>
      <c r="AI42" s="38"/>
      <c r="AJ42" s="38"/>
      <c r="AK42" s="34">
        <f t="shared" ref="AK42:AK64" si="165">AH42*AI42%</f>
        <v>0</v>
      </c>
      <c r="AL42" s="44">
        <f t="shared" ref="AL42:AL64" si="166">AH42*AJ42%</f>
        <v>0</v>
      </c>
      <c r="AM42" s="45">
        <f t="shared" ref="AM42:AM65" si="167">+D42+R42-AC42-AH42</f>
        <v>0</v>
      </c>
      <c r="AN42" s="51">
        <f t="shared" ref="AN42:AN65" si="168">+G42+S42-AF42-AK42</f>
        <v>0</v>
      </c>
      <c r="AO42" s="51">
        <f t="shared" ref="AO42:AO65" si="169">+H42+T42-AG42-AL42</f>
        <v>0</v>
      </c>
      <c r="AP42" s="47" t="e">
        <f t="shared" ref="AP42:AP65" si="170">(AN42+AO42)/(S42+T42)</f>
        <v>#DIV/0!</v>
      </c>
      <c r="AQ42" s="48">
        <f t="shared" ref="AQ42:AQ65" si="171">($AP$1*AN42+$AQ$1*AO42)</f>
        <v>0</v>
      </c>
      <c r="AR42" s="49">
        <f t="shared" si="15"/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25"/>
        <v>46193</v>
      </c>
      <c r="C43" s="23" t="s">
        <v>55</v>
      </c>
      <c r="D43" s="50">
        <f t="shared" ref="D43:D55" si="172">AH42</f>
        <v>0</v>
      </c>
      <c r="E43" s="34">
        <f t="shared" ref="E43:E55" si="173">AI42</f>
        <v>0</v>
      </c>
      <c r="F43" s="34">
        <f t="shared" ref="F43:F55" si="174">AJ42</f>
        <v>0</v>
      </c>
      <c r="G43" s="34">
        <f t="shared" si="156"/>
        <v>0</v>
      </c>
      <c r="H43" s="35">
        <f t="shared" si="157"/>
        <v>0</v>
      </c>
      <c r="I43" s="26">
        <f t="shared" si="19"/>
        <v>0</v>
      </c>
      <c r="J43" s="27"/>
      <c r="K43" s="28"/>
      <c r="L43" s="28"/>
      <c r="M43" s="29"/>
      <c r="N43" s="30"/>
      <c r="O43" s="31"/>
      <c r="P43" s="28"/>
      <c r="Q43" s="293"/>
      <c r="R43" s="294">
        <f t="shared" si="158"/>
        <v>0</v>
      </c>
      <c r="S43" s="34">
        <f t="shared" si="159"/>
        <v>0</v>
      </c>
      <c r="T43" s="44">
        <f t="shared" si="160"/>
        <v>0</v>
      </c>
      <c r="U43" s="36"/>
      <c r="V43" s="213"/>
      <c r="W43" s="213"/>
      <c r="X43" s="39"/>
      <c r="Y43" s="40"/>
      <c r="Z43" s="40"/>
      <c r="AA43" s="34">
        <f t="shared" si="161"/>
        <v>0</v>
      </c>
      <c r="AB43" s="44">
        <f t="shared" si="162"/>
        <v>0</v>
      </c>
      <c r="AC43" s="129"/>
      <c r="AD43" s="130"/>
      <c r="AE43" s="130"/>
      <c r="AF43" s="34">
        <f t="shared" si="163"/>
        <v>0</v>
      </c>
      <c r="AG43" s="35">
        <f t="shared" si="164"/>
        <v>0</v>
      </c>
      <c r="AH43" s="295"/>
      <c r="AI43" s="38"/>
      <c r="AJ43" s="38"/>
      <c r="AK43" s="34">
        <f t="shared" si="165"/>
        <v>0</v>
      </c>
      <c r="AL43" s="44">
        <f t="shared" si="166"/>
        <v>0</v>
      </c>
      <c r="AM43" s="45">
        <f t="shared" si="167"/>
        <v>0</v>
      </c>
      <c r="AN43" s="51">
        <f t="shared" si="168"/>
        <v>0</v>
      </c>
      <c r="AO43" s="51">
        <f t="shared" si="169"/>
        <v>0</v>
      </c>
      <c r="AP43" s="47" t="e">
        <f t="shared" si="170"/>
        <v>#DIV/0!</v>
      </c>
      <c r="AQ43" s="48">
        <f t="shared" si="171"/>
        <v>0</v>
      </c>
      <c r="AR43" s="49">
        <f t="shared" si="15"/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25"/>
        <v>46194</v>
      </c>
      <c r="C44" s="23" t="s">
        <v>54</v>
      </c>
      <c r="D44" s="50">
        <f t="shared" ref="D44" si="175">AH43</f>
        <v>0</v>
      </c>
      <c r="E44" s="34">
        <f t="shared" ref="E44" si="176">AI43</f>
        <v>0</v>
      </c>
      <c r="F44" s="34">
        <f t="shared" ref="F44" si="177">AJ43</f>
        <v>0</v>
      </c>
      <c r="G44" s="34">
        <f t="shared" si="156"/>
        <v>0</v>
      </c>
      <c r="H44" s="35">
        <f t="shared" si="157"/>
        <v>0</v>
      </c>
      <c r="I44" s="26">
        <f t="shared" si="19"/>
        <v>0</v>
      </c>
      <c r="J44" s="27"/>
      <c r="K44" s="28"/>
      <c r="L44" s="28"/>
      <c r="M44" s="29"/>
      <c r="N44" s="30"/>
      <c r="O44" s="31"/>
      <c r="P44" s="28"/>
      <c r="Q44" s="293"/>
      <c r="R44" s="294">
        <f t="shared" si="158"/>
        <v>0</v>
      </c>
      <c r="S44" s="34">
        <f t="shared" si="159"/>
        <v>0</v>
      </c>
      <c r="T44" s="44">
        <f t="shared" si="160"/>
        <v>0</v>
      </c>
      <c r="U44" s="36"/>
      <c r="V44" s="213"/>
      <c r="W44" s="213"/>
      <c r="X44" s="39"/>
      <c r="Y44" s="40"/>
      <c r="Z44" s="40"/>
      <c r="AA44" s="34">
        <f t="shared" si="161"/>
        <v>0</v>
      </c>
      <c r="AB44" s="44">
        <f t="shared" si="162"/>
        <v>0</v>
      </c>
      <c r="AC44" s="129"/>
      <c r="AD44" s="130"/>
      <c r="AE44" s="130"/>
      <c r="AF44" s="34">
        <f t="shared" si="163"/>
        <v>0</v>
      </c>
      <c r="AG44" s="35">
        <f t="shared" si="164"/>
        <v>0</v>
      </c>
      <c r="AH44" s="295"/>
      <c r="AI44" s="38"/>
      <c r="AJ44" s="38"/>
      <c r="AK44" s="34">
        <f t="shared" si="165"/>
        <v>0</v>
      </c>
      <c r="AL44" s="44">
        <f t="shared" si="166"/>
        <v>0</v>
      </c>
      <c r="AM44" s="45">
        <f t="shared" si="167"/>
        <v>0</v>
      </c>
      <c r="AN44" s="51">
        <f t="shared" si="168"/>
        <v>0</v>
      </c>
      <c r="AO44" s="51">
        <f t="shared" si="169"/>
        <v>0</v>
      </c>
      <c r="AP44" s="47" t="e">
        <f t="shared" si="170"/>
        <v>#DIV/0!</v>
      </c>
      <c r="AQ44" s="48">
        <f t="shared" si="171"/>
        <v>0</v>
      </c>
      <c r="AR44" s="49">
        <f t="shared" si="15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25"/>
        <v>46194</v>
      </c>
      <c r="C45" s="23" t="s">
        <v>55</v>
      </c>
      <c r="D45" s="50">
        <f t="shared" ref="D45" si="178">AH44</f>
        <v>0</v>
      </c>
      <c r="E45" s="34">
        <f t="shared" ref="E45" si="179">AI44</f>
        <v>0</v>
      </c>
      <c r="F45" s="34">
        <f t="shared" ref="F45" si="180">AJ44</f>
        <v>0</v>
      </c>
      <c r="G45" s="34">
        <f t="shared" si="156"/>
        <v>0</v>
      </c>
      <c r="H45" s="35">
        <f t="shared" si="157"/>
        <v>0</v>
      </c>
      <c r="I45" s="26">
        <f t="shared" si="19"/>
        <v>0</v>
      </c>
      <c r="J45" s="27"/>
      <c r="K45" s="28"/>
      <c r="L45" s="28"/>
      <c r="M45" s="29"/>
      <c r="N45" s="30"/>
      <c r="O45" s="31"/>
      <c r="P45" s="28"/>
      <c r="Q45" s="293"/>
      <c r="R45" s="294">
        <f t="shared" si="158"/>
        <v>0</v>
      </c>
      <c r="S45" s="34">
        <f t="shared" si="159"/>
        <v>0</v>
      </c>
      <c r="T45" s="44">
        <f t="shared" si="160"/>
        <v>0</v>
      </c>
      <c r="U45" s="36"/>
      <c r="V45" s="213"/>
      <c r="W45" s="213"/>
      <c r="X45" s="39"/>
      <c r="Y45" s="40"/>
      <c r="Z45" s="40"/>
      <c r="AA45" s="34">
        <f t="shared" si="161"/>
        <v>0</v>
      </c>
      <c r="AB45" s="44">
        <f t="shared" si="162"/>
        <v>0</v>
      </c>
      <c r="AC45" s="286"/>
      <c r="AD45" s="145"/>
      <c r="AE45" s="145"/>
      <c r="AF45" s="34">
        <f t="shared" si="163"/>
        <v>0</v>
      </c>
      <c r="AG45" s="35">
        <f t="shared" si="164"/>
        <v>0</v>
      </c>
      <c r="AH45" s="295"/>
      <c r="AI45" s="38"/>
      <c r="AJ45" s="38"/>
      <c r="AK45" s="34">
        <f t="shared" si="165"/>
        <v>0</v>
      </c>
      <c r="AL45" s="44">
        <f t="shared" si="166"/>
        <v>0</v>
      </c>
      <c r="AM45" s="45">
        <f t="shared" si="167"/>
        <v>0</v>
      </c>
      <c r="AN45" s="51">
        <f t="shared" si="168"/>
        <v>0</v>
      </c>
      <c r="AO45" s="51">
        <f t="shared" si="169"/>
        <v>0</v>
      </c>
      <c r="AP45" s="47" t="e">
        <f t="shared" si="170"/>
        <v>#DIV/0!</v>
      </c>
      <c r="AQ45" s="48">
        <f t="shared" si="171"/>
        <v>0</v>
      </c>
      <c r="AR45" s="49">
        <f t="shared" si="15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25"/>
        <v>46195</v>
      </c>
      <c r="C46" s="23" t="s">
        <v>54</v>
      </c>
      <c r="D46" s="50">
        <f t="shared" ref="D46" si="181">AH45</f>
        <v>0</v>
      </c>
      <c r="E46" s="34">
        <f t="shared" ref="E46" si="182">AI45</f>
        <v>0</v>
      </c>
      <c r="F46" s="34">
        <f t="shared" ref="F46" si="183">AJ45</f>
        <v>0</v>
      </c>
      <c r="G46" s="34">
        <f t="shared" si="156"/>
        <v>0</v>
      </c>
      <c r="H46" s="35">
        <f t="shared" si="157"/>
        <v>0</v>
      </c>
      <c r="I46" s="26">
        <f t="shared" si="19"/>
        <v>0</v>
      </c>
      <c r="J46" s="27"/>
      <c r="K46" s="28"/>
      <c r="L46" s="28"/>
      <c r="M46" s="61"/>
      <c r="N46" s="61"/>
      <c r="O46" s="31"/>
      <c r="P46" s="28"/>
      <c r="Q46" s="293"/>
      <c r="R46" s="294">
        <f t="shared" si="158"/>
        <v>0</v>
      </c>
      <c r="S46" s="34">
        <f t="shared" si="159"/>
        <v>0</v>
      </c>
      <c r="T46" s="44">
        <f t="shared" si="160"/>
        <v>0</v>
      </c>
      <c r="U46" s="36"/>
      <c r="V46" s="213"/>
      <c r="W46" s="216"/>
      <c r="X46" s="39"/>
      <c r="Y46" s="40"/>
      <c r="Z46" s="40"/>
      <c r="AA46" s="34">
        <f t="shared" si="161"/>
        <v>0</v>
      </c>
      <c r="AB46" s="44">
        <f t="shared" si="162"/>
        <v>0</v>
      </c>
      <c r="AC46" s="129"/>
      <c r="AD46" s="130"/>
      <c r="AE46" s="130"/>
      <c r="AF46" s="34">
        <f t="shared" si="163"/>
        <v>0</v>
      </c>
      <c r="AG46" s="35">
        <f t="shared" si="164"/>
        <v>0</v>
      </c>
      <c r="AH46" s="295"/>
      <c r="AI46" s="38"/>
      <c r="AJ46" s="38"/>
      <c r="AK46" s="34">
        <f t="shared" si="165"/>
        <v>0</v>
      </c>
      <c r="AL46" s="44">
        <f t="shared" si="166"/>
        <v>0</v>
      </c>
      <c r="AM46" s="45">
        <f t="shared" si="167"/>
        <v>0</v>
      </c>
      <c r="AN46" s="51">
        <f t="shared" si="168"/>
        <v>0</v>
      </c>
      <c r="AO46" s="51">
        <f t="shared" si="169"/>
        <v>0</v>
      </c>
      <c r="AP46" s="47" t="e">
        <f t="shared" si="170"/>
        <v>#DIV/0!</v>
      </c>
      <c r="AQ46" s="48">
        <f t="shared" si="171"/>
        <v>0</v>
      </c>
      <c r="AR46" s="49">
        <f t="shared" si="15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25"/>
        <v>46195</v>
      </c>
      <c r="C47" s="23" t="s">
        <v>55</v>
      </c>
      <c r="D47" s="50">
        <f t="shared" si="172"/>
        <v>0</v>
      </c>
      <c r="E47" s="34">
        <f t="shared" si="173"/>
        <v>0</v>
      </c>
      <c r="F47" s="34">
        <f t="shared" si="174"/>
        <v>0</v>
      </c>
      <c r="G47" s="34">
        <f t="shared" si="156"/>
        <v>0</v>
      </c>
      <c r="H47" s="35">
        <f t="shared" si="157"/>
        <v>0</v>
      </c>
      <c r="I47" s="26">
        <f t="shared" si="19"/>
        <v>0</v>
      </c>
      <c r="J47" s="27"/>
      <c r="K47" s="28"/>
      <c r="L47" s="28"/>
      <c r="M47" s="61"/>
      <c r="N47" s="61"/>
      <c r="O47" s="31"/>
      <c r="P47" s="28"/>
      <c r="Q47" s="293"/>
      <c r="R47" s="294">
        <f t="shared" si="158"/>
        <v>0</v>
      </c>
      <c r="S47" s="34">
        <f t="shared" si="159"/>
        <v>0</v>
      </c>
      <c r="T47" s="44">
        <f t="shared" si="160"/>
        <v>0</v>
      </c>
      <c r="U47" s="36"/>
      <c r="V47" s="213"/>
      <c r="W47" s="216"/>
      <c r="X47" s="39"/>
      <c r="Y47" s="40"/>
      <c r="Z47" s="40"/>
      <c r="AA47" s="34">
        <f t="shared" si="161"/>
        <v>0</v>
      </c>
      <c r="AB47" s="44">
        <f t="shared" si="162"/>
        <v>0</v>
      </c>
      <c r="AC47" s="129"/>
      <c r="AD47" s="130"/>
      <c r="AE47" s="130"/>
      <c r="AF47" s="34">
        <f t="shared" si="163"/>
        <v>0</v>
      </c>
      <c r="AG47" s="35">
        <f t="shared" si="164"/>
        <v>0</v>
      </c>
      <c r="AH47" s="295"/>
      <c r="AI47" s="38"/>
      <c r="AJ47" s="38"/>
      <c r="AK47" s="34">
        <f t="shared" si="165"/>
        <v>0</v>
      </c>
      <c r="AL47" s="44">
        <f t="shared" si="166"/>
        <v>0</v>
      </c>
      <c r="AM47" s="45">
        <f t="shared" si="167"/>
        <v>0</v>
      </c>
      <c r="AN47" s="51">
        <f t="shared" si="168"/>
        <v>0</v>
      </c>
      <c r="AO47" s="51">
        <f t="shared" si="169"/>
        <v>0</v>
      </c>
      <c r="AP47" s="47" t="e">
        <f t="shared" si="170"/>
        <v>#DIV/0!</v>
      </c>
      <c r="AQ47" s="48">
        <f t="shared" si="171"/>
        <v>0</v>
      </c>
      <c r="AR47" s="49">
        <f t="shared" si="15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25"/>
        <v>46196</v>
      </c>
      <c r="C48" s="23" t="s">
        <v>54</v>
      </c>
      <c r="D48" s="50">
        <f t="shared" ref="D48" si="184">AH47</f>
        <v>0</v>
      </c>
      <c r="E48" s="34">
        <f t="shared" ref="E48" si="185">AI47</f>
        <v>0</v>
      </c>
      <c r="F48" s="34">
        <f t="shared" ref="F48" si="186">AJ47</f>
        <v>0</v>
      </c>
      <c r="G48" s="34">
        <f t="shared" si="156"/>
        <v>0</v>
      </c>
      <c r="H48" s="35">
        <f t="shared" si="157"/>
        <v>0</v>
      </c>
      <c r="I48" s="26">
        <f t="shared" si="19"/>
        <v>0</v>
      </c>
      <c r="J48" s="27"/>
      <c r="K48" s="28"/>
      <c r="L48" s="28"/>
      <c r="M48" s="61"/>
      <c r="N48" s="61"/>
      <c r="O48" s="31"/>
      <c r="P48" s="28"/>
      <c r="Q48" s="293"/>
      <c r="R48" s="294">
        <f t="shared" si="158"/>
        <v>0</v>
      </c>
      <c r="S48" s="34">
        <f t="shared" si="159"/>
        <v>0</v>
      </c>
      <c r="T48" s="44">
        <f t="shared" si="160"/>
        <v>0</v>
      </c>
      <c r="U48" s="36"/>
      <c r="V48" s="213"/>
      <c r="W48" s="216"/>
      <c r="X48" s="39"/>
      <c r="Y48" s="40"/>
      <c r="Z48" s="40"/>
      <c r="AA48" s="34">
        <f t="shared" si="161"/>
        <v>0</v>
      </c>
      <c r="AB48" s="44">
        <f t="shared" si="162"/>
        <v>0</v>
      </c>
      <c r="AC48" s="129"/>
      <c r="AD48" s="130"/>
      <c r="AE48" s="130"/>
      <c r="AF48" s="34">
        <f t="shared" si="163"/>
        <v>0</v>
      </c>
      <c r="AG48" s="35">
        <f t="shared" si="164"/>
        <v>0</v>
      </c>
      <c r="AH48" s="295"/>
      <c r="AI48" s="38"/>
      <c r="AJ48" s="38"/>
      <c r="AK48" s="34">
        <f t="shared" si="165"/>
        <v>0</v>
      </c>
      <c r="AL48" s="44">
        <f t="shared" si="166"/>
        <v>0</v>
      </c>
      <c r="AM48" s="45">
        <f t="shared" si="167"/>
        <v>0</v>
      </c>
      <c r="AN48" s="51">
        <f t="shared" si="168"/>
        <v>0</v>
      </c>
      <c r="AO48" s="51">
        <f t="shared" si="169"/>
        <v>0</v>
      </c>
      <c r="AP48" s="47" t="e">
        <f t="shared" si="170"/>
        <v>#DIV/0!</v>
      </c>
      <c r="AQ48" s="48">
        <f t="shared" si="171"/>
        <v>0</v>
      </c>
      <c r="AR48" s="49">
        <f t="shared" si="15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25"/>
        <v>46196</v>
      </c>
      <c r="C49" s="23" t="s">
        <v>55</v>
      </c>
      <c r="D49" s="50">
        <f t="shared" ref="D49" si="187">AH48</f>
        <v>0</v>
      </c>
      <c r="E49" s="34">
        <f t="shared" ref="E49" si="188">AI48</f>
        <v>0</v>
      </c>
      <c r="F49" s="34">
        <f t="shared" ref="F49" si="189">AJ48</f>
        <v>0</v>
      </c>
      <c r="G49" s="34">
        <f t="shared" si="156"/>
        <v>0</v>
      </c>
      <c r="H49" s="35">
        <f t="shared" si="157"/>
        <v>0</v>
      </c>
      <c r="I49" s="26">
        <f t="shared" si="19"/>
        <v>0</v>
      </c>
      <c r="J49" s="27"/>
      <c r="K49" s="28"/>
      <c r="L49" s="28"/>
      <c r="M49" s="61"/>
      <c r="N49" s="61"/>
      <c r="O49" s="31"/>
      <c r="P49" s="28"/>
      <c r="Q49" s="293"/>
      <c r="R49" s="294">
        <f t="shared" ref="R49:R51" si="190">O49+J49</f>
        <v>0</v>
      </c>
      <c r="S49" s="34">
        <f t="shared" ref="S49:S51" si="191">(J49*K49%)+(O49*P49%)</f>
        <v>0</v>
      </c>
      <c r="T49" s="44">
        <f t="shared" ref="T49:T51" si="192">(J49*L49%)+(O49*Q49%)</f>
        <v>0</v>
      </c>
      <c r="U49" s="36"/>
      <c r="V49" s="213"/>
      <c r="W49" s="213"/>
      <c r="X49" s="39"/>
      <c r="Y49" s="40"/>
      <c r="Z49" s="40"/>
      <c r="AA49" s="34">
        <f t="shared" si="161"/>
        <v>0</v>
      </c>
      <c r="AB49" s="44">
        <f t="shared" si="162"/>
        <v>0</v>
      </c>
      <c r="AC49" s="129"/>
      <c r="AD49" s="130"/>
      <c r="AE49" s="130"/>
      <c r="AF49" s="34">
        <f t="shared" si="163"/>
        <v>0</v>
      </c>
      <c r="AG49" s="35">
        <f t="shared" si="164"/>
        <v>0</v>
      </c>
      <c r="AH49" s="295"/>
      <c r="AI49" s="38"/>
      <c r="AJ49" s="38"/>
      <c r="AK49" s="34">
        <f t="shared" si="165"/>
        <v>0</v>
      </c>
      <c r="AL49" s="44">
        <f t="shared" si="166"/>
        <v>0</v>
      </c>
      <c r="AM49" s="45">
        <f t="shared" si="167"/>
        <v>0</v>
      </c>
      <c r="AN49" s="51">
        <f t="shared" si="168"/>
        <v>0</v>
      </c>
      <c r="AO49" s="51">
        <f t="shared" si="169"/>
        <v>0</v>
      </c>
      <c r="AP49" s="47" t="e">
        <f t="shared" si="170"/>
        <v>#DIV/0!</v>
      </c>
      <c r="AQ49" s="48">
        <f t="shared" si="171"/>
        <v>0</v>
      </c>
      <c r="AR49" s="49">
        <f t="shared" si="15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25"/>
        <v>46197</v>
      </c>
      <c r="C50" s="23" t="s">
        <v>54</v>
      </c>
      <c r="D50" s="50">
        <f t="shared" ref="D50" si="193">AH49</f>
        <v>0</v>
      </c>
      <c r="E50" s="34">
        <f t="shared" ref="E50" si="194">AI49</f>
        <v>0</v>
      </c>
      <c r="F50" s="34">
        <f t="shared" ref="F50" si="195">AJ49</f>
        <v>0</v>
      </c>
      <c r="G50" s="34">
        <f t="shared" si="156"/>
        <v>0</v>
      </c>
      <c r="H50" s="35">
        <f t="shared" si="157"/>
        <v>0</v>
      </c>
      <c r="I50" s="26">
        <f t="shared" si="19"/>
        <v>0</v>
      </c>
      <c r="J50" s="27"/>
      <c r="K50" s="28"/>
      <c r="L50" s="28"/>
      <c r="M50" s="61"/>
      <c r="N50" s="106"/>
      <c r="O50" s="31"/>
      <c r="P50" s="28"/>
      <c r="Q50" s="293"/>
      <c r="R50" s="294">
        <f t="shared" si="190"/>
        <v>0</v>
      </c>
      <c r="S50" s="34">
        <f t="shared" si="191"/>
        <v>0</v>
      </c>
      <c r="T50" s="44">
        <f t="shared" si="192"/>
        <v>0</v>
      </c>
      <c r="U50" s="36"/>
      <c r="V50" s="213"/>
      <c r="W50" s="216"/>
      <c r="X50" s="39"/>
      <c r="Y50" s="40"/>
      <c r="Z50" s="40"/>
      <c r="AA50" s="34">
        <f t="shared" si="161"/>
        <v>0</v>
      </c>
      <c r="AB50" s="44">
        <f t="shared" si="162"/>
        <v>0</v>
      </c>
      <c r="AC50" s="129"/>
      <c r="AD50" s="130"/>
      <c r="AE50" s="130"/>
      <c r="AF50" s="34">
        <f t="shared" si="163"/>
        <v>0</v>
      </c>
      <c r="AG50" s="35">
        <f t="shared" si="164"/>
        <v>0</v>
      </c>
      <c r="AH50" s="295"/>
      <c r="AI50" s="38"/>
      <c r="AJ50" s="38"/>
      <c r="AK50" s="34">
        <f t="shared" si="165"/>
        <v>0</v>
      </c>
      <c r="AL50" s="44">
        <f t="shared" si="166"/>
        <v>0</v>
      </c>
      <c r="AM50" s="45">
        <f t="shared" si="167"/>
        <v>0</v>
      </c>
      <c r="AN50" s="51">
        <f t="shared" si="168"/>
        <v>0</v>
      </c>
      <c r="AO50" s="51">
        <f t="shared" si="169"/>
        <v>0</v>
      </c>
      <c r="AP50" s="47" t="e">
        <f t="shared" si="170"/>
        <v>#DIV/0!</v>
      </c>
      <c r="AQ50" s="48">
        <f t="shared" si="171"/>
        <v>0</v>
      </c>
      <c r="AR50" s="49">
        <f t="shared" si="15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25"/>
        <v>46197</v>
      </c>
      <c r="C51" s="23" t="s">
        <v>55</v>
      </c>
      <c r="D51" s="50">
        <f t="shared" ref="D51" si="196">AH50</f>
        <v>0</v>
      </c>
      <c r="E51" s="34">
        <f t="shared" ref="E51" si="197">AI50</f>
        <v>0</v>
      </c>
      <c r="F51" s="34">
        <f t="shared" ref="F51" si="198">AJ50</f>
        <v>0</v>
      </c>
      <c r="G51" s="34">
        <f t="shared" si="156"/>
        <v>0</v>
      </c>
      <c r="H51" s="35">
        <f t="shared" si="157"/>
        <v>0</v>
      </c>
      <c r="I51" s="26">
        <f t="shared" si="19"/>
        <v>0</v>
      </c>
      <c r="J51" s="27"/>
      <c r="K51" s="28"/>
      <c r="L51" s="28"/>
      <c r="M51" s="61"/>
      <c r="N51" s="106"/>
      <c r="O51" s="31"/>
      <c r="P51" s="28"/>
      <c r="Q51" s="293"/>
      <c r="R51" s="294">
        <f t="shared" si="190"/>
        <v>0</v>
      </c>
      <c r="S51" s="34">
        <f t="shared" si="191"/>
        <v>0</v>
      </c>
      <c r="T51" s="44">
        <f t="shared" si="192"/>
        <v>0</v>
      </c>
      <c r="U51" s="36"/>
      <c r="V51" s="213"/>
      <c r="W51" s="213"/>
      <c r="X51" s="39"/>
      <c r="Y51" s="40"/>
      <c r="Z51" s="40"/>
      <c r="AA51" s="34">
        <f t="shared" si="161"/>
        <v>0</v>
      </c>
      <c r="AB51" s="44">
        <f t="shared" si="162"/>
        <v>0</v>
      </c>
      <c r="AC51" s="129"/>
      <c r="AD51" s="130"/>
      <c r="AE51" s="130"/>
      <c r="AF51" s="34">
        <f t="shared" si="163"/>
        <v>0</v>
      </c>
      <c r="AG51" s="35">
        <f t="shared" si="164"/>
        <v>0</v>
      </c>
      <c r="AH51" s="295"/>
      <c r="AI51" s="38"/>
      <c r="AJ51" s="38"/>
      <c r="AK51" s="34">
        <f t="shared" si="165"/>
        <v>0</v>
      </c>
      <c r="AL51" s="44">
        <f t="shared" si="166"/>
        <v>0</v>
      </c>
      <c r="AM51" s="45">
        <f t="shared" si="167"/>
        <v>0</v>
      </c>
      <c r="AN51" s="51">
        <f t="shared" si="168"/>
        <v>0</v>
      </c>
      <c r="AO51" s="51">
        <f t="shared" si="169"/>
        <v>0</v>
      </c>
      <c r="AP51" s="47" t="e">
        <f t="shared" si="170"/>
        <v>#DIV/0!</v>
      </c>
      <c r="AQ51" s="48">
        <f t="shared" si="171"/>
        <v>0</v>
      </c>
      <c r="AR51" s="49">
        <f t="shared" si="15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25"/>
        <v>46198</v>
      </c>
      <c r="C52" s="23" t="s">
        <v>54</v>
      </c>
      <c r="D52" s="50">
        <f t="shared" ref="D52" si="199">AH51</f>
        <v>0</v>
      </c>
      <c r="E52" s="34">
        <f t="shared" ref="E52" si="200">AI51</f>
        <v>0</v>
      </c>
      <c r="F52" s="34">
        <f t="shared" ref="F52" si="201">AJ51</f>
        <v>0</v>
      </c>
      <c r="G52" s="34">
        <f t="shared" si="156"/>
        <v>0</v>
      </c>
      <c r="H52" s="35">
        <f t="shared" si="157"/>
        <v>0</v>
      </c>
      <c r="I52" s="26">
        <f t="shared" si="19"/>
        <v>0</v>
      </c>
      <c r="J52" s="27"/>
      <c r="K52" s="28"/>
      <c r="L52" s="28"/>
      <c r="M52" s="61"/>
      <c r="N52" s="106"/>
      <c r="O52" s="31"/>
      <c r="P52" s="28"/>
      <c r="Q52" s="293"/>
      <c r="R52" s="294">
        <f t="shared" si="158"/>
        <v>0</v>
      </c>
      <c r="S52" s="34">
        <f t="shared" si="159"/>
        <v>0</v>
      </c>
      <c r="T52" s="44">
        <f t="shared" si="160"/>
        <v>0</v>
      </c>
      <c r="U52" s="36"/>
      <c r="V52" s="213"/>
      <c r="W52" s="213"/>
      <c r="X52" s="39"/>
      <c r="Y52" s="40"/>
      <c r="Z52" s="40"/>
      <c r="AA52" s="34">
        <f t="shared" si="161"/>
        <v>0</v>
      </c>
      <c r="AB52" s="44">
        <f t="shared" si="162"/>
        <v>0</v>
      </c>
      <c r="AC52" s="129"/>
      <c r="AD52" s="130"/>
      <c r="AE52" s="130"/>
      <c r="AF52" s="34">
        <f t="shared" si="163"/>
        <v>0</v>
      </c>
      <c r="AG52" s="35">
        <f t="shared" si="164"/>
        <v>0</v>
      </c>
      <c r="AH52" s="295"/>
      <c r="AI52" s="38"/>
      <c r="AJ52" s="38"/>
      <c r="AK52" s="34">
        <f t="shared" si="165"/>
        <v>0</v>
      </c>
      <c r="AL52" s="44">
        <f t="shared" si="166"/>
        <v>0</v>
      </c>
      <c r="AM52" s="45">
        <f t="shared" si="167"/>
        <v>0</v>
      </c>
      <c r="AN52" s="51">
        <f t="shared" si="168"/>
        <v>0</v>
      </c>
      <c r="AO52" s="51">
        <f t="shared" si="169"/>
        <v>0</v>
      </c>
      <c r="AP52" s="47" t="e">
        <f t="shared" si="170"/>
        <v>#DIV/0!</v>
      </c>
      <c r="AQ52" s="48">
        <f t="shared" si="171"/>
        <v>0</v>
      </c>
      <c r="AR52" s="49">
        <f t="shared" si="15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25"/>
        <v>46198</v>
      </c>
      <c r="C53" s="23" t="s">
        <v>55</v>
      </c>
      <c r="D53" s="50">
        <f t="shared" si="172"/>
        <v>0</v>
      </c>
      <c r="E53" s="34">
        <f t="shared" si="173"/>
        <v>0</v>
      </c>
      <c r="F53" s="34">
        <f t="shared" si="174"/>
        <v>0</v>
      </c>
      <c r="G53" s="34">
        <f t="shared" si="156"/>
        <v>0</v>
      </c>
      <c r="H53" s="35">
        <f t="shared" si="157"/>
        <v>0</v>
      </c>
      <c r="I53" s="26">
        <f t="shared" si="19"/>
        <v>0</v>
      </c>
      <c r="J53" s="27"/>
      <c r="K53" s="28"/>
      <c r="L53" s="28"/>
      <c r="M53" s="61"/>
      <c r="N53" s="106"/>
      <c r="O53" s="31"/>
      <c r="P53" s="28"/>
      <c r="Q53" s="293"/>
      <c r="R53" s="294">
        <f t="shared" si="158"/>
        <v>0</v>
      </c>
      <c r="S53" s="34">
        <f t="shared" si="159"/>
        <v>0</v>
      </c>
      <c r="T53" s="44">
        <f t="shared" si="160"/>
        <v>0</v>
      </c>
      <c r="U53" s="36"/>
      <c r="V53" s="213"/>
      <c r="W53" s="213"/>
      <c r="X53" s="39"/>
      <c r="Y53" s="40"/>
      <c r="Z53" s="40"/>
      <c r="AA53" s="34">
        <f t="shared" si="161"/>
        <v>0</v>
      </c>
      <c r="AB53" s="44">
        <f t="shared" si="162"/>
        <v>0</v>
      </c>
      <c r="AC53" s="129"/>
      <c r="AD53" s="130"/>
      <c r="AE53" s="130"/>
      <c r="AF53" s="34">
        <f t="shared" si="163"/>
        <v>0</v>
      </c>
      <c r="AG53" s="35">
        <f t="shared" si="164"/>
        <v>0</v>
      </c>
      <c r="AH53" s="295"/>
      <c r="AI53" s="38"/>
      <c r="AJ53" s="38"/>
      <c r="AK53" s="34">
        <f t="shared" si="165"/>
        <v>0</v>
      </c>
      <c r="AL53" s="44">
        <f t="shared" si="166"/>
        <v>0</v>
      </c>
      <c r="AM53" s="45">
        <f t="shared" si="167"/>
        <v>0</v>
      </c>
      <c r="AN53" s="51">
        <f t="shared" si="168"/>
        <v>0</v>
      </c>
      <c r="AO53" s="51">
        <f t="shared" si="169"/>
        <v>0</v>
      </c>
      <c r="AP53" s="47" t="e">
        <f t="shared" si="170"/>
        <v>#DIV/0!</v>
      </c>
      <c r="AQ53" s="48">
        <f t="shared" si="171"/>
        <v>0</v>
      </c>
      <c r="AR53" s="49">
        <f t="shared" si="15"/>
        <v>0</v>
      </c>
      <c r="AS53" s="49"/>
      <c r="AT53" s="52"/>
      <c r="AU53" s="52"/>
      <c r="AV53" s="52"/>
      <c r="AW53" s="52"/>
    </row>
    <row r="54" spans="2:49" x14ac:dyDescent="0.25">
      <c r="B54" s="22">
        <f t="shared" si="25"/>
        <v>46199</v>
      </c>
      <c r="C54" s="23" t="s">
        <v>54</v>
      </c>
      <c r="D54" s="50">
        <f t="shared" ref="D54" si="202">AH53</f>
        <v>0</v>
      </c>
      <c r="E54" s="34">
        <f t="shared" ref="E54" si="203">AI53</f>
        <v>0</v>
      </c>
      <c r="F54" s="34">
        <f t="shared" ref="F54" si="204">AJ53</f>
        <v>0</v>
      </c>
      <c r="G54" s="34">
        <f t="shared" si="156"/>
        <v>0</v>
      </c>
      <c r="H54" s="35">
        <f t="shared" si="157"/>
        <v>0</v>
      </c>
      <c r="I54" s="26">
        <f t="shared" si="19"/>
        <v>0</v>
      </c>
      <c r="J54" s="27"/>
      <c r="K54" s="28"/>
      <c r="L54" s="28"/>
      <c r="M54" s="61"/>
      <c r="N54" s="106"/>
      <c r="O54" s="31"/>
      <c r="P54" s="28"/>
      <c r="Q54" s="293"/>
      <c r="R54" s="294">
        <f t="shared" si="158"/>
        <v>0</v>
      </c>
      <c r="S54" s="34">
        <f t="shared" si="159"/>
        <v>0</v>
      </c>
      <c r="T54" s="44">
        <f t="shared" si="160"/>
        <v>0</v>
      </c>
      <c r="U54" s="36"/>
      <c r="V54" s="213"/>
      <c r="W54" s="213"/>
      <c r="X54" s="39"/>
      <c r="Y54" s="40"/>
      <c r="Z54" s="40"/>
      <c r="AA54" s="34">
        <f t="shared" si="161"/>
        <v>0</v>
      </c>
      <c r="AB54" s="44">
        <f t="shared" si="162"/>
        <v>0</v>
      </c>
      <c r="AC54" s="129"/>
      <c r="AD54" s="130"/>
      <c r="AE54" s="130"/>
      <c r="AF54" s="34">
        <f t="shared" si="163"/>
        <v>0</v>
      </c>
      <c r="AG54" s="35">
        <f t="shared" si="164"/>
        <v>0</v>
      </c>
      <c r="AH54" s="295"/>
      <c r="AI54" s="38"/>
      <c r="AJ54" s="38"/>
      <c r="AK54" s="34">
        <f t="shared" ref="AK54" si="205">AH54*AI54%</f>
        <v>0</v>
      </c>
      <c r="AL54" s="44">
        <f t="shared" ref="AL54" si="206">AH54*AJ54%</f>
        <v>0</v>
      </c>
      <c r="AM54" s="45">
        <f t="shared" si="167"/>
        <v>0</v>
      </c>
      <c r="AN54" s="51">
        <f t="shared" si="168"/>
        <v>0</v>
      </c>
      <c r="AO54" s="51">
        <f t="shared" si="169"/>
        <v>0</v>
      </c>
      <c r="AP54" s="47" t="e">
        <f t="shared" si="170"/>
        <v>#DIV/0!</v>
      </c>
      <c r="AQ54" s="48">
        <f t="shared" si="171"/>
        <v>0</v>
      </c>
      <c r="AR54" s="49">
        <f t="shared" si="15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25"/>
        <v>46199</v>
      </c>
      <c r="C55" s="23" t="s">
        <v>55</v>
      </c>
      <c r="D55" s="50">
        <f t="shared" si="172"/>
        <v>0</v>
      </c>
      <c r="E55" s="34">
        <f t="shared" si="173"/>
        <v>0</v>
      </c>
      <c r="F55" s="34">
        <f t="shared" si="174"/>
        <v>0</v>
      </c>
      <c r="G55" s="34">
        <f t="shared" si="156"/>
        <v>0</v>
      </c>
      <c r="H55" s="35">
        <f t="shared" si="157"/>
        <v>0</v>
      </c>
      <c r="I55" s="26">
        <f t="shared" si="19"/>
        <v>0</v>
      </c>
      <c r="J55" s="27"/>
      <c r="K55" s="28"/>
      <c r="L55" s="28"/>
      <c r="M55" s="61"/>
      <c r="N55" s="106"/>
      <c r="O55" s="31"/>
      <c r="P55" s="28"/>
      <c r="Q55" s="293"/>
      <c r="R55" s="294">
        <f t="shared" si="158"/>
        <v>0</v>
      </c>
      <c r="S55" s="34">
        <f t="shared" si="159"/>
        <v>0</v>
      </c>
      <c r="T55" s="44">
        <f t="shared" si="160"/>
        <v>0</v>
      </c>
      <c r="U55" s="36"/>
      <c r="V55" s="37"/>
      <c r="W55" s="38"/>
      <c r="X55" s="39"/>
      <c r="Y55" s="40"/>
      <c r="Z55" s="40"/>
      <c r="AA55" s="34">
        <f t="shared" si="161"/>
        <v>0</v>
      </c>
      <c r="AB55" s="44">
        <f t="shared" si="162"/>
        <v>0</v>
      </c>
      <c r="AC55" s="129"/>
      <c r="AD55" s="130"/>
      <c r="AE55" s="130"/>
      <c r="AF55" s="34">
        <f t="shared" si="163"/>
        <v>0</v>
      </c>
      <c r="AG55" s="35">
        <f t="shared" si="164"/>
        <v>0</v>
      </c>
      <c r="AH55" s="295"/>
      <c r="AI55" s="38"/>
      <c r="AJ55" s="38"/>
      <c r="AK55" s="34">
        <f t="shared" si="165"/>
        <v>0</v>
      </c>
      <c r="AL55" s="44">
        <f t="shared" si="166"/>
        <v>0</v>
      </c>
      <c r="AM55" s="45">
        <f t="shared" si="167"/>
        <v>0</v>
      </c>
      <c r="AN55" s="51">
        <f t="shared" si="168"/>
        <v>0</v>
      </c>
      <c r="AO55" s="51">
        <f t="shared" si="169"/>
        <v>0</v>
      </c>
      <c r="AP55" s="47" t="e">
        <f t="shared" si="170"/>
        <v>#DIV/0!</v>
      </c>
      <c r="AQ55" s="48">
        <f t="shared" si="171"/>
        <v>0</v>
      </c>
      <c r="AR55" s="49">
        <f t="shared" si="15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25"/>
        <v>46200</v>
      </c>
      <c r="C56" s="23" t="s">
        <v>54</v>
      </c>
      <c r="D56" s="50">
        <f t="shared" ref="D56:D59" si="207">AH55</f>
        <v>0</v>
      </c>
      <c r="E56" s="34">
        <f t="shared" ref="E56:E59" si="208">AI55</f>
        <v>0</v>
      </c>
      <c r="F56" s="34">
        <f t="shared" ref="F56:F59" si="209">AJ55</f>
        <v>0</v>
      </c>
      <c r="G56" s="34">
        <f t="shared" si="156"/>
        <v>0</v>
      </c>
      <c r="H56" s="35">
        <f t="shared" si="157"/>
        <v>0</v>
      </c>
      <c r="I56" s="26">
        <f t="shared" si="19"/>
        <v>0</v>
      </c>
      <c r="J56" s="27"/>
      <c r="K56" s="28"/>
      <c r="L56" s="28"/>
      <c r="M56" s="61"/>
      <c r="N56" s="106"/>
      <c r="O56" s="31"/>
      <c r="P56" s="28"/>
      <c r="Q56" s="293"/>
      <c r="R56" s="294">
        <f t="shared" si="158"/>
        <v>0</v>
      </c>
      <c r="S56" s="34">
        <f t="shared" si="159"/>
        <v>0</v>
      </c>
      <c r="T56" s="44">
        <f t="shared" si="160"/>
        <v>0</v>
      </c>
      <c r="U56" s="36"/>
      <c r="V56" s="37"/>
      <c r="W56" s="38"/>
      <c r="X56" s="39"/>
      <c r="Y56" s="40"/>
      <c r="Z56" s="40"/>
      <c r="AA56" s="34">
        <f t="shared" si="161"/>
        <v>0</v>
      </c>
      <c r="AB56" s="44">
        <f t="shared" si="162"/>
        <v>0</v>
      </c>
      <c r="AC56" s="286"/>
      <c r="AD56" s="145"/>
      <c r="AE56" s="145"/>
      <c r="AF56" s="34">
        <f t="shared" si="163"/>
        <v>0</v>
      </c>
      <c r="AG56" s="35">
        <f t="shared" si="164"/>
        <v>0</v>
      </c>
      <c r="AH56" s="295"/>
      <c r="AI56" s="38"/>
      <c r="AJ56" s="38"/>
      <c r="AK56" s="34">
        <f t="shared" si="165"/>
        <v>0</v>
      </c>
      <c r="AL56" s="44">
        <f t="shared" si="166"/>
        <v>0</v>
      </c>
      <c r="AM56" s="45">
        <f t="shared" si="167"/>
        <v>0</v>
      </c>
      <c r="AN56" s="51">
        <f t="shared" si="168"/>
        <v>0</v>
      </c>
      <c r="AO56" s="51">
        <f t="shared" si="169"/>
        <v>0</v>
      </c>
      <c r="AP56" s="47" t="e">
        <f t="shared" si="170"/>
        <v>#DIV/0!</v>
      </c>
      <c r="AQ56" s="48">
        <f t="shared" si="171"/>
        <v>0</v>
      </c>
      <c r="AR56" s="49">
        <f t="shared" si="15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25"/>
        <v>46200</v>
      </c>
      <c r="C57" s="23" t="s">
        <v>55</v>
      </c>
      <c r="D57" s="50">
        <f t="shared" si="207"/>
        <v>0</v>
      </c>
      <c r="E57" s="34">
        <f t="shared" si="208"/>
        <v>0</v>
      </c>
      <c r="F57" s="34">
        <f t="shared" si="209"/>
        <v>0</v>
      </c>
      <c r="G57" s="34">
        <f t="shared" si="156"/>
        <v>0</v>
      </c>
      <c r="H57" s="35">
        <f t="shared" si="157"/>
        <v>0</v>
      </c>
      <c r="I57" s="26">
        <f t="shared" si="19"/>
        <v>0</v>
      </c>
      <c r="J57" s="27"/>
      <c r="K57" s="28"/>
      <c r="L57" s="28"/>
      <c r="M57" s="61"/>
      <c r="N57" s="106"/>
      <c r="O57" s="31"/>
      <c r="P57" s="28"/>
      <c r="Q57" s="293"/>
      <c r="R57" s="294">
        <f t="shared" si="158"/>
        <v>0</v>
      </c>
      <c r="S57" s="34">
        <f t="shared" si="159"/>
        <v>0</v>
      </c>
      <c r="T57" s="44">
        <f t="shared" si="160"/>
        <v>0</v>
      </c>
      <c r="U57" s="36"/>
      <c r="V57" s="37"/>
      <c r="W57" s="38"/>
      <c r="X57" s="39"/>
      <c r="Y57" s="40"/>
      <c r="Z57" s="40"/>
      <c r="AA57" s="34">
        <f t="shared" si="161"/>
        <v>0</v>
      </c>
      <c r="AB57" s="44">
        <f t="shared" si="162"/>
        <v>0</v>
      </c>
      <c r="AC57" s="129"/>
      <c r="AD57" s="130"/>
      <c r="AE57" s="130"/>
      <c r="AF57" s="34">
        <f t="shared" si="163"/>
        <v>0</v>
      </c>
      <c r="AG57" s="35">
        <f t="shared" si="164"/>
        <v>0</v>
      </c>
      <c r="AH57" s="295"/>
      <c r="AI57" s="38"/>
      <c r="AJ57" s="38"/>
      <c r="AK57" s="34">
        <f t="shared" si="165"/>
        <v>0</v>
      </c>
      <c r="AL57" s="44">
        <f t="shared" si="166"/>
        <v>0</v>
      </c>
      <c r="AM57" s="45">
        <f t="shared" si="167"/>
        <v>0</v>
      </c>
      <c r="AN57" s="51">
        <f t="shared" si="168"/>
        <v>0</v>
      </c>
      <c r="AO57" s="51">
        <f t="shared" si="169"/>
        <v>0</v>
      </c>
      <c r="AP57" s="47" t="e">
        <f t="shared" si="170"/>
        <v>#DIV/0!</v>
      </c>
      <c r="AQ57" s="48">
        <f t="shared" si="171"/>
        <v>0</v>
      </c>
      <c r="AR57" s="49">
        <f t="shared" si="15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25"/>
        <v>46201</v>
      </c>
      <c r="C58" s="23" t="s">
        <v>54</v>
      </c>
      <c r="D58" s="50">
        <f t="shared" ref="D58" si="210">AH57</f>
        <v>0</v>
      </c>
      <c r="E58" s="34">
        <f t="shared" ref="E58" si="211">AI57</f>
        <v>0</v>
      </c>
      <c r="F58" s="34">
        <f t="shared" ref="F58" si="212">AJ57</f>
        <v>0</v>
      </c>
      <c r="G58" s="34">
        <f t="shared" si="156"/>
        <v>0</v>
      </c>
      <c r="H58" s="35">
        <f t="shared" si="157"/>
        <v>0</v>
      </c>
      <c r="I58" s="26">
        <f t="shared" si="19"/>
        <v>0</v>
      </c>
      <c r="J58" s="27"/>
      <c r="K58" s="28"/>
      <c r="L58" s="28"/>
      <c r="M58" s="61"/>
      <c r="N58" s="106"/>
      <c r="O58" s="31"/>
      <c r="P58" s="28"/>
      <c r="Q58" s="293"/>
      <c r="R58" s="294">
        <f t="shared" si="158"/>
        <v>0</v>
      </c>
      <c r="S58" s="34">
        <f t="shared" si="159"/>
        <v>0</v>
      </c>
      <c r="T58" s="44">
        <f t="shared" si="160"/>
        <v>0</v>
      </c>
      <c r="U58" s="36"/>
      <c r="V58" s="37"/>
      <c r="W58" s="38"/>
      <c r="X58" s="39"/>
      <c r="Y58" s="40"/>
      <c r="Z58" s="40"/>
      <c r="AA58" s="34">
        <f t="shared" si="161"/>
        <v>0</v>
      </c>
      <c r="AB58" s="44">
        <f t="shared" si="162"/>
        <v>0</v>
      </c>
      <c r="AC58" s="286"/>
      <c r="AD58" s="145"/>
      <c r="AE58" s="145"/>
      <c r="AF58" s="34">
        <f t="shared" si="163"/>
        <v>0</v>
      </c>
      <c r="AG58" s="35">
        <f t="shared" si="164"/>
        <v>0</v>
      </c>
      <c r="AH58" s="295"/>
      <c r="AI58" s="38"/>
      <c r="AJ58" s="38"/>
      <c r="AK58" s="34">
        <f t="shared" si="165"/>
        <v>0</v>
      </c>
      <c r="AL58" s="44">
        <f t="shared" si="166"/>
        <v>0</v>
      </c>
      <c r="AM58" s="45">
        <f t="shared" si="167"/>
        <v>0</v>
      </c>
      <c r="AN58" s="51">
        <f t="shared" si="168"/>
        <v>0</v>
      </c>
      <c r="AO58" s="51">
        <f t="shared" si="169"/>
        <v>0</v>
      </c>
      <c r="AP58" s="47" t="e">
        <f t="shared" si="170"/>
        <v>#DIV/0!</v>
      </c>
      <c r="AQ58" s="48">
        <f t="shared" si="171"/>
        <v>0</v>
      </c>
      <c r="AR58" s="49">
        <f t="shared" si="15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25"/>
        <v>46201</v>
      </c>
      <c r="C59" s="23" t="s">
        <v>55</v>
      </c>
      <c r="D59" s="50">
        <f t="shared" si="207"/>
        <v>0</v>
      </c>
      <c r="E59" s="34">
        <f t="shared" si="208"/>
        <v>0</v>
      </c>
      <c r="F59" s="34">
        <f t="shared" si="209"/>
        <v>0</v>
      </c>
      <c r="G59" s="34">
        <f t="shared" si="156"/>
        <v>0</v>
      </c>
      <c r="H59" s="35">
        <f t="shared" si="157"/>
        <v>0</v>
      </c>
      <c r="I59" s="26">
        <f t="shared" si="19"/>
        <v>0</v>
      </c>
      <c r="J59" s="27"/>
      <c r="K59" s="28"/>
      <c r="L59" s="28"/>
      <c r="M59" s="61"/>
      <c r="N59" s="106"/>
      <c r="O59" s="31"/>
      <c r="P59" s="28"/>
      <c r="Q59" s="293"/>
      <c r="R59" s="294">
        <f t="shared" si="158"/>
        <v>0</v>
      </c>
      <c r="S59" s="34">
        <f t="shared" si="159"/>
        <v>0</v>
      </c>
      <c r="T59" s="44">
        <f t="shared" si="160"/>
        <v>0</v>
      </c>
      <c r="U59" s="36"/>
      <c r="V59" s="37"/>
      <c r="W59" s="38"/>
      <c r="X59" s="39"/>
      <c r="Y59" s="40"/>
      <c r="Z59" s="40"/>
      <c r="AA59" s="34">
        <f t="shared" si="161"/>
        <v>0</v>
      </c>
      <c r="AB59" s="44">
        <f t="shared" si="162"/>
        <v>0</v>
      </c>
      <c r="AC59" s="129"/>
      <c r="AD59" s="130"/>
      <c r="AE59" s="130"/>
      <c r="AF59" s="34">
        <f t="shared" si="163"/>
        <v>0</v>
      </c>
      <c r="AG59" s="35">
        <f t="shared" si="164"/>
        <v>0</v>
      </c>
      <c r="AH59" s="295"/>
      <c r="AI59" s="38"/>
      <c r="AJ59" s="38"/>
      <c r="AK59" s="34">
        <f t="shared" si="165"/>
        <v>0</v>
      </c>
      <c r="AL59" s="44">
        <f t="shared" si="166"/>
        <v>0</v>
      </c>
      <c r="AM59" s="45">
        <f t="shared" si="167"/>
        <v>0</v>
      </c>
      <c r="AN59" s="51">
        <f t="shared" si="168"/>
        <v>0</v>
      </c>
      <c r="AO59" s="51">
        <f t="shared" si="169"/>
        <v>0</v>
      </c>
      <c r="AP59" s="47" t="e">
        <f t="shared" si="170"/>
        <v>#DIV/0!</v>
      </c>
      <c r="AQ59" s="48">
        <f t="shared" si="171"/>
        <v>0</v>
      </c>
      <c r="AR59" s="49">
        <f t="shared" si="15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25"/>
        <v>46202</v>
      </c>
      <c r="C60" s="23" t="s">
        <v>54</v>
      </c>
      <c r="D60" s="50">
        <f t="shared" ref="D60" si="213">AH59</f>
        <v>0</v>
      </c>
      <c r="E60" s="34">
        <f t="shared" ref="E60" si="214">AI59</f>
        <v>0</v>
      </c>
      <c r="F60" s="34">
        <f t="shared" ref="F60" si="215">AJ59</f>
        <v>0</v>
      </c>
      <c r="G60" s="34">
        <f t="shared" si="156"/>
        <v>0</v>
      </c>
      <c r="H60" s="35">
        <f t="shared" si="157"/>
        <v>0</v>
      </c>
      <c r="I60" s="26">
        <f t="shared" si="19"/>
        <v>0</v>
      </c>
      <c r="J60" s="27"/>
      <c r="K60" s="28"/>
      <c r="L60" s="28"/>
      <c r="M60" s="61"/>
      <c r="N60" s="106"/>
      <c r="O60" s="31"/>
      <c r="P60" s="28"/>
      <c r="Q60" s="293"/>
      <c r="R60" s="294">
        <f t="shared" si="158"/>
        <v>0</v>
      </c>
      <c r="S60" s="34">
        <f t="shared" si="159"/>
        <v>0</v>
      </c>
      <c r="T60" s="44">
        <f t="shared" si="160"/>
        <v>0</v>
      </c>
      <c r="U60" s="36"/>
      <c r="V60" s="37"/>
      <c r="W60" s="38"/>
      <c r="X60" s="39"/>
      <c r="Y60" s="40"/>
      <c r="Z60" s="40"/>
      <c r="AA60" s="34">
        <f t="shared" si="161"/>
        <v>0</v>
      </c>
      <c r="AB60" s="44">
        <f t="shared" si="162"/>
        <v>0</v>
      </c>
      <c r="AC60" s="286"/>
      <c r="AD60" s="145"/>
      <c r="AE60" s="145"/>
      <c r="AF60" s="34">
        <f t="shared" si="163"/>
        <v>0</v>
      </c>
      <c r="AG60" s="35">
        <f t="shared" si="164"/>
        <v>0</v>
      </c>
      <c r="AH60" s="295"/>
      <c r="AI60" s="38"/>
      <c r="AJ60" s="38"/>
      <c r="AK60" s="34">
        <f t="shared" si="165"/>
        <v>0</v>
      </c>
      <c r="AL60" s="44">
        <f t="shared" si="166"/>
        <v>0</v>
      </c>
      <c r="AM60" s="45">
        <f t="shared" si="167"/>
        <v>0</v>
      </c>
      <c r="AN60" s="51">
        <f t="shared" si="168"/>
        <v>0</v>
      </c>
      <c r="AO60" s="51">
        <f t="shared" si="169"/>
        <v>0</v>
      </c>
      <c r="AP60" s="47" t="e">
        <f t="shared" si="170"/>
        <v>#DIV/0!</v>
      </c>
      <c r="AQ60" s="48">
        <f t="shared" si="171"/>
        <v>0</v>
      </c>
      <c r="AR60" s="49">
        <f t="shared" si="15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25"/>
        <v>46202</v>
      </c>
      <c r="C61" s="23" t="s">
        <v>55</v>
      </c>
      <c r="D61" s="50">
        <f t="shared" ref="D61" si="216">AH60</f>
        <v>0</v>
      </c>
      <c r="E61" s="34">
        <f t="shared" ref="E61" si="217">AI60</f>
        <v>0</v>
      </c>
      <c r="F61" s="34">
        <f t="shared" ref="F61" si="218">AJ60</f>
        <v>0</v>
      </c>
      <c r="G61" s="34">
        <f t="shared" si="156"/>
        <v>0</v>
      </c>
      <c r="H61" s="35">
        <f t="shared" si="157"/>
        <v>0</v>
      </c>
      <c r="I61" s="26">
        <f t="shared" si="19"/>
        <v>0</v>
      </c>
      <c r="J61" s="27"/>
      <c r="K61" s="28"/>
      <c r="L61" s="28"/>
      <c r="M61" s="61"/>
      <c r="N61" s="106"/>
      <c r="O61" s="31"/>
      <c r="P61" s="28"/>
      <c r="Q61" s="293"/>
      <c r="R61" s="294">
        <f t="shared" si="158"/>
        <v>0</v>
      </c>
      <c r="S61" s="34">
        <f t="shared" si="159"/>
        <v>0</v>
      </c>
      <c r="T61" s="44">
        <f t="shared" si="160"/>
        <v>0</v>
      </c>
      <c r="U61" s="36"/>
      <c r="V61" s="37"/>
      <c r="W61" s="38"/>
      <c r="X61" s="39"/>
      <c r="Y61" s="40"/>
      <c r="Z61" s="40"/>
      <c r="AA61" s="34">
        <f t="shared" si="161"/>
        <v>0</v>
      </c>
      <c r="AB61" s="44">
        <f t="shared" si="162"/>
        <v>0</v>
      </c>
      <c r="AC61" s="129"/>
      <c r="AD61" s="130"/>
      <c r="AE61" s="130"/>
      <c r="AF61" s="34">
        <f t="shared" si="163"/>
        <v>0</v>
      </c>
      <c r="AG61" s="35">
        <f t="shared" si="164"/>
        <v>0</v>
      </c>
      <c r="AH61" s="295"/>
      <c r="AI61" s="38"/>
      <c r="AJ61" s="38"/>
      <c r="AK61" s="34">
        <f t="shared" si="165"/>
        <v>0</v>
      </c>
      <c r="AL61" s="44">
        <f t="shared" si="166"/>
        <v>0</v>
      </c>
      <c r="AM61" s="45">
        <f t="shared" si="167"/>
        <v>0</v>
      </c>
      <c r="AN61" s="51">
        <f t="shared" si="168"/>
        <v>0</v>
      </c>
      <c r="AO61" s="51">
        <f t="shared" si="169"/>
        <v>0</v>
      </c>
      <c r="AP61" s="47" t="e">
        <f t="shared" si="170"/>
        <v>#DIV/0!</v>
      </c>
      <c r="AQ61" s="48">
        <f t="shared" si="171"/>
        <v>0</v>
      </c>
      <c r="AR61" s="49">
        <f t="shared" si="15"/>
        <v>0</v>
      </c>
      <c r="AS61" s="49"/>
      <c r="AT61" s="52"/>
      <c r="AU61" s="52"/>
      <c r="AV61" s="52"/>
      <c r="AW61" s="52"/>
    </row>
    <row r="62" spans="2:49" x14ac:dyDescent="0.25">
      <c r="B62" s="22">
        <f t="shared" si="25"/>
        <v>46203</v>
      </c>
      <c r="C62" s="23" t="s">
        <v>54</v>
      </c>
      <c r="D62" s="50">
        <f t="shared" ref="D62:D63" si="219">AH61</f>
        <v>0</v>
      </c>
      <c r="E62" s="34">
        <f t="shared" ref="E62:E63" si="220">AI61</f>
        <v>0</v>
      </c>
      <c r="F62" s="34">
        <f t="shared" ref="F62:F63" si="221">AJ61</f>
        <v>0</v>
      </c>
      <c r="G62" s="34">
        <f t="shared" si="156"/>
        <v>0</v>
      </c>
      <c r="H62" s="35">
        <f t="shared" si="157"/>
        <v>0</v>
      </c>
      <c r="I62" s="26">
        <f t="shared" si="19"/>
        <v>0</v>
      </c>
      <c r="J62" s="27"/>
      <c r="K62" s="28"/>
      <c r="L62" s="28"/>
      <c r="M62" s="61"/>
      <c r="N62" s="106"/>
      <c r="O62" s="31"/>
      <c r="P62" s="28"/>
      <c r="Q62" s="293"/>
      <c r="R62" s="294">
        <f t="shared" si="158"/>
        <v>0</v>
      </c>
      <c r="S62" s="34">
        <f t="shared" si="159"/>
        <v>0</v>
      </c>
      <c r="T62" s="44">
        <f t="shared" si="160"/>
        <v>0</v>
      </c>
      <c r="U62" s="36"/>
      <c r="V62" s="37"/>
      <c r="W62" s="38"/>
      <c r="X62" s="39"/>
      <c r="Y62" s="40"/>
      <c r="Z62" s="40"/>
      <c r="AA62" s="34">
        <f t="shared" si="161"/>
        <v>0</v>
      </c>
      <c r="AB62" s="44">
        <f t="shared" si="162"/>
        <v>0</v>
      </c>
      <c r="AC62" s="286"/>
      <c r="AD62" s="145"/>
      <c r="AE62" s="145"/>
      <c r="AF62" s="34">
        <f t="shared" si="163"/>
        <v>0</v>
      </c>
      <c r="AG62" s="35">
        <f t="shared" si="164"/>
        <v>0</v>
      </c>
      <c r="AH62" s="295"/>
      <c r="AI62" s="38"/>
      <c r="AJ62" s="38"/>
      <c r="AK62" s="34">
        <f t="shared" si="165"/>
        <v>0</v>
      </c>
      <c r="AL62" s="44">
        <f t="shared" si="166"/>
        <v>0</v>
      </c>
      <c r="AM62" s="45">
        <f t="shared" si="167"/>
        <v>0</v>
      </c>
      <c r="AN62" s="51">
        <f t="shared" si="168"/>
        <v>0</v>
      </c>
      <c r="AO62" s="51">
        <f t="shared" si="169"/>
        <v>0</v>
      </c>
      <c r="AP62" s="47" t="e">
        <f t="shared" si="170"/>
        <v>#DIV/0!</v>
      </c>
      <c r="AQ62" s="48">
        <f t="shared" si="171"/>
        <v>0</v>
      </c>
      <c r="AR62" s="49">
        <f t="shared" si="15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25"/>
        <v>46203</v>
      </c>
      <c r="C63" s="23" t="s">
        <v>55</v>
      </c>
      <c r="D63" s="50">
        <f t="shared" si="219"/>
        <v>0</v>
      </c>
      <c r="E63" s="34">
        <f t="shared" si="220"/>
        <v>0</v>
      </c>
      <c r="F63" s="34">
        <f t="shared" si="221"/>
        <v>0</v>
      </c>
      <c r="G63" s="34">
        <f t="shared" si="156"/>
        <v>0</v>
      </c>
      <c r="H63" s="35">
        <f t="shared" si="157"/>
        <v>0</v>
      </c>
      <c r="I63" s="26">
        <f t="shared" si="19"/>
        <v>0</v>
      </c>
      <c r="J63" s="27"/>
      <c r="K63" s="28"/>
      <c r="L63" s="28"/>
      <c r="M63" s="61"/>
      <c r="N63" s="106"/>
      <c r="O63" s="31"/>
      <c r="P63" s="28"/>
      <c r="Q63" s="293"/>
      <c r="R63" s="294">
        <f t="shared" si="158"/>
        <v>0</v>
      </c>
      <c r="S63" s="34">
        <f t="shared" si="159"/>
        <v>0</v>
      </c>
      <c r="T63" s="44">
        <f t="shared" si="160"/>
        <v>0</v>
      </c>
      <c r="U63" s="36"/>
      <c r="V63" s="37"/>
      <c r="W63" s="38"/>
      <c r="X63" s="39"/>
      <c r="Y63" s="40"/>
      <c r="Z63" s="40"/>
      <c r="AA63" s="34">
        <f t="shared" si="161"/>
        <v>0</v>
      </c>
      <c r="AB63" s="44">
        <f t="shared" si="162"/>
        <v>0</v>
      </c>
      <c r="AC63" s="129"/>
      <c r="AD63" s="130"/>
      <c r="AE63" s="130"/>
      <c r="AF63" s="34">
        <f t="shared" si="163"/>
        <v>0</v>
      </c>
      <c r="AG63" s="35">
        <f t="shared" si="164"/>
        <v>0</v>
      </c>
      <c r="AH63" s="295"/>
      <c r="AI63" s="38"/>
      <c r="AJ63" s="38"/>
      <c r="AK63" s="34">
        <f t="shared" si="165"/>
        <v>0</v>
      </c>
      <c r="AL63" s="44">
        <f t="shared" si="166"/>
        <v>0</v>
      </c>
      <c r="AM63" s="45">
        <f t="shared" si="167"/>
        <v>0</v>
      </c>
      <c r="AN63" s="51">
        <f t="shared" si="168"/>
        <v>0</v>
      </c>
      <c r="AO63" s="51">
        <f t="shared" si="169"/>
        <v>0</v>
      </c>
      <c r="AP63" s="47" t="e">
        <f t="shared" si="170"/>
        <v>#DIV/0!</v>
      </c>
      <c r="AQ63" s="48">
        <f t="shared" si="171"/>
        <v>0</v>
      </c>
      <c r="AR63" s="49">
        <f t="shared" si="15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25"/>
        <v>46204</v>
      </c>
      <c r="C64" s="23" t="s">
        <v>54</v>
      </c>
      <c r="D64" s="50"/>
      <c r="E64" s="34"/>
      <c r="F64" s="34"/>
      <c r="G64" s="34">
        <f t="shared" si="156"/>
        <v>0</v>
      </c>
      <c r="H64" s="35">
        <f t="shared" si="157"/>
        <v>0</v>
      </c>
      <c r="I64" s="26">
        <f t="shared" si="19"/>
        <v>0</v>
      </c>
      <c r="J64" s="27"/>
      <c r="K64" s="28"/>
      <c r="L64" s="28"/>
      <c r="M64" s="61"/>
      <c r="N64" s="106"/>
      <c r="O64" s="31"/>
      <c r="P64" s="28"/>
      <c r="Q64" s="293"/>
      <c r="R64" s="294">
        <f t="shared" si="158"/>
        <v>0</v>
      </c>
      <c r="S64" s="34">
        <f t="shared" si="159"/>
        <v>0</v>
      </c>
      <c r="T64" s="44">
        <f t="shared" si="160"/>
        <v>0</v>
      </c>
      <c r="U64" s="36"/>
      <c r="V64" s="37"/>
      <c r="W64" s="38"/>
      <c r="X64" s="39"/>
      <c r="Y64" s="40"/>
      <c r="Z64" s="40"/>
      <c r="AA64" s="34">
        <f t="shared" si="161"/>
        <v>0</v>
      </c>
      <c r="AB64" s="44">
        <f t="shared" si="162"/>
        <v>0</v>
      </c>
      <c r="AC64" s="129"/>
      <c r="AD64" s="130"/>
      <c r="AE64" s="130"/>
      <c r="AF64" s="34">
        <f t="shared" si="163"/>
        <v>0</v>
      </c>
      <c r="AG64" s="35">
        <f t="shared" si="164"/>
        <v>0</v>
      </c>
      <c r="AH64" s="295"/>
      <c r="AI64" s="38"/>
      <c r="AJ64" s="38"/>
      <c r="AK64" s="34">
        <f t="shared" si="165"/>
        <v>0</v>
      </c>
      <c r="AL64" s="44">
        <f t="shared" si="166"/>
        <v>0</v>
      </c>
      <c r="AM64" s="45">
        <f t="shared" si="167"/>
        <v>0</v>
      </c>
      <c r="AN64" s="51">
        <f t="shared" si="168"/>
        <v>0</v>
      </c>
      <c r="AO64" s="51">
        <f t="shared" si="169"/>
        <v>0</v>
      </c>
      <c r="AP64" s="47" t="e">
        <f t="shared" si="170"/>
        <v>#DIV/0!</v>
      </c>
      <c r="AQ64" s="48">
        <f t="shared" si="171"/>
        <v>0</v>
      </c>
      <c r="AR64" s="49">
        <f t="shared" si="15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25"/>
        <v>46204</v>
      </c>
      <c r="C65" s="23" t="s">
        <v>55</v>
      </c>
      <c r="D65" s="50">
        <f t="shared" ref="D65" si="222">AH64</f>
        <v>0</v>
      </c>
      <c r="E65" s="34">
        <f t="shared" ref="E65" si="223">AI64</f>
        <v>0</v>
      </c>
      <c r="F65" s="34">
        <f t="shared" ref="F65" si="224">AJ64</f>
        <v>0</v>
      </c>
      <c r="G65" s="34">
        <f t="shared" si="156"/>
        <v>0</v>
      </c>
      <c r="H65" s="35">
        <f t="shared" si="157"/>
        <v>0</v>
      </c>
      <c r="I65" s="26">
        <f t="shared" si="19"/>
        <v>0</v>
      </c>
      <c r="J65" s="27"/>
      <c r="K65" s="28"/>
      <c r="L65" s="28"/>
      <c r="M65" s="61"/>
      <c r="N65" s="106"/>
      <c r="O65" s="31"/>
      <c r="P65" s="28"/>
      <c r="Q65" s="293"/>
      <c r="R65" s="294">
        <f t="shared" ref="R65" si="225">O65+J65</f>
        <v>0</v>
      </c>
      <c r="S65" s="34">
        <f t="shared" ref="S65" si="226">(J65*K65%)+(O65*P65%)</f>
        <v>0</v>
      </c>
      <c r="T65" s="44">
        <f t="shared" ref="T65" si="227">(J65*L65%)+(O65*Q65%)</f>
        <v>0</v>
      </c>
      <c r="U65" s="36"/>
      <c r="V65" s="37"/>
      <c r="W65" s="38"/>
      <c r="X65" s="39"/>
      <c r="Y65" s="40"/>
      <c r="Z65" s="40"/>
      <c r="AA65" s="34">
        <f t="shared" si="161"/>
        <v>0</v>
      </c>
      <c r="AB65" s="44">
        <f t="shared" si="162"/>
        <v>0</v>
      </c>
      <c r="AC65" s="129"/>
      <c r="AD65" s="130"/>
      <c r="AE65" s="130"/>
      <c r="AF65" s="34">
        <f t="shared" si="163"/>
        <v>0</v>
      </c>
      <c r="AG65" s="35">
        <f t="shared" si="164"/>
        <v>0</v>
      </c>
      <c r="AH65" s="295"/>
      <c r="AI65" s="38"/>
      <c r="AJ65" s="38"/>
      <c r="AK65" s="34">
        <f t="shared" ref="AK65" si="228">AH65*AI65%</f>
        <v>0</v>
      </c>
      <c r="AL65" s="44">
        <f t="shared" ref="AL65" si="229">AH65*AJ65%</f>
        <v>0</v>
      </c>
      <c r="AM65" s="45">
        <f t="shared" si="167"/>
        <v>0</v>
      </c>
      <c r="AN65" s="51">
        <f t="shared" si="168"/>
        <v>0</v>
      </c>
      <c r="AO65" s="51">
        <f t="shared" si="169"/>
        <v>0</v>
      </c>
      <c r="AP65" s="47" t="e">
        <f t="shared" si="170"/>
        <v>#DIV/0!</v>
      </c>
      <c r="AQ65" s="48">
        <f t="shared" si="171"/>
        <v>0</v>
      </c>
      <c r="AR65" s="49">
        <f t="shared" si="15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2489.5099999999998</v>
      </c>
      <c r="K66">
        <f>SUMPRODUCT(J4:J65,K4:K65)/J66</f>
        <v>3.7980968142325198</v>
      </c>
      <c r="L66">
        <f>SUMPRODUCT(J4:J65,L4:L65)/J66</f>
        <v>8.3243690525444762</v>
      </c>
      <c r="O66" s="49">
        <f>SUM(O8:O65)</f>
        <v>0</v>
      </c>
      <c r="X66" s="49">
        <f>SUM(X6:X65)</f>
        <v>1300</v>
      </c>
      <c r="AC66" s="152">
        <f>SUM(AC6:AC65)</f>
        <v>1316</v>
      </c>
      <c r="AM66" s="55">
        <f>-SUM(AM4:AM65)</f>
        <v>19.230000000000075</v>
      </c>
      <c r="AN66" s="55">
        <f>-SUM(AN4:AN65)</f>
        <v>-0.97776499999999089</v>
      </c>
      <c r="AO66" s="55">
        <f>-SUM(AO4:AO65)</f>
        <v>-3.8007069999999388</v>
      </c>
      <c r="AQ66" s="55">
        <f>-SUM(AQ4:AQ65)</f>
        <v>-1580.2063499999776</v>
      </c>
    </row>
    <row r="67" spans="2:49" x14ac:dyDescent="0.25">
      <c r="J67" s="49">
        <f>J66</f>
        <v>2489.5099999999998</v>
      </c>
      <c r="K67">
        <f>J67*K66%</f>
        <v>94.553999999999988</v>
      </c>
      <c r="L67" s="49">
        <f>J67*L66%</f>
        <v>207.23599999999999</v>
      </c>
    </row>
    <row r="70" spans="2:49" x14ac:dyDescent="0.25">
      <c r="M70">
        <v>43828</v>
      </c>
    </row>
    <row r="71" spans="2:49" x14ac:dyDescent="0.25">
      <c r="M71">
        <v>8296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6" priority="1" operator="lessThan">
      <formula>0.1</formula>
    </cfRule>
    <cfRule type="cellIs" dxfId="35" priority="2" operator="greaterThan">
      <formula>0.1</formula>
    </cfRule>
  </conditionalFormatting>
  <conditionalFormatting sqref="AP1:AQ1">
    <cfRule type="cellIs" dxfId="34" priority="3" operator="lessThan">
      <formula>1</formula>
    </cfRule>
  </conditionalFormatting>
  <conditionalFormatting sqref="AQ4:AQ65">
    <cfRule type="cellIs" dxfId="33" priority="10" operator="lessThan">
      <formula>0</formula>
    </cfRule>
    <cfRule type="cellIs" dxfId="32" priority="1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AB14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130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86"/>
      <c r="L5" s="86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86"/>
      <c r="L8" s="86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86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8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0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86"/>
      <c r="H18" s="86"/>
      <c r="I18" s="86"/>
      <c r="J18" s="86"/>
      <c r="K18" s="86"/>
      <c r="L18" s="86"/>
      <c r="M18" s="87"/>
      <c r="N18" s="88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8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98"/>
      <c r="E30" s="86"/>
      <c r="F30" s="86"/>
      <c r="G30" s="86"/>
      <c r="H30" s="86"/>
      <c r="I30" s="86"/>
      <c r="J30" s="86"/>
      <c r="K30" s="86"/>
      <c r="L30" s="86"/>
      <c r="M30" s="87"/>
      <c r="N30" s="88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98"/>
      <c r="E31" s="86"/>
      <c r="F31" s="86"/>
      <c r="G31" s="86"/>
      <c r="H31" s="86"/>
      <c r="I31" s="86"/>
      <c r="J31" s="86"/>
      <c r="K31" s="86"/>
      <c r="L31" s="86"/>
      <c r="M31" s="87"/>
      <c r="N31" s="88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98"/>
      <c r="E33" s="86"/>
      <c r="F33" s="86"/>
      <c r="G33" s="86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98"/>
      <c r="E36" s="86"/>
      <c r="F36" s="86"/>
      <c r="G36" s="86"/>
      <c r="H36" s="86"/>
      <c r="I36" s="86"/>
      <c r="J36" s="86"/>
      <c r="K36" s="86"/>
      <c r="L36" s="86"/>
      <c r="M36" s="87"/>
      <c r="N36" s="88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8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8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98"/>
      <c r="E42" s="86"/>
      <c r="F42" s="86"/>
      <c r="G42" s="86"/>
      <c r="H42" s="86"/>
      <c r="I42" s="86"/>
      <c r="J42" s="86"/>
      <c r="K42" s="86"/>
      <c r="L42" s="86"/>
      <c r="M42" s="87"/>
      <c r="N42" s="88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98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8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8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98"/>
      <c r="E48" s="86"/>
      <c r="F48" s="86"/>
      <c r="G48" s="86"/>
      <c r="H48" s="86"/>
      <c r="I48" s="86"/>
      <c r="J48" s="86"/>
      <c r="K48" s="86"/>
      <c r="L48" s="86"/>
      <c r="M48" s="87"/>
      <c r="N48" s="88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88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8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98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98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8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/>
      <c r="L63" s="86"/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2"/>
      <c r="AA65" s="92"/>
      <c r="AB65" s="93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8"/>
      <c r="O67" s="77"/>
      <c r="P67" s="89">
        <f>V67</f>
        <v>0</v>
      </c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0"/>
      <c r="W68" s="91"/>
      <c r="X68" s="92"/>
      <c r="Y68" s="92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86"/>
      <c r="I77" s="86"/>
      <c r="J77" s="86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8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  <row r="81" spans="1:28" x14ac:dyDescent="0.25">
      <c r="A81" s="83"/>
      <c r="B81" s="84" t="s">
        <v>76</v>
      </c>
      <c r="C81" s="85"/>
      <c r="D81" s="98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77</v>
      </c>
      <c r="C84" s="85"/>
      <c r="D84" s="98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6"/>
      <c r="X84" s="97"/>
      <c r="Y84" s="97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73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86"/>
      <c r="I92" s="86"/>
      <c r="J92" s="86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0"/>
      <c r="W92" s="91"/>
      <c r="X92" s="92"/>
      <c r="Y92" s="92"/>
      <c r="Z92" s="92"/>
      <c r="AA92" s="92"/>
      <c r="AB92" s="93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/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73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/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98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73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86"/>
      <c r="I113" s="86"/>
      <c r="J113" s="86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0"/>
      <c r="W113" s="91"/>
      <c r="X113" s="92"/>
      <c r="Y113" s="92"/>
      <c r="Z113" s="92"/>
      <c r="AA113" s="92"/>
      <c r="AB113" s="93"/>
    </row>
    <row r="114" spans="1:28" x14ac:dyDescent="0.25">
      <c r="A114" s="83"/>
      <c r="B114" s="84" t="s">
        <v>73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>
        <f>V114</f>
        <v>0</v>
      </c>
      <c r="Q114" s="79">
        <f>W114-H114</f>
        <v>0</v>
      </c>
      <c r="R114" s="80" t="e">
        <f>T114/Q114%</f>
        <v>#DIV/0!</v>
      </c>
      <c r="S114" s="80" t="e">
        <f>U114/Q114%</f>
        <v>#DIV/0!</v>
      </c>
      <c r="T114" s="80">
        <f>Z114-K114</f>
        <v>0</v>
      </c>
      <c r="U114" s="80">
        <f>AA114-L114</f>
        <v>0</v>
      </c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>
        <f>W115-H115</f>
        <v>0</v>
      </c>
      <c r="R115" s="80" t="e">
        <f>T115/Q115%</f>
        <v>#DIV/0!</v>
      </c>
      <c r="S115" s="80" t="e">
        <f>U115/Q115%</f>
        <v>#DIV/0!</v>
      </c>
      <c r="T115" s="80">
        <f>Z115-K115</f>
        <v>0</v>
      </c>
      <c r="U115" s="80">
        <f>AA115-L115</f>
        <v>0</v>
      </c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73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73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</row>
    <row r="123" spans="1:28" x14ac:dyDescent="0.25">
      <c r="A123" s="83"/>
      <c r="B123" s="84" t="s">
        <v>73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>
        <f>V123</f>
        <v>0</v>
      </c>
      <c r="Q123" s="79">
        <f>W123-H123</f>
        <v>0</v>
      </c>
      <c r="R123" s="80" t="e">
        <f>T123/Q123%</f>
        <v>#DIV/0!</v>
      </c>
      <c r="S123" s="80" t="e">
        <f>U123/Q123%</f>
        <v>#DIV/0!</v>
      </c>
      <c r="T123" s="80">
        <f>Z123-K123</f>
        <v>0</v>
      </c>
      <c r="U123" s="80">
        <f>AA123-L123</f>
        <v>0</v>
      </c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>
        <f>W124-H124</f>
        <v>0</v>
      </c>
      <c r="R124" s="80" t="e">
        <f>T124/Q124%</f>
        <v>#DIV/0!</v>
      </c>
      <c r="S124" s="80" t="e">
        <f>U124/Q124%</f>
        <v>#DIV/0!</v>
      </c>
      <c r="T124" s="80">
        <f>Z124-K124</f>
        <v>0</v>
      </c>
      <c r="U124" s="80">
        <f>AA124-L124</f>
        <v>0</v>
      </c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86"/>
      <c r="I125" s="86"/>
      <c r="J125" s="86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0"/>
      <c r="W125" s="91"/>
      <c r="X125" s="92"/>
      <c r="Y125" s="92"/>
      <c r="Z125" s="92"/>
      <c r="AA125" s="92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/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  <c r="AB137" s="93"/>
    </row>
    <row r="138" spans="1:28" x14ac:dyDescent="0.25">
      <c r="A138" s="83"/>
      <c r="B138" s="84" t="s">
        <v>73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76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</sheetData>
  <autoFilter ref="A1:AB58" xr:uid="{00000000-0009-0000-0000-00000A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AW78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3" sqref="AC23"/>
    </sheetView>
  </sheetViews>
  <sheetFormatPr defaultRowHeight="15" x14ac:dyDescent="0.25"/>
  <cols>
    <col min="1" max="1" width="8.5703125" bestFit="1" customWidth="1"/>
    <col min="2" max="2" width="12.5703125" bestFit="1" customWidth="1"/>
    <col min="3" max="3" width="5" customWidth="1"/>
    <col min="4" max="4" width="7.7109375" customWidth="1"/>
    <col min="5" max="6" width="5.28515625" customWidth="1"/>
    <col min="7" max="7" width="6.85546875" customWidth="1"/>
    <col min="8" max="8" width="7" customWidth="1"/>
    <col min="9" max="9" width="7" bestFit="1" customWidth="1"/>
    <col min="10" max="10" width="8.28515625" bestFit="1" customWidth="1"/>
    <col min="11" max="11" width="6.5703125" bestFit="1" customWidth="1"/>
    <col min="12" max="12" width="6" bestFit="1" customWidth="1"/>
    <col min="13" max="13" width="7.28515625" hidden="1" customWidth="1"/>
    <col min="14" max="14" width="12" hidden="1" customWidth="1"/>
    <col min="15" max="15" width="6.7109375" hidden="1" customWidth="1"/>
    <col min="16" max="17" width="5.28515625" hidden="1" customWidth="1"/>
    <col min="19" max="20" width="7.140625" bestFit="1" customWidth="1"/>
    <col min="21" max="21" width="6.85546875" bestFit="1" customWidth="1"/>
    <col min="22" max="22" width="7.42578125" bestFit="1" customWidth="1"/>
    <col min="23" max="23" width="7.5703125" bestFit="1" customWidth="1"/>
    <col min="24" max="24" width="7.140625" bestFit="1" customWidth="1"/>
    <col min="25" max="25" width="8.28515625" bestFit="1" customWidth="1"/>
    <col min="26" max="26" width="6" bestFit="1" customWidth="1"/>
    <col min="27" max="28" width="7.140625" bestFit="1" customWidth="1"/>
    <col min="29" max="29" width="9.28515625" bestFit="1" customWidth="1"/>
    <col min="30" max="31" width="5.28515625" bestFit="1" customWidth="1"/>
    <col min="32" max="32" width="6.85546875" bestFit="1" customWidth="1"/>
    <col min="33" max="33" width="7" bestFit="1" customWidth="1"/>
    <col min="34" max="34" width="7.140625" bestFit="1" customWidth="1"/>
    <col min="35" max="35" width="8.28515625" bestFit="1" customWidth="1"/>
    <col min="36" max="36" width="7.140625" bestFit="1" customWidth="1"/>
    <col min="37" max="37" width="6.85546875" bestFit="1" customWidth="1"/>
    <col min="38" max="38" width="7" bestFit="1" customWidth="1"/>
    <col min="39" max="39" width="7.710937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3.28515625" bestFit="1" customWidth="1"/>
    <col min="45" max="49" width="8.7109375" bestFit="1" customWidth="1"/>
  </cols>
  <sheetData>
    <row r="1" spans="1:49" ht="15.75" thickBot="1" x14ac:dyDescent="0.3">
      <c r="B1" s="14" t="s">
        <v>58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62">
        <v>264.29000000000002</v>
      </c>
      <c r="E4" s="38">
        <v>3.17</v>
      </c>
      <c r="F4" s="38">
        <v>8.25</v>
      </c>
      <c r="G4" s="24">
        <f>+D4*E4%</f>
        <v>8.377993</v>
      </c>
      <c r="H4" s="25">
        <f>+D4*F4%</f>
        <v>21.803925000000003</v>
      </c>
      <c r="I4" s="26">
        <f>J4/1.03</f>
        <v>394.05999999999995</v>
      </c>
      <c r="J4" s="133">
        <v>405.88179999999994</v>
      </c>
      <c r="K4" s="269">
        <v>3.5070801400801908</v>
      </c>
      <c r="L4" s="133">
        <v>8.4327259808151069</v>
      </c>
      <c r="M4" s="61">
        <v>0</v>
      </c>
      <c r="N4" s="30">
        <v>0</v>
      </c>
      <c r="O4" s="31">
        <v>0</v>
      </c>
      <c r="P4" s="28">
        <v>0</v>
      </c>
      <c r="Q4" s="32">
        <v>0</v>
      </c>
      <c r="R4" s="53">
        <f t="shared" ref="R4:R11" si="0">O4+J4</f>
        <v>405.88179999999994</v>
      </c>
      <c r="S4" s="34">
        <f t="shared" ref="S4:S11" si="1">(J4*K4%)+(O4*P4%)</f>
        <v>14.234599999999997</v>
      </c>
      <c r="T4" s="35">
        <f t="shared" ref="T4:T11" si="2">(J4*L4%)+(O4*Q4%)</f>
        <v>34.226900000000008</v>
      </c>
      <c r="U4" s="36"/>
      <c r="V4" s="37"/>
      <c r="W4" s="38"/>
      <c r="X4" s="39"/>
      <c r="Y4" s="40"/>
      <c r="Z4" s="40"/>
      <c r="AA4" s="34">
        <f t="shared" ref="AA4:AA13" si="3">X4*Y4%</f>
        <v>0</v>
      </c>
      <c r="AB4" s="34">
        <f t="shared" ref="AB4:AB13" si="4">X4*Z4%</f>
        <v>0</v>
      </c>
      <c r="AC4" s="41"/>
      <c r="AD4" s="42"/>
      <c r="AE4" s="42"/>
      <c r="AF4" s="34">
        <f t="shared" ref="AF4:AF13" si="5">AC4*AD4%</f>
        <v>0</v>
      </c>
      <c r="AG4" s="34">
        <f t="shared" ref="AG4:AG13" si="6">AC4*AE4%</f>
        <v>0</v>
      </c>
      <c r="AH4" s="43">
        <v>670.17</v>
      </c>
      <c r="AI4" s="38">
        <v>3.36</v>
      </c>
      <c r="AJ4" s="38">
        <v>8.35</v>
      </c>
      <c r="AK4" s="34">
        <f t="shared" ref="AK4:AK41" si="7">AH4*AI4%</f>
        <v>22.517711999999996</v>
      </c>
      <c r="AL4" s="44">
        <f t="shared" ref="AL4:AL41" si="8">AH4*AJ4%</f>
        <v>55.959194999999994</v>
      </c>
      <c r="AM4" s="45">
        <f>+D4+R4-AC4-AH4</f>
        <v>1.8000000000029104E-3</v>
      </c>
      <c r="AN4" s="46">
        <f t="shared" ref="AN4:AO19" si="9">+G4+S4-AF4-AK4</f>
        <v>9.4881000000000881E-2</v>
      </c>
      <c r="AO4" s="46">
        <f t="shared" si="9"/>
        <v>7.1630000000013183E-2</v>
      </c>
      <c r="AP4" s="47">
        <f>(AN4+AO4)/(S4+T4)</f>
        <v>3.4359439967812399E-3</v>
      </c>
      <c r="AQ4" s="48">
        <f t="shared" ref="AQ4:AQ65" si="10">($AP$1*AN4+$AQ$1*AO4)</f>
        <v>64.185450000004352</v>
      </c>
      <c r="AR4" s="49">
        <f>(D4+J4+O4)-(X4+AH4)</f>
        <v>1.8000000000029104E-3</v>
      </c>
      <c r="AS4" s="49"/>
    </row>
    <row r="5" spans="1:49" x14ac:dyDescent="0.25">
      <c r="A5" t="str">
        <f t="shared" ref="A5:A13" si="11">CONCATENATE(B5,C5)</f>
        <v>46174E</v>
      </c>
      <c r="B5" s="22">
        <f>+B4</f>
        <v>46174</v>
      </c>
      <c r="C5" s="23" t="s">
        <v>55</v>
      </c>
      <c r="D5" s="50">
        <f t="shared" ref="D5:F17" si="12">AH4</f>
        <v>670.17</v>
      </c>
      <c r="E5" s="34">
        <f t="shared" si="12"/>
        <v>3.36</v>
      </c>
      <c r="F5" s="34">
        <f t="shared" si="12"/>
        <v>8.35</v>
      </c>
      <c r="G5" s="34">
        <f t="shared" ref="G5:G41" si="13">+D5*E5%</f>
        <v>22.517711999999996</v>
      </c>
      <c r="H5" s="35">
        <f t="shared" ref="H5:H41" si="14">+D5*F5%</f>
        <v>55.959194999999994</v>
      </c>
      <c r="I5" s="26">
        <f t="shared" ref="I5:I65" si="15">J5/1.03</f>
        <v>165.21</v>
      </c>
      <c r="J5" s="27">
        <v>170.16630000000001</v>
      </c>
      <c r="K5" s="28">
        <v>3.2867259851098596</v>
      </c>
      <c r="L5" s="32">
        <v>8.0745717571575568</v>
      </c>
      <c r="M5" s="29">
        <v>0</v>
      </c>
      <c r="N5" s="30">
        <v>0</v>
      </c>
      <c r="O5" s="31">
        <v>0</v>
      </c>
      <c r="P5" s="28">
        <v>0</v>
      </c>
      <c r="Q5" s="32">
        <v>0</v>
      </c>
      <c r="R5" s="53">
        <f t="shared" ref="R5" si="16">O5+J5</f>
        <v>170.16630000000001</v>
      </c>
      <c r="S5" s="34">
        <f t="shared" ref="S5" si="17">(J5*K5%)+(O5*P5%)</f>
        <v>5.5928999999999993</v>
      </c>
      <c r="T5" s="35">
        <f t="shared" ref="T5" si="18">(J5*L5%)+(O5*Q5%)</f>
        <v>13.740200000000002</v>
      </c>
      <c r="U5" s="36"/>
      <c r="V5" s="37"/>
      <c r="W5" s="38"/>
      <c r="X5" s="39"/>
      <c r="Y5" s="40"/>
      <c r="Z5" s="40"/>
      <c r="AA5" s="34">
        <f t="shared" si="3"/>
        <v>0</v>
      </c>
      <c r="AB5" s="34">
        <f t="shared" si="4"/>
        <v>0</v>
      </c>
      <c r="AC5" s="41"/>
      <c r="AD5" s="42"/>
      <c r="AE5" s="42"/>
      <c r="AF5" s="34">
        <f t="shared" si="5"/>
        <v>0</v>
      </c>
      <c r="AG5" s="34">
        <f t="shared" si="6"/>
        <v>0</v>
      </c>
      <c r="AH5" s="43">
        <v>840.33</v>
      </c>
      <c r="AI5" s="38">
        <v>3.34</v>
      </c>
      <c r="AJ5" s="38">
        <v>8.2899999999999991</v>
      </c>
      <c r="AK5" s="34">
        <f t="shared" si="7"/>
        <v>28.067022000000001</v>
      </c>
      <c r="AL5" s="44">
        <f t="shared" si="8"/>
        <v>69.663356999999991</v>
      </c>
      <c r="AM5" s="45">
        <f t="shared" ref="AM5:AM41" si="19">+D5+R5-AC5-AH5</f>
        <v>6.2999999998964995E-3</v>
      </c>
      <c r="AN5" s="51">
        <f t="shared" si="9"/>
        <v>4.3589999999994689E-2</v>
      </c>
      <c r="AO5" s="51">
        <f t="shared" si="9"/>
        <v>3.6038000000004899E-2</v>
      </c>
      <c r="AP5" s="47">
        <f t="shared" ref="AP5:AP41" si="20">(AN5+AO5)/(S5+T5)</f>
        <v>4.1187393640957515E-3</v>
      </c>
      <c r="AQ5" s="48">
        <f t="shared" si="10"/>
        <v>30.42689999999908</v>
      </c>
      <c r="AR5" s="49">
        <f t="shared" ref="AR5:AR65" si="21">(D5+J5+O5)-(X5+AH5)</f>
        <v>6.2999999998964995E-3</v>
      </c>
      <c r="AS5" s="49"/>
    </row>
    <row r="6" spans="1:49" x14ac:dyDescent="0.25">
      <c r="A6" t="str">
        <f t="shared" si="11"/>
        <v>46175M</v>
      </c>
      <c r="B6" s="22">
        <f>+B4+1</f>
        <v>46175</v>
      </c>
      <c r="C6" s="23" t="s">
        <v>54</v>
      </c>
      <c r="D6" s="50">
        <f t="shared" ref="D6" si="22">AH5</f>
        <v>840.33</v>
      </c>
      <c r="E6" s="34">
        <f t="shared" ref="E6" si="23">AI5</f>
        <v>3.34</v>
      </c>
      <c r="F6" s="34">
        <f t="shared" ref="F6" si="24">AJ5</f>
        <v>8.2899999999999991</v>
      </c>
      <c r="G6" s="34">
        <f t="shared" si="13"/>
        <v>28.067022000000001</v>
      </c>
      <c r="H6" s="35">
        <f t="shared" si="14"/>
        <v>69.663356999999991</v>
      </c>
      <c r="I6" s="26">
        <f t="shared" si="15"/>
        <v>414.4</v>
      </c>
      <c r="J6" s="27">
        <v>426.83199999999999</v>
      </c>
      <c r="K6" s="28">
        <v>3.3349420849420848</v>
      </c>
      <c r="L6" s="32">
        <v>8.281853281853282</v>
      </c>
      <c r="M6" s="29">
        <v>0</v>
      </c>
      <c r="N6" s="30">
        <v>0</v>
      </c>
      <c r="O6" s="31">
        <v>0</v>
      </c>
      <c r="P6" s="28">
        <v>0</v>
      </c>
      <c r="Q6" s="32">
        <v>0</v>
      </c>
      <c r="R6" s="53">
        <f t="shared" ref="R6" si="25">O6+J6</f>
        <v>426.83199999999999</v>
      </c>
      <c r="S6" s="34">
        <f t="shared" ref="S6" si="26">(J6*K6%)+(O6*P6%)</f>
        <v>14.2346</v>
      </c>
      <c r="T6" s="35">
        <f t="shared" ref="T6" si="27">(J6*L6%)+(O6*Q6%)</f>
        <v>35.349600000000002</v>
      </c>
      <c r="U6" s="36"/>
      <c r="V6" s="37"/>
      <c r="W6" s="38"/>
      <c r="X6" s="39"/>
      <c r="Y6" s="40"/>
      <c r="Z6" s="40"/>
      <c r="AA6" s="34">
        <f t="shared" si="3"/>
        <v>0</v>
      </c>
      <c r="AB6" s="34">
        <f t="shared" si="4"/>
        <v>0</v>
      </c>
      <c r="AC6" s="41"/>
      <c r="AD6" s="42"/>
      <c r="AE6" s="42"/>
      <c r="AF6" s="34">
        <f t="shared" si="5"/>
        <v>0</v>
      </c>
      <c r="AG6" s="34">
        <f t="shared" si="6"/>
        <v>0</v>
      </c>
      <c r="AH6" s="43">
        <v>1267.2</v>
      </c>
      <c r="AI6" s="38">
        <v>3.34</v>
      </c>
      <c r="AJ6" s="38">
        <v>8.2799999999999994</v>
      </c>
      <c r="AK6" s="34">
        <f t="shared" si="7"/>
        <v>42.324480000000001</v>
      </c>
      <c r="AL6" s="44">
        <f t="shared" si="8"/>
        <v>104.92416</v>
      </c>
      <c r="AM6" s="54">
        <f t="shared" si="19"/>
        <v>-3.8000000000010914E-2</v>
      </c>
      <c r="AN6" s="51">
        <f t="shared" si="9"/>
        <v>-2.2857999999999379E-2</v>
      </c>
      <c r="AO6" s="51">
        <f t="shared" si="9"/>
        <v>8.8796999999999571E-2</v>
      </c>
      <c r="AP6" s="47">
        <f t="shared" si="20"/>
        <v>1.3298389406302853E-3</v>
      </c>
      <c r="AQ6" s="48">
        <f t="shared" si="10"/>
        <v>16.353000000000151</v>
      </c>
      <c r="AR6" s="49">
        <f t="shared" si="21"/>
        <v>-3.8000000000010914E-2</v>
      </c>
      <c r="AS6" s="49"/>
    </row>
    <row r="7" spans="1:49" x14ac:dyDescent="0.25">
      <c r="A7" t="str">
        <f t="shared" si="11"/>
        <v>46175E</v>
      </c>
      <c r="B7" s="22">
        <f>+B5+1</f>
        <v>46175</v>
      </c>
      <c r="C7" s="23" t="s">
        <v>55</v>
      </c>
      <c r="D7" s="50">
        <f t="shared" si="12"/>
        <v>1267.2</v>
      </c>
      <c r="E7" s="34">
        <f t="shared" si="12"/>
        <v>3.34</v>
      </c>
      <c r="F7" s="34">
        <f t="shared" si="12"/>
        <v>8.2799999999999994</v>
      </c>
      <c r="G7" s="34">
        <f t="shared" si="13"/>
        <v>42.324480000000001</v>
      </c>
      <c r="H7" s="35">
        <f t="shared" si="14"/>
        <v>104.92416</v>
      </c>
      <c r="I7" s="26">
        <f t="shared" si="15"/>
        <v>1474.9</v>
      </c>
      <c r="J7" s="27">
        <v>1519.1470000000002</v>
      </c>
      <c r="K7" s="28">
        <v>3.0456302122177781</v>
      </c>
      <c r="L7" s="32">
        <v>8.5368499559292168</v>
      </c>
      <c r="M7" s="29">
        <v>0</v>
      </c>
      <c r="N7" s="30">
        <v>0</v>
      </c>
      <c r="O7" s="31">
        <v>0</v>
      </c>
      <c r="P7" s="28">
        <v>0</v>
      </c>
      <c r="Q7" s="32">
        <v>0</v>
      </c>
      <c r="R7" s="53">
        <f t="shared" ref="R7" si="28">O7+J7</f>
        <v>1519.1470000000002</v>
      </c>
      <c r="S7" s="34">
        <f t="shared" ref="S7" si="29">(J7*K7%)+(O7*P7%)</f>
        <v>46.267600000000009</v>
      </c>
      <c r="T7" s="35">
        <f t="shared" ref="T7" si="30">(J7*L7%)+(O7*Q7%)</f>
        <v>129.68730000000002</v>
      </c>
      <c r="U7" s="36"/>
      <c r="V7" s="37"/>
      <c r="W7" s="38"/>
      <c r="X7" s="39">
        <v>2195</v>
      </c>
      <c r="Y7" s="40">
        <v>3.35</v>
      </c>
      <c r="Z7" s="40">
        <v>7.95</v>
      </c>
      <c r="AA7" s="34">
        <f t="shared" si="3"/>
        <v>73.532499999999999</v>
      </c>
      <c r="AB7" s="34">
        <f t="shared" si="4"/>
        <v>174.5025</v>
      </c>
      <c r="AC7" s="41">
        <v>2195</v>
      </c>
      <c r="AD7" s="42">
        <v>3.36</v>
      </c>
      <c r="AE7" s="42">
        <v>7.9</v>
      </c>
      <c r="AF7" s="34">
        <f t="shared" si="5"/>
        <v>73.751999999999995</v>
      </c>
      <c r="AG7" s="34">
        <f t="shared" si="6"/>
        <v>173.405</v>
      </c>
      <c r="AH7" s="43">
        <v>627</v>
      </c>
      <c r="AI7" s="38">
        <v>3.05</v>
      </c>
      <c r="AJ7" s="38">
        <v>8.5399999999999991</v>
      </c>
      <c r="AK7" s="34">
        <f t="shared" si="7"/>
        <v>19.1235</v>
      </c>
      <c r="AL7" s="44">
        <f t="shared" si="8"/>
        <v>53.545799999999993</v>
      </c>
      <c r="AM7" s="54">
        <f t="shared" si="19"/>
        <v>-35.652999999999793</v>
      </c>
      <c r="AN7" s="51">
        <f t="shared" si="9"/>
        <v>-4.2834199999999854</v>
      </c>
      <c r="AO7" s="51">
        <f t="shared" si="9"/>
        <v>7.6606600000000284</v>
      </c>
      <c r="AP7" s="47">
        <f t="shared" si="20"/>
        <v>1.9193782043012399E-2</v>
      </c>
      <c r="AQ7" s="48">
        <f t="shared" si="10"/>
        <v>370.65900000001511</v>
      </c>
      <c r="AR7" s="49">
        <f t="shared" si="21"/>
        <v>-35.652999999999793</v>
      </c>
      <c r="AS7" s="49"/>
    </row>
    <row r="8" spans="1:49" x14ac:dyDescent="0.25">
      <c r="A8" t="str">
        <f t="shared" si="11"/>
        <v>46176M</v>
      </c>
      <c r="B8" s="22">
        <f>+B6+1</f>
        <v>46176</v>
      </c>
      <c r="C8" s="23" t="s">
        <v>54</v>
      </c>
      <c r="D8" s="50"/>
      <c r="E8" s="34"/>
      <c r="F8" s="34"/>
      <c r="G8" s="34">
        <f t="shared" si="13"/>
        <v>0</v>
      </c>
      <c r="H8" s="35">
        <f t="shared" si="14"/>
        <v>0</v>
      </c>
      <c r="I8" s="26">
        <f t="shared" si="15"/>
        <v>0</v>
      </c>
      <c r="J8" s="27"/>
      <c r="K8" s="28"/>
      <c r="L8" s="32"/>
      <c r="M8" s="29">
        <v>0</v>
      </c>
      <c r="N8" s="30">
        <v>0</v>
      </c>
      <c r="O8" s="31">
        <v>0</v>
      </c>
      <c r="P8" s="28">
        <v>0</v>
      </c>
      <c r="Q8" s="32">
        <v>0</v>
      </c>
      <c r="R8" s="53">
        <f t="shared" ref="R8" si="31">O8+J8</f>
        <v>0</v>
      </c>
      <c r="S8" s="34">
        <f t="shared" ref="S8" si="32">(J8*K8%)+(O8*P8%)</f>
        <v>0</v>
      </c>
      <c r="T8" s="35">
        <f t="shared" ref="T8" si="33">(J8*L8%)+(O8*Q8%)</f>
        <v>0</v>
      </c>
      <c r="U8" s="36"/>
      <c r="V8" s="37"/>
      <c r="W8" s="38"/>
      <c r="X8" s="39"/>
      <c r="Y8" s="40"/>
      <c r="Z8" s="40"/>
      <c r="AA8" s="34">
        <f t="shared" si="3"/>
        <v>0</v>
      </c>
      <c r="AB8" s="34">
        <f t="shared" si="4"/>
        <v>0</v>
      </c>
      <c r="AC8" s="129"/>
      <c r="AD8" s="130"/>
      <c r="AE8" s="130"/>
      <c r="AF8" s="34">
        <f t="shared" si="5"/>
        <v>0</v>
      </c>
      <c r="AG8" s="34">
        <f t="shared" si="6"/>
        <v>0</v>
      </c>
      <c r="AH8" s="43"/>
      <c r="AI8" s="38"/>
      <c r="AJ8" s="38"/>
      <c r="AK8" s="34">
        <f t="shared" si="7"/>
        <v>0</v>
      </c>
      <c r="AL8" s="44">
        <f t="shared" si="8"/>
        <v>0</v>
      </c>
      <c r="AM8" s="45">
        <f t="shared" si="19"/>
        <v>0</v>
      </c>
      <c r="AN8" s="46">
        <f t="shared" si="9"/>
        <v>0</v>
      </c>
      <c r="AO8" s="46">
        <f t="shared" si="9"/>
        <v>0</v>
      </c>
      <c r="AP8" s="47" t="e">
        <f t="shared" si="20"/>
        <v>#DIV/0!</v>
      </c>
      <c r="AQ8" s="48">
        <f t="shared" si="10"/>
        <v>0</v>
      </c>
      <c r="AR8" s="49">
        <f t="shared" si="21"/>
        <v>0</v>
      </c>
      <c r="AS8" s="49"/>
    </row>
    <row r="9" spans="1:49" x14ac:dyDescent="0.25">
      <c r="A9" t="str">
        <f t="shared" si="11"/>
        <v>46176E</v>
      </c>
      <c r="B9" s="22">
        <f t="shared" ref="B9:B65" si="34">+B7+1</f>
        <v>46176</v>
      </c>
      <c r="C9" s="23" t="s">
        <v>55</v>
      </c>
      <c r="D9" s="50">
        <f t="shared" si="12"/>
        <v>0</v>
      </c>
      <c r="E9" s="34">
        <f t="shared" si="12"/>
        <v>0</v>
      </c>
      <c r="F9" s="34">
        <f t="shared" si="12"/>
        <v>0</v>
      </c>
      <c r="G9" s="34">
        <f t="shared" si="13"/>
        <v>0</v>
      </c>
      <c r="H9" s="35">
        <f t="shared" si="14"/>
        <v>0</v>
      </c>
      <c r="I9" s="26">
        <f t="shared" si="15"/>
        <v>0</v>
      </c>
      <c r="J9" s="27"/>
      <c r="K9" s="28"/>
      <c r="L9" s="32"/>
      <c r="M9" s="29">
        <v>0</v>
      </c>
      <c r="N9" s="30">
        <v>0</v>
      </c>
      <c r="O9" s="31">
        <v>0</v>
      </c>
      <c r="P9" s="28">
        <v>0</v>
      </c>
      <c r="Q9" s="32">
        <v>0</v>
      </c>
      <c r="R9" s="53">
        <f t="shared" ref="R9" si="35">O9+J9</f>
        <v>0</v>
      </c>
      <c r="S9" s="34">
        <f t="shared" ref="S9" si="36">(J9*K9%)+(O9*P9%)</f>
        <v>0</v>
      </c>
      <c r="T9" s="35">
        <f t="shared" ref="T9" si="37">(J9*L9%)+(O9*Q9%)</f>
        <v>0</v>
      </c>
      <c r="U9" s="36"/>
      <c r="V9" s="37"/>
      <c r="W9" s="38"/>
      <c r="X9" s="39"/>
      <c r="Y9" s="40"/>
      <c r="Z9" s="40"/>
      <c r="AA9" s="34">
        <f t="shared" si="3"/>
        <v>0</v>
      </c>
      <c r="AB9" s="34">
        <f t="shared" si="4"/>
        <v>0</v>
      </c>
      <c r="AC9" s="129"/>
      <c r="AD9" s="130"/>
      <c r="AE9" s="130"/>
      <c r="AF9" s="34">
        <f t="shared" si="5"/>
        <v>0</v>
      </c>
      <c r="AG9" s="34">
        <f t="shared" si="6"/>
        <v>0</v>
      </c>
      <c r="AH9" s="43"/>
      <c r="AI9" s="38"/>
      <c r="AJ9" s="38"/>
      <c r="AK9" s="34">
        <f t="shared" si="7"/>
        <v>0</v>
      </c>
      <c r="AL9" s="44">
        <f t="shared" si="8"/>
        <v>0</v>
      </c>
      <c r="AM9" s="45">
        <f t="shared" si="19"/>
        <v>0</v>
      </c>
      <c r="AN9" s="46">
        <f t="shared" si="9"/>
        <v>0</v>
      </c>
      <c r="AO9" s="46">
        <f t="shared" si="9"/>
        <v>0</v>
      </c>
      <c r="AP9" s="47" t="e">
        <f t="shared" si="20"/>
        <v>#DIV/0!</v>
      </c>
      <c r="AQ9" s="48">
        <f t="shared" si="10"/>
        <v>0</v>
      </c>
      <c r="AR9" s="49">
        <f t="shared" si="21"/>
        <v>0</v>
      </c>
      <c r="AS9" s="49"/>
    </row>
    <row r="10" spans="1:49" x14ac:dyDescent="0.25">
      <c r="A10" t="str">
        <f t="shared" si="11"/>
        <v>46177M</v>
      </c>
      <c r="B10" s="22">
        <f t="shared" si="34"/>
        <v>46177</v>
      </c>
      <c r="C10" s="23" t="s">
        <v>54</v>
      </c>
      <c r="D10" s="50">
        <f t="shared" ref="D10" si="38">AH9</f>
        <v>0</v>
      </c>
      <c r="E10" s="34">
        <f t="shared" ref="E10" si="39">AI9</f>
        <v>0</v>
      </c>
      <c r="F10" s="34">
        <f t="shared" ref="F10" si="40">AJ9</f>
        <v>0</v>
      </c>
      <c r="G10" s="34">
        <f t="shared" ref="G10" si="41">+D10*E10%</f>
        <v>0</v>
      </c>
      <c r="H10" s="35">
        <f t="shared" si="14"/>
        <v>0</v>
      </c>
      <c r="I10" s="26">
        <f t="shared" si="15"/>
        <v>0</v>
      </c>
      <c r="J10" s="27"/>
      <c r="K10" s="28"/>
      <c r="L10" s="32"/>
      <c r="M10" s="29">
        <v>0</v>
      </c>
      <c r="N10" s="30">
        <v>0</v>
      </c>
      <c r="O10" s="31">
        <v>0</v>
      </c>
      <c r="P10" s="28">
        <v>0</v>
      </c>
      <c r="Q10" s="32">
        <v>0</v>
      </c>
      <c r="R10" s="53">
        <f t="shared" ref="R10" si="42">O10+J10</f>
        <v>0</v>
      </c>
      <c r="S10" s="34">
        <f t="shared" ref="S10" si="43">(J10*K10%)+(O10*P10%)</f>
        <v>0</v>
      </c>
      <c r="T10" s="35">
        <f t="shared" ref="T10" si="44">(J10*L10%)+(O10*Q10%)</f>
        <v>0</v>
      </c>
      <c r="U10" s="36"/>
      <c r="V10" s="37"/>
      <c r="W10" s="38"/>
      <c r="X10" s="39"/>
      <c r="Y10" s="40"/>
      <c r="Z10" s="40"/>
      <c r="AA10" s="34">
        <f t="shared" ref="AA10" si="45">X10*Y10%</f>
        <v>0</v>
      </c>
      <c r="AB10" s="34">
        <f t="shared" ref="AB10" si="46">X10*Z10%</f>
        <v>0</v>
      </c>
      <c r="AC10" s="41"/>
      <c r="AD10" s="42"/>
      <c r="AE10" s="42"/>
      <c r="AF10" s="34">
        <f t="shared" si="5"/>
        <v>0</v>
      </c>
      <c r="AG10" s="34">
        <f t="shared" si="6"/>
        <v>0</v>
      </c>
      <c r="AH10" s="43"/>
      <c r="AI10" s="38"/>
      <c r="AJ10" s="38"/>
      <c r="AK10" s="34">
        <f t="shared" si="7"/>
        <v>0</v>
      </c>
      <c r="AL10" s="44">
        <f t="shared" si="8"/>
        <v>0</v>
      </c>
      <c r="AM10" s="45">
        <f t="shared" si="19"/>
        <v>0</v>
      </c>
      <c r="AN10" s="46">
        <f t="shared" si="9"/>
        <v>0</v>
      </c>
      <c r="AO10" s="46">
        <f t="shared" si="9"/>
        <v>0</v>
      </c>
      <c r="AP10" s="47" t="e">
        <f t="shared" si="20"/>
        <v>#DIV/0!</v>
      </c>
      <c r="AQ10" s="48">
        <f t="shared" si="10"/>
        <v>0</v>
      </c>
      <c r="AR10" s="49">
        <f t="shared" si="21"/>
        <v>0</v>
      </c>
      <c r="AS10" s="49"/>
    </row>
    <row r="11" spans="1:49" x14ac:dyDescent="0.25">
      <c r="A11" t="str">
        <f t="shared" si="11"/>
        <v>46177E</v>
      </c>
      <c r="B11" s="22">
        <f t="shared" si="34"/>
        <v>46177</v>
      </c>
      <c r="C11" s="23" t="s">
        <v>55</v>
      </c>
      <c r="D11" s="50">
        <f t="shared" ref="D11" si="47">AH10</f>
        <v>0</v>
      </c>
      <c r="E11" s="34">
        <f t="shared" ref="E11" si="48">AI10</f>
        <v>0</v>
      </c>
      <c r="F11" s="34">
        <f t="shared" ref="F11" si="49">AJ10</f>
        <v>0</v>
      </c>
      <c r="G11" s="34">
        <f t="shared" si="13"/>
        <v>0</v>
      </c>
      <c r="H11" s="35">
        <f t="shared" si="14"/>
        <v>0</v>
      </c>
      <c r="I11" s="26">
        <f t="shared" si="15"/>
        <v>0</v>
      </c>
      <c r="J11" s="27"/>
      <c r="K11" s="28"/>
      <c r="L11" s="32"/>
      <c r="M11" s="29">
        <v>0</v>
      </c>
      <c r="N11" s="131">
        <v>0</v>
      </c>
      <c r="O11" s="31">
        <v>0</v>
      </c>
      <c r="P11" s="28">
        <v>0</v>
      </c>
      <c r="Q11" s="32">
        <v>0</v>
      </c>
      <c r="R11" s="53">
        <f t="shared" si="0"/>
        <v>0</v>
      </c>
      <c r="S11" s="34">
        <f t="shared" si="1"/>
        <v>0</v>
      </c>
      <c r="T11" s="35">
        <f t="shared" si="2"/>
        <v>0</v>
      </c>
      <c r="U11" s="36"/>
      <c r="V11" s="37"/>
      <c r="W11" s="38"/>
      <c r="X11" s="39"/>
      <c r="Y11" s="40"/>
      <c r="Z11" s="40"/>
      <c r="AA11" s="34">
        <f t="shared" si="3"/>
        <v>0</v>
      </c>
      <c r="AB11" s="34">
        <f t="shared" si="4"/>
        <v>0</v>
      </c>
      <c r="AC11" s="41"/>
      <c r="AD11" s="42"/>
      <c r="AE11" s="42"/>
      <c r="AF11" s="34">
        <f t="shared" si="5"/>
        <v>0</v>
      </c>
      <c r="AG11" s="34">
        <f t="shared" si="6"/>
        <v>0</v>
      </c>
      <c r="AH11" s="43"/>
      <c r="AI11" s="38"/>
      <c r="AJ11" s="38"/>
      <c r="AK11" s="34">
        <f t="shared" si="7"/>
        <v>0</v>
      </c>
      <c r="AL11" s="44">
        <f t="shared" si="8"/>
        <v>0</v>
      </c>
      <c r="AM11" s="45">
        <f t="shared" si="19"/>
        <v>0</v>
      </c>
      <c r="AN11" s="46">
        <f t="shared" si="9"/>
        <v>0</v>
      </c>
      <c r="AO11" s="46">
        <f t="shared" si="9"/>
        <v>0</v>
      </c>
      <c r="AP11" s="47" t="e">
        <f t="shared" si="20"/>
        <v>#DIV/0!</v>
      </c>
      <c r="AQ11" s="48">
        <f t="shared" si="10"/>
        <v>0</v>
      </c>
      <c r="AR11" s="49">
        <f t="shared" si="21"/>
        <v>0</v>
      </c>
      <c r="AS11" s="57"/>
    </row>
    <row r="12" spans="1:49" x14ac:dyDescent="0.25">
      <c r="A12" t="str">
        <f t="shared" si="11"/>
        <v>46178M</v>
      </c>
      <c r="B12" s="22">
        <f t="shared" si="34"/>
        <v>46178</v>
      </c>
      <c r="C12" s="23" t="s">
        <v>54</v>
      </c>
      <c r="D12" s="50">
        <f t="shared" ref="D12" si="50">AH11</f>
        <v>0</v>
      </c>
      <c r="E12" s="34">
        <f t="shared" ref="E12" si="51">AI11</f>
        <v>0</v>
      </c>
      <c r="F12" s="34">
        <f t="shared" ref="F12" si="52">AJ11</f>
        <v>0</v>
      </c>
      <c r="G12" s="34">
        <f t="shared" si="13"/>
        <v>0</v>
      </c>
      <c r="H12" s="35">
        <f t="shared" si="14"/>
        <v>0</v>
      </c>
      <c r="I12" s="26">
        <f t="shared" si="15"/>
        <v>0</v>
      </c>
      <c r="J12" s="27"/>
      <c r="K12" s="28"/>
      <c r="L12" s="32"/>
      <c r="M12" s="29">
        <v>0</v>
      </c>
      <c r="N12" s="30">
        <v>0</v>
      </c>
      <c r="O12" s="31">
        <v>0</v>
      </c>
      <c r="P12" s="28">
        <v>0</v>
      </c>
      <c r="Q12" s="28">
        <v>0</v>
      </c>
      <c r="R12" s="53">
        <f t="shared" ref="R12" si="53">O12+J12</f>
        <v>0</v>
      </c>
      <c r="S12" s="34">
        <f t="shared" ref="S12" si="54">(J12*K12%)+(O12*P12%)</f>
        <v>0</v>
      </c>
      <c r="T12" s="35">
        <f t="shared" ref="T12" si="55">(J12*L12%)+(O12*Q12%)</f>
        <v>0</v>
      </c>
      <c r="U12" s="36"/>
      <c r="V12" s="37"/>
      <c r="W12" s="38"/>
      <c r="X12" s="39"/>
      <c r="Y12" s="40"/>
      <c r="Z12" s="40"/>
      <c r="AA12" s="34">
        <f t="shared" si="3"/>
        <v>0</v>
      </c>
      <c r="AB12" s="34">
        <f t="shared" si="4"/>
        <v>0</v>
      </c>
      <c r="AC12" s="41"/>
      <c r="AD12" s="42"/>
      <c r="AE12" s="42"/>
      <c r="AF12" s="34">
        <f t="shared" si="5"/>
        <v>0</v>
      </c>
      <c r="AG12" s="34">
        <f t="shared" si="6"/>
        <v>0</v>
      </c>
      <c r="AH12" s="43"/>
      <c r="AI12" s="38"/>
      <c r="AJ12" s="38"/>
      <c r="AK12" s="34">
        <f t="shared" si="7"/>
        <v>0</v>
      </c>
      <c r="AL12" s="44">
        <f t="shared" si="8"/>
        <v>0</v>
      </c>
      <c r="AM12" s="45">
        <f t="shared" si="19"/>
        <v>0</v>
      </c>
      <c r="AN12" s="46">
        <f t="shared" si="9"/>
        <v>0</v>
      </c>
      <c r="AO12" s="46">
        <f t="shared" si="9"/>
        <v>0</v>
      </c>
      <c r="AP12" s="47" t="e">
        <f t="shared" si="20"/>
        <v>#DIV/0!</v>
      </c>
      <c r="AQ12" s="48">
        <f t="shared" si="10"/>
        <v>0</v>
      </c>
      <c r="AR12" s="49">
        <f t="shared" si="21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1"/>
        <v>46178E</v>
      </c>
      <c r="B13" s="22">
        <f t="shared" si="34"/>
        <v>46178</v>
      </c>
      <c r="C13" s="23" t="s">
        <v>55</v>
      </c>
      <c r="D13" s="50">
        <f t="shared" si="12"/>
        <v>0</v>
      </c>
      <c r="E13" s="34">
        <f t="shared" si="12"/>
        <v>0</v>
      </c>
      <c r="F13" s="34">
        <f t="shared" si="12"/>
        <v>0</v>
      </c>
      <c r="G13" s="34">
        <f t="shared" si="13"/>
        <v>0</v>
      </c>
      <c r="H13" s="35">
        <f t="shared" si="14"/>
        <v>0</v>
      </c>
      <c r="I13" s="26">
        <f t="shared" si="15"/>
        <v>0</v>
      </c>
      <c r="J13" s="27"/>
      <c r="K13" s="28"/>
      <c r="L13" s="32"/>
      <c r="M13" s="29">
        <v>0</v>
      </c>
      <c r="N13" s="30">
        <v>0</v>
      </c>
      <c r="O13" s="31">
        <v>0</v>
      </c>
      <c r="P13" s="28">
        <v>0</v>
      </c>
      <c r="Q13" s="32">
        <v>0</v>
      </c>
      <c r="R13" s="53">
        <f t="shared" ref="R13" si="56">O13+J13</f>
        <v>0</v>
      </c>
      <c r="S13" s="34">
        <f t="shared" ref="S13" si="57">(J13*K13%)+(O13*P13%)</f>
        <v>0</v>
      </c>
      <c r="T13" s="35">
        <f t="shared" ref="T13" si="58">(J13*L13%)+(O13*Q13%)</f>
        <v>0</v>
      </c>
      <c r="U13" s="36"/>
      <c r="V13" s="37"/>
      <c r="W13" s="38"/>
      <c r="X13" s="39"/>
      <c r="Y13" s="40"/>
      <c r="Z13" s="40"/>
      <c r="AA13" s="34">
        <f t="shared" si="3"/>
        <v>0</v>
      </c>
      <c r="AB13" s="35">
        <f t="shared" si="4"/>
        <v>0</v>
      </c>
      <c r="AC13" s="271"/>
      <c r="AD13" s="145"/>
      <c r="AE13" s="145"/>
      <c r="AF13" s="34">
        <f t="shared" si="5"/>
        <v>0</v>
      </c>
      <c r="AG13" s="34">
        <f t="shared" si="6"/>
        <v>0</v>
      </c>
      <c r="AH13" s="43"/>
      <c r="AI13" s="38"/>
      <c r="AJ13" s="38"/>
      <c r="AK13" s="34">
        <f t="shared" si="7"/>
        <v>0</v>
      </c>
      <c r="AL13" s="44">
        <f t="shared" si="8"/>
        <v>0</v>
      </c>
      <c r="AM13" s="45">
        <f t="shared" si="19"/>
        <v>0</v>
      </c>
      <c r="AN13" s="46">
        <f t="shared" si="9"/>
        <v>0</v>
      </c>
      <c r="AO13" s="46">
        <f t="shared" si="9"/>
        <v>0</v>
      </c>
      <c r="AP13" s="47" t="e">
        <f t="shared" si="20"/>
        <v>#DIV/0!</v>
      </c>
      <c r="AQ13" s="48">
        <f t="shared" si="10"/>
        <v>0</v>
      </c>
      <c r="AR13" s="49">
        <f t="shared" si="21"/>
        <v>0</v>
      </c>
      <c r="AS13" s="49">
        <f>SUM(J4:J13)</f>
        <v>2522.0271000000002</v>
      </c>
      <c r="AT13" s="58">
        <f>SUM(AM4:AM13)</f>
        <v>-35.682899999999904</v>
      </c>
      <c r="AU13" s="58">
        <f t="shared" ref="AU13:AV13" si="59">SUM(AN4:AN13)</f>
        <v>-4.1678069999999892</v>
      </c>
      <c r="AV13" s="58">
        <f t="shared" si="59"/>
        <v>7.8571250000000461</v>
      </c>
      <c r="AW13" s="58">
        <f>-SUM(AQ4:AQ13)</f>
        <v>-481.62435000001869</v>
      </c>
    </row>
    <row r="14" spans="1:49" x14ac:dyDescent="0.25">
      <c r="B14" s="22">
        <f t="shared" si="34"/>
        <v>46179</v>
      </c>
      <c r="C14" s="23" t="s">
        <v>54</v>
      </c>
      <c r="D14" s="50">
        <f t="shared" ref="D14" si="60">AH13</f>
        <v>0</v>
      </c>
      <c r="E14" s="34">
        <f t="shared" ref="E14" si="61">AI13</f>
        <v>0</v>
      </c>
      <c r="F14" s="34">
        <f t="shared" ref="F14" si="62">AJ13</f>
        <v>0</v>
      </c>
      <c r="G14" s="34">
        <f t="shared" si="13"/>
        <v>0</v>
      </c>
      <c r="H14" s="35">
        <f t="shared" si="14"/>
        <v>0</v>
      </c>
      <c r="I14" s="26">
        <f t="shared" si="15"/>
        <v>0</v>
      </c>
      <c r="J14" s="27"/>
      <c r="K14" s="28"/>
      <c r="L14" s="32"/>
      <c r="M14" s="29">
        <v>0</v>
      </c>
      <c r="N14" s="30">
        <v>0</v>
      </c>
      <c r="O14" s="31">
        <v>0</v>
      </c>
      <c r="P14" s="28">
        <v>0</v>
      </c>
      <c r="Q14" s="32">
        <v>0</v>
      </c>
      <c r="R14" s="53">
        <f t="shared" ref="R14" si="63">O14+J14</f>
        <v>0</v>
      </c>
      <c r="S14" s="34">
        <f t="shared" ref="S14" si="64">(J14*K14%)+(O14*P14%)</f>
        <v>0</v>
      </c>
      <c r="T14" s="35">
        <f t="shared" ref="T14" si="65">(J14*L14%)+(O14*Q14%)</f>
        <v>0</v>
      </c>
      <c r="U14" s="36"/>
      <c r="V14" s="37"/>
      <c r="W14" s="38"/>
      <c r="X14" s="39"/>
      <c r="Y14" s="40"/>
      <c r="Z14" s="40"/>
      <c r="AA14" s="34">
        <f t="shared" ref="AA14:AA21" si="66">X14*Y14%</f>
        <v>0</v>
      </c>
      <c r="AB14" s="34">
        <f t="shared" ref="AB14:AB21" si="67">X14*Z14%</f>
        <v>0</v>
      </c>
      <c r="AC14" s="41"/>
      <c r="AD14" s="42"/>
      <c r="AE14" s="42"/>
      <c r="AF14" s="34">
        <f t="shared" ref="AF14:AF21" si="68">AC14*AD14%</f>
        <v>0</v>
      </c>
      <c r="AG14" s="34">
        <f t="shared" ref="AG14:AG21" si="69">AC14*AE14%</f>
        <v>0</v>
      </c>
      <c r="AH14" s="43"/>
      <c r="AI14" s="38"/>
      <c r="AJ14" s="38"/>
      <c r="AK14" s="34">
        <f t="shared" si="7"/>
        <v>0</v>
      </c>
      <c r="AL14" s="44">
        <f t="shared" si="8"/>
        <v>0</v>
      </c>
      <c r="AM14" s="45">
        <f t="shared" si="19"/>
        <v>0</v>
      </c>
      <c r="AN14" s="46">
        <f t="shared" si="9"/>
        <v>0</v>
      </c>
      <c r="AO14" s="46">
        <f t="shared" si="9"/>
        <v>0</v>
      </c>
      <c r="AP14" s="47" t="e">
        <f t="shared" si="20"/>
        <v>#DIV/0!</v>
      </c>
      <c r="AQ14" s="48">
        <f t="shared" si="10"/>
        <v>0</v>
      </c>
      <c r="AR14" s="49">
        <f t="shared" si="21"/>
        <v>0</v>
      </c>
      <c r="AS14" s="49"/>
    </row>
    <row r="15" spans="1:49" x14ac:dyDescent="0.25">
      <c r="B15" s="22">
        <f t="shared" si="34"/>
        <v>46179</v>
      </c>
      <c r="C15" s="23" t="s">
        <v>55</v>
      </c>
      <c r="D15" s="50">
        <f t="shared" ref="D15" si="70">AH14</f>
        <v>0</v>
      </c>
      <c r="E15" s="34">
        <f t="shared" ref="E15" si="71">AI14</f>
        <v>0</v>
      </c>
      <c r="F15" s="34">
        <f t="shared" ref="F15" si="72">AJ14</f>
        <v>0</v>
      </c>
      <c r="G15" s="34">
        <f t="shared" si="13"/>
        <v>0</v>
      </c>
      <c r="H15" s="35">
        <f t="shared" si="14"/>
        <v>0</v>
      </c>
      <c r="I15" s="26">
        <f t="shared" si="15"/>
        <v>0</v>
      </c>
      <c r="J15" s="27"/>
      <c r="K15" s="28"/>
      <c r="L15" s="32"/>
      <c r="M15" s="29">
        <v>0</v>
      </c>
      <c r="N15" s="30">
        <v>0</v>
      </c>
      <c r="O15" s="31">
        <v>0</v>
      </c>
      <c r="P15" s="28">
        <v>0</v>
      </c>
      <c r="Q15" s="32">
        <v>0</v>
      </c>
      <c r="R15" s="53">
        <f t="shared" ref="R15" si="73">O15+J15</f>
        <v>0</v>
      </c>
      <c r="S15" s="34">
        <f t="shared" ref="S15" si="74">(J15*K15%)+(O15*P15%)</f>
        <v>0</v>
      </c>
      <c r="T15" s="35">
        <f t="shared" ref="T15" si="75">(J15*L15%)+(O15*Q15%)</f>
        <v>0</v>
      </c>
      <c r="U15" s="36"/>
      <c r="V15" s="37"/>
      <c r="W15" s="38"/>
      <c r="X15" s="39"/>
      <c r="Y15" s="40"/>
      <c r="Z15" s="40"/>
      <c r="AA15" s="34">
        <f t="shared" ref="AA15" si="76">X15*Y15%</f>
        <v>0</v>
      </c>
      <c r="AB15" s="34">
        <f t="shared" ref="AB15" si="77">X15*Z15%</f>
        <v>0</v>
      </c>
      <c r="AC15" s="41"/>
      <c r="AD15" s="42"/>
      <c r="AE15" s="42"/>
      <c r="AF15" s="34">
        <f t="shared" si="68"/>
        <v>0</v>
      </c>
      <c r="AG15" s="34">
        <f t="shared" si="69"/>
        <v>0</v>
      </c>
      <c r="AH15" s="43"/>
      <c r="AI15" s="38"/>
      <c r="AJ15" s="38"/>
      <c r="AK15" s="34">
        <f t="shared" si="7"/>
        <v>0</v>
      </c>
      <c r="AL15" s="44">
        <f t="shared" si="8"/>
        <v>0</v>
      </c>
      <c r="AM15" s="45">
        <f t="shared" si="19"/>
        <v>0</v>
      </c>
      <c r="AN15" s="46">
        <f t="shared" si="9"/>
        <v>0</v>
      </c>
      <c r="AO15" s="46">
        <f t="shared" si="9"/>
        <v>0</v>
      </c>
      <c r="AP15" s="47" t="e">
        <f t="shared" si="20"/>
        <v>#DIV/0!</v>
      </c>
      <c r="AQ15" s="48">
        <f t="shared" si="10"/>
        <v>0</v>
      </c>
      <c r="AR15" s="49">
        <f t="shared" si="21"/>
        <v>0</v>
      </c>
      <c r="AS15" s="49"/>
    </row>
    <row r="16" spans="1:49" x14ac:dyDescent="0.25">
      <c r="B16" s="22">
        <f t="shared" si="34"/>
        <v>46180</v>
      </c>
      <c r="C16" s="23" t="s">
        <v>54</v>
      </c>
      <c r="D16" s="50">
        <f t="shared" ref="D16" si="78">AH15</f>
        <v>0</v>
      </c>
      <c r="E16" s="34">
        <f t="shared" ref="E16" si="79">AI15</f>
        <v>0</v>
      </c>
      <c r="F16" s="34">
        <f t="shared" ref="F16" si="80">AJ15</f>
        <v>0</v>
      </c>
      <c r="G16" s="34">
        <f t="shared" si="13"/>
        <v>0</v>
      </c>
      <c r="H16" s="35">
        <f t="shared" si="14"/>
        <v>0</v>
      </c>
      <c r="I16" s="26">
        <f t="shared" si="15"/>
        <v>0</v>
      </c>
      <c r="J16" s="27"/>
      <c r="K16" s="28"/>
      <c r="L16" s="32"/>
      <c r="M16" s="29">
        <v>0</v>
      </c>
      <c r="N16" s="30">
        <v>0</v>
      </c>
      <c r="O16" s="31">
        <v>0</v>
      </c>
      <c r="P16" s="28">
        <v>0</v>
      </c>
      <c r="Q16" s="32">
        <v>0</v>
      </c>
      <c r="R16" s="53">
        <f t="shared" ref="R16" si="81">O16+J16</f>
        <v>0</v>
      </c>
      <c r="S16" s="34">
        <f t="shared" ref="S16" si="82">(J16*K16%)+(O16*P16%)</f>
        <v>0</v>
      </c>
      <c r="T16" s="35">
        <f t="shared" ref="T16" si="83">(J16*L16%)+(O16*Q16%)</f>
        <v>0</v>
      </c>
      <c r="U16" s="36"/>
      <c r="V16" s="37"/>
      <c r="W16" s="38"/>
      <c r="X16" s="39"/>
      <c r="Y16" s="40"/>
      <c r="Z16" s="40"/>
      <c r="AA16" s="34">
        <f t="shared" si="66"/>
        <v>0</v>
      </c>
      <c r="AB16" s="34">
        <f t="shared" si="67"/>
        <v>0</v>
      </c>
      <c r="AC16" s="41"/>
      <c r="AD16" s="42"/>
      <c r="AE16" s="42"/>
      <c r="AF16" s="34">
        <f t="shared" si="68"/>
        <v>0</v>
      </c>
      <c r="AG16" s="34">
        <f t="shared" si="69"/>
        <v>0</v>
      </c>
      <c r="AH16" s="43"/>
      <c r="AI16" s="38"/>
      <c r="AJ16" s="38"/>
      <c r="AK16" s="34">
        <f t="shared" si="7"/>
        <v>0</v>
      </c>
      <c r="AL16" s="44">
        <f t="shared" si="8"/>
        <v>0</v>
      </c>
      <c r="AM16" s="45">
        <f t="shared" si="19"/>
        <v>0</v>
      </c>
      <c r="AN16" s="46">
        <f t="shared" si="9"/>
        <v>0</v>
      </c>
      <c r="AO16" s="46">
        <f t="shared" si="9"/>
        <v>0</v>
      </c>
      <c r="AP16" s="47" t="e">
        <f t="shared" si="20"/>
        <v>#DIV/0!</v>
      </c>
      <c r="AQ16" s="48">
        <f t="shared" si="10"/>
        <v>0</v>
      </c>
      <c r="AR16" s="49">
        <f t="shared" si="21"/>
        <v>0</v>
      </c>
      <c r="AS16" s="49"/>
    </row>
    <row r="17" spans="2:49" x14ac:dyDescent="0.25">
      <c r="B17" s="22">
        <f t="shared" si="34"/>
        <v>46180</v>
      </c>
      <c r="C17" s="23" t="s">
        <v>55</v>
      </c>
      <c r="D17" s="50">
        <f t="shared" si="12"/>
        <v>0</v>
      </c>
      <c r="E17" s="34">
        <f t="shared" si="12"/>
        <v>0</v>
      </c>
      <c r="F17" s="34">
        <f t="shared" si="12"/>
        <v>0</v>
      </c>
      <c r="G17" s="34">
        <f t="shared" si="13"/>
        <v>0</v>
      </c>
      <c r="H17" s="35">
        <f t="shared" si="14"/>
        <v>0</v>
      </c>
      <c r="I17" s="26">
        <f t="shared" si="15"/>
        <v>0</v>
      </c>
      <c r="J17" s="27"/>
      <c r="K17" s="28"/>
      <c r="L17" s="32"/>
      <c r="M17" s="29">
        <v>0</v>
      </c>
      <c r="N17" s="131">
        <v>0</v>
      </c>
      <c r="O17" s="31">
        <v>0</v>
      </c>
      <c r="P17" s="28">
        <v>0</v>
      </c>
      <c r="Q17" s="32">
        <v>0</v>
      </c>
      <c r="R17" s="53">
        <f t="shared" ref="R17:R18" si="84">O17+J17</f>
        <v>0</v>
      </c>
      <c r="S17" s="34">
        <f t="shared" ref="S17:S18" si="85">(J17*K17%)+(O17*P17%)</f>
        <v>0</v>
      </c>
      <c r="T17" s="35">
        <f t="shared" ref="T17:T18" si="86">(J17*L17%)+(O17*Q17%)</f>
        <v>0</v>
      </c>
      <c r="U17" s="36"/>
      <c r="V17" s="37"/>
      <c r="W17" s="38"/>
      <c r="X17" s="39"/>
      <c r="Y17" s="40"/>
      <c r="Z17" s="40"/>
      <c r="AA17" s="34">
        <f t="shared" si="66"/>
        <v>0</v>
      </c>
      <c r="AB17" s="34">
        <f t="shared" si="67"/>
        <v>0</v>
      </c>
      <c r="AC17" s="41"/>
      <c r="AD17" s="42"/>
      <c r="AE17" s="42"/>
      <c r="AF17" s="34">
        <f t="shared" si="68"/>
        <v>0</v>
      </c>
      <c r="AG17" s="34">
        <f t="shared" si="69"/>
        <v>0</v>
      </c>
      <c r="AH17" s="43"/>
      <c r="AI17" s="38"/>
      <c r="AJ17" s="38"/>
      <c r="AK17" s="34">
        <f t="shared" si="7"/>
        <v>0</v>
      </c>
      <c r="AL17" s="44">
        <f t="shared" si="8"/>
        <v>0</v>
      </c>
      <c r="AM17" s="45">
        <f t="shared" si="19"/>
        <v>0</v>
      </c>
      <c r="AN17" s="46">
        <f t="shared" si="9"/>
        <v>0</v>
      </c>
      <c r="AO17" s="46">
        <f t="shared" si="9"/>
        <v>0</v>
      </c>
      <c r="AP17" s="47" t="e">
        <f t="shared" si="20"/>
        <v>#DIV/0!</v>
      </c>
      <c r="AQ17" s="48">
        <f t="shared" si="10"/>
        <v>0</v>
      </c>
      <c r="AR17" s="49">
        <f t="shared" si="21"/>
        <v>0</v>
      </c>
      <c r="AS17" s="49"/>
    </row>
    <row r="18" spans="2:49" x14ac:dyDescent="0.25">
      <c r="B18" s="22">
        <f t="shared" si="34"/>
        <v>46181</v>
      </c>
      <c r="C18" s="23" t="s">
        <v>54</v>
      </c>
      <c r="D18" s="50">
        <f t="shared" ref="D18" si="87">AH17</f>
        <v>0</v>
      </c>
      <c r="E18" s="34">
        <f t="shared" ref="E18" si="88">AI17</f>
        <v>0</v>
      </c>
      <c r="F18" s="34">
        <f t="shared" ref="F18" si="89">AJ17</f>
        <v>0</v>
      </c>
      <c r="G18" s="34">
        <f t="shared" si="13"/>
        <v>0</v>
      </c>
      <c r="H18" s="35">
        <f t="shared" si="14"/>
        <v>0</v>
      </c>
      <c r="I18" s="26">
        <f t="shared" si="15"/>
        <v>0</v>
      </c>
      <c r="J18" s="27"/>
      <c r="K18" s="28"/>
      <c r="L18" s="32"/>
      <c r="M18" s="29">
        <v>0</v>
      </c>
      <c r="N18" s="131">
        <v>0</v>
      </c>
      <c r="O18" s="31">
        <v>0</v>
      </c>
      <c r="P18" s="28">
        <v>0</v>
      </c>
      <c r="Q18" s="32">
        <v>0</v>
      </c>
      <c r="R18" s="53">
        <f t="shared" si="84"/>
        <v>0</v>
      </c>
      <c r="S18" s="34">
        <f t="shared" si="85"/>
        <v>0</v>
      </c>
      <c r="T18" s="35">
        <f t="shared" si="86"/>
        <v>0</v>
      </c>
      <c r="U18" s="36"/>
      <c r="V18" s="37"/>
      <c r="W18" s="38"/>
      <c r="X18" s="39"/>
      <c r="Y18" s="40"/>
      <c r="Z18" s="40"/>
      <c r="AA18" s="34">
        <f t="shared" si="66"/>
        <v>0</v>
      </c>
      <c r="AB18" s="34">
        <f t="shared" si="67"/>
        <v>0</v>
      </c>
      <c r="AC18" s="41"/>
      <c r="AD18" s="42"/>
      <c r="AE18" s="42"/>
      <c r="AF18" s="34">
        <f t="shared" si="68"/>
        <v>0</v>
      </c>
      <c r="AG18" s="34">
        <f t="shared" si="69"/>
        <v>0</v>
      </c>
      <c r="AH18" s="43"/>
      <c r="AI18" s="38"/>
      <c r="AJ18" s="38"/>
      <c r="AK18" s="34">
        <f t="shared" si="7"/>
        <v>0</v>
      </c>
      <c r="AL18" s="44">
        <f t="shared" si="8"/>
        <v>0</v>
      </c>
      <c r="AM18" s="45">
        <f t="shared" si="19"/>
        <v>0</v>
      </c>
      <c r="AN18" s="51">
        <f t="shared" si="9"/>
        <v>0</v>
      </c>
      <c r="AO18" s="51">
        <f t="shared" si="9"/>
        <v>0</v>
      </c>
      <c r="AP18" s="47" t="e">
        <f t="shared" si="20"/>
        <v>#DIV/0!</v>
      </c>
      <c r="AQ18" s="48">
        <f t="shared" si="10"/>
        <v>0</v>
      </c>
      <c r="AR18" s="49">
        <f t="shared" si="21"/>
        <v>0</v>
      </c>
      <c r="AS18" s="49"/>
    </row>
    <row r="19" spans="2:49" x14ac:dyDescent="0.25">
      <c r="B19" s="22">
        <f t="shared" si="34"/>
        <v>46181</v>
      </c>
      <c r="C19" s="23" t="s">
        <v>55</v>
      </c>
      <c r="D19" s="50">
        <f t="shared" ref="D19" si="90">AH18</f>
        <v>0</v>
      </c>
      <c r="E19" s="34">
        <f t="shared" ref="E19" si="91">AI18</f>
        <v>0</v>
      </c>
      <c r="F19" s="34">
        <f t="shared" ref="F19" si="92">AJ18</f>
        <v>0</v>
      </c>
      <c r="G19" s="34">
        <f t="shared" si="13"/>
        <v>0</v>
      </c>
      <c r="H19" s="35">
        <f t="shared" si="14"/>
        <v>0</v>
      </c>
      <c r="I19" s="26">
        <f t="shared" si="15"/>
        <v>0</v>
      </c>
      <c r="J19" s="27"/>
      <c r="K19" s="28"/>
      <c r="L19" s="32"/>
      <c r="M19" s="29">
        <v>0</v>
      </c>
      <c r="N19" s="30">
        <v>0</v>
      </c>
      <c r="O19" s="31">
        <v>0</v>
      </c>
      <c r="P19" s="28">
        <v>0</v>
      </c>
      <c r="Q19" s="32">
        <v>0</v>
      </c>
      <c r="R19" s="53">
        <f t="shared" ref="R19" si="93">O19+J19</f>
        <v>0</v>
      </c>
      <c r="S19" s="34">
        <f t="shared" ref="S19" si="94">(J19*K19%)+(O19*P19%)</f>
        <v>0</v>
      </c>
      <c r="T19" s="35">
        <f t="shared" ref="T19" si="95">(J19*L19%)+(O19*Q19%)</f>
        <v>0</v>
      </c>
      <c r="U19" s="36"/>
      <c r="V19" s="37"/>
      <c r="W19" s="38"/>
      <c r="X19" s="39"/>
      <c r="Y19" s="40"/>
      <c r="Z19" s="40"/>
      <c r="AA19" s="34">
        <f t="shared" si="66"/>
        <v>0</v>
      </c>
      <c r="AB19" s="34">
        <f t="shared" si="67"/>
        <v>0</v>
      </c>
      <c r="AC19" s="41"/>
      <c r="AD19" s="42"/>
      <c r="AE19" s="42"/>
      <c r="AF19" s="34">
        <f t="shared" si="68"/>
        <v>0</v>
      </c>
      <c r="AG19" s="34">
        <f t="shared" si="69"/>
        <v>0</v>
      </c>
      <c r="AH19" s="43"/>
      <c r="AI19" s="38"/>
      <c r="AJ19" s="38"/>
      <c r="AK19" s="34">
        <f t="shared" si="7"/>
        <v>0</v>
      </c>
      <c r="AL19" s="44">
        <f t="shared" si="8"/>
        <v>0</v>
      </c>
      <c r="AM19" s="45">
        <f t="shared" si="19"/>
        <v>0</v>
      </c>
      <c r="AN19" s="51">
        <f t="shared" si="9"/>
        <v>0</v>
      </c>
      <c r="AO19" s="51">
        <f t="shared" si="9"/>
        <v>0</v>
      </c>
      <c r="AP19" s="47" t="e">
        <f t="shared" si="20"/>
        <v>#DIV/0!</v>
      </c>
      <c r="AQ19" s="48">
        <f t="shared" si="10"/>
        <v>0</v>
      </c>
      <c r="AR19" s="49">
        <f t="shared" si="21"/>
        <v>0</v>
      </c>
      <c r="AS19" s="49"/>
    </row>
    <row r="20" spans="2:49" x14ac:dyDescent="0.25">
      <c r="B20" s="22">
        <f t="shared" si="34"/>
        <v>46182</v>
      </c>
      <c r="C20" s="23" t="s">
        <v>54</v>
      </c>
      <c r="D20" s="50">
        <f t="shared" ref="D20" si="96">AH19</f>
        <v>0</v>
      </c>
      <c r="E20" s="34">
        <f t="shared" ref="E20" si="97">AI19</f>
        <v>0</v>
      </c>
      <c r="F20" s="34">
        <f t="shared" ref="F20" si="98">AJ19</f>
        <v>0</v>
      </c>
      <c r="G20" s="34">
        <f t="shared" si="13"/>
        <v>0</v>
      </c>
      <c r="H20" s="35">
        <f t="shared" si="14"/>
        <v>0</v>
      </c>
      <c r="I20" s="26">
        <f t="shared" si="15"/>
        <v>0</v>
      </c>
      <c r="J20" s="27"/>
      <c r="K20" s="28"/>
      <c r="L20" s="32"/>
      <c r="M20" s="29">
        <v>0</v>
      </c>
      <c r="N20" s="30">
        <v>0</v>
      </c>
      <c r="O20" s="31">
        <v>0</v>
      </c>
      <c r="P20" s="28">
        <v>0</v>
      </c>
      <c r="Q20" s="32">
        <v>0</v>
      </c>
      <c r="R20" s="53">
        <f t="shared" ref="R20:R35" si="99">O20+J20</f>
        <v>0</v>
      </c>
      <c r="S20" s="34">
        <f t="shared" ref="S20:S35" si="100">(J20*K20%)+(O20*P20%)</f>
        <v>0</v>
      </c>
      <c r="T20" s="35">
        <f t="shared" ref="T20:T35" si="101">(J20*L20%)+(O20*Q20%)</f>
        <v>0</v>
      </c>
      <c r="U20" s="36"/>
      <c r="V20" s="37"/>
      <c r="W20" s="38"/>
      <c r="X20" s="39"/>
      <c r="Y20" s="40"/>
      <c r="Z20" s="40"/>
      <c r="AA20" s="34">
        <f t="shared" si="66"/>
        <v>0</v>
      </c>
      <c r="AB20" s="34">
        <f t="shared" si="67"/>
        <v>0</v>
      </c>
      <c r="AC20" s="41"/>
      <c r="AD20" s="42"/>
      <c r="AE20" s="42"/>
      <c r="AF20" s="34">
        <f t="shared" si="68"/>
        <v>0</v>
      </c>
      <c r="AG20" s="34">
        <f t="shared" si="69"/>
        <v>0</v>
      </c>
      <c r="AH20" s="43"/>
      <c r="AI20" s="38"/>
      <c r="AJ20" s="38"/>
      <c r="AK20" s="34">
        <f t="shared" si="7"/>
        <v>0</v>
      </c>
      <c r="AL20" s="44">
        <f t="shared" si="8"/>
        <v>0</v>
      </c>
      <c r="AM20" s="45">
        <f t="shared" si="19"/>
        <v>0</v>
      </c>
      <c r="AN20" s="51">
        <f t="shared" ref="AN20:AO35" si="102">+G20+S20-AF20-AK20</f>
        <v>0</v>
      </c>
      <c r="AO20" s="51">
        <f t="shared" si="102"/>
        <v>0</v>
      </c>
      <c r="AP20" s="47" t="e">
        <f t="shared" si="20"/>
        <v>#DIV/0!</v>
      </c>
      <c r="AQ20" s="48">
        <f t="shared" si="10"/>
        <v>0</v>
      </c>
      <c r="AR20" s="49">
        <f t="shared" si="21"/>
        <v>0</v>
      </c>
      <c r="AS20" s="49"/>
    </row>
    <row r="21" spans="2:49" x14ac:dyDescent="0.25">
      <c r="B21" s="22">
        <f t="shared" si="34"/>
        <v>46182</v>
      </c>
      <c r="C21" s="23" t="s">
        <v>55</v>
      </c>
      <c r="D21" s="50">
        <f t="shared" ref="D21:D35" si="103">AH20</f>
        <v>0</v>
      </c>
      <c r="E21" s="34">
        <f t="shared" ref="E21:E35" si="104">AI20</f>
        <v>0</v>
      </c>
      <c r="F21" s="34">
        <f t="shared" ref="F21:F35" si="105">AJ20</f>
        <v>0</v>
      </c>
      <c r="G21" s="34">
        <f t="shared" ref="G21:G36" si="106">+D21*E21%</f>
        <v>0</v>
      </c>
      <c r="H21" s="35">
        <f t="shared" ref="H21:H36" si="107">+D21*F21%</f>
        <v>0</v>
      </c>
      <c r="I21" s="26">
        <f t="shared" si="15"/>
        <v>0</v>
      </c>
      <c r="J21" s="27"/>
      <c r="K21" s="28"/>
      <c r="L21" s="32"/>
      <c r="M21" s="29">
        <v>0</v>
      </c>
      <c r="N21" s="30">
        <v>0</v>
      </c>
      <c r="O21" s="31">
        <v>0</v>
      </c>
      <c r="P21" s="28">
        <v>0</v>
      </c>
      <c r="Q21" s="32">
        <v>0</v>
      </c>
      <c r="R21" s="53">
        <f t="shared" si="99"/>
        <v>0</v>
      </c>
      <c r="S21" s="34">
        <f t="shared" si="100"/>
        <v>0</v>
      </c>
      <c r="T21" s="35">
        <f t="shared" si="101"/>
        <v>0</v>
      </c>
      <c r="U21" s="36"/>
      <c r="V21" s="37"/>
      <c r="W21" s="38"/>
      <c r="X21" s="39"/>
      <c r="Y21" s="40"/>
      <c r="Z21" s="40"/>
      <c r="AA21" s="34">
        <f t="shared" si="66"/>
        <v>0</v>
      </c>
      <c r="AB21" s="34">
        <f t="shared" si="67"/>
        <v>0</v>
      </c>
      <c r="AC21" s="41"/>
      <c r="AD21" s="42"/>
      <c r="AE21" s="42"/>
      <c r="AF21" s="34">
        <f t="shared" si="68"/>
        <v>0</v>
      </c>
      <c r="AG21" s="34">
        <f t="shared" si="69"/>
        <v>0</v>
      </c>
      <c r="AH21" s="43"/>
      <c r="AI21" s="38"/>
      <c r="AJ21" s="38"/>
      <c r="AK21" s="34">
        <f t="shared" si="7"/>
        <v>0</v>
      </c>
      <c r="AL21" s="44">
        <f t="shared" si="8"/>
        <v>0</v>
      </c>
      <c r="AM21" s="45">
        <f t="shared" si="19"/>
        <v>0</v>
      </c>
      <c r="AN21" s="51">
        <f t="shared" si="102"/>
        <v>0</v>
      </c>
      <c r="AO21" s="51">
        <f t="shared" si="102"/>
        <v>0</v>
      </c>
      <c r="AP21" s="47" t="e">
        <f t="shared" si="20"/>
        <v>#DIV/0!</v>
      </c>
      <c r="AQ21" s="48">
        <f t="shared" si="10"/>
        <v>0</v>
      </c>
      <c r="AR21" s="49">
        <f t="shared" si="21"/>
        <v>0</v>
      </c>
      <c r="AS21" s="49"/>
    </row>
    <row r="22" spans="2:49" x14ac:dyDescent="0.25">
      <c r="B22" s="22">
        <f t="shared" si="34"/>
        <v>46183</v>
      </c>
      <c r="C22" s="23" t="s">
        <v>54</v>
      </c>
      <c r="D22" s="50">
        <f t="shared" si="103"/>
        <v>0</v>
      </c>
      <c r="E22" s="34">
        <f t="shared" si="104"/>
        <v>0</v>
      </c>
      <c r="F22" s="34">
        <f t="shared" si="105"/>
        <v>0</v>
      </c>
      <c r="G22" s="34">
        <f t="shared" si="106"/>
        <v>0</v>
      </c>
      <c r="H22" s="35">
        <f t="shared" si="107"/>
        <v>0</v>
      </c>
      <c r="I22" s="26">
        <f t="shared" si="15"/>
        <v>0</v>
      </c>
      <c r="J22" s="27"/>
      <c r="K22" s="28"/>
      <c r="L22" s="32"/>
      <c r="M22" s="29">
        <v>0</v>
      </c>
      <c r="N22" s="30">
        <v>0</v>
      </c>
      <c r="O22" s="31">
        <v>0</v>
      </c>
      <c r="P22" s="28">
        <v>0</v>
      </c>
      <c r="Q22" s="32">
        <v>0</v>
      </c>
      <c r="R22" s="53">
        <f t="shared" si="99"/>
        <v>0</v>
      </c>
      <c r="S22" s="34">
        <f t="shared" si="100"/>
        <v>0</v>
      </c>
      <c r="T22" s="35">
        <f t="shared" si="101"/>
        <v>0</v>
      </c>
      <c r="U22" s="36"/>
      <c r="V22" s="37"/>
      <c r="W22" s="38"/>
      <c r="X22" s="39"/>
      <c r="Y22" s="40"/>
      <c r="Z22" s="40"/>
      <c r="AA22" s="34">
        <f t="shared" ref="AA22:AA27" si="108">X22*Y22%</f>
        <v>0</v>
      </c>
      <c r="AB22" s="34">
        <f t="shared" ref="AB22:AB27" si="109">X22*Z22%</f>
        <v>0</v>
      </c>
      <c r="AC22" s="41"/>
      <c r="AD22" s="42"/>
      <c r="AE22" s="42"/>
      <c r="AF22" s="34">
        <f t="shared" ref="AF22:AF27" si="110">AC22*AD22%</f>
        <v>0</v>
      </c>
      <c r="AG22" s="34">
        <f t="shared" ref="AG22:AG27" si="111">AC22*AE22%</f>
        <v>0</v>
      </c>
      <c r="AH22" s="43"/>
      <c r="AI22" s="38"/>
      <c r="AJ22" s="38"/>
      <c r="AK22" s="34">
        <f t="shared" si="7"/>
        <v>0</v>
      </c>
      <c r="AL22" s="44">
        <f t="shared" si="8"/>
        <v>0</v>
      </c>
      <c r="AM22" s="45">
        <f t="shared" si="19"/>
        <v>0</v>
      </c>
      <c r="AN22" s="51">
        <f t="shared" si="102"/>
        <v>0</v>
      </c>
      <c r="AO22" s="51">
        <f t="shared" si="102"/>
        <v>0</v>
      </c>
      <c r="AP22" s="47" t="e">
        <f t="shared" si="20"/>
        <v>#DIV/0!</v>
      </c>
      <c r="AQ22" s="48">
        <f t="shared" si="10"/>
        <v>0</v>
      </c>
      <c r="AR22" s="49">
        <f t="shared" si="21"/>
        <v>0</v>
      </c>
      <c r="AS22" s="49"/>
    </row>
    <row r="23" spans="2:49" x14ac:dyDescent="0.25">
      <c r="B23" s="22">
        <f t="shared" si="34"/>
        <v>46183</v>
      </c>
      <c r="C23" s="23" t="s">
        <v>55</v>
      </c>
      <c r="D23" s="50">
        <f t="shared" ref="D23" si="112">AH22</f>
        <v>0</v>
      </c>
      <c r="E23" s="34">
        <f t="shared" ref="E23" si="113">AI22</f>
        <v>0</v>
      </c>
      <c r="F23" s="34">
        <f t="shared" ref="F23" si="114">AJ22</f>
        <v>0</v>
      </c>
      <c r="G23" s="34">
        <f t="shared" si="106"/>
        <v>0</v>
      </c>
      <c r="H23" s="35">
        <f t="shared" si="107"/>
        <v>0</v>
      </c>
      <c r="I23" s="26">
        <f t="shared" si="15"/>
        <v>0</v>
      </c>
      <c r="J23" s="27"/>
      <c r="K23" s="28"/>
      <c r="L23" s="32"/>
      <c r="M23" s="29">
        <v>0</v>
      </c>
      <c r="N23" s="30">
        <v>0</v>
      </c>
      <c r="O23" s="31">
        <v>0</v>
      </c>
      <c r="P23" s="28">
        <v>0</v>
      </c>
      <c r="Q23" s="32">
        <v>0</v>
      </c>
      <c r="R23" s="53">
        <f t="shared" si="99"/>
        <v>0</v>
      </c>
      <c r="S23" s="34">
        <f t="shared" si="100"/>
        <v>0</v>
      </c>
      <c r="T23" s="35">
        <f t="shared" si="101"/>
        <v>0</v>
      </c>
      <c r="U23" s="36"/>
      <c r="V23" s="37"/>
      <c r="W23" s="38"/>
      <c r="X23" s="39"/>
      <c r="Y23" s="40"/>
      <c r="Z23" s="40"/>
      <c r="AA23" s="34">
        <f t="shared" si="108"/>
        <v>0</v>
      </c>
      <c r="AB23" s="34">
        <f t="shared" si="109"/>
        <v>0</v>
      </c>
      <c r="AC23" s="41"/>
      <c r="AD23" s="42"/>
      <c r="AE23" s="42"/>
      <c r="AF23" s="34">
        <f t="shared" si="110"/>
        <v>0</v>
      </c>
      <c r="AG23" s="34">
        <f t="shared" si="111"/>
        <v>0</v>
      </c>
      <c r="AH23" s="43"/>
      <c r="AI23" s="38"/>
      <c r="AJ23" s="38"/>
      <c r="AK23" s="34">
        <f t="shared" si="7"/>
        <v>0</v>
      </c>
      <c r="AL23" s="44">
        <f t="shared" si="8"/>
        <v>0</v>
      </c>
      <c r="AM23" s="45">
        <f t="shared" si="19"/>
        <v>0</v>
      </c>
      <c r="AN23" s="51">
        <f t="shared" si="102"/>
        <v>0</v>
      </c>
      <c r="AO23" s="51">
        <f t="shared" si="102"/>
        <v>0</v>
      </c>
      <c r="AP23" s="47" t="e">
        <f t="shared" si="20"/>
        <v>#DIV/0!</v>
      </c>
      <c r="AQ23" s="48">
        <f t="shared" si="10"/>
        <v>0</v>
      </c>
      <c r="AR23" s="49">
        <f t="shared" si="21"/>
        <v>0</v>
      </c>
      <c r="AS23" s="49"/>
    </row>
    <row r="24" spans="2:49" x14ac:dyDescent="0.25">
      <c r="B24" s="22">
        <f t="shared" si="34"/>
        <v>46184</v>
      </c>
      <c r="C24" s="23" t="s">
        <v>54</v>
      </c>
      <c r="D24" s="50">
        <f t="shared" si="103"/>
        <v>0</v>
      </c>
      <c r="E24" s="34">
        <f t="shared" si="104"/>
        <v>0</v>
      </c>
      <c r="F24" s="34">
        <f t="shared" si="105"/>
        <v>0</v>
      </c>
      <c r="G24" s="34">
        <f t="shared" si="106"/>
        <v>0</v>
      </c>
      <c r="H24" s="35">
        <f t="shared" si="107"/>
        <v>0</v>
      </c>
      <c r="I24" s="26">
        <f t="shared" si="15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99"/>
        <v>0</v>
      </c>
      <c r="S24" s="34">
        <f t="shared" si="100"/>
        <v>0</v>
      </c>
      <c r="T24" s="35">
        <f t="shared" si="101"/>
        <v>0</v>
      </c>
      <c r="U24" s="36"/>
      <c r="V24" s="37"/>
      <c r="W24" s="38"/>
      <c r="X24" s="39"/>
      <c r="Y24" s="40"/>
      <c r="Z24" s="40"/>
      <c r="AA24" s="34">
        <f t="shared" si="108"/>
        <v>0</v>
      </c>
      <c r="AB24" s="34">
        <f t="shared" si="109"/>
        <v>0</v>
      </c>
      <c r="AC24" s="41"/>
      <c r="AD24" s="42"/>
      <c r="AE24" s="42"/>
      <c r="AF24" s="34">
        <f t="shared" si="110"/>
        <v>0</v>
      </c>
      <c r="AG24" s="34">
        <f t="shared" si="111"/>
        <v>0</v>
      </c>
      <c r="AH24" s="43"/>
      <c r="AI24" s="38"/>
      <c r="AJ24" s="38"/>
      <c r="AK24" s="34">
        <f t="shared" si="7"/>
        <v>0</v>
      </c>
      <c r="AL24" s="44">
        <f t="shared" si="8"/>
        <v>0</v>
      </c>
      <c r="AM24" s="45">
        <f t="shared" si="19"/>
        <v>0</v>
      </c>
      <c r="AN24" s="51">
        <f t="shared" si="102"/>
        <v>0</v>
      </c>
      <c r="AO24" s="51">
        <f t="shared" si="102"/>
        <v>0</v>
      </c>
      <c r="AP24" s="47" t="e">
        <f t="shared" si="20"/>
        <v>#DIV/0!</v>
      </c>
      <c r="AQ24" s="48">
        <f t="shared" si="10"/>
        <v>0</v>
      </c>
      <c r="AR24" s="49">
        <f t="shared" si="21"/>
        <v>0</v>
      </c>
      <c r="AS24" s="49"/>
    </row>
    <row r="25" spans="2:49" x14ac:dyDescent="0.25">
      <c r="B25" s="22">
        <f t="shared" si="34"/>
        <v>46184</v>
      </c>
      <c r="C25" s="23" t="s">
        <v>55</v>
      </c>
      <c r="D25" s="50">
        <f t="shared" si="103"/>
        <v>0</v>
      </c>
      <c r="E25" s="34">
        <f t="shared" si="104"/>
        <v>0</v>
      </c>
      <c r="F25" s="34">
        <f t="shared" si="105"/>
        <v>0</v>
      </c>
      <c r="G25" s="34">
        <f t="shared" si="106"/>
        <v>0</v>
      </c>
      <c r="H25" s="35">
        <f t="shared" si="107"/>
        <v>0</v>
      </c>
      <c r="I25" s="26">
        <f t="shared" si="15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99"/>
        <v>0</v>
      </c>
      <c r="S25" s="34">
        <f t="shared" si="100"/>
        <v>0</v>
      </c>
      <c r="T25" s="35">
        <f t="shared" si="101"/>
        <v>0</v>
      </c>
      <c r="U25" s="36"/>
      <c r="V25" s="37"/>
      <c r="W25" s="38"/>
      <c r="X25" s="39"/>
      <c r="Y25" s="40"/>
      <c r="Z25" s="40"/>
      <c r="AA25" s="34">
        <f t="shared" si="108"/>
        <v>0</v>
      </c>
      <c r="AB25" s="34">
        <f t="shared" si="109"/>
        <v>0</v>
      </c>
      <c r="AC25" s="41"/>
      <c r="AD25" s="42"/>
      <c r="AE25" s="42"/>
      <c r="AF25" s="34">
        <f t="shared" si="110"/>
        <v>0</v>
      </c>
      <c r="AG25" s="34">
        <f t="shared" si="111"/>
        <v>0</v>
      </c>
      <c r="AH25" s="43"/>
      <c r="AI25" s="38"/>
      <c r="AJ25" s="38"/>
      <c r="AK25" s="34">
        <f t="shared" si="7"/>
        <v>0</v>
      </c>
      <c r="AL25" s="44">
        <f t="shared" si="8"/>
        <v>0</v>
      </c>
      <c r="AM25" s="45">
        <f t="shared" si="19"/>
        <v>0</v>
      </c>
      <c r="AN25" s="51">
        <f t="shared" si="102"/>
        <v>0</v>
      </c>
      <c r="AO25" s="51">
        <f t="shared" si="102"/>
        <v>0</v>
      </c>
      <c r="AP25" s="47" t="e">
        <f t="shared" si="20"/>
        <v>#DIV/0!</v>
      </c>
      <c r="AQ25" s="48">
        <f t="shared" si="10"/>
        <v>0</v>
      </c>
      <c r="AR25" s="49">
        <f t="shared" si="21"/>
        <v>0</v>
      </c>
      <c r="AS25" s="49"/>
    </row>
    <row r="26" spans="2:49" x14ac:dyDescent="0.25">
      <c r="B26" s="22">
        <f t="shared" si="34"/>
        <v>46185</v>
      </c>
      <c r="C26" s="23" t="s">
        <v>54</v>
      </c>
      <c r="D26" s="50">
        <f t="shared" ref="D26" si="115">AH25</f>
        <v>0</v>
      </c>
      <c r="E26" s="34">
        <f t="shared" ref="E26" si="116">AI25</f>
        <v>0</v>
      </c>
      <c r="F26" s="34">
        <f t="shared" ref="F26" si="117">AJ25</f>
        <v>0</v>
      </c>
      <c r="G26" s="34">
        <f t="shared" si="106"/>
        <v>0</v>
      </c>
      <c r="H26" s="35">
        <f t="shared" si="107"/>
        <v>0</v>
      </c>
      <c r="I26" s="26">
        <f t="shared" si="15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si="99"/>
        <v>0</v>
      </c>
      <c r="S26" s="34">
        <f t="shared" si="100"/>
        <v>0</v>
      </c>
      <c r="T26" s="35">
        <f t="shared" si="101"/>
        <v>0</v>
      </c>
      <c r="U26" s="36"/>
      <c r="V26" s="37"/>
      <c r="W26" s="38"/>
      <c r="X26" s="39"/>
      <c r="Y26" s="40"/>
      <c r="Z26" s="40"/>
      <c r="AA26" s="34">
        <f t="shared" si="108"/>
        <v>0</v>
      </c>
      <c r="AB26" s="35">
        <f t="shared" si="109"/>
        <v>0</v>
      </c>
      <c r="AC26" s="310"/>
      <c r="AD26" s="42"/>
      <c r="AE26" s="42"/>
      <c r="AF26" s="34">
        <f t="shared" si="110"/>
        <v>0</v>
      </c>
      <c r="AG26" s="34">
        <f t="shared" si="111"/>
        <v>0</v>
      </c>
      <c r="AH26" s="43"/>
      <c r="AI26" s="38"/>
      <c r="AJ26" s="38"/>
      <c r="AK26" s="34">
        <f t="shared" si="7"/>
        <v>0</v>
      </c>
      <c r="AL26" s="44">
        <f t="shared" si="8"/>
        <v>0</v>
      </c>
      <c r="AM26" s="45">
        <f t="shared" si="19"/>
        <v>0</v>
      </c>
      <c r="AN26" s="51">
        <f t="shared" si="102"/>
        <v>0</v>
      </c>
      <c r="AO26" s="51">
        <f t="shared" si="102"/>
        <v>0</v>
      </c>
      <c r="AP26" s="47" t="e">
        <f t="shared" si="20"/>
        <v>#DIV/0!</v>
      </c>
      <c r="AQ26" s="48">
        <f t="shared" si="10"/>
        <v>0</v>
      </c>
      <c r="AR26" s="49">
        <f t="shared" si="21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4"/>
        <v>46185</v>
      </c>
      <c r="C27" s="23" t="s">
        <v>55</v>
      </c>
      <c r="D27" s="50">
        <f t="shared" si="103"/>
        <v>0</v>
      </c>
      <c r="E27" s="34">
        <f t="shared" si="104"/>
        <v>0</v>
      </c>
      <c r="F27" s="34">
        <f t="shared" si="105"/>
        <v>0</v>
      </c>
      <c r="G27" s="34">
        <f t="shared" si="106"/>
        <v>0</v>
      </c>
      <c r="H27" s="35">
        <f t="shared" si="107"/>
        <v>0</v>
      </c>
      <c r="I27" s="26">
        <f t="shared" si="15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99"/>
        <v>0</v>
      </c>
      <c r="S27" s="34">
        <f t="shared" si="100"/>
        <v>0</v>
      </c>
      <c r="T27" s="35">
        <f t="shared" si="101"/>
        <v>0</v>
      </c>
      <c r="U27" s="36"/>
      <c r="V27" s="37"/>
      <c r="W27" s="38"/>
      <c r="X27" s="39"/>
      <c r="Y27" s="40"/>
      <c r="Z27" s="40"/>
      <c r="AA27" s="34">
        <f t="shared" si="108"/>
        <v>0</v>
      </c>
      <c r="AB27" s="35">
        <f t="shared" si="109"/>
        <v>0</v>
      </c>
      <c r="AC27" s="271"/>
      <c r="AD27" s="145"/>
      <c r="AE27" s="145"/>
      <c r="AF27" s="34">
        <f t="shared" si="110"/>
        <v>0</v>
      </c>
      <c r="AG27" s="34">
        <f t="shared" si="111"/>
        <v>0</v>
      </c>
      <c r="AH27" s="43"/>
      <c r="AI27" s="38"/>
      <c r="AJ27" s="38"/>
      <c r="AK27" s="34">
        <f t="shared" si="7"/>
        <v>0</v>
      </c>
      <c r="AL27" s="44">
        <f t="shared" si="8"/>
        <v>0</v>
      </c>
      <c r="AM27" s="45">
        <f t="shared" si="19"/>
        <v>0</v>
      </c>
      <c r="AN27" s="51">
        <f t="shared" si="102"/>
        <v>0</v>
      </c>
      <c r="AO27" s="51">
        <f t="shared" si="102"/>
        <v>0</v>
      </c>
      <c r="AP27" s="47" t="e">
        <f t="shared" si="20"/>
        <v>#DIV/0!</v>
      </c>
      <c r="AQ27" s="48">
        <f t="shared" si="10"/>
        <v>0</v>
      </c>
      <c r="AR27" s="49">
        <f t="shared" si="21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2:49" x14ac:dyDescent="0.25">
      <c r="B28" s="22">
        <f t="shared" si="34"/>
        <v>46186</v>
      </c>
      <c r="C28" s="23" t="s">
        <v>54</v>
      </c>
      <c r="D28" s="50">
        <f t="shared" si="103"/>
        <v>0</v>
      </c>
      <c r="E28" s="34">
        <f t="shared" si="104"/>
        <v>0</v>
      </c>
      <c r="F28" s="34">
        <f t="shared" si="105"/>
        <v>0</v>
      </c>
      <c r="G28" s="34">
        <f t="shared" si="106"/>
        <v>0</v>
      </c>
      <c r="H28" s="35">
        <f t="shared" si="107"/>
        <v>0</v>
      </c>
      <c r="I28" s="26">
        <f t="shared" si="15"/>
        <v>0</v>
      </c>
      <c r="J28" s="27"/>
      <c r="K28" s="28"/>
      <c r="L28" s="32"/>
      <c r="M28" s="29"/>
      <c r="N28" s="30"/>
      <c r="O28" s="31"/>
      <c r="P28" s="28"/>
      <c r="Q28" s="32"/>
      <c r="R28" s="53">
        <f t="shared" si="99"/>
        <v>0</v>
      </c>
      <c r="S28" s="34">
        <f t="shared" si="100"/>
        <v>0</v>
      </c>
      <c r="T28" s="35">
        <f t="shared" si="101"/>
        <v>0</v>
      </c>
      <c r="U28" s="36"/>
      <c r="V28" s="37"/>
      <c r="W28" s="38"/>
      <c r="X28" s="39"/>
      <c r="Y28" s="40"/>
      <c r="Z28" s="40"/>
      <c r="AA28" s="34">
        <f t="shared" ref="AA28:AA41" si="118">X28*Y28%</f>
        <v>0</v>
      </c>
      <c r="AB28" s="35">
        <f t="shared" ref="AB28:AB41" si="119">X28*Z28%</f>
        <v>0</v>
      </c>
      <c r="AC28" s="310"/>
      <c r="AD28" s="42"/>
      <c r="AE28" s="42"/>
      <c r="AF28" s="34">
        <f t="shared" ref="AF28:AF41" si="120">AC28*AD28%</f>
        <v>0</v>
      </c>
      <c r="AG28" s="34">
        <f t="shared" ref="AG28:AG41" si="121">AC28*AE28%</f>
        <v>0</v>
      </c>
      <c r="AH28" s="43"/>
      <c r="AI28" s="38"/>
      <c r="AJ28" s="38"/>
      <c r="AK28" s="34">
        <f t="shared" si="7"/>
        <v>0</v>
      </c>
      <c r="AL28" s="44">
        <f t="shared" si="8"/>
        <v>0</v>
      </c>
      <c r="AM28" s="45">
        <f t="shared" si="19"/>
        <v>0</v>
      </c>
      <c r="AN28" s="46">
        <f t="shared" si="102"/>
        <v>0</v>
      </c>
      <c r="AO28" s="46">
        <f t="shared" si="102"/>
        <v>0</v>
      </c>
      <c r="AP28" s="47" t="e">
        <f t="shared" si="20"/>
        <v>#DIV/0!</v>
      </c>
      <c r="AQ28" s="48">
        <f t="shared" si="10"/>
        <v>0</v>
      </c>
      <c r="AR28" s="49">
        <f t="shared" si="21"/>
        <v>0</v>
      </c>
    </row>
    <row r="29" spans="2:49" x14ac:dyDescent="0.25">
      <c r="B29" s="22">
        <f t="shared" si="34"/>
        <v>46186</v>
      </c>
      <c r="C29" s="23" t="s">
        <v>55</v>
      </c>
      <c r="D29" s="50">
        <f t="shared" si="103"/>
        <v>0</v>
      </c>
      <c r="E29" s="34">
        <f t="shared" si="104"/>
        <v>0</v>
      </c>
      <c r="F29" s="34">
        <f t="shared" si="105"/>
        <v>0</v>
      </c>
      <c r="G29" s="34">
        <f t="shared" si="106"/>
        <v>0</v>
      </c>
      <c r="H29" s="35">
        <f t="shared" si="107"/>
        <v>0</v>
      </c>
      <c r="I29" s="26">
        <f t="shared" si="15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99"/>
        <v>0</v>
      </c>
      <c r="S29" s="34">
        <f t="shared" si="100"/>
        <v>0</v>
      </c>
      <c r="T29" s="35">
        <f t="shared" si="101"/>
        <v>0</v>
      </c>
      <c r="U29" s="36"/>
      <c r="V29" s="37"/>
      <c r="W29" s="38"/>
      <c r="X29" s="140"/>
      <c r="Y29" s="141"/>
      <c r="Z29" s="141"/>
      <c r="AA29" s="34">
        <f t="shared" si="118"/>
        <v>0</v>
      </c>
      <c r="AB29" s="35">
        <f t="shared" si="119"/>
        <v>0</v>
      </c>
      <c r="AC29" s="273"/>
      <c r="AD29" s="130"/>
      <c r="AE29" s="130"/>
      <c r="AF29" s="34">
        <f t="shared" si="120"/>
        <v>0</v>
      </c>
      <c r="AG29" s="34">
        <f t="shared" si="121"/>
        <v>0</v>
      </c>
      <c r="AH29" s="43"/>
      <c r="AI29" s="38"/>
      <c r="AJ29" s="38"/>
      <c r="AK29" s="34">
        <f t="shared" si="7"/>
        <v>0</v>
      </c>
      <c r="AL29" s="44">
        <f t="shared" si="8"/>
        <v>0</v>
      </c>
      <c r="AM29" s="45">
        <f t="shared" si="19"/>
        <v>0</v>
      </c>
      <c r="AN29" s="46">
        <f t="shared" si="102"/>
        <v>0</v>
      </c>
      <c r="AO29" s="46">
        <f t="shared" si="102"/>
        <v>0</v>
      </c>
      <c r="AP29" s="47" t="e">
        <f t="shared" si="20"/>
        <v>#DIV/0!</v>
      </c>
      <c r="AQ29" s="48">
        <f t="shared" si="10"/>
        <v>0</v>
      </c>
      <c r="AR29" s="49">
        <f t="shared" si="21"/>
        <v>0</v>
      </c>
    </row>
    <row r="30" spans="2:49" x14ac:dyDescent="0.25">
      <c r="B30" s="22">
        <f t="shared" si="34"/>
        <v>46187</v>
      </c>
      <c r="C30" s="23" t="s">
        <v>54</v>
      </c>
      <c r="D30" s="50">
        <f t="shared" si="103"/>
        <v>0</v>
      </c>
      <c r="E30" s="34">
        <f t="shared" si="104"/>
        <v>0</v>
      </c>
      <c r="F30" s="34">
        <f t="shared" si="105"/>
        <v>0</v>
      </c>
      <c r="G30" s="34">
        <f t="shared" si="106"/>
        <v>0</v>
      </c>
      <c r="H30" s="35">
        <f t="shared" si="107"/>
        <v>0</v>
      </c>
      <c r="I30" s="26">
        <f t="shared" si="15"/>
        <v>0</v>
      </c>
      <c r="J30" s="27"/>
      <c r="K30" s="28"/>
      <c r="L30" s="32"/>
      <c r="M30" s="29"/>
      <c r="N30" s="30"/>
      <c r="O30" s="31"/>
      <c r="P30" s="28"/>
      <c r="Q30" s="32"/>
      <c r="R30" s="53">
        <f t="shared" si="99"/>
        <v>0</v>
      </c>
      <c r="S30" s="34">
        <f t="shared" si="100"/>
        <v>0</v>
      </c>
      <c r="T30" s="35">
        <f t="shared" si="101"/>
        <v>0</v>
      </c>
      <c r="U30" s="36"/>
      <c r="V30" s="37"/>
      <c r="W30" s="38"/>
      <c r="X30" s="39"/>
      <c r="Y30" s="40"/>
      <c r="Z30" s="40"/>
      <c r="AA30" s="34">
        <f t="shared" si="118"/>
        <v>0</v>
      </c>
      <c r="AB30" s="35">
        <f t="shared" si="119"/>
        <v>0</v>
      </c>
      <c r="AC30" s="310"/>
      <c r="AD30" s="42"/>
      <c r="AE30" s="42"/>
      <c r="AF30" s="34">
        <f t="shared" si="120"/>
        <v>0</v>
      </c>
      <c r="AG30" s="34">
        <f t="shared" si="121"/>
        <v>0</v>
      </c>
      <c r="AH30" s="43"/>
      <c r="AI30" s="38"/>
      <c r="AJ30" s="38"/>
      <c r="AK30" s="34">
        <f t="shared" si="7"/>
        <v>0</v>
      </c>
      <c r="AL30" s="44">
        <f t="shared" si="8"/>
        <v>0</v>
      </c>
      <c r="AM30" s="45">
        <f t="shared" si="19"/>
        <v>0</v>
      </c>
      <c r="AN30" s="51">
        <f t="shared" si="102"/>
        <v>0</v>
      </c>
      <c r="AO30" s="51">
        <f t="shared" si="102"/>
        <v>0</v>
      </c>
      <c r="AP30" s="47" t="e">
        <f t="shared" si="20"/>
        <v>#DIV/0!</v>
      </c>
      <c r="AQ30" s="48">
        <f t="shared" si="10"/>
        <v>0</v>
      </c>
      <c r="AR30" s="49">
        <f t="shared" si="21"/>
        <v>0</v>
      </c>
    </row>
    <row r="31" spans="2:49" x14ac:dyDescent="0.25">
      <c r="B31" s="22">
        <f t="shared" si="34"/>
        <v>46187</v>
      </c>
      <c r="C31" s="23" t="s">
        <v>55</v>
      </c>
      <c r="D31" s="50">
        <f t="shared" si="103"/>
        <v>0</v>
      </c>
      <c r="E31" s="34">
        <f t="shared" si="104"/>
        <v>0</v>
      </c>
      <c r="F31" s="34">
        <f t="shared" si="105"/>
        <v>0</v>
      </c>
      <c r="G31" s="34">
        <f t="shared" si="106"/>
        <v>0</v>
      </c>
      <c r="H31" s="35">
        <f t="shared" si="107"/>
        <v>0</v>
      </c>
      <c r="I31" s="26">
        <f t="shared" si="15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99"/>
        <v>0</v>
      </c>
      <c r="S31" s="34">
        <f t="shared" si="100"/>
        <v>0</v>
      </c>
      <c r="T31" s="35">
        <f t="shared" si="101"/>
        <v>0</v>
      </c>
      <c r="U31" s="36"/>
      <c r="V31" s="37"/>
      <c r="W31" s="38"/>
      <c r="X31" s="39"/>
      <c r="Y31" s="40"/>
      <c r="Z31" s="40"/>
      <c r="AA31" s="34">
        <f t="shared" ref="AA31" si="122">X31*Y31%</f>
        <v>0</v>
      </c>
      <c r="AB31" s="35">
        <f t="shared" ref="AB31" si="123">X31*Z31%</f>
        <v>0</v>
      </c>
      <c r="AC31" s="302"/>
      <c r="AD31" s="292"/>
      <c r="AE31" s="292"/>
      <c r="AF31" s="34">
        <f t="shared" si="120"/>
        <v>0</v>
      </c>
      <c r="AG31" s="34">
        <f t="shared" si="121"/>
        <v>0</v>
      </c>
      <c r="AH31" s="43"/>
      <c r="AI31" s="38"/>
      <c r="AJ31" s="38"/>
      <c r="AK31" s="34">
        <f t="shared" ref="AK31" si="124">AH31*AI31%</f>
        <v>0</v>
      </c>
      <c r="AL31" s="44">
        <f t="shared" ref="AL31" si="125">AH31*AJ31%</f>
        <v>0</v>
      </c>
      <c r="AM31" s="45">
        <f t="shared" si="19"/>
        <v>0</v>
      </c>
      <c r="AN31" s="51">
        <f t="shared" si="102"/>
        <v>0</v>
      </c>
      <c r="AO31" s="51">
        <f t="shared" si="102"/>
        <v>0</v>
      </c>
      <c r="AP31" s="47" t="e">
        <f t="shared" si="20"/>
        <v>#DIV/0!</v>
      </c>
      <c r="AQ31" s="48">
        <f t="shared" si="10"/>
        <v>0</v>
      </c>
      <c r="AR31" s="49">
        <f t="shared" si="21"/>
        <v>0</v>
      </c>
    </row>
    <row r="32" spans="2:49" x14ac:dyDescent="0.25">
      <c r="B32" s="22">
        <f t="shared" si="34"/>
        <v>46188</v>
      </c>
      <c r="C32" s="23" t="s">
        <v>54</v>
      </c>
      <c r="D32" s="50">
        <f t="shared" ref="D32" si="126">AH31</f>
        <v>0</v>
      </c>
      <c r="E32" s="34">
        <f t="shared" ref="E32" si="127">AI31</f>
        <v>0</v>
      </c>
      <c r="F32" s="34">
        <f t="shared" ref="F32" si="128">AJ31</f>
        <v>0</v>
      </c>
      <c r="G32" s="34">
        <f t="shared" si="106"/>
        <v>0</v>
      </c>
      <c r="H32" s="35">
        <f t="shared" si="107"/>
        <v>0</v>
      </c>
      <c r="I32" s="26">
        <f t="shared" si="15"/>
        <v>0</v>
      </c>
      <c r="J32" s="27"/>
      <c r="K32" s="28"/>
      <c r="L32" s="32"/>
      <c r="M32" s="29"/>
      <c r="N32" s="30"/>
      <c r="O32" s="31"/>
      <c r="P32" s="28"/>
      <c r="Q32" s="32"/>
      <c r="R32" s="53">
        <f t="shared" si="99"/>
        <v>0</v>
      </c>
      <c r="S32" s="34">
        <f t="shared" si="100"/>
        <v>0</v>
      </c>
      <c r="T32" s="35">
        <f t="shared" si="101"/>
        <v>0</v>
      </c>
      <c r="U32" s="36"/>
      <c r="V32" s="37"/>
      <c r="W32" s="38"/>
      <c r="X32" s="39"/>
      <c r="Y32" s="40"/>
      <c r="Z32" s="40"/>
      <c r="AA32" s="34">
        <f t="shared" si="118"/>
        <v>0</v>
      </c>
      <c r="AB32" s="35">
        <f t="shared" si="119"/>
        <v>0</v>
      </c>
      <c r="AC32" s="310"/>
      <c r="AD32" s="42"/>
      <c r="AE32" s="42"/>
      <c r="AF32" s="34">
        <f t="shared" si="120"/>
        <v>0</v>
      </c>
      <c r="AG32" s="34">
        <f t="shared" si="121"/>
        <v>0</v>
      </c>
      <c r="AH32" s="43"/>
      <c r="AI32" s="38"/>
      <c r="AJ32" s="38"/>
      <c r="AK32" s="34">
        <f t="shared" si="7"/>
        <v>0</v>
      </c>
      <c r="AL32" s="44">
        <f t="shared" si="8"/>
        <v>0</v>
      </c>
      <c r="AM32" s="45">
        <f t="shared" si="19"/>
        <v>0</v>
      </c>
      <c r="AN32" s="51">
        <f t="shared" si="102"/>
        <v>0</v>
      </c>
      <c r="AO32" s="51">
        <f t="shared" si="102"/>
        <v>0</v>
      </c>
      <c r="AP32" s="47" t="e">
        <f t="shared" si="20"/>
        <v>#DIV/0!</v>
      </c>
      <c r="AQ32" s="48">
        <f t="shared" si="10"/>
        <v>0</v>
      </c>
      <c r="AR32" s="49">
        <f t="shared" si="21"/>
        <v>0</v>
      </c>
    </row>
    <row r="33" spans="2:49" x14ac:dyDescent="0.25">
      <c r="B33" s="22">
        <f t="shared" si="34"/>
        <v>46188</v>
      </c>
      <c r="C33" s="23" t="s">
        <v>55</v>
      </c>
      <c r="D33" s="50">
        <f t="shared" si="103"/>
        <v>0</v>
      </c>
      <c r="E33" s="34">
        <f t="shared" si="104"/>
        <v>0</v>
      </c>
      <c r="F33" s="34">
        <f t="shared" si="105"/>
        <v>0</v>
      </c>
      <c r="G33" s="34">
        <f t="shared" si="106"/>
        <v>0</v>
      </c>
      <c r="H33" s="35">
        <f t="shared" si="107"/>
        <v>0</v>
      </c>
      <c r="I33" s="26">
        <f t="shared" si="15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99"/>
        <v>0</v>
      </c>
      <c r="S33" s="34">
        <f t="shared" si="100"/>
        <v>0</v>
      </c>
      <c r="T33" s="35">
        <f t="shared" si="101"/>
        <v>0</v>
      </c>
      <c r="U33" s="36"/>
      <c r="V33" s="37"/>
      <c r="W33" s="38"/>
      <c r="X33" s="39"/>
      <c r="Y33" s="40"/>
      <c r="Z33" s="40"/>
      <c r="AA33" s="34">
        <f t="shared" si="118"/>
        <v>0</v>
      </c>
      <c r="AB33" s="35">
        <f t="shared" si="119"/>
        <v>0</v>
      </c>
      <c r="AC33" s="310"/>
      <c r="AD33" s="42"/>
      <c r="AE33" s="42"/>
      <c r="AF33" s="34">
        <f t="shared" si="120"/>
        <v>0</v>
      </c>
      <c r="AG33" s="34">
        <f t="shared" si="121"/>
        <v>0</v>
      </c>
      <c r="AH33" s="43"/>
      <c r="AI33" s="38"/>
      <c r="AJ33" s="38"/>
      <c r="AK33" s="34">
        <f t="shared" si="7"/>
        <v>0</v>
      </c>
      <c r="AL33" s="44">
        <f t="shared" si="8"/>
        <v>0</v>
      </c>
      <c r="AM33" s="45">
        <f t="shared" si="19"/>
        <v>0</v>
      </c>
      <c r="AN33" s="51">
        <f t="shared" si="102"/>
        <v>0</v>
      </c>
      <c r="AO33" s="51">
        <f t="shared" si="102"/>
        <v>0</v>
      </c>
      <c r="AP33" s="47" t="e">
        <f t="shared" si="20"/>
        <v>#DIV/0!</v>
      </c>
      <c r="AQ33" s="48">
        <f t="shared" si="10"/>
        <v>0</v>
      </c>
      <c r="AR33" s="49">
        <f t="shared" si="21"/>
        <v>0</v>
      </c>
    </row>
    <row r="34" spans="2:49" x14ac:dyDescent="0.25">
      <c r="B34" s="22">
        <f t="shared" si="34"/>
        <v>46189</v>
      </c>
      <c r="C34" s="23" t="s">
        <v>54</v>
      </c>
      <c r="D34" s="50">
        <f t="shared" ref="D34" si="129">AH33</f>
        <v>0</v>
      </c>
      <c r="E34" s="34">
        <f t="shared" ref="E34" si="130">AI33</f>
        <v>0</v>
      </c>
      <c r="F34" s="34">
        <f t="shared" ref="F34" si="131">AJ33</f>
        <v>0</v>
      </c>
      <c r="G34" s="34">
        <f t="shared" si="106"/>
        <v>0</v>
      </c>
      <c r="H34" s="35">
        <f t="shared" si="107"/>
        <v>0</v>
      </c>
      <c r="I34" s="26">
        <f t="shared" si="15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99"/>
        <v>0</v>
      </c>
      <c r="S34" s="34">
        <f t="shared" si="100"/>
        <v>0</v>
      </c>
      <c r="T34" s="35">
        <f t="shared" si="101"/>
        <v>0</v>
      </c>
      <c r="U34" s="36"/>
      <c r="V34" s="37"/>
      <c r="W34" s="38"/>
      <c r="X34" s="39"/>
      <c r="Y34" s="40"/>
      <c r="Z34" s="40"/>
      <c r="AA34" s="34">
        <f t="shared" si="118"/>
        <v>0</v>
      </c>
      <c r="AB34" s="35">
        <f t="shared" si="119"/>
        <v>0</v>
      </c>
      <c r="AC34" s="310"/>
      <c r="AD34" s="42"/>
      <c r="AE34" s="42"/>
      <c r="AF34" s="34">
        <f t="shared" si="120"/>
        <v>0</v>
      </c>
      <c r="AG34" s="34">
        <f t="shared" si="121"/>
        <v>0</v>
      </c>
      <c r="AH34" s="43"/>
      <c r="AI34" s="38"/>
      <c r="AJ34" s="38"/>
      <c r="AK34" s="34">
        <f t="shared" si="7"/>
        <v>0</v>
      </c>
      <c r="AL34" s="44">
        <f t="shared" si="8"/>
        <v>0</v>
      </c>
      <c r="AM34" s="45">
        <f t="shared" si="19"/>
        <v>0</v>
      </c>
      <c r="AN34" s="51">
        <f t="shared" si="102"/>
        <v>0</v>
      </c>
      <c r="AO34" s="51">
        <f t="shared" si="102"/>
        <v>0</v>
      </c>
      <c r="AP34" s="47" t="e">
        <f t="shared" si="20"/>
        <v>#DIV/0!</v>
      </c>
      <c r="AQ34" s="48">
        <f t="shared" si="10"/>
        <v>0</v>
      </c>
      <c r="AR34" s="49">
        <f t="shared" si="21"/>
        <v>0</v>
      </c>
    </row>
    <row r="35" spans="2:49" x14ac:dyDescent="0.25">
      <c r="B35" s="22">
        <f t="shared" si="34"/>
        <v>46189</v>
      </c>
      <c r="C35" s="23" t="s">
        <v>55</v>
      </c>
      <c r="D35" s="50">
        <f t="shared" si="103"/>
        <v>0</v>
      </c>
      <c r="E35" s="34">
        <f t="shared" si="104"/>
        <v>0</v>
      </c>
      <c r="F35" s="34">
        <f t="shared" si="105"/>
        <v>0</v>
      </c>
      <c r="G35" s="34">
        <f t="shared" si="106"/>
        <v>0</v>
      </c>
      <c r="H35" s="35">
        <f t="shared" si="107"/>
        <v>0</v>
      </c>
      <c r="I35" s="26">
        <f t="shared" si="15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99"/>
        <v>0</v>
      </c>
      <c r="S35" s="34">
        <f t="shared" si="100"/>
        <v>0</v>
      </c>
      <c r="T35" s="35">
        <f t="shared" si="101"/>
        <v>0</v>
      </c>
      <c r="U35" s="36"/>
      <c r="V35" s="37"/>
      <c r="W35" s="38"/>
      <c r="X35" s="39"/>
      <c r="Y35" s="40"/>
      <c r="Z35" s="40"/>
      <c r="AA35" s="34">
        <f t="shared" si="118"/>
        <v>0</v>
      </c>
      <c r="AB35" s="35">
        <f t="shared" si="119"/>
        <v>0</v>
      </c>
      <c r="AC35" s="310"/>
      <c r="AD35" s="42"/>
      <c r="AE35" s="42"/>
      <c r="AF35" s="34">
        <f t="shared" si="120"/>
        <v>0</v>
      </c>
      <c r="AG35" s="34">
        <f t="shared" si="121"/>
        <v>0</v>
      </c>
      <c r="AH35" s="43"/>
      <c r="AI35" s="38"/>
      <c r="AJ35" s="38"/>
      <c r="AK35" s="34">
        <f t="shared" si="7"/>
        <v>0</v>
      </c>
      <c r="AL35" s="44">
        <f t="shared" si="8"/>
        <v>0</v>
      </c>
      <c r="AM35" s="45">
        <f t="shared" si="19"/>
        <v>0</v>
      </c>
      <c r="AN35" s="51">
        <f t="shared" si="102"/>
        <v>0</v>
      </c>
      <c r="AO35" s="51">
        <f t="shared" si="102"/>
        <v>0</v>
      </c>
      <c r="AP35" s="47" t="e">
        <f t="shared" si="20"/>
        <v>#DIV/0!</v>
      </c>
      <c r="AQ35" s="48">
        <f t="shared" si="10"/>
        <v>0</v>
      </c>
      <c r="AR35" s="49">
        <f t="shared" si="21"/>
        <v>0</v>
      </c>
    </row>
    <row r="36" spans="2:49" x14ac:dyDescent="0.25">
      <c r="B36" s="22">
        <f t="shared" si="34"/>
        <v>46190</v>
      </c>
      <c r="C36" s="23" t="s">
        <v>54</v>
      </c>
      <c r="D36" s="50">
        <f t="shared" ref="D36" si="132">AH35</f>
        <v>0</v>
      </c>
      <c r="E36" s="34">
        <f t="shared" ref="E36" si="133">AI35</f>
        <v>0</v>
      </c>
      <c r="F36" s="34">
        <f t="shared" ref="F36" si="134">AJ35</f>
        <v>0</v>
      </c>
      <c r="G36" s="34">
        <f t="shared" si="106"/>
        <v>0</v>
      </c>
      <c r="H36" s="35">
        <f t="shared" si="107"/>
        <v>0</v>
      </c>
      <c r="I36" s="26">
        <f t="shared" si="15"/>
        <v>0</v>
      </c>
      <c r="J36" s="27"/>
      <c r="K36" s="28"/>
      <c r="L36" s="32"/>
      <c r="M36" s="29"/>
      <c r="N36" s="131"/>
      <c r="O36" s="31"/>
      <c r="P36" s="28"/>
      <c r="Q36" s="32"/>
      <c r="R36" s="53">
        <f t="shared" ref="R36:R41" si="135">O36+J36</f>
        <v>0</v>
      </c>
      <c r="S36" s="34">
        <f t="shared" ref="S36:S41" si="136">(J36*K36%)+(O36*P36%)</f>
        <v>0</v>
      </c>
      <c r="T36" s="35">
        <f t="shared" ref="T36:T41" si="137">(J36*L36%)+(O36*Q36%)</f>
        <v>0</v>
      </c>
      <c r="U36" s="36"/>
      <c r="V36" s="37"/>
      <c r="W36" s="38"/>
      <c r="X36" s="39"/>
      <c r="Y36" s="40"/>
      <c r="Z36" s="40"/>
      <c r="AA36" s="34">
        <f t="shared" si="118"/>
        <v>0</v>
      </c>
      <c r="AB36" s="35">
        <f t="shared" si="119"/>
        <v>0</v>
      </c>
      <c r="AC36" s="273"/>
      <c r="AD36" s="130"/>
      <c r="AE36" s="130"/>
      <c r="AF36" s="34">
        <f t="shared" si="120"/>
        <v>0</v>
      </c>
      <c r="AG36" s="34">
        <f t="shared" si="121"/>
        <v>0</v>
      </c>
      <c r="AH36" s="43"/>
      <c r="AI36" s="38"/>
      <c r="AJ36" s="38"/>
      <c r="AK36" s="34">
        <f t="shared" si="7"/>
        <v>0</v>
      </c>
      <c r="AL36" s="44">
        <f t="shared" si="8"/>
        <v>0</v>
      </c>
      <c r="AM36" s="45">
        <f t="shared" si="19"/>
        <v>0</v>
      </c>
      <c r="AN36" s="51">
        <f t="shared" ref="AN36:AO41" si="138">+G36+S36-AF36-AK36</f>
        <v>0</v>
      </c>
      <c r="AO36" s="51">
        <f t="shared" si="138"/>
        <v>0</v>
      </c>
      <c r="AP36" s="47" t="e">
        <f t="shared" si="20"/>
        <v>#DIV/0!</v>
      </c>
      <c r="AQ36" s="48">
        <f t="shared" si="10"/>
        <v>0</v>
      </c>
      <c r="AR36" s="49">
        <f t="shared" si="21"/>
        <v>0</v>
      </c>
    </row>
    <row r="37" spans="2:49" x14ac:dyDescent="0.25">
      <c r="B37" s="22">
        <f t="shared" si="34"/>
        <v>46190</v>
      </c>
      <c r="C37" s="23" t="s">
        <v>55</v>
      </c>
      <c r="D37" s="50">
        <f t="shared" ref="D37:F39" si="139">AH36</f>
        <v>0</v>
      </c>
      <c r="E37" s="34">
        <f t="shared" si="139"/>
        <v>0</v>
      </c>
      <c r="F37" s="34">
        <f t="shared" si="139"/>
        <v>0</v>
      </c>
      <c r="G37" s="34">
        <f t="shared" si="13"/>
        <v>0</v>
      </c>
      <c r="H37" s="35">
        <f t="shared" si="14"/>
        <v>0</v>
      </c>
      <c r="I37" s="26">
        <f t="shared" si="15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135"/>
        <v>0</v>
      </c>
      <c r="S37" s="34">
        <f t="shared" si="136"/>
        <v>0</v>
      </c>
      <c r="T37" s="35">
        <f t="shared" si="137"/>
        <v>0</v>
      </c>
      <c r="U37" s="36"/>
      <c r="V37" s="37"/>
      <c r="W37" s="38"/>
      <c r="X37" s="39"/>
      <c r="Y37" s="40"/>
      <c r="Z37" s="40"/>
      <c r="AA37" s="34">
        <f t="shared" si="118"/>
        <v>0</v>
      </c>
      <c r="AB37" s="35">
        <f t="shared" si="119"/>
        <v>0</v>
      </c>
      <c r="AC37" s="273"/>
      <c r="AD37" s="130"/>
      <c r="AE37" s="130"/>
      <c r="AF37" s="34">
        <f t="shared" si="120"/>
        <v>0</v>
      </c>
      <c r="AG37" s="34">
        <f t="shared" si="121"/>
        <v>0</v>
      </c>
      <c r="AH37" s="43"/>
      <c r="AI37" s="38"/>
      <c r="AJ37" s="38"/>
      <c r="AK37" s="34">
        <f t="shared" si="7"/>
        <v>0</v>
      </c>
      <c r="AL37" s="44">
        <f t="shared" si="8"/>
        <v>0</v>
      </c>
      <c r="AM37" s="45">
        <f t="shared" si="19"/>
        <v>0</v>
      </c>
      <c r="AN37" s="51">
        <f t="shared" si="138"/>
        <v>0</v>
      </c>
      <c r="AO37" s="51">
        <f t="shared" si="138"/>
        <v>0</v>
      </c>
      <c r="AP37" s="47" t="e">
        <f t="shared" si="20"/>
        <v>#DIV/0!</v>
      </c>
      <c r="AQ37" s="48">
        <f t="shared" si="10"/>
        <v>0</v>
      </c>
      <c r="AR37" s="49">
        <f t="shared" si="21"/>
        <v>0</v>
      </c>
    </row>
    <row r="38" spans="2:49" x14ac:dyDescent="0.25">
      <c r="B38" s="22">
        <f t="shared" si="34"/>
        <v>46191</v>
      </c>
      <c r="C38" s="23" t="s">
        <v>54</v>
      </c>
      <c r="D38" s="50">
        <f t="shared" ref="D38" si="140">AH37</f>
        <v>0</v>
      </c>
      <c r="E38" s="34">
        <f t="shared" ref="E38" si="141">AI37</f>
        <v>0</v>
      </c>
      <c r="F38" s="34">
        <f t="shared" ref="F38" si="142">AJ37</f>
        <v>0</v>
      </c>
      <c r="G38" s="34">
        <f t="shared" si="13"/>
        <v>0</v>
      </c>
      <c r="H38" s="35">
        <f t="shared" si="14"/>
        <v>0</v>
      </c>
      <c r="I38" s="26">
        <f t="shared" si="15"/>
        <v>0</v>
      </c>
      <c r="J38" s="27"/>
      <c r="K38" s="28"/>
      <c r="L38" s="32"/>
      <c r="M38" s="29"/>
      <c r="N38" s="30"/>
      <c r="O38" s="31"/>
      <c r="P38" s="28"/>
      <c r="Q38" s="32"/>
      <c r="R38" s="53">
        <f t="shared" si="135"/>
        <v>0</v>
      </c>
      <c r="S38" s="34">
        <f t="shared" si="136"/>
        <v>0</v>
      </c>
      <c r="T38" s="35">
        <f t="shared" si="137"/>
        <v>0</v>
      </c>
      <c r="U38" s="36"/>
      <c r="V38" s="37"/>
      <c r="W38" s="38"/>
      <c r="X38" s="39"/>
      <c r="Y38" s="40"/>
      <c r="Z38" s="40"/>
      <c r="AA38" s="34">
        <f t="shared" si="118"/>
        <v>0</v>
      </c>
      <c r="AB38" s="35">
        <f t="shared" si="119"/>
        <v>0</v>
      </c>
      <c r="AC38" s="310"/>
      <c r="AD38" s="42"/>
      <c r="AE38" s="42"/>
      <c r="AF38" s="34">
        <f t="shared" si="120"/>
        <v>0</v>
      </c>
      <c r="AG38" s="34">
        <f t="shared" si="121"/>
        <v>0</v>
      </c>
      <c r="AH38" s="43"/>
      <c r="AI38" s="38"/>
      <c r="AJ38" s="38"/>
      <c r="AK38" s="34">
        <f t="shared" ref="AK38" si="143">AH38*AI38%</f>
        <v>0</v>
      </c>
      <c r="AL38" s="44">
        <f t="shared" ref="AL38" si="144">AH38*AJ38%</f>
        <v>0</v>
      </c>
      <c r="AM38" s="45">
        <f t="shared" si="19"/>
        <v>0</v>
      </c>
      <c r="AN38" s="51">
        <f t="shared" si="138"/>
        <v>0</v>
      </c>
      <c r="AO38" s="51">
        <f t="shared" si="138"/>
        <v>0</v>
      </c>
      <c r="AP38" s="47" t="e">
        <f t="shared" si="20"/>
        <v>#DIV/0!</v>
      </c>
      <c r="AQ38" s="48">
        <f t="shared" si="10"/>
        <v>0</v>
      </c>
      <c r="AR38" s="49">
        <f t="shared" si="21"/>
        <v>0</v>
      </c>
    </row>
    <row r="39" spans="2:49" x14ac:dyDescent="0.25">
      <c r="B39" s="22">
        <f t="shared" si="34"/>
        <v>46191</v>
      </c>
      <c r="C39" s="23" t="s">
        <v>55</v>
      </c>
      <c r="D39" s="50">
        <f t="shared" si="139"/>
        <v>0</v>
      </c>
      <c r="E39" s="34">
        <f t="shared" si="139"/>
        <v>0</v>
      </c>
      <c r="F39" s="34">
        <f t="shared" si="139"/>
        <v>0</v>
      </c>
      <c r="G39" s="34">
        <f t="shared" si="13"/>
        <v>0</v>
      </c>
      <c r="H39" s="35">
        <f t="shared" si="14"/>
        <v>0</v>
      </c>
      <c r="I39" s="26">
        <f t="shared" si="15"/>
        <v>0</v>
      </c>
      <c r="J39" s="27"/>
      <c r="K39" s="28"/>
      <c r="L39" s="32"/>
      <c r="M39" s="29"/>
      <c r="N39" s="30"/>
      <c r="O39" s="31"/>
      <c r="P39" s="28"/>
      <c r="Q39" s="32"/>
      <c r="R39" s="53">
        <f t="shared" si="135"/>
        <v>0</v>
      </c>
      <c r="S39" s="34">
        <f t="shared" si="136"/>
        <v>0</v>
      </c>
      <c r="T39" s="35">
        <f t="shared" si="137"/>
        <v>0</v>
      </c>
      <c r="U39" s="36"/>
      <c r="V39" s="37"/>
      <c r="W39" s="38"/>
      <c r="X39" s="39"/>
      <c r="Y39" s="40"/>
      <c r="Z39" s="40"/>
      <c r="AA39" s="34">
        <f t="shared" si="118"/>
        <v>0</v>
      </c>
      <c r="AB39" s="35">
        <f t="shared" si="119"/>
        <v>0</v>
      </c>
      <c r="AC39" s="310"/>
      <c r="AD39" s="42"/>
      <c r="AE39" s="42"/>
      <c r="AF39" s="34">
        <f>AC39*AD39%</f>
        <v>0</v>
      </c>
      <c r="AG39" s="34">
        <f>AC39*AE39%</f>
        <v>0</v>
      </c>
      <c r="AH39" s="43"/>
      <c r="AI39" s="38"/>
      <c r="AJ39" s="38"/>
      <c r="AK39" s="34">
        <f t="shared" si="7"/>
        <v>0</v>
      </c>
      <c r="AL39" s="44">
        <f t="shared" si="8"/>
        <v>0</v>
      </c>
      <c r="AM39" s="45">
        <f>+D39+R39-AC39-AH39</f>
        <v>0</v>
      </c>
      <c r="AN39" s="51">
        <f t="shared" si="138"/>
        <v>0</v>
      </c>
      <c r="AO39" s="51">
        <f t="shared" si="138"/>
        <v>0</v>
      </c>
      <c r="AP39" s="47" t="e">
        <f t="shared" si="20"/>
        <v>#DIV/0!</v>
      </c>
      <c r="AQ39" s="48">
        <f t="shared" si="10"/>
        <v>0</v>
      </c>
      <c r="AR39" s="49">
        <f t="shared" si="21"/>
        <v>0</v>
      </c>
    </row>
    <row r="40" spans="2:49" x14ac:dyDescent="0.25">
      <c r="B40" s="22">
        <f t="shared" si="34"/>
        <v>46192</v>
      </c>
      <c r="C40" s="23" t="s">
        <v>54</v>
      </c>
      <c r="D40" s="50">
        <f t="shared" ref="D40:D44" si="145">AH39</f>
        <v>0</v>
      </c>
      <c r="E40" s="34">
        <f t="shared" ref="E40:E44" si="146">AI39</f>
        <v>0</v>
      </c>
      <c r="F40" s="34">
        <f t="shared" ref="F40:F44" si="147">AJ39</f>
        <v>0</v>
      </c>
      <c r="G40" s="34">
        <f t="shared" si="13"/>
        <v>0</v>
      </c>
      <c r="H40" s="35">
        <f t="shared" si="14"/>
        <v>0</v>
      </c>
      <c r="I40" s="26">
        <f t="shared" si="15"/>
        <v>0</v>
      </c>
      <c r="J40" s="27"/>
      <c r="K40" s="28"/>
      <c r="L40" s="32"/>
      <c r="M40" s="29"/>
      <c r="N40" s="30"/>
      <c r="O40" s="31"/>
      <c r="P40" s="28"/>
      <c r="Q40" s="32"/>
      <c r="R40" s="53">
        <f t="shared" si="135"/>
        <v>0</v>
      </c>
      <c r="S40" s="34">
        <f t="shared" si="136"/>
        <v>0</v>
      </c>
      <c r="T40" s="35">
        <f t="shared" si="137"/>
        <v>0</v>
      </c>
      <c r="U40" s="36"/>
      <c r="V40" s="37"/>
      <c r="W40" s="38"/>
      <c r="X40" s="39"/>
      <c r="Y40" s="40"/>
      <c r="Z40" s="40"/>
      <c r="AA40" s="34">
        <f t="shared" si="118"/>
        <v>0</v>
      </c>
      <c r="AB40" s="35">
        <f t="shared" si="119"/>
        <v>0</v>
      </c>
      <c r="AC40" s="310"/>
      <c r="AD40" s="42"/>
      <c r="AE40" s="42"/>
      <c r="AF40" s="34">
        <f t="shared" si="120"/>
        <v>0</v>
      </c>
      <c r="AG40" s="34">
        <f t="shared" si="121"/>
        <v>0</v>
      </c>
      <c r="AH40" s="43"/>
      <c r="AI40" s="38"/>
      <c r="AJ40" s="38"/>
      <c r="AK40" s="34">
        <f t="shared" si="7"/>
        <v>0</v>
      </c>
      <c r="AL40" s="44">
        <f t="shared" si="8"/>
        <v>0</v>
      </c>
      <c r="AM40" s="45">
        <f t="shared" si="19"/>
        <v>0</v>
      </c>
      <c r="AN40" s="51">
        <f t="shared" si="138"/>
        <v>0</v>
      </c>
      <c r="AO40" s="51">
        <f t="shared" si="138"/>
        <v>0</v>
      </c>
      <c r="AP40" s="47" t="e">
        <f t="shared" si="20"/>
        <v>#DIV/0!</v>
      </c>
      <c r="AQ40" s="48">
        <f t="shared" si="10"/>
        <v>0</v>
      </c>
      <c r="AR40" s="49">
        <f t="shared" si="21"/>
        <v>0</v>
      </c>
    </row>
    <row r="41" spans="2:49" x14ac:dyDescent="0.25">
      <c r="B41" s="22">
        <f t="shared" si="34"/>
        <v>46192</v>
      </c>
      <c r="C41" s="23" t="s">
        <v>55</v>
      </c>
      <c r="D41" s="50">
        <f t="shared" si="145"/>
        <v>0</v>
      </c>
      <c r="E41" s="34">
        <f t="shared" si="146"/>
        <v>0</v>
      </c>
      <c r="F41" s="34">
        <f t="shared" si="147"/>
        <v>0</v>
      </c>
      <c r="G41" s="34">
        <f t="shared" si="13"/>
        <v>0</v>
      </c>
      <c r="H41" s="35">
        <f t="shared" si="14"/>
        <v>0</v>
      </c>
      <c r="I41" s="26">
        <f t="shared" si="15"/>
        <v>0</v>
      </c>
      <c r="J41" s="27"/>
      <c r="K41" s="28"/>
      <c r="L41" s="28"/>
      <c r="M41" s="30"/>
      <c r="N41" s="30"/>
      <c r="O41" s="31"/>
      <c r="P41" s="28"/>
      <c r="Q41" s="32"/>
      <c r="R41" s="53">
        <f t="shared" si="135"/>
        <v>0</v>
      </c>
      <c r="S41" s="34">
        <f t="shared" si="136"/>
        <v>0</v>
      </c>
      <c r="T41" s="35">
        <f t="shared" si="137"/>
        <v>0</v>
      </c>
      <c r="U41" s="36"/>
      <c r="V41" s="37"/>
      <c r="W41" s="38"/>
      <c r="X41" s="39"/>
      <c r="Y41" s="40"/>
      <c r="Z41" s="40"/>
      <c r="AA41" s="34">
        <f t="shared" si="118"/>
        <v>0</v>
      </c>
      <c r="AB41" s="35">
        <f t="shared" si="119"/>
        <v>0</v>
      </c>
      <c r="AC41" s="310"/>
      <c r="AD41" s="42"/>
      <c r="AE41" s="42"/>
      <c r="AF41" s="34">
        <f t="shared" si="120"/>
        <v>0</v>
      </c>
      <c r="AG41" s="34">
        <f t="shared" si="121"/>
        <v>0</v>
      </c>
      <c r="AH41" s="43"/>
      <c r="AI41" s="38"/>
      <c r="AJ41" s="38"/>
      <c r="AK41" s="34">
        <f t="shared" si="7"/>
        <v>0</v>
      </c>
      <c r="AL41" s="44">
        <f t="shared" si="8"/>
        <v>0</v>
      </c>
      <c r="AM41" s="45">
        <f t="shared" si="19"/>
        <v>0</v>
      </c>
      <c r="AN41" s="51">
        <f t="shared" si="138"/>
        <v>0</v>
      </c>
      <c r="AO41" s="51">
        <f t="shared" si="138"/>
        <v>0</v>
      </c>
      <c r="AP41" s="47" t="e">
        <f t="shared" si="20"/>
        <v>#DIV/0!</v>
      </c>
      <c r="AQ41" s="48">
        <f t="shared" si="10"/>
        <v>0</v>
      </c>
      <c r="AR41" s="49">
        <f t="shared" si="21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34"/>
        <v>46193</v>
      </c>
      <c r="C42" s="23" t="s">
        <v>54</v>
      </c>
      <c r="D42" s="50">
        <f t="shared" si="145"/>
        <v>0</v>
      </c>
      <c r="E42" s="34">
        <f t="shared" si="146"/>
        <v>0</v>
      </c>
      <c r="F42" s="34">
        <f t="shared" si="147"/>
        <v>0</v>
      </c>
      <c r="G42" s="34">
        <f t="shared" ref="G42:G65" si="148">+D42*E42%</f>
        <v>0</v>
      </c>
      <c r="H42" s="35">
        <f t="shared" ref="H42:H65" si="149">+D42*F42%</f>
        <v>0</v>
      </c>
      <c r="I42" s="26">
        <f t="shared" si="15"/>
        <v>0</v>
      </c>
      <c r="J42" s="27"/>
      <c r="K42" s="28"/>
      <c r="L42" s="28"/>
      <c r="M42" s="30"/>
      <c r="N42" s="61"/>
      <c r="O42" s="31"/>
      <c r="P42" s="28"/>
      <c r="Q42" s="28"/>
      <c r="R42" s="64">
        <f t="shared" ref="R42:R64" si="150">O42+J42</f>
        <v>0</v>
      </c>
      <c r="S42" s="34">
        <f t="shared" ref="S42:S64" si="151">(J42*K42%)+(O42*P42%)</f>
        <v>0</v>
      </c>
      <c r="T42" s="34">
        <f t="shared" ref="T42:T64" si="152">(J42*L42%)+(O42*Q42%)</f>
        <v>0</v>
      </c>
      <c r="U42" s="37"/>
      <c r="V42" s="37"/>
      <c r="W42" s="38"/>
      <c r="X42" s="39"/>
      <c r="Y42" s="40"/>
      <c r="Z42" s="40"/>
      <c r="AA42" s="34">
        <f t="shared" ref="AA42:AA65" si="153">X42*Y42%</f>
        <v>0</v>
      </c>
      <c r="AB42" s="35">
        <f t="shared" ref="AB42:AB65" si="154">X42*Z42%</f>
        <v>0</v>
      </c>
      <c r="AC42" s="310"/>
      <c r="AD42" s="42"/>
      <c r="AE42" s="42"/>
      <c r="AF42" s="34">
        <f t="shared" ref="AF42:AF65" si="155">AC42*AD42%</f>
        <v>0</v>
      </c>
      <c r="AG42" s="34">
        <f t="shared" ref="AG42:AG65" si="156">AC42*AE42%</f>
        <v>0</v>
      </c>
      <c r="AH42" s="62"/>
      <c r="AI42" s="38"/>
      <c r="AJ42" s="38"/>
      <c r="AK42" s="34">
        <f t="shared" ref="AK42:AK65" si="157">AH42*AI42%</f>
        <v>0</v>
      </c>
      <c r="AL42" s="44">
        <f t="shared" ref="AL42:AL65" si="158">AH42*AJ42%</f>
        <v>0</v>
      </c>
      <c r="AM42" s="45">
        <f t="shared" ref="AM42:AM65" si="159">+D42+R42-AC42-AH42</f>
        <v>0</v>
      </c>
      <c r="AN42" s="51">
        <f t="shared" ref="AN42:AN65" si="160">+G42+S42-AF42-AK42</f>
        <v>0</v>
      </c>
      <c r="AO42" s="51">
        <f t="shared" ref="AO42:AO65" si="161">+H42+T42-AG42-AL42</f>
        <v>0</v>
      </c>
      <c r="AP42" s="47" t="e">
        <f t="shared" ref="AP42:AP65" si="162">(AN42+AO42)/(S42+T42)</f>
        <v>#DIV/0!</v>
      </c>
      <c r="AQ42" s="48">
        <f t="shared" si="10"/>
        <v>0</v>
      </c>
      <c r="AR42" s="49">
        <f t="shared" si="21"/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34"/>
        <v>46193</v>
      </c>
      <c r="C43" s="23" t="s">
        <v>55</v>
      </c>
      <c r="D43" s="50">
        <f t="shared" si="145"/>
        <v>0</v>
      </c>
      <c r="E43" s="34">
        <f t="shared" si="146"/>
        <v>0</v>
      </c>
      <c r="F43" s="34">
        <f t="shared" si="147"/>
        <v>0</v>
      </c>
      <c r="G43" s="34">
        <f t="shared" si="148"/>
        <v>0</v>
      </c>
      <c r="H43" s="35">
        <f t="shared" si="149"/>
        <v>0</v>
      </c>
      <c r="I43" s="26">
        <f t="shared" si="15"/>
        <v>0</v>
      </c>
      <c r="J43" s="27"/>
      <c r="K43" s="28"/>
      <c r="L43" s="28"/>
      <c r="M43" s="30"/>
      <c r="N43" s="61"/>
      <c r="O43" s="31"/>
      <c r="P43" s="28"/>
      <c r="Q43" s="28"/>
      <c r="R43" s="64">
        <f t="shared" si="150"/>
        <v>0</v>
      </c>
      <c r="S43" s="34">
        <f t="shared" si="151"/>
        <v>0</v>
      </c>
      <c r="T43" s="34">
        <f t="shared" si="152"/>
        <v>0</v>
      </c>
      <c r="U43" s="37"/>
      <c r="V43" s="37"/>
      <c r="W43" s="38"/>
      <c r="X43" s="39"/>
      <c r="Y43" s="40"/>
      <c r="Z43" s="40"/>
      <c r="AA43" s="34">
        <f t="shared" si="153"/>
        <v>0</v>
      </c>
      <c r="AB43" s="35">
        <f t="shared" si="154"/>
        <v>0</v>
      </c>
      <c r="AC43" s="310"/>
      <c r="AD43" s="42"/>
      <c r="AE43" s="42"/>
      <c r="AF43" s="34">
        <f t="shared" si="155"/>
        <v>0</v>
      </c>
      <c r="AG43" s="34">
        <f t="shared" si="156"/>
        <v>0</v>
      </c>
      <c r="AH43" s="62"/>
      <c r="AI43" s="38"/>
      <c r="AJ43" s="38"/>
      <c r="AK43" s="34">
        <f t="shared" si="157"/>
        <v>0</v>
      </c>
      <c r="AL43" s="44">
        <f t="shared" si="158"/>
        <v>0</v>
      </c>
      <c r="AM43" s="45">
        <f t="shared" si="159"/>
        <v>0</v>
      </c>
      <c r="AN43" s="51">
        <f t="shared" si="160"/>
        <v>0</v>
      </c>
      <c r="AO43" s="51">
        <f t="shared" si="161"/>
        <v>0</v>
      </c>
      <c r="AP43" s="47" t="e">
        <f t="shared" si="162"/>
        <v>#DIV/0!</v>
      </c>
      <c r="AQ43" s="48">
        <f t="shared" si="10"/>
        <v>0</v>
      </c>
      <c r="AR43" s="49">
        <f t="shared" si="21"/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34"/>
        <v>46194</v>
      </c>
      <c r="C44" s="23" t="s">
        <v>54</v>
      </c>
      <c r="D44" s="50">
        <f t="shared" si="145"/>
        <v>0</v>
      </c>
      <c r="E44" s="34">
        <f t="shared" si="146"/>
        <v>0</v>
      </c>
      <c r="F44" s="34">
        <f t="shared" si="147"/>
        <v>0</v>
      </c>
      <c r="G44" s="34">
        <f t="shared" ref="G44" si="163">+D44*E44%</f>
        <v>0</v>
      </c>
      <c r="H44" s="35">
        <f t="shared" si="149"/>
        <v>0</v>
      </c>
      <c r="I44" s="26">
        <f t="shared" si="15"/>
        <v>0</v>
      </c>
      <c r="J44" s="27"/>
      <c r="K44" s="28"/>
      <c r="L44" s="28"/>
      <c r="M44" s="30"/>
      <c r="N44" s="61"/>
      <c r="O44" s="31"/>
      <c r="P44" s="28"/>
      <c r="Q44" s="28"/>
      <c r="R44" s="64">
        <f t="shared" si="150"/>
        <v>0</v>
      </c>
      <c r="S44" s="34">
        <f t="shared" si="151"/>
        <v>0</v>
      </c>
      <c r="T44" s="34">
        <f t="shared" si="152"/>
        <v>0</v>
      </c>
      <c r="U44" s="37"/>
      <c r="V44" s="37"/>
      <c r="W44" s="38"/>
      <c r="X44" s="39"/>
      <c r="Y44" s="40"/>
      <c r="Z44" s="40"/>
      <c r="AA44" s="34">
        <f t="shared" si="153"/>
        <v>0</v>
      </c>
      <c r="AB44" s="35">
        <f t="shared" si="154"/>
        <v>0</v>
      </c>
      <c r="AC44" s="310"/>
      <c r="AD44" s="42"/>
      <c r="AE44" s="42"/>
      <c r="AF44" s="34">
        <f t="shared" si="155"/>
        <v>0</v>
      </c>
      <c r="AG44" s="34">
        <f t="shared" si="156"/>
        <v>0</v>
      </c>
      <c r="AH44" s="62"/>
      <c r="AI44" s="38"/>
      <c r="AJ44" s="38"/>
      <c r="AK44" s="34">
        <f t="shared" si="157"/>
        <v>0</v>
      </c>
      <c r="AL44" s="44">
        <f t="shared" si="158"/>
        <v>0</v>
      </c>
      <c r="AM44" s="45">
        <f t="shared" si="159"/>
        <v>0</v>
      </c>
      <c r="AN44" s="51">
        <f t="shared" si="160"/>
        <v>0</v>
      </c>
      <c r="AO44" s="51">
        <f t="shared" si="161"/>
        <v>0</v>
      </c>
      <c r="AP44" s="47" t="e">
        <f t="shared" si="162"/>
        <v>#DIV/0!</v>
      </c>
      <c r="AQ44" s="48">
        <f t="shared" si="10"/>
        <v>0</v>
      </c>
      <c r="AR44" s="49">
        <f t="shared" si="21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34"/>
        <v>46194</v>
      </c>
      <c r="C45" s="23" t="s">
        <v>55</v>
      </c>
      <c r="D45" s="50">
        <f t="shared" ref="D45:D61" si="164">AH44</f>
        <v>0</v>
      </c>
      <c r="E45" s="34">
        <f t="shared" ref="E45:E61" si="165">AI44</f>
        <v>0</v>
      </c>
      <c r="F45" s="34">
        <f t="shared" ref="F45:F61" si="166">AJ44</f>
        <v>0</v>
      </c>
      <c r="G45" s="34">
        <f t="shared" si="148"/>
        <v>0</v>
      </c>
      <c r="H45" s="35">
        <f t="shared" si="149"/>
        <v>0</v>
      </c>
      <c r="I45" s="26">
        <f t="shared" si="15"/>
        <v>0</v>
      </c>
      <c r="J45" s="27"/>
      <c r="K45" s="28"/>
      <c r="L45" s="28"/>
      <c r="M45" s="30"/>
      <c r="N45" s="61"/>
      <c r="O45" s="31"/>
      <c r="P45" s="28"/>
      <c r="Q45" s="28"/>
      <c r="R45" s="64">
        <f t="shared" si="150"/>
        <v>0</v>
      </c>
      <c r="S45" s="34">
        <f t="shared" si="151"/>
        <v>0</v>
      </c>
      <c r="T45" s="34">
        <f t="shared" si="152"/>
        <v>0</v>
      </c>
      <c r="U45" s="37"/>
      <c r="V45" s="37"/>
      <c r="W45" s="38"/>
      <c r="X45" s="39"/>
      <c r="Y45" s="40"/>
      <c r="Z45" s="40"/>
      <c r="AA45" s="34">
        <f t="shared" si="153"/>
        <v>0</v>
      </c>
      <c r="AB45" s="35">
        <f t="shared" si="154"/>
        <v>0</v>
      </c>
      <c r="AC45" s="310"/>
      <c r="AD45" s="42"/>
      <c r="AE45" s="42"/>
      <c r="AF45" s="34">
        <f t="shared" si="155"/>
        <v>0</v>
      </c>
      <c r="AG45" s="34">
        <f t="shared" si="156"/>
        <v>0</v>
      </c>
      <c r="AH45" s="62"/>
      <c r="AI45" s="38"/>
      <c r="AJ45" s="38"/>
      <c r="AK45" s="34">
        <f t="shared" si="157"/>
        <v>0</v>
      </c>
      <c r="AL45" s="44">
        <f t="shared" si="158"/>
        <v>0</v>
      </c>
      <c r="AM45" s="45">
        <f t="shared" si="159"/>
        <v>0</v>
      </c>
      <c r="AN45" s="51">
        <f t="shared" si="160"/>
        <v>0</v>
      </c>
      <c r="AO45" s="51">
        <f t="shared" si="161"/>
        <v>0</v>
      </c>
      <c r="AP45" s="47" t="e">
        <f t="shared" si="162"/>
        <v>#DIV/0!</v>
      </c>
      <c r="AQ45" s="48">
        <f t="shared" si="10"/>
        <v>0</v>
      </c>
      <c r="AR45" s="49">
        <f t="shared" si="21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34"/>
        <v>46195</v>
      </c>
      <c r="C46" s="23" t="s">
        <v>54</v>
      </c>
      <c r="D46" s="50">
        <f t="shared" ref="D46" si="167">AH45</f>
        <v>0</v>
      </c>
      <c r="E46" s="34">
        <f t="shared" ref="E46" si="168">AI45</f>
        <v>0</v>
      </c>
      <c r="F46" s="34">
        <f t="shared" ref="F46" si="169">AJ45</f>
        <v>0</v>
      </c>
      <c r="G46" s="34">
        <f t="shared" si="148"/>
        <v>0</v>
      </c>
      <c r="H46" s="35">
        <f t="shared" si="149"/>
        <v>0</v>
      </c>
      <c r="I46" s="26">
        <f t="shared" si="15"/>
        <v>0</v>
      </c>
      <c r="J46" s="27"/>
      <c r="K46" s="28"/>
      <c r="L46" s="28"/>
      <c r="M46" s="30"/>
      <c r="N46" s="61"/>
      <c r="O46" s="31"/>
      <c r="P46" s="28"/>
      <c r="Q46" s="28"/>
      <c r="R46" s="64">
        <f t="shared" ref="R46" si="170">O46+J46</f>
        <v>0</v>
      </c>
      <c r="S46" s="34">
        <f t="shared" ref="S46" si="171">(J46*K46%)+(O46*P46%)</f>
        <v>0</v>
      </c>
      <c r="T46" s="34">
        <f t="shared" ref="T46" si="172">(J46*L46%)+(O46*Q46%)</f>
        <v>0</v>
      </c>
      <c r="U46" s="37"/>
      <c r="V46" s="37"/>
      <c r="W46" s="38"/>
      <c r="X46" s="39"/>
      <c r="Y46" s="40"/>
      <c r="Z46" s="40"/>
      <c r="AA46" s="34">
        <f t="shared" si="153"/>
        <v>0</v>
      </c>
      <c r="AB46" s="35">
        <f t="shared" si="154"/>
        <v>0</v>
      </c>
      <c r="AC46" s="273"/>
      <c r="AD46" s="130"/>
      <c r="AE46" s="130"/>
      <c r="AF46" s="34">
        <f t="shared" si="155"/>
        <v>0</v>
      </c>
      <c r="AG46" s="34">
        <f t="shared" si="156"/>
        <v>0</v>
      </c>
      <c r="AH46" s="62"/>
      <c r="AI46" s="38"/>
      <c r="AJ46" s="38"/>
      <c r="AK46" s="34">
        <f t="shared" si="157"/>
        <v>0</v>
      </c>
      <c r="AL46" s="44">
        <f t="shared" si="158"/>
        <v>0</v>
      </c>
      <c r="AM46" s="45">
        <f t="shared" si="159"/>
        <v>0</v>
      </c>
      <c r="AN46" s="51">
        <f t="shared" si="160"/>
        <v>0</v>
      </c>
      <c r="AO46" s="51">
        <f t="shared" si="161"/>
        <v>0</v>
      </c>
      <c r="AP46" s="47" t="e">
        <f t="shared" si="162"/>
        <v>#DIV/0!</v>
      </c>
      <c r="AQ46" s="48">
        <f t="shared" si="10"/>
        <v>0</v>
      </c>
      <c r="AR46" s="49">
        <f t="shared" si="21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34"/>
        <v>46195</v>
      </c>
      <c r="C47" s="23" t="s">
        <v>55</v>
      </c>
      <c r="D47" s="50">
        <f t="shared" si="164"/>
        <v>0</v>
      </c>
      <c r="E47" s="34">
        <f t="shared" si="165"/>
        <v>0</v>
      </c>
      <c r="F47" s="34">
        <f t="shared" si="166"/>
        <v>0</v>
      </c>
      <c r="G47" s="34">
        <f t="shared" si="148"/>
        <v>0</v>
      </c>
      <c r="H47" s="35">
        <f t="shared" si="149"/>
        <v>0</v>
      </c>
      <c r="I47" s="26">
        <f t="shared" si="15"/>
        <v>0</v>
      </c>
      <c r="J47" s="27"/>
      <c r="K47" s="28"/>
      <c r="L47" s="28"/>
      <c r="M47" s="30"/>
      <c r="N47" s="61"/>
      <c r="O47" s="31"/>
      <c r="P47" s="28"/>
      <c r="Q47" s="28"/>
      <c r="R47" s="64">
        <f t="shared" si="150"/>
        <v>0</v>
      </c>
      <c r="S47" s="34">
        <f t="shared" si="151"/>
        <v>0</v>
      </c>
      <c r="T47" s="34">
        <f t="shared" si="152"/>
        <v>0</v>
      </c>
      <c r="U47" s="37"/>
      <c r="V47" s="37"/>
      <c r="W47" s="38"/>
      <c r="X47" s="39"/>
      <c r="Y47" s="40"/>
      <c r="Z47" s="40"/>
      <c r="AA47" s="34">
        <f t="shared" si="153"/>
        <v>0</v>
      </c>
      <c r="AB47" s="35">
        <f t="shared" si="154"/>
        <v>0</v>
      </c>
      <c r="AC47" s="310"/>
      <c r="AD47" s="42"/>
      <c r="AE47" s="42"/>
      <c r="AF47" s="34">
        <f t="shared" si="155"/>
        <v>0</v>
      </c>
      <c r="AG47" s="34">
        <f t="shared" si="156"/>
        <v>0</v>
      </c>
      <c r="AH47" s="62"/>
      <c r="AI47" s="38"/>
      <c r="AJ47" s="38"/>
      <c r="AK47" s="34">
        <f t="shared" si="157"/>
        <v>0</v>
      </c>
      <c r="AL47" s="44">
        <f t="shared" si="158"/>
        <v>0</v>
      </c>
      <c r="AM47" s="45">
        <f t="shared" si="159"/>
        <v>0</v>
      </c>
      <c r="AN47" s="51">
        <f t="shared" si="160"/>
        <v>0</v>
      </c>
      <c r="AO47" s="51">
        <f t="shared" si="161"/>
        <v>0</v>
      </c>
      <c r="AP47" s="47" t="e">
        <f t="shared" si="162"/>
        <v>#DIV/0!</v>
      </c>
      <c r="AQ47" s="48">
        <f t="shared" si="10"/>
        <v>0</v>
      </c>
      <c r="AR47" s="49">
        <f t="shared" si="21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4"/>
        <v>46196</v>
      </c>
      <c r="C48" s="23" t="s">
        <v>54</v>
      </c>
      <c r="D48" s="50">
        <f t="shared" ref="D48" si="173">AH47</f>
        <v>0</v>
      </c>
      <c r="E48" s="34">
        <f t="shared" ref="E48" si="174">AI47</f>
        <v>0</v>
      </c>
      <c r="F48" s="34">
        <f t="shared" ref="F48" si="175">AJ47</f>
        <v>0</v>
      </c>
      <c r="G48" s="34">
        <f t="shared" si="148"/>
        <v>0</v>
      </c>
      <c r="H48" s="35">
        <f t="shared" si="149"/>
        <v>0</v>
      </c>
      <c r="I48" s="26">
        <f t="shared" si="15"/>
        <v>0</v>
      </c>
      <c r="J48" s="27"/>
      <c r="K48" s="28"/>
      <c r="L48" s="28"/>
      <c r="M48" s="30"/>
      <c r="N48" s="61"/>
      <c r="O48" s="31"/>
      <c r="P48" s="28"/>
      <c r="Q48" s="28"/>
      <c r="R48" s="64">
        <f t="shared" si="150"/>
        <v>0</v>
      </c>
      <c r="S48" s="34">
        <f t="shared" si="151"/>
        <v>0</v>
      </c>
      <c r="T48" s="34">
        <f t="shared" si="152"/>
        <v>0</v>
      </c>
      <c r="U48" s="37"/>
      <c r="V48" s="37"/>
      <c r="W48" s="38"/>
      <c r="X48" s="39"/>
      <c r="Y48" s="40"/>
      <c r="Z48" s="40"/>
      <c r="AA48" s="34">
        <f t="shared" ref="AA48:AA51" si="176">X48*Y48%</f>
        <v>0</v>
      </c>
      <c r="AB48" s="35">
        <f t="shared" ref="AB48:AB51" si="177">X48*Z48%</f>
        <v>0</v>
      </c>
      <c r="AC48" s="310"/>
      <c r="AD48" s="42"/>
      <c r="AE48" s="42"/>
      <c r="AF48" s="34">
        <f t="shared" si="155"/>
        <v>0</v>
      </c>
      <c r="AG48" s="34">
        <f t="shared" si="156"/>
        <v>0</v>
      </c>
      <c r="AH48" s="62"/>
      <c r="AI48" s="38"/>
      <c r="AJ48" s="38"/>
      <c r="AK48" s="34">
        <f t="shared" si="157"/>
        <v>0</v>
      </c>
      <c r="AL48" s="44">
        <f t="shared" si="158"/>
        <v>0</v>
      </c>
      <c r="AM48" s="45">
        <f t="shared" si="159"/>
        <v>0</v>
      </c>
      <c r="AN48" s="51">
        <f t="shared" si="160"/>
        <v>0</v>
      </c>
      <c r="AO48" s="51">
        <f t="shared" si="161"/>
        <v>0</v>
      </c>
      <c r="AP48" s="47" t="e">
        <f t="shared" si="162"/>
        <v>#DIV/0!</v>
      </c>
      <c r="AQ48" s="48">
        <f t="shared" si="10"/>
        <v>0</v>
      </c>
      <c r="AR48" s="49">
        <f t="shared" si="21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34"/>
        <v>46196</v>
      </c>
      <c r="C49" s="23" t="s">
        <v>55</v>
      </c>
      <c r="D49" s="50">
        <f t="shared" si="164"/>
        <v>0</v>
      </c>
      <c r="E49" s="34">
        <f t="shared" si="165"/>
        <v>0</v>
      </c>
      <c r="F49" s="34">
        <f t="shared" si="166"/>
        <v>0</v>
      </c>
      <c r="G49" s="34">
        <f t="shared" si="148"/>
        <v>0</v>
      </c>
      <c r="H49" s="35">
        <f t="shared" si="149"/>
        <v>0</v>
      </c>
      <c r="I49" s="26">
        <f t="shared" si="15"/>
        <v>0</v>
      </c>
      <c r="J49" s="27"/>
      <c r="K49" s="28"/>
      <c r="L49" s="28"/>
      <c r="M49" s="30"/>
      <c r="N49" s="61"/>
      <c r="O49" s="31"/>
      <c r="P49" s="28"/>
      <c r="Q49" s="28"/>
      <c r="R49" s="64">
        <f t="shared" si="150"/>
        <v>0</v>
      </c>
      <c r="S49" s="34">
        <f t="shared" si="151"/>
        <v>0</v>
      </c>
      <c r="T49" s="34">
        <f t="shared" si="152"/>
        <v>0</v>
      </c>
      <c r="U49" s="37"/>
      <c r="V49" s="37"/>
      <c r="W49" s="37"/>
      <c r="X49" s="39"/>
      <c r="Y49" s="40"/>
      <c r="Z49" s="40"/>
      <c r="AA49" s="34">
        <f t="shared" si="176"/>
        <v>0</v>
      </c>
      <c r="AB49" s="35">
        <f t="shared" si="177"/>
        <v>0</v>
      </c>
      <c r="AC49" s="310"/>
      <c r="AD49" s="42"/>
      <c r="AE49" s="42"/>
      <c r="AF49" s="34">
        <f t="shared" si="155"/>
        <v>0</v>
      </c>
      <c r="AG49" s="34">
        <f t="shared" si="156"/>
        <v>0</v>
      </c>
      <c r="AH49" s="62"/>
      <c r="AI49" s="38"/>
      <c r="AJ49" s="38"/>
      <c r="AK49" s="34">
        <f t="shared" si="157"/>
        <v>0</v>
      </c>
      <c r="AL49" s="44">
        <f t="shared" si="158"/>
        <v>0</v>
      </c>
      <c r="AM49" s="45">
        <f t="shared" si="159"/>
        <v>0</v>
      </c>
      <c r="AN49" s="51">
        <f t="shared" si="160"/>
        <v>0</v>
      </c>
      <c r="AO49" s="51">
        <f t="shared" si="161"/>
        <v>0</v>
      </c>
      <c r="AP49" s="47" t="e">
        <f t="shared" si="162"/>
        <v>#DIV/0!</v>
      </c>
      <c r="AQ49" s="48">
        <f t="shared" si="10"/>
        <v>0</v>
      </c>
      <c r="AR49" s="49">
        <f t="shared" si="21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34"/>
        <v>46197</v>
      </c>
      <c r="C50" s="23" t="s">
        <v>54</v>
      </c>
      <c r="D50" s="50">
        <f t="shared" ref="D50" si="178">AH49</f>
        <v>0</v>
      </c>
      <c r="E50" s="34">
        <f t="shared" ref="E50" si="179">AI49</f>
        <v>0</v>
      </c>
      <c r="F50" s="34">
        <f t="shared" ref="F50" si="180">AJ49</f>
        <v>0</v>
      </c>
      <c r="G50" s="34">
        <f t="shared" si="148"/>
        <v>0</v>
      </c>
      <c r="H50" s="35">
        <f t="shared" si="149"/>
        <v>0</v>
      </c>
      <c r="I50" s="26">
        <f t="shared" si="15"/>
        <v>0</v>
      </c>
      <c r="J50" s="27"/>
      <c r="K50" s="28"/>
      <c r="L50" s="28"/>
      <c r="M50" s="30"/>
      <c r="N50" s="61"/>
      <c r="O50" s="31"/>
      <c r="P50" s="28"/>
      <c r="Q50" s="28"/>
      <c r="R50" s="64">
        <f t="shared" si="150"/>
        <v>0</v>
      </c>
      <c r="S50" s="34">
        <f t="shared" si="151"/>
        <v>0</v>
      </c>
      <c r="T50" s="34">
        <f t="shared" si="152"/>
        <v>0</v>
      </c>
      <c r="U50" s="37"/>
      <c r="V50" s="37"/>
      <c r="W50" s="38"/>
      <c r="X50" s="39"/>
      <c r="Y50" s="40"/>
      <c r="Z50" s="40"/>
      <c r="AA50" s="34">
        <f t="shared" si="176"/>
        <v>0</v>
      </c>
      <c r="AB50" s="35">
        <f t="shared" si="177"/>
        <v>0</v>
      </c>
      <c r="AC50" s="310"/>
      <c r="AD50" s="42"/>
      <c r="AE50" s="42"/>
      <c r="AF50" s="34">
        <f t="shared" si="155"/>
        <v>0</v>
      </c>
      <c r="AG50" s="34">
        <f t="shared" si="156"/>
        <v>0</v>
      </c>
      <c r="AH50" s="62"/>
      <c r="AI50" s="38"/>
      <c r="AJ50" s="38"/>
      <c r="AK50" s="34">
        <f t="shared" si="157"/>
        <v>0</v>
      </c>
      <c r="AL50" s="44">
        <f t="shared" si="158"/>
        <v>0</v>
      </c>
      <c r="AM50" s="45">
        <f t="shared" si="159"/>
        <v>0</v>
      </c>
      <c r="AN50" s="51">
        <f t="shared" si="160"/>
        <v>0</v>
      </c>
      <c r="AO50" s="51">
        <f t="shared" si="161"/>
        <v>0</v>
      </c>
      <c r="AP50" s="47" t="e">
        <f t="shared" si="162"/>
        <v>#DIV/0!</v>
      </c>
      <c r="AQ50" s="48">
        <f t="shared" si="10"/>
        <v>0</v>
      </c>
      <c r="AR50" s="49">
        <f t="shared" si="21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34"/>
        <v>46197</v>
      </c>
      <c r="C51" s="23" t="s">
        <v>55</v>
      </c>
      <c r="D51" s="50">
        <f t="shared" ref="D51" si="181">AH50</f>
        <v>0</v>
      </c>
      <c r="E51" s="34">
        <f t="shared" ref="E51" si="182">AI50</f>
        <v>0</v>
      </c>
      <c r="F51" s="34">
        <f t="shared" ref="F51" si="183">AJ50</f>
        <v>0</v>
      </c>
      <c r="G51" s="34">
        <f t="shared" si="148"/>
        <v>0</v>
      </c>
      <c r="H51" s="35">
        <f t="shared" si="149"/>
        <v>0</v>
      </c>
      <c r="I51" s="26">
        <f t="shared" si="15"/>
        <v>0</v>
      </c>
      <c r="J51" s="27"/>
      <c r="K51" s="28"/>
      <c r="L51" s="28"/>
      <c r="M51" s="30"/>
      <c r="N51" s="61"/>
      <c r="O51" s="31"/>
      <c r="P51" s="28"/>
      <c r="Q51" s="28"/>
      <c r="R51" s="64">
        <f t="shared" si="150"/>
        <v>0</v>
      </c>
      <c r="S51" s="34">
        <f t="shared" si="151"/>
        <v>0</v>
      </c>
      <c r="T51" s="34">
        <f t="shared" si="152"/>
        <v>0</v>
      </c>
      <c r="U51" s="37"/>
      <c r="V51" s="37"/>
      <c r="W51" s="38"/>
      <c r="X51" s="39"/>
      <c r="Y51" s="40"/>
      <c r="Z51" s="40"/>
      <c r="AA51" s="34">
        <f t="shared" si="176"/>
        <v>0</v>
      </c>
      <c r="AB51" s="35">
        <f t="shared" si="177"/>
        <v>0</v>
      </c>
      <c r="AC51" s="310"/>
      <c r="AD51" s="42"/>
      <c r="AE51" s="42"/>
      <c r="AF51" s="34">
        <f t="shared" si="155"/>
        <v>0</v>
      </c>
      <c r="AG51" s="34">
        <f t="shared" si="156"/>
        <v>0</v>
      </c>
      <c r="AH51" s="62"/>
      <c r="AI51" s="38"/>
      <c r="AJ51" s="38"/>
      <c r="AK51" s="34">
        <f t="shared" si="157"/>
        <v>0</v>
      </c>
      <c r="AL51" s="44">
        <f t="shared" si="158"/>
        <v>0</v>
      </c>
      <c r="AM51" s="45">
        <f t="shared" si="159"/>
        <v>0</v>
      </c>
      <c r="AN51" s="51">
        <f t="shared" si="160"/>
        <v>0</v>
      </c>
      <c r="AO51" s="51">
        <f t="shared" si="161"/>
        <v>0</v>
      </c>
      <c r="AP51" s="47" t="e">
        <f t="shared" si="162"/>
        <v>#DIV/0!</v>
      </c>
      <c r="AQ51" s="48">
        <f t="shared" si="10"/>
        <v>0</v>
      </c>
      <c r="AR51" s="49">
        <f t="shared" si="21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34"/>
        <v>46198</v>
      </c>
      <c r="C52" s="23" t="s">
        <v>54</v>
      </c>
      <c r="D52" s="50">
        <f t="shared" ref="D52" si="184">AH51</f>
        <v>0</v>
      </c>
      <c r="E52" s="34">
        <f t="shared" ref="E52" si="185">AI51</f>
        <v>0</v>
      </c>
      <c r="F52" s="34">
        <f t="shared" ref="F52" si="186">AJ51</f>
        <v>0</v>
      </c>
      <c r="G52" s="34">
        <f t="shared" ref="G52" si="187">+D52*E52%</f>
        <v>0</v>
      </c>
      <c r="H52" s="35">
        <f t="shared" si="149"/>
        <v>0</v>
      </c>
      <c r="I52" s="26">
        <f t="shared" si="15"/>
        <v>0</v>
      </c>
      <c r="J52" s="27"/>
      <c r="K52" s="28"/>
      <c r="L52" s="28"/>
      <c r="M52" s="30"/>
      <c r="N52" s="61"/>
      <c r="O52" s="31"/>
      <c r="P52" s="28"/>
      <c r="Q52" s="28"/>
      <c r="R52" s="64">
        <f t="shared" si="150"/>
        <v>0</v>
      </c>
      <c r="S52" s="34">
        <f t="shared" si="151"/>
        <v>0</v>
      </c>
      <c r="T52" s="34">
        <f t="shared" si="152"/>
        <v>0</v>
      </c>
      <c r="U52" s="37"/>
      <c r="V52" s="37"/>
      <c r="W52" s="38"/>
      <c r="X52" s="39"/>
      <c r="Y52" s="40"/>
      <c r="Z52" s="40"/>
      <c r="AA52" s="34">
        <f t="shared" ref="AA52" si="188">X52*Y52%</f>
        <v>0</v>
      </c>
      <c r="AB52" s="35">
        <f t="shared" ref="AB52" si="189">X52*Z52%</f>
        <v>0</v>
      </c>
      <c r="AC52" s="310"/>
      <c r="AD52" s="42"/>
      <c r="AE52" s="42"/>
      <c r="AF52" s="34">
        <f t="shared" si="155"/>
        <v>0</v>
      </c>
      <c r="AG52" s="34">
        <f t="shared" si="156"/>
        <v>0</v>
      </c>
      <c r="AH52" s="62"/>
      <c r="AI52" s="38"/>
      <c r="AJ52" s="38"/>
      <c r="AK52" s="34">
        <f t="shared" si="157"/>
        <v>0</v>
      </c>
      <c r="AL52" s="44">
        <f t="shared" si="158"/>
        <v>0</v>
      </c>
      <c r="AM52" s="45">
        <f t="shared" si="159"/>
        <v>0</v>
      </c>
      <c r="AN52" s="51">
        <f t="shared" si="160"/>
        <v>0</v>
      </c>
      <c r="AO52" s="51">
        <f t="shared" si="161"/>
        <v>0</v>
      </c>
      <c r="AP52" s="47" t="e">
        <f t="shared" si="162"/>
        <v>#DIV/0!</v>
      </c>
      <c r="AQ52" s="48">
        <f t="shared" si="10"/>
        <v>0</v>
      </c>
      <c r="AR52" s="49">
        <f t="shared" si="21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34"/>
        <v>46198</v>
      </c>
      <c r="C53" s="23" t="s">
        <v>55</v>
      </c>
      <c r="D53" s="50">
        <f t="shared" ref="D53" si="190">AH52</f>
        <v>0</v>
      </c>
      <c r="E53" s="34">
        <f t="shared" ref="E53" si="191">AI52</f>
        <v>0</v>
      </c>
      <c r="F53" s="34">
        <f t="shared" ref="F53" si="192">AJ52</f>
        <v>0</v>
      </c>
      <c r="G53" s="34">
        <f t="shared" si="148"/>
        <v>0</v>
      </c>
      <c r="H53" s="35">
        <f t="shared" si="149"/>
        <v>0</v>
      </c>
      <c r="I53" s="26">
        <f t="shared" si="15"/>
        <v>0</v>
      </c>
      <c r="J53" s="27"/>
      <c r="K53" s="28"/>
      <c r="L53" s="28"/>
      <c r="M53" s="30"/>
      <c r="N53" s="61"/>
      <c r="O53" s="31"/>
      <c r="P53" s="28"/>
      <c r="Q53" s="28"/>
      <c r="R53" s="64">
        <f t="shared" si="150"/>
        <v>0</v>
      </c>
      <c r="S53" s="34">
        <f t="shared" si="151"/>
        <v>0</v>
      </c>
      <c r="T53" s="34">
        <f t="shared" si="152"/>
        <v>0</v>
      </c>
      <c r="U53" s="37"/>
      <c r="V53" s="37"/>
      <c r="W53" s="38"/>
      <c r="X53" s="39"/>
      <c r="Y53" s="40"/>
      <c r="Z53" s="40"/>
      <c r="AA53" s="34">
        <f t="shared" si="153"/>
        <v>0</v>
      </c>
      <c r="AB53" s="35">
        <f t="shared" si="154"/>
        <v>0</v>
      </c>
      <c r="AC53" s="273"/>
      <c r="AD53" s="130"/>
      <c r="AE53" s="130"/>
      <c r="AF53" s="34">
        <f t="shared" si="155"/>
        <v>0</v>
      </c>
      <c r="AG53" s="34">
        <f t="shared" si="156"/>
        <v>0</v>
      </c>
      <c r="AH53" s="62"/>
      <c r="AI53" s="38"/>
      <c r="AJ53" s="38"/>
      <c r="AK53" s="34">
        <f t="shared" si="157"/>
        <v>0</v>
      </c>
      <c r="AL53" s="44">
        <f t="shared" si="158"/>
        <v>0</v>
      </c>
      <c r="AM53" s="45">
        <f t="shared" si="159"/>
        <v>0</v>
      </c>
      <c r="AN53" s="51">
        <f t="shared" si="160"/>
        <v>0</v>
      </c>
      <c r="AO53" s="51">
        <f t="shared" si="161"/>
        <v>0</v>
      </c>
      <c r="AP53" s="47" t="e">
        <f t="shared" si="162"/>
        <v>#DIV/0!</v>
      </c>
      <c r="AQ53" s="48">
        <f t="shared" si="10"/>
        <v>0</v>
      </c>
      <c r="AR53" s="49">
        <f t="shared" si="21"/>
        <v>0</v>
      </c>
      <c r="AS53" s="49"/>
      <c r="AT53" s="52"/>
      <c r="AU53" s="52"/>
      <c r="AV53" s="52"/>
      <c r="AW53" s="52"/>
    </row>
    <row r="54" spans="2:49" x14ac:dyDescent="0.25">
      <c r="B54" s="22">
        <f t="shared" si="34"/>
        <v>46199</v>
      </c>
      <c r="C54" s="23" t="s">
        <v>54</v>
      </c>
      <c r="D54" s="50"/>
      <c r="E54" s="34"/>
      <c r="F54" s="34"/>
      <c r="G54" s="34">
        <f t="shared" si="148"/>
        <v>0</v>
      </c>
      <c r="H54" s="35">
        <f t="shared" si="149"/>
        <v>0</v>
      </c>
      <c r="I54" s="26">
        <f t="shared" si="15"/>
        <v>0</v>
      </c>
      <c r="J54" s="27"/>
      <c r="K54" s="28"/>
      <c r="L54" s="28"/>
      <c r="M54" s="30"/>
      <c r="N54" s="61"/>
      <c r="O54" s="31"/>
      <c r="P54" s="28"/>
      <c r="Q54" s="28"/>
      <c r="R54" s="64">
        <f t="shared" si="150"/>
        <v>0</v>
      </c>
      <c r="S54" s="34">
        <f t="shared" si="151"/>
        <v>0</v>
      </c>
      <c r="T54" s="34">
        <f t="shared" si="152"/>
        <v>0</v>
      </c>
      <c r="U54" s="37"/>
      <c r="V54" s="37"/>
      <c r="W54" s="38"/>
      <c r="X54" s="39"/>
      <c r="Y54" s="40"/>
      <c r="Z54" s="40"/>
      <c r="AA54" s="34">
        <f t="shared" si="153"/>
        <v>0</v>
      </c>
      <c r="AB54" s="35">
        <f t="shared" si="154"/>
        <v>0</v>
      </c>
      <c r="AC54" s="310"/>
      <c r="AD54" s="42"/>
      <c r="AE54" s="42"/>
      <c r="AF54" s="34">
        <f t="shared" si="155"/>
        <v>0</v>
      </c>
      <c r="AG54" s="34">
        <f t="shared" si="156"/>
        <v>0</v>
      </c>
      <c r="AH54" s="62"/>
      <c r="AI54" s="38"/>
      <c r="AJ54" s="38"/>
      <c r="AK54" s="34">
        <f t="shared" si="157"/>
        <v>0</v>
      </c>
      <c r="AL54" s="44">
        <f t="shared" si="158"/>
        <v>0</v>
      </c>
      <c r="AM54" s="45">
        <f t="shared" si="159"/>
        <v>0</v>
      </c>
      <c r="AN54" s="51">
        <f t="shared" si="160"/>
        <v>0</v>
      </c>
      <c r="AO54" s="51">
        <f t="shared" si="161"/>
        <v>0</v>
      </c>
      <c r="AP54" s="47" t="e">
        <f t="shared" si="162"/>
        <v>#DIV/0!</v>
      </c>
      <c r="AQ54" s="48">
        <f t="shared" si="10"/>
        <v>0</v>
      </c>
      <c r="AR54" s="49">
        <f t="shared" si="21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34"/>
        <v>46199</v>
      </c>
      <c r="C55" s="23" t="s">
        <v>55</v>
      </c>
      <c r="D55" s="50">
        <f t="shared" ref="D55" si="193">AH54</f>
        <v>0</v>
      </c>
      <c r="E55" s="34">
        <f t="shared" ref="E55" si="194">AI54</f>
        <v>0</v>
      </c>
      <c r="F55" s="34">
        <f t="shared" ref="F55" si="195">AJ54</f>
        <v>0</v>
      </c>
      <c r="G55" s="34">
        <f t="shared" si="148"/>
        <v>0</v>
      </c>
      <c r="H55" s="35">
        <f t="shared" si="149"/>
        <v>0</v>
      </c>
      <c r="I55" s="26">
        <f t="shared" si="15"/>
        <v>0</v>
      </c>
      <c r="J55" s="27"/>
      <c r="K55" s="28"/>
      <c r="L55" s="28"/>
      <c r="M55" s="30"/>
      <c r="N55" s="61"/>
      <c r="O55" s="31"/>
      <c r="P55" s="28"/>
      <c r="Q55" s="28"/>
      <c r="R55" s="64">
        <f t="shared" ref="R55" si="196">O55+J55</f>
        <v>0</v>
      </c>
      <c r="S55" s="34">
        <f t="shared" ref="S55" si="197">(J55*K55%)+(O55*P55%)</f>
        <v>0</v>
      </c>
      <c r="T55" s="34">
        <f t="shared" ref="T55" si="198">(J55*L55%)+(O55*Q55%)</f>
        <v>0</v>
      </c>
      <c r="U55" s="37"/>
      <c r="V55" s="37"/>
      <c r="W55" s="38"/>
      <c r="X55" s="39"/>
      <c r="Y55" s="40"/>
      <c r="Z55" s="40"/>
      <c r="AA55" s="34">
        <f t="shared" si="153"/>
        <v>0</v>
      </c>
      <c r="AB55" s="35">
        <f t="shared" si="154"/>
        <v>0</v>
      </c>
      <c r="AC55" s="271"/>
      <c r="AD55" s="145"/>
      <c r="AE55" s="145"/>
      <c r="AF55" s="34">
        <f t="shared" si="155"/>
        <v>0</v>
      </c>
      <c r="AG55" s="34">
        <f t="shared" si="156"/>
        <v>0</v>
      </c>
      <c r="AH55" s="62"/>
      <c r="AI55" s="38"/>
      <c r="AJ55" s="38"/>
      <c r="AK55" s="34">
        <f t="shared" si="157"/>
        <v>0</v>
      </c>
      <c r="AL55" s="44">
        <f t="shared" si="158"/>
        <v>0</v>
      </c>
      <c r="AM55" s="45">
        <f t="shared" si="159"/>
        <v>0</v>
      </c>
      <c r="AN55" s="51">
        <f t="shared" si="160"/>
        <v>0</v>
      </c>
      <c r="AO55" s="51">
        <f t="shared" si="161"/>
        <v>0</v>
      </c>
      <c r="AP55" s="47" t="e">
        <f t="shared" si="162"/>
        <v>#DIV/0!</v>
      </c>
      <c r="AQ55" s="48">
        <f t="shared" si="10"/>
        <v>0</v>
      </c>
      <c r="AR55" s="49">
        <f t="shared" si="21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34"/>
        <v>46200</v>
      </c>
      <c r="C56" s="23" t="s">
        <v>54</v>
      </c>
      <c r="D56" s="50">
        <f t="shared" ref="D56" si="199">AH55</f>
        <v>0</v>
      </c>
      <c r="E56" s="34">
        <f t="shared" ref="E56" si="200">AI55</f>
        <v>0</v>
      </c>
      <c r="F56" s="34">
        <f t="shared" ref="F56" si="201">AJ55</f>
        <v>0</v>
      </c>
      <c r="G56" s="34">
        <f t="shared" si="148"/>
        <v>0</v>
      </c>
      <c r="H56" s="35">
        <f t="shared" si="149"/>
        <v>0</v>
      </c>
      <c r="I56" s="26">
        <f t="shared" si="15"/>
        <v>0</v>
      </c>
      <c r="J56" s="27"/>
      <c r="K56" s="28"/>
      <c r="L56" s="28"/>
      <c r="M56" s="30"/>
      <c r="N56" s="61"/>
      <c r="O56" s="31"/>
      <c r="P56" s="28"/>
      <c r="Q56" s="28"/>
      <c r="R56" s="64">
        <f t="shared" ref="R56" si="202">O56+J56</f>
        <v>0</v>
      </c>
      <c r="S56" s="34">
        <f t="shared" ref="S56" si="203">(J56*K56%)+(O56*P56%)</f>
        <v>0</v>
      </c>
      <c r="T56" s="34">
        <f t="shared" ref="T56" si="204">(J56*L56%)+(O56*Q56%)</f>
        <v>0</v>
      </c>
      <c r="U56" s="37"/>
      <c r="V56" s="37"/>
      <c r="W56" s="38"/>
      <c r="X56" s="39"/>
      <c r="Y56" s="40"/>
      <c r="Z56" s="40"/>
      <c r="AA56" s="34">
        <f t="shared" si="153"/>
        <v>0</v>
      </c>
      <c r="AB56" s="35">
        <f t="shared" si="154"/>
        <v>0</v>
      </c>
      <c r="AC56" s="310"/>
      <c r="AD56" s="42"/>
      <c r="AE56" s="42"/>
      <c r="AF56" s="34">
        <f t="shared" si="155"/>
        <v>0</v>
      </c>
      <c r="AG56" s="34">
        <f t="shared" si="156"/>
        <v>0</v>
      </c>
      <c r="AH56" s="62"/>
      <c r="AI56" s="38"/>
      <c r="AJ56" s="38"/>
      <c r="AK56" s="34">
        <f t="shared" si="157"/>
        <v>0</v>
      </c>
      <c r="AL56" s="44">
        <f t="shared" si="158"/>
        <v>0</v>
      </c>
      <c r="AM56" s="45">
        <f t="shared" si="159"/>
        <v>0</v>
      </c>
      <c r="AN56" s="51">
        <f t="shared" si="160"/>
        <v>0</v>
      </c>
      <c r="AO56" s="51">
        <f t="shared" si="161"/>
        <v>0</v>
      </c>
      <c r="AP56" s="47" t="e">
        <f t="shared" si="162"/>
        <v>#DIV/0!</v>
      </c>
      <c r="AQ56" s="48">
        <f t="shared" si="10"/>
        <v>0</v>
      </c>
      <c r="AR56" s="49">
        <f t="shared" si="21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34"/>
        <v>46200</v>
      </c>
      <c r="C57" s="23" t="s">
        <v>55</v>
      </c>
      <c r="D57" s="50">
        <f t="shared" si="164"/>
        <v>0</v>
      </c>
      <c r="E57" s="34">
        <f t="shared" si="165"/>
        <v>0</v>
      </c>
      <c r="F57" s="34">
        <f t="shared" si="166"/>
        <v>0</v>
      </c>
      <c r="G57" s="34">
        <f t="shared" si="148"/>
        <v>0</v>
      </c>
      <c r="H57" s="35">
        <f t="shared" si="149"/>
        <v>0</v>
      </c>
      <c r="I57" s="26">
        <f t="shared" si="15"/>
        <v>0</v>
      </c>
      <c r="J57" s="27"/>
      <c r="K57" s="28"/>
      <c r="L57" s="28"/>
      <c r="M57" s="30"/>
      <c r="N57" s="61"/>
      <c r="O57" s="31"/>
      <c r="P57" s="28"/>
      <c r="Q57" s="28"/>
      <c r="R57" s="64">
        <f t="shared" ref="R57" si="205">O57+J57</f>
        <v>0</v>
      </c>
      <c r="S57" s="34">
        <f t="shared" ref="S57" si="206">(J57*K57%)+(O57*P57%)</f>
        <v>0</v>
      </c>
      <c r="T57" s="34">
        <f t="shared" ref="T57" si="207">(J57*L57%)+(O57*Q57%)</f>
        <v>0</v>
      </c>
      <c r="U57" s="37"/>
      <c r="V57" s="37"/>
      <c r="W57" s="38"/>
      <c r="X57" s="39"/>
      <c r="Y57" s="40"/>
      <c r="Z57" s="40"/>
      <c r="AA57" s="34">
        <f t="shared" si="153"/>
        <v>0</v>
      </c>
      <c r="AB57" s="35">
        <f t="shared" si="154"/>
        <v>0</v>
      </c>
      <c r="AC57" s="310"/>
      <c r="AD57" s="42"/>
      <c r="AE57" s="42"/>
      <c r="AF57" s="34">
        <f t="shared" si="155"/>
        <v>0</v>
      </c>
      <c r="AG57" s="34">
        <f t="shared" si="156"/>
        <v>0</v>
      </c>
      <c r="AH57" s="62"/>
      <c r="AI57" s="38"/>
      <c r="AJ57" s="38"/>
      <c r="AK57" s="34">
        <f t="shared" si="157"/>
        <v>0</v>
      </c>
      <c r="AL57" s="44">
        <f t="shared" si="158"/>
        <v>0</v>
      </c>
      <c r="AM57" s="45">
        <f t="shared" si="159"/>
        <v>0</v>
      </c>
      <c r="AN57" s="51">
        <f t="shared" si="160"/>
        <v>0</v>
      </c>
      <c r="AO57" s="51">
        <f t="shared" si="161"/>
        <v>0</v>
      </c>
      <c r="AP57" s="47" t="e">
        <f t="shared" si="162"/>
        <v>#DIV/0!</v>
      </c>
      <c r="AQ57" s="48">
        <f t="shared" si="10"/>
        <v>0</v>
      </c>
      <c r="AR57" s="49">
        <f t="shared" si="21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34"/>
        <v>46201</v>
      </c>
      <c r="C58" s="23" t="s">
        <v>54</v>
      </c>
      <c r="D58" s="50">
        <f t="shared" ref="D58" si="208">AH57</f>
        <v>0</v>
      </c>
      <c r="E58" s="34">
        <f t="shared" ref="E58" si="209">AI57</f>
        <v>0</v>
      </c>
      <c r="F58" s="34">
        <f t="shared" ref="F58" si="210">AJ57</f>
        <v>0</v>
      </c>
      <c r="G58" s="34">
        <f t="shared" si="148"/>
        <v>0</v>
      </c>
      <c r="H58" s="35">
        <f t="shared" si="149"/>
        <v>0</v>
      </c>
      <c r="I58" s="26">
        <f t="shared" si="15"/>
        <v>0</v>
      </c>
      <c r="J58" s="27"/>
      <c r="K58" s="28"/>
      <c r="L58" s="28"/>
      <c r="M58" s="30"/>
      <c r="N58" s="61"/>
      <c r="O58" s="31"/>
      <c r="P58" s="28"/>
      <c r="Q58" s="28"/>
      <c r="R58" s="64">
        <f t="shared" ref="R58" si="211">O58+J58</f>
        <v>0</v>
      </c>
      <c r="S58" s="34">
        <f t="shared" ref="S58" si="212">(J58*K58%)+(O58*P58%)</f>
        <v>0</v>
      </c>
      <c r="T58" s="34">
        <f t="shared" ref="T58" si="213">(J58*L58%)+(O58*Q58%)</f>
        <v>0</v>
      </c>
      <c r="U58" s="37"/>
      <c r="V58" s="37"/>
      <c r="W58" s="38"/>
      <c r="X58" s="39"/>
      <c r="Y58" s="40"/>
      <c r="Z58" s="40"/>
      <c r="AA58" s="34">
        <f t="shared" si="153"/>
        <v>0</v>
      </c>
      <c r="AB58" s="35">
        <f t="shared" si="154"/>
        <v>0</v>
      </c>
      <c r="AC58" s="310"/>
      <c r="AD58" s="42"/>
      <c r="AE58" s="42"/>
      <c r="AF58" s="34">
        <f t="shared" si="155"/>
        <v>0</v>
      </c>
      <c r="AG58" s="34">
        <f t="shared" si="156"/>
        <v>0</v>
      </c>
      <c r="AH58" s="62"/>
      <c r="AI58" s="38"/>
      <c r="AJ58" s="38"/>
      <c r="AK58" s="34">
        <f t="shared" si="157"/>
        <v>0</v>
      </c>
      <c r="AL58" s="44">
        <f t="shared" si="158"/>
        <v>0</v>
      </c>
      <c r="AM58" s="45">
        <f t="shared" si="159"/>
        <v>0</v>
      </c>
      <c r="AN58" s="51">
        <f t="shared" si="160"/>
        <v>0</v>
      </c>
      <c r="AO58" s="51">
        <f t="shared" si="161"/>
        <v>0</v>
      </c>
      <c r="AP58" s="47" t="e">
        <f t="shared" si="162"/>
        <v>#DIV/0!</v>
      </c>
      <c r="AQ58" s="48">
        <f t="shared" si="10"/>
        <v>0</v>
      </c>
      <c r="AR58" s="49">
        <f t="shared" si="21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34"/>
        <v>46201</v>
      </c>
      <c r="C59" s="23" t="s">
        <v>55</v>
      </c>
      <c r="D59" s="50">
        <f t="shared" si="164"/>
        <v>0</v>
      </c>
      <c r="E59" s="34">
        <f t="shared" si="165"/>
        <v>0</v>
      </c>
      <c r="F59" s="34">
        <f t="shared" si="166"/>
        <v>0</v>
      </c>
      <c r="G59" s="34">
        <f t="shared" si="148"/>
        <v>0</v>
      </c>
      <c r="H59" s="35">
        <f t="shared" si="149"/>
        <v>0</v>
      </c>
      <c r="I59" s="26">
        <f t="shared" si="15"/>
        <v>0</v>
      </c>
      <c r="J59" s="27"/>
      <c r="K59" s="28"/>
      <c r="L59" s="28"/>
      <c r="M59" s="30"/>
      <c r="N59" s="61"/>
      <c r="O59" s="31"/>
      <c r="P59" s="28"/>
      <c r="Q59" s="28"/>
      <c r="R59" s="64">
        <f t="shared" ref="R59" si="214">O59+J59</f>
        <v>0</v>
      </c>
      <c r="S59" s="34">
        <f t="shared" ref="S59" si="215">(J59*K59%)+(O59*P59%)</f>
        <v>0</v>
      </c>
      <c r="T59" s="34">
        <f t="shared" ref="T59" si="216">(J59*L59%)+(O59*Q59%)</f>
        <v>0</v>
      </c>
      <c r="U59" s="37"/>
      <c r="V59" s="37"/>
      <c r="W59" s="38"/>
      <c r="X59" s="39"/>
      <c r="Y59" s="40"/>
      <c r="Z59" s="40"/>
      <c r="AA59" s="34">
        <f t="shared" si="153"/>
        <v>0</v>
      </c>
      <c r="AB59" s="35">
        <f t="shared" si="154"/>
        <v>0</v>
      </c>
      <c r="AC59" s="310"/>
      <c r="AD59" s="42"/>
      <c r="AE59" s="42"/>
      <c r="AF59" s="34">
        <f t="shared" si="155"/>
        <v>0</v>
      </c>
      <c r="AG59" s="34">
        <f t="shared" si="156"/>
        <v>0</v>
      </c>
      <c r="AH59" s="62"/>
      <c r="AI59" s="38"/>
      <c r="AJ59" s="38"/>
      <c r="AK59" s="34">
        <f t="shared" si="157"/>
        <v>0</v>
      </c>
      <c r="AL59" s="44">
        <f t="shared" si="158"/>
        <v>0</v>
      </c>
      <c r="AM59" s="45">
        <f t="shared" si="159"/>
        <v>0</v>
      </c>
      <c r="AN59" s="51">
        <f t="shared" si="160"/>
        <v>0</v>
      </c>
      <c r="AO59" s="51">
        <f t="shared" si="161"/>
        <v>0</v>
      </c>
      <c r="AP59" s="47" t="e">
        <f t="shared" si="162"/>
        <v>#DIV/0!</v>
      </c>
      <c r="AQ59" s="48">
        <f t="shared" si="10"/>
        <v>0</v>
      </c>
      <c r="AR59" s="49">
        <f t="shared" si="21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34"/>
        <v>46202</v>
      </c>
      <c r="C60" s="23" t="s">
        <v>54</v>
      </c>
      <c r="D60" s="50">
        <f t="shared" ref="D60" si="217">AH59</f>
        <v>0</v>
      </c>
      <c r="E60" s="34">
        <f t="shared" ref="E60" si="218">AI59</f>
        <v>0</v>
      </c>
      <c r="F60" s="34">
        <f t="shared" ref="F60" si="219">AJ59</f>
        <v>0</v>
      </c>
      <c r="G60" s="34">
        <f t="shared" si="148"/>
        <v>0</v>
      </c>
      <c r="H60" s="35">
        <f t="shared" si="149"/>
        <v>0</v>
      </c>
      <c r="I60" s="26">
        <f t="shared" si="15"/>
        <v>0</v>
      </c>
      <c r="J60" s="27"/>
      <c r="K60" s="28"/>
      <c r="L60" s="28"/>
      <c r="M60" s="30"/>
      <c r="N60" s="61"/>
      <c r="O60" s="31"/>
      <c r="P60" s="28"/>
      <c r="Q60" s="28"/>
      <c r="R60" s="64">
        <f t="shared" ref="R60" si="220">O60+J60</f>
        <v>0</v>
      </c>
      <c r="S60" s="34">
        <f t="shared" ref="S60" si="221">(J60*K60%)+(O60*P60%)</f>
        <v>0</v>
      </c>
      <c r="T60" s="34">
        <f t="shared" ref="T60" si="222">(J60*L60%)+(O60*Q60%)</f>
        <v>0</v>
      </c>
      <c r="U60" s="37"/>
      <c r="V60" s="37"/>
      <c r="W60" s="38"/>
      <c r="X60" s="39"/>
      <c r="Y60" s="40"/>
      <c r="Z60" s="40"/>
      <c r="AA60" s="34">
        <f t="shared" si="153"/>
        <v>0</v>
      </c>
      <c r="AB60" s="35">
        <f t="shared" si="154"/>
        <v>0</v>
      </c>
      <c r="AC60" s="310"/>
      <c r="AD60" s="42"/>
      <c r="AE60" s="42"/>
      <c r="AF60" s="34">
        <f t="shared" si="155"/>
        <v>0</v>
      </c>
      <c r="AG60" s="34">
        <f t="shared" si="156"/>
        <v>0</v>
      </c>
      <c r="AH60" s="62"/>
      <c r="AI60" s="38"/>
      <c r="AJ60" s="38"/>
      <c r="AK60" s="34">
        <f t="shared" si="157"/>
        <v>0</v>
      </c>
      <c r="AL60" s="44">
        <f t="shared" si="158"/>
        <v>0</v>
      </c>
      <c r="AM60" s="45">
        <f t="shared" si="159"/>
        <v>0</v>
      </c>
      <c r="AN60" s="51">
        <f t="shared" si="160"/>
        <v>0</v>
      </c>
      <c r="AO60" s="51">
        <f t="shared" si="161"/>
        <v>0</v>
      </c>
      <c r="AP60" s="47" t="e">
        <f t="shared" si="162"/>
        <v>#DIV/0!</v>
      </c>
      <c r="AQ60" s="48">
        <f t="shared" si="10"/>
        <v>0</v>
      </c>
      <c r="AR60" s="49">
        <f t="shared" si="21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34"/>
        <v>46202</v>
      </c>
      <c r="C61" s="23" t="s">
        <v>55</v>
      </c>
      <c r="D61" s="50">
        <f t="shared" si="164"/>
        <v>0</v>
      </c>
      <c r="E61" s="34">
        <f t="shared" si="165"/>
        <v>0</v>
      </c>
      <c r="F61" s="34">
        <f t="shared" si="166"/>
        <v>0</v>
      </c>
      <c r="G61" s="34">
        <f t="shared" si="148"/>
        <v>0</v>
      </c>
      <c r="H61" s="35">
        <f t="shared" si="149"/>
        <v>0</v>
      </c>
      <c r="I61" s="26">
        <f t="shared" si="15"/>
        <v>0</v>
      </c>
      <c r="J61" s="27"/>
      <c r="K61" s="28"/>
      <c r="L61" s="28"/>
      <c r="M61" s="30"/>
      <c r="N61" s="61"/>
      <c r="O61" s="31"/>
      <c r="P61" s="28"/>
      <c r="Q61" s="28"/>
      <c r="R61" s="64">
        <f t="shared" si="150"/>
        <v>0</v>
      </c>
      <c r="S61" s="34">
        <f t="shared" si="151"/>
        <v>0</v>
      </c>
      <c r="T61" s="34">
        <f t="shared" si="152"/>
        <v>0</v>
      </c>
      <c r="U61" s="37"/>
      <c r="V61" s="37"/>
      <c r="W61" s="38"/>
      <c r="X61" s="39"/>
      <c r="Y61" s="40"/>
      <c r="Z61" s="40"/>
      <c r="AA61" s="34">
        <f t="shared" si="153"/>
        <v>0</v>
      </c>
      <c r="AB61" s="35">
        <f t="shared" si="154"/>
        <v>0</v>
      </c>
      <c r="AC61" s="271"/>
      <c r="AD61" s="145"/>
      <c r="AE61" s="145"/>
      <c r="AF61" s="34">
        <f t="shared" si="155"/>
        <v>0</v>
      </c>
      <c r="AG61" s="34">
        <f t="shared" si="156"/>
        <v>0</v>
      </c>
      <c r="AH61" s="62"/>
      <c r="AI61" s="38"/>
      <c r="AJ61" s="38"/>
      <c r="AK61" s="34">
        <f t="shared" si="157"/>
        <v>0</v>
      </c>
      <c r="AL61" s="44">
        <f t="shared" si="158"/>
        <v>0</v>
      </c>
      <c r="AM61" s="45">
        <f t="shared" si="159"/>
        <v>0</v>
      </c>
      <c r="AN61" s="51">
        <f t="shared" si="160"/>
        <v>0</v>
      </c>
      <c r="AO61" s="51">
        <f t="shared" si="161"/>
        <v>0</v>
      </c>
      <c r="AP61" s="47" t="e">
        <f t="shared" si="162"/>
        <v>#DIV/0!</v>
      </c>
      <c r="AQ61" s="48">
        <f t="shared" si="10"/>
        <v>0</v>
      </c>
      <c r="AR61" s="49">
        <f t="shared" si="21"/>
        <v>0</v>
      </c>
      <c r="AS61" s="49"/>
      <c r="AT61" s="52"/>
      <c r="AU61" s="52"/>
      <c r="AV61" s="52"/>
      <c r="AW61" s="52"/>
    </row>
    <row r="62" spans="2:49" x14ac:dyDescent="0.25">
      <c r="B62" s="22">
        <f t="shared" si="34"/>
        <v>46203</v>
      </c>
      <c r="C62" s="23" t="s">
        <v>54</v>
      </c>
      <c r="D62" s="50">
        <f t="shared" ref="D62:D65" si="223">AH61</f>
        <v>0</v>
      </c>
      <c r="E62" s="34">
        <f t="shared" ref="E62:E65" si="224">AI61</f>
        <v>0</v>
      </c>
      <c r="F62" s="34">
        <f t="shared" ref="F62:F65" si="225">AJ61</f>
        <v>0</v>
      </c>
      <c r="G62" s="34">
        <f t="shared" si="148"/>
        <v>0</v>
      </c>
      <c r="H62" s="35">
        <f t="shared" si="149"/>
        <v>0</v>
      </c>
      <c r="I62" s="26">
        <f t="shared" si="15"/>
        <v>0</v>
      </c>
      <c r="J62" s="27"/>
      <c r="K62" s="28"/>
      <c r="L62" s="28"/>
      <c r="M62" s="30"/>
      <c r="N62" s="61"/>
      <c r="O62" s="31"/>
      <c r="P62" s="28"/>
      <c r="Q62" s="28"/>
      <c r="R62" s="64">
        <f t="shared" si="150"/>
        <v>0</v>
      </c>
      <c r="S62" s="34">
        <f t="shared" si="151"/>
        <v>0</v>
      </c>
      <c r="T62" s="34">
        <f t="shared" si="152"/>
        <v>0</v>
      </c>
      <c r="U62" s="37"/>
      <c r="V62" s="37"/>
      <c r="W62" s="38"/>
      <c r="X62" s="39"/>
      <c r="Y62" s="40"/>
      <c r="Z62" s="40"/>
      <c r="AA62" s="34">
        <f t="shared" si="153"/>
        <v>0</v>
      </c>
      <c r="AB62" s="35">
        <f t="shared" si="154"/>
        <v>0</v>
      </c>
      <c r="AC62" s="310"/>
      <c r="AD62" s="42"/>
      <c r="AE62" s="42"/>
      <c r="AF62" s="34">
        <f t="shared" si="155"/>
        <v>0</v>
      </c>
      <c r="AG62" s="34">
        <f t="shared" si="156"/>
        <v>0</v>
      </c>
      <c r="AH62" s="62"/>
      <c r="AI62" s="38"/>
      <c r="AJ62" s="38"/>
      <c r="AK62" s="34">
        <f t="shared" si="157"/>
        <v>0</v>
      </c>
      <c r="AL62" s="44">
        <f t="shared" si="158"/>
        <v>0</v>
      </c>
      <c r="AM62" s="45">
        <f t="shared" si="159"/>
        <v>0</v>
      </c>
      <c r="AN62" s="51">
        <f t="shared" si="160"/>
        <v>0</v>
      </c>
      <c r="AO62" s="51">
        <f t="shared" si="161"/>
        <v>0</v>
      </c>
      <c r="AP62" s="47" t="e">
        <f t="shared" si="162"/>
        <v>#DIV/0!</v>
      </c>
      <c r="AQ62" s="48">
        <f t="shared" si="10"/>
        <v>0</v>
      </c>
      <c r="AR62" s="49">
        <f t="shared" si="21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34"/>
        <v>46203</v>
      </c>
      <c r="C63" s="23" t="s">
        <v>55</v>
      </c>
      <c r="D63" s="50">
        <f t="shared" si="223"/>
        <v>0</v>
      </c>
      <c r="E63" s="34">
        <f t="shared" si="224"/>
        <v>0</v>
      </c>
      <c r="F63" s="34">
        <f t="shared" si="225"/>
        <v>0</v>
      </c>
      <c r="G63" s="34">
        <f t="shared" si="148"/>
        <v>0</v>
      </c>
      <c r="H63" s="35">
        <f t="shared" si="149"/>
        <v>0</v>
      </c>
      <c r="I63" s="26">
        <f t="shared" si="15"/>
        <v>0</v>
      </c>
      <c r="J63" s="27"/>
      <c r="K63" s="28"/>
      <c r="L63" s="28"/>
      <c r="M63" s="30"/>
      <c r="N63" s="106"/>
      <c r="O63" s="31"/>
      <c r="P63" s="28"/>
      <c r="Q63" s="28"/>
      <c r="R63" s="64">
        <f t="shared" ref="R63" si="226">O63+J63</f>
        <v>0</v>
      </c>
      <c r="S63" s="34">
        <f t="shared" ref="S63" si="227">(J63*K63%)+(O63*P63%)</f>
        <v>0</v>
      </c>
      <c r="T63" s="34">
        <f t="shared" ref="T63" si="228">(J63*L63%)+(O63*Q63%)</f>
        <v>0</v>
      </c>
      <c r="U63" s="37"/>
      <c r="V63" s="37"/>
      <c r="W63" s="38"/>
      <c r="X63" s="39"/>
      <c r="Y63" s="40"/>
      <c r="Z63" s="40"/>
      <c r="AA63" s="34">
        <f t="shared" si="153"/>
        <v>0</v>
      </c>
      <c r="AB63" s="35">
        <f t="shared" si="154"/>
        <v>0</v>
      </c>
      <c r="AC63" s="273"/>
      <c r="AD63" s="130"/>
      <c r="AE63" s="130"/>
      <c r="AF63" s="34">
        <f t="shared" si="155"/>
        <v>0</v>
      </c>
      <c r="AG63" s="34">
        <f t="shared" si="156"/>
        <v>0</v>
      </c>
      <c r="AH63" s="62"/>
      <c r="AI63" s="38"/>
      <c r="AJ63" s="38"/>
      <c r="AK63" s="34">
        <f t="shared" si="157"/>
        <v>0</v>
      </c>
      <c r="AL63" s="44">
        <f t="shared" si="158"/>
        <v>0</v>
      </c>
      <c r="AM63" s="45">
        <f t="shared" si="159"/>
        <v>0</v>
      </c>
      <c r="AN63" s="51">
        <f t="shared" si="160"/>
        <v>0</v>
      </c>
      <c r="AO63" s="51">
        <f t="shared" si="161"/>
        <v>0</v>
      </c>
      <c r="AP63" s="47" t="e">
        <f t="shared" si="162"/>
        <v>#DIV/0!</v>
      </c>
      <c r="AQ63" s="48">
        <f t="shared" si="10"/>
        <v>0</v>
      </c>
      <c r="AR63" s="49">
        <f t="shared" si="21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34"/>
        <v>46204</v>
      </c>
      <c r="C64" s="23" t="s">
        <v>54</v>
      </c>
      <c r="D64" s="50">
        <f t="shared" ref="D64" si="229">AH63</f>
        <v>0</v>
      </c>
      <c r="E64" s="34">
        <f t="shared" ref="E64" si="230">AI63</f>
        <v>0</v>
      </c>
      <c r="F64" s="34">
        <f t="shared" ref="F64" si="231">AJ63</f>
        <v>0</v>
      </c>
      <c r="G64" s="34">
        <f t="shared" si="148"/>
        <v>0</v>
      </c>
      <c r="H64" s="35">
        <f t="shared" si="149"/>
        <v>0</v>
      </c>
      <c r="I64" s="26">
        <f t="shared" si="15"/>
        <v>0</v>
      </c>
      <c r="J64" s="27"/>
      <c r="K64" s="28"/>
      <c r="L64" s="28"/>
      <c r="M64" s="30"/>
      <c r="N64" s="61"/>
      <c r="O64" s="31"/>
      <c r="P64" s="28"/>
      <c r="Q64" s="28"/>
      <c r="R64" s="64">
        <f t="shared" si="150"/>
        <v>0</v>
      </c>
      <c r="S64" s="34">
        <f t="shared" si="151"/>
        <v>0</v>
      </c>
      <c r="T64" s="34">
        <f t="shared" si="152"/>
        <v>0</v>
      </c>
      <c r="U64" s="37"/>
      <c r="V64" s="37"/>
      <c r="W64" s="38"/>
      <c r="X64" s="39"/>
      <c r="Y64" s="40"/>
      <c r="Z64" s="40"/>
      <c r="AA64" s="34">
        <f t="shared" si="153"/>
        <v>0</v>
      </c>
      <c r="AB64" s="35">
        <f t="shared" si="154"/>
        <v>0</v>
      </c>
      <c r="AC64" s="310"/>
      <c r="AD64" s="42"/>
      <c r="AE64" s="42"/>
      <c r="AF64" s="34">
        <f t="shared" si="155"/>
        <v>0</v>
      </c>
      <c r="AG64" s="34">
        <f t="shared" si="156"/>
        <v>0</v>
      </c>
      <c r="AH64" s="62"/>
      <c r="AI64" s="38"/>
      <c r="AJ64" s="38"/>
      <c r="AK64" s="34">
        <f t="shared" si="157"/>
        <v>0</v>
      </c>
      <c r="AL64" s="44">
        <f t="shared" si="158"/>
        <v>0</v>
      </c>
      <c r="AM64" s="45">
        <f t="shared" si="159"/>
        <v>0</v>
      </c>
      <c r="AN64" s="51">
        <f t="shared" si="160"/>
        <v>0</v>
      </c>
      <c r="AO64" s="51">
        <f t="shared" si="161"/>
        <v>0</v>
      </c>
      <c r="AP64" s="47" t="e">
        <f t="shared" si="162"/>
        <v>#DIV/0!</v>
      </c>
      <c r="AQ64" s="48">
        <f t="shared" si="10"/>
        <v>0</v>
      </c>
      <c r="AR64" s="49">
        <f t="shared" si="21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4"/>
        <v>46204</v>
      </c>
      <c r="C65" s="23" t="s">
        <v>55</v>
      </c>
      <c r="D65" s="50">
        <f t="shared" si="223"/>
        <v>0</v>
      </c>
      <c r="E65" s="34">
        <f t="shared" si="224"/>
        <v>0</v>
      </c>
      <c r="F65" s="34">
        <f t="shared" si="225"/>
        <v>0</v>
      </c>
      <c r="G65" s="34">
        <f t="shared" si="148"/>
        <v>0</v>
      </c>
      <c r="H65" s="35">
        <f t="shared" si="149"/>
        <v>0</v>
      </c>
      <c r="I65" s="26">
        <f t="shared" si="15"/>
        <v>0</v>
      </c>
      <c r="J65" s="27"/>
      <c r="K65" s="28"/>
      <c r="L65" s="28"/>
      <c r="M65" s="30"/>
      <c r="N65" s="61"/>
      <c r="O65" s="31"/>
      <c r="P65" s="28"/>
      <c r="Q65" s="28"/>
      <c r="R65" s="64">
        <f t="shared" ref="R65" si="232">O65+J65</f>
        <v>0</v>
      </c>
      <c r="S65" s="34">
        <f t="shared" ref="S65" si="233">(J65*K65%)+(O65*P65%)</f>
        <v>0</v>
      </c>
      <c r="T65" s="34">
        <f t="shared" ref="T65" si="234">(J65*L65%)+(O65*Q65%)</f>
        <v>0</v>
      </c>
      <c r="U65" s="37"/>
      <c r="V65" s="37"/>
      <c r="W65" s="38"/>
      <c r="X65" s="39"/>
      <c r="Y65" s="40"/>
      <c r="Z65" s="40"/>
      <c r="AA65" s="34">
        <f t="shared" si="153"/>
        <v>0</v>
      </c>
      <c r="AB65" s="35">
        <f t="shared" si="154"/>
        <v>0</v>
      </c>
      <c r="AC65" s="310"/>
      <c r="AD65" s="42"/>
      <c r="AE65" s="42"/>
      <c r="AF65" s="34">
        <f t="shared" si="155"/>
        <v>0</v>
      </c>
      <c r="AG65" s="34">
        <f t="shared" si="156"/>
        <v>0</v>
      </c>
      <c r="AH65" s="62"/>
      <c r="AI65" s="38"/>
      <c r="AJ65" s="38"/>
      <c r="AK65" s="34">
        <f t="shared" si="157"/>
        <v>0</v>
      </c>
      <c r="AL65" s="44">
        <f t="shared" si="158"/>
        <v>0</v>
      </c>
      <c r="AM65" s="45">
        <f t="shared" si="159"/>
        <v>0</v>
      </c>
      <c r="AN65" s="51">
        <f t="shared" si="160"/>
        <v>0</v>
      </c>
      <c r="AO65" s="51">
        <f t="shared" si="161"/>
        <v>0</v>
      </c>
      <c r="AP65" s="47" t="e">
        <f t="shared" si="162"/>
        <v>#DIV/0!</v>
      </c>
      <c r="AQ65" s="48">
        <f t="shared" si="10"/>
        <v>0</v>
      </c>
      <c r="AR65" s="49">
        <f t="shared" si="21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2522.0271000000002</v>
      </c>
      <c r="K66">
        <f>SUMPRODUCT(J4:J65,K4:K65)/J66</f>
        <v>3.1851243787190078</v>
      </c>
      <c r="L66">
        <f>SUMPRODUCT(J4:J65,L4:L65)/J66</f>
        <v>8.4457458843324886</v>
      </c>
      <c r="X66" s="49">
        <f>SUM(X6:X65)</f>
        <v>2195</v>
      </c>
      <c r="AC66" s="152">
        <f>SUM(AC6:AC65)</f>
        <v>2195</v>
      </c>
      <c r="AM66" s="55">
        <f>-SUM(AM4:AM65)</f>
        <v>35.682899999999904</v>
      </c>
      <c r="AN66" s="55">
        <f>-SUM(AN4:AN65)</f>
        <v>4.1678069999999892</v>
      </c>
      <c r="AO66" s="55">
        <f>-SUM(AO4:AO65)</f>
        <v>-7.8571250000000461</v>
      </c>
      <c r="AQ66" s="55">
        <f>-SUM(AQ4:AQ65)</f>
        <v>-481.62435000001869</v>
      </c>
    </row>
    <row r="67" spans="2:49" x14ac:dyDescent="0.25">
      <c r="J67" s="49">
        <f>J66</f>
        <v>2522.0271000000002</v>
      </c>
      <c r="K67">
        <f>J67*K66%</f>
        <v>80.329700000000017</v>
      </c>
      <c r="L67" s="49">
        <f>J67*L66%</f>
        <v>213.00400000000002</v>
      </c>
      <c r="AH67">
        <v>1404.0022999999999</v>
      </c>
      <c r="AI67">
        <v>3.548236352604266</v>
      </c>
      <c r="AJ67">
        <v>8.0477304061396477</v>
      </c>
      <c r="AT67" s="62">
        <v>454.29</v>
      </c>
      <c r="AU67" s="38">
        <v>3.5</v>
      </c>
      <c r="AV67" s="38">
        <v>8.1</v>
      </c>
    </row>
    <row r="68" spans="2:49" x14ac:dyDescent="0.25">
      <c r="V68" s="258"/>
      <c r="W68" s="154"/>
      <c r="X68" s="154"/>
      <c r="AH68">
        <v>1227</v>
      </c>
      <c r="AI68">
        <v>3.35</v>
      </c>
      <c r="AJ68">
        <v>8.08</v>
      </c>
    </row>
    <row r="69" spans="2:49" x14ac:dyDescent="0.25">
      <c r="V69" s="153"/>
      <c r="W69" s="154"/>
      <c r="X69" s="154"/>
      <c r="AH69">
        <f>AH67-AH68</f>
        <v>177.00229999999988</v>
      </c>
    </row>
    <row r="70" spans="2:49" x14ac:dyDescent="0.25">
      <c r="B70">
        <v>20020023</v>
      </c>
      <c r="V70" s="152"/>
    </row>
    <row r="71" spans="2:49" x14ac:dyDescent="0.25">
      <c r="V71" s="152"/>
    </row>
    <row r="72" spans="2:49" x14ac:dyDescent="0.25">
      <c r="V72" s="152"/>
    </row>
    <row r="73" spans="2:49" x14ac:dyDescent="0.25">
      <c r="V73" s="152"/>
    </row>
    <row r="74" spans="2:49" x14ac:dyDescent="0.25">
      <c r="V74" s="152"/>
    </row>
    <row r="75" spans="2:49" x14ac:dyDescent="0.25">
      <c r="V75" s="152"/>
    </row>
    <row r="76" spans="2:49" x14ac:dyDescent="0.25">
      <c r="V76" s="152"/>
    </row>
    <row r="77" spans="2:49" x14ac:dyDescent="0.25">
      <c r="V77" s="152"/>
    </row>
    <row r="78" spans="2:49" x14ac:dyDescent="0.25">
      <c r="V78" s="152"/>
      <c r="W78" s="152"/>
      <c r="X78" s="152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1" priority="1" operator="lessThan">
      <formula>0.1</formula>
    </cfRule>
    <cfRule type="cellIs" dxfId="30" priority="2" operator="greaterThan">
      <formula>0.1</formula>
    </cfRule>
  </conditionalFormatting>
  <conditionalFormatting sqref="AP1:AQ1">
    <cfRule type="cellIs" dxfId="29" priority="3" operator="lessThan">
      <formula>1</formula>
    </cfRule>
  </conditionalFormatting>
  <conditionalFormatting sqref="AQ4:AQ65">
    <cfRule type="cellIs" dxfId="28" priority="8" operator="lessThan">
      <formula>0</formula>
    </cfRule>
    <cfRule type="cellIs" dxfId="27" priority="9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AB8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Y17" sqref="Y17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98"/>
      <c r="E3" s="86"/>
      <c r="F3" s="86"/>
      <c r="G3" s="157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86"/>
      <c r="L5" s="86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86"/>
      <c r="L8" s="86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8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80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0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80"/>
      <c r="O18" s="77"/>
      <c r="P18" s="89">
        <v>70687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0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98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0"/>
      <c r="O28" s="77"/>
      <c r="P28" s="89"/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80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98"/>
      <c r="E33" s="86"/>
      <c r="F33" s="86"/>
      <c r="G33" s="86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0"/>
      <c r="O34" s="77"/>
      <c r="P34" s="89"/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98"/>
      <c r="E36" s="86"/>
      <c r="F36" s="86"/>
      <c r="G36" s="86"/>
      <c r="H36" s="86"/>
      <c r="I36" s="86"/>
      <c r="J36" s="86"/>
      <c r="K36" s="86"/>
      <c r="L36" s="86"/>
      <c r="M36" s="87"/>
      <c r="N36" s="8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/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8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8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0"/>
      <c r="O43" s="77"/>
      <c r="P43" s="89"/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8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/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>
        <f t="shared" ref="K48:K49" si="0">H48*I48%</f>
        <v>0</v>
      </c>
      <c r="L48" s="86">
        <f t="shared" ref="L48:L49" si="1">H48*J48%</f>
        <v>0</v>
      </c>
      <c r="M48" s="87"/>
      <c r="N48" s="88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>
        <f t="shared" si="0"/>
        <v>0</v>
      </c>
      <c r="L49" s="86">
        <f t="shared" si="1"/>
        <v>0</v>
      </c>
      <c r="M49" s="87"/>
      <c r="N49" s="80"/>
      <c r="O49" s="77"/>
      <c r="P49" s="89"/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>
        <f t="shared" ref="K51:K52" si="2">H51*I51%</f>
        <v>0</v>
      </c>
      <c r="L51" s="86">
        <f t="shared" ref="L51:L52" si="3">H51*J51%</f>
        <v>0</v>
      </c>
      <c r="M51" s="87"/>
      <c r="N51" s="88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>
        <f t="shared" si="2"/>
        <v>0</v>
      </c>
      <c r="L52" s="86">
        <f t="shared" si="3"/>
        <v>0</v>
      </c>
      <c r="M52" s="87"/>
      <c r="N52" s="80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>
        <f t="shared" ref="K54:K55" si="4">H54*I54%</f>
        <v>0</v>
      </c>
      <c r="L54" s="86">
        <f t="shared" ref="L54:L55" si="5">H54*J54%</f>
        <v>0</v>
      </c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>
        <f t="shared" si="4"/>
        <v>0</v>
      </c>
      <c r="L55" s="86">
        <f t="shared" si="5"/>
        <v>0</v>
      </c>
      <c r="M55" s="87"/>
      <c r="N55" s="80"/>
      <c r="O55" s="77"/>
      <c r="P55" s="89"/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>
        <f t="shared" ref="K57:K58" si="6">H57*I57%</f>
        <v>0</v>
      </c>
      <c r="L57" s="86">
        <f t="shared" ref="L57:L58" si="7">H57*J57%</f>
        <v>0</v>
      </c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>
        <f t="shared" si="6"/>
        <v>0</v>
      </c>
      <c r="L58" s="86">
        <f t="shared" si="7"/>
        <v>0</v>
      </c>
      <c r="M58" s="87"/>
      <c r="N58" s="80"/>
      <c r="O58" s="77"/>
      <c r="P58" s="89"/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>
        <f t="shared" ref="K60:K61" si="8">H60*I60%</f>
        <v>0</v>
      </c>
      <c r="L60" s="86">
        <f t="shared" ref="L60:L61" si="9">H60*J60%</f>
        <v>0</v>
      </c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>
        <f t="shared" si="8"/>
        <v>0</v>
      </c>
      <c r="L61" s="86">
        <f t="shared" si="9"/>
        <v>0</v>
      </c>
      <c r="M61" s="87"/>
      <c r="N61" s="80"/>
      <c r="O61" s="77"/>
      <c r="P61" s="89"/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>
        <f t="shared" ref="K63:K64" si="10">H63*I63%</f>
        <v>0</v>
      </c>
      <c r="L63" s="86">
        <f t="shared" ref="L63:L64" si="11">H63*J63%</f>
        <v>0</v>
      </c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>
        <f t="shared" si="10"/>
        <v>0</v>
      </c>
      <c r="L64" s="86">
        <f t="shared" si="11"/>
        <v>0</v>
      </c>
      <c r="M64" s="87"/>
      <c r="N64" s="80"/>
      <c r="O64" s="77"/>
      <c r="P64" s="89"/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86"/>
      <c r="E66" s="86"/>
      <c r="F66" s="86"/>
      <c r="G66" s="86"/>
      <c r="H66" s="86"/>
      <c r="I66" s="86"/>
      <c r="J66" s="86"/>
      <c r="K66" s="86">
        <f t="shared" ref="K66:K67" si="12">H66*I66%</f>
        <v>0</v>
      </c>
      <c r="L66" s="86">
        <f t="shared" ref="L66:L67" si="13">H66*J66%</f>
        <v>0</v>
      </c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>
        <f t="shared" si="12"/>
        <v>0</v>
      </c>
      <c r="L67" s="86">
        <f t="shared" si="13"/>
        <v>0</v>
      </c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0"/>
      <c r="W68" s="91"/>
      <c r="X68" s="92"/>
      <c r="Y68" s="92"/>
      <c r="Z68" s="92"/>
      <c r="AA68" s="92"/>
      <c r="AB68" s="93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>
        <f t="shared" ref="K69:K70" si="14">H69*I69%</f>
        <v>0</v>
      </c>
      <c r="L69" s="86">
        <f t="shared" ref="L69:L70" si="15">H69*J69%</f>
        <v>0</v>
      </c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>
        <f t="shared" si="14"/>
        <v>0</v>
      </c>
      <c r="L70" s="86">
        <f t="shared" si="15"/>
        <v>0</v>
      </c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86"/>
      <c r="E72" s="86"/>
      <c r="F72" s="86"/>
      <c r="G72" s="86"/>
      <c r="H72" s="86"/>
      <c r="I72" s="86"/>
      <c r="J72" s="86"/>
      <c r="K72" s="86">
        <f t="shared" ref="K72:K73" si="16">H72*I72%</f>
        <v>0</v>
      </c>
      <c r="L72" s="86">
        <f t="shared" ref="L72:L73" si="17">H72*J72%</f>
        <v>0</v>
      </c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>
        <f t="shared" si="16"/>
        <v>0</v>
      </c>
      <c r="L73" s="86">
        <f t="shared" si="17"/>
        <v>0</v>
      </c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>
        <f t="shared" ref="K75:K76" si="18">H75*I75%</f>
        <v>0</v>
      </c>
      <c r="L75" s="86">
        <f t="shared" ref="L75:L76" si="19">H75*J75%</f>
        <v>0</v>
      </c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>
        <f t="shared" si="18"/>
        <v>0</v>
      </c>
      <c r="L76" s="86">
        <f t="shared" si="19"/>
        <v>0</v>
      </c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>
        <f t="shared" ref="K78:K79" si="20">H78*I78%</f>
        <v>0</v>
      </c>
      <c r="L78" s="86">
        <f t="shared" ref="L78:L79" si="21">H78*J78%</f>
        <v>0</v>
      </c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>
        <f t="shared" si="20"/>
        <v>0</v>
      </c>
      <c r="L79" s="86">
        <f t="shared" si="21"/>
        <v>0</v>
      </c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86"/>
      <c r="I80" s="86"/>
      <c r="J80" s="86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</sheetData>
  <autoFilter ref="A1:AB61" xr:uid="{00000000-0009-0000-0000-00000C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AE1373"/>
  <sheetViews>
    <sheetView zoomScale="85" zoomScaleNormal="85" workbookViewId="0">
      <pane xSplit="2" ySplit="3" topLeftCell="C253" activePane="bottomRight" state="frozen"/>
      <selection pane="topRight" activeCell="C1" sqref="C1"/>
      <selection pane="bottomLeft" activeCell="A4" sqref="A4"/>
      <selection pane="bottomRight" activeCell="A278" sqref="A278:V279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147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21" width="9.28515625" customWidth="1"/>
    <col min="22" max="22" width="10.42578125" customWidth="1"/>
    <col min="23" max="25" width="6.7109375" customWidth="1"/>
    <col min="26" max="26" width="7.7109375" bestFit="1" customWidth="1"/>
  </cols>
  <sheetData>
    <row r="1" spans="1:30" s="166" customFormat="1" ht="13.5" thickBot="1" x14ac:dyDescent="0.25">
      <c r="A1" s="188"/>
      <c r="B1" s="188"/>
      <c r="C1" s="189"/>
      <c r="D1" s="190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64"/>
      <c r="S1" s="164"/>
      <c r="T1" s="164"/>
      <c r="U1" s="164"/>
      <c r="V1" s="165"/>
    </row>
    <row r="2" spans="1:30" s="166" customFormat="1" ht="14.45" customHeight="1" thickBot="1" x14ac:dyDescent="0.25">
      <c r="A2" s="193"/>
      <c r="B2" s="194"/>
      <c r="C2" s="195"/>
      <c r="D2" s="196"/>
      <c r="E2" s="197"/>
      <c r="F2" s="198"/>
      <c r="G2" s="199"/>
      <c r="H2" s="334" t="s">
        <v>93</v>
      </c>
      <c r="I2" s="335"/>
      <c r="J2" s="335"/>
      <c r="K2" s="335"/>
      <c r="L2" s="336"/>
      <c r="M2" s="337" t="s">
        <v>94</v>
      </c>
      <c r="N2" s="338"/>
      <c r="O2" s="338"/>
      <c r="P2" s="338"/>
      <c r="Q2" s="339"/>
      <c r="R2" s="340" t="s">
        <v>95</v>
      </c>
      <c r="S2" s="340"/>
      <c r="T2" s="340"/>
      <c r="U2" s="340"/>
      <c r="V2" s="341"/>
      <c r="X2" s="353" t="s">
        <v>96</v>
      </c>
      <c r="Y2" s="353"/>
      <c r="Z2" s="353"/>
    </row>
    <row r="3" spans="1:30" s="172" customFormat="1" ht="13.5" thickBot="1" x14ac:dyDescent="0.25">
      <c r="A3" s="200" t="s">
        <v>69</v>
      </c>
      <c r="B3" s="201" t="s">
        <v>97</v>
      </c>
      <c r="C3" s="201" t="s">
        <v>98</v>
      </c>
      <c r="D3" s="202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181" t="s">
        <v>102</v>
      </c>
      <c r="T3" s="181" t="s">
        <v>103</v>
      </c>
      <c r="U3" s="182" t="s">
        <v>44</v>
      </c>
      <c r="V3" s="183" t="s">
        <v>23</v>
      </c>
      <c r="X3" s="173" t="s">
        <v>60</v>
      </c>
      <c r="Y3" s="173" t="s">
        <v>42</v>
      </c>
      <c r="Z3" s="173" t="s">
        <v>43</v>
      </c>
    </row>
    <row r="4" spans="1:30" s="166" customFormat="1" ht="15" customHeight="1" x14ac:dyDescent="0.2">
      <c r="A4" s="213">
        <v>71398</v>
      </c>
      <c r="B4" s="216" t="s">
        <v>90</v>
      </c>
      <c r="C4" s="118" t="s">
        <v>73</v>
      </c>
      <c r="D4" s="205">
        <v>45871</v>
      </c>
      <c r="E4" s="206" t="s">
        <v>104</v>
      </c>
      <c r="F4" s="207" t="s">
        <v>4</v>
      </c>
      <c r="G4" s="208" t="str">
        <f>VLOOKUP(F4,$AC$11:$AD$19,2,0)</f>
        <v>Pali</v>
      </c>
      <c r="H4" s="209">
        <v>1334</v>
      </c>
      <c r="I4" s="210">
        <v>4.05</v>
      </c>
      <c r="J4" s="210">
        <v>8.34</v>
      </c>
      <c r="K4" s="176">
        <f>H4*I4%</f>
        <v>54.027000000000001</v>
      </c>
      <c r="L4" s="177">
        <f>H4*J4%</f>
        <v>111.2556</v>
      </c>
      <c r="M4" s="209">
        <f>$R$4*H4/SUM($H$4:$H$7)</f>
        <v>1334</v>
      </c>
      <c r="N4" s="211">
        <f>P4/M4*100</f>
        <v>4.0713196242383471</v>
      </c>
      <c r="O4" s="211">
        <f>Q4/M4*100</f>
        <v>8.3920748886095975</v>
      </c>
      <c r="P4" s="176">
        <f>$U$4*K4/SUM($K$4:$K$7)</f>
        <v>54.311403787339557</v>
      </c>
      <c r="Q4" s="212">
        <f>$V$4*L4/SUM($L$4:$L$7)</f>
        <v>111.95027901405204</v>
      </c>
      <c r="R4" s="382">
        <v>6120</v>
      </c>
      <c r="S4" s="385">
        <v>4.2</v>
      </c>
      <c r="T4" s="385">
        <v>8.3699999999999992</v>
      </c>
      <c r="U4" s="388">
        <f>R4*S4%</f>
        <v>257.04000000000002</v>
      </c>
      <c r="V4" s="393">
        <f>R4*T4%</f>
        <v>512.24400000000003</v>
      </c>
      <c r="X4" s="176">
        <f>ROUND(M4,0)</f>
        <v>1334</v>
      </c>
      <c r="Y4" s="210">
        <f>ROUND(N4,2)</f>
        <v>4.07</v>
      </c>
      <c r="Z4" s="210">
        <f>ROUND(O4,2)</f>
        <v>8.39</v>
      </c>
    </row>
    <row r="5" spans="1:30" s="166" customFormat="1" ht="12.75" x14ac:dyDescent="0.2">
      <c r="A5" s="213">
        <v>71398</v>
      </c>
      <c r="B5" s="216" t="s">
        <v>90</v>
      </c>
      <c r="C5" s="118" t="s">
        <v>73</v>
      </c>
      <c r="D5" s="205">
        <v>45871</v>
      </c>
      <c r="E5" s="206" t="s">
        <v>104</v>
      </c>
      <c r="F5" s="207" t="s">
        <v>6</v>
      </c>
      <c r="G5" s="208" t="str">
        <f t="shared" ref="G5:G86" si="0">VLOOKUP(F5,$AC$11:$AD$19,2,0)</f>
        <v>Hisri</v>
      </c>
      <c r="H5" s="209">
        <v>2467</v>
      </c>
      <c r="I5" s="210">
        <v>4.3499999999999996</v>
      </c>
      <c r="J5" s="210">
        <v>8.2799999999999994</v>
      </c>
      <c r="K5" s="176">
        <f t="shared" ref="K5:K95" si="1">H5*I5%</f>
        <v>107.3145</v>
      </c>
      <c r="L5" s="177">
        <f t="shared" ref="L5:L95" si="2">H5*J5%</f>
        <v>204.26759999999999</v>
      </c>
      <c r="M5" s="209">
        <f t="shared" ref="M5:M7" si="3">$R$4*H5/SUM($H$4:$H$7)</f>
        <v>2467</v>
      </c>
      <c r="N5" s="211">
        <f t="shared" ref="N5:N7" si="4">P5/M5*100</f>
        <v>4.3728988556634105</v>
      </c>
      <c r="O5" s="211">
        <f t="shared" ref="O5:O7" si="5">Q5/M5*100</f>
        <v>8.3317002491231982</v>
      </c>
      <c r="P5" s="176">
        <f t="shared" ref="P5:P7" si="6">$U$4*K5/SUM($K$4:$K$7)</f>
        <v>107.87941476921632</v>
      </c>
      <c r="Q5" s="212">
        <f t="shared" ref="Q5:Q7" si="7">$V$4*L5/SUM($L$4:$L$7)</f>
        <v>205.54304514586929</v>
      </c>
      <c r="R5" s="383"/>
      <c r="S5" s="386"/>
      <c r="T5" s="386"/>
      <c r="U5" s="389"/>
      <c r="V5" s="394"/>
      <c r="X5" s="176">
        <f t="shared" ref="X5:X64" si="8">ROUND(M5,0)</f>
        <v>2467</v>
      </c>
      <c r="Y5" s="210">
        <f t="shared" ref="Y5:Z32" si="9">ROUND(N5,2)</f>
        <v>4.37</v>
      </c>
      <c r="Z5" s="210">
        <f t="shared" si="9"/>
        <v>8.33</v>
      </c>
    </row>
    <row r="6" spans="1:30" s="166" customFormat="1" ht="12.75" x14ac:dyDescent="0.2">
      <c r="A6" s="213">
        <v>71398</v>
      </c>
      <c r="B6" s="216" t="s">
        <v>90</v>
      </c>
      <c r="C6" s="118" t="s">
        <v>73</v>
      </c>
      <c r="D6" s="205">
        <v>45871</v>
      </c>
      <c r="E6" s="206" t="s">
        <v>104</v>
      </c>
      <c r="F6" s="207" t="s">
        <v>89</v>
      </c>
      <c r="G6" s="208" t="str">
        <f t="shared" si="0"/>
        <v>Chanho</v>
      </c>
      <c r="H6" s="209">
        <v>1376</v>
      </c>
      <c r="I6" s="210">
        <v>4.1500000000000004</v>
      </c>
      <c r="J6" s="210">
        <v>8.35</v>
      </c>
      <c r="K6" s="176">
        <f t="shared" si="1"/>
        <v>57.104000000000006</v>
      </c>
      <c r="L6" s="177">
        <f t="shared" si="2"/>
        <v>114.89599999999999</v>
      </c>
      <c r="M6" s="209">
        <f t="shared" si="3"/>
        <v>1376</v>
      </c>
      <c r="N6" s="211">
        <f t="shared" si="4"/>
        <v>4.1718460347133686</v>
      </c>
      <c r="O6" s="211">
        <f t="shared" si="5"/>
        <v>8.4021373285239971</v>
      </c>
      <c r="P6" s="176">
        <f t="shared" si="6"/>
        <v>57.404601437655955</v>
      </c>
      <c r="Q6" s="212">
        <f t="shared" si="7"/>
        <v>115.6134096404902</v>
      </c>
      <c r="R6" s="383"/>
      <c r="S6" s="386"/>
      <c r="T6" s="386"/>
      <c r="U6" s="389"/>
      <c r="V6" s="394"/>
      <c r="X6" s="176">
        <f t="shared" si="8"/>
        <v>1376</v>
      </c>
      <c r="Y6" s="210">
        <f t="shared" si="9"/>
        <v>4.17</v>
      </c>
      <c r="Z6" s="210">
        <f t="shared" si="9"/>
        <v>8.4</v>
      </c>
    </row>
    <row r="7" spans="1:30" s="166" customFormat="1" ht="13.5" thickBot="1" x14ac:dyDescent="0.25">
      <c r="A7" s="213">
        <v>71398</v>
      </c>
      <c r="B7" s="216" t="s">
        <v>90</v>
      </c>
      <c r="C7" s="118" t="s">
        <v>73</v>
      </c>
      <c r="D7" s="205">
        <v>45871</v>
      </c>
      <c r="E7" s="206" t="s">
        <v>104</v>
      </c>
      <c r="F7" s="207" t="s">
        <v>12</v>
      </c>
      <c r="G7" s="208" t="str">
        <f t="shared" si="0"/>
        <v>Ormanjhi</v>
      </c>
      <c r="H7" s="209">
        <v>943</v>
      </c>
      <c r="I7" s="210">
        <v>3.95</v>
      </c>
      <c r="J7" s="210">
        <v>8.34</v>
      </c>
      <c r="K7" s="176">
        <f t="shared" si="1"/>
        <v>37.2485</v>
      </c>
      <c r="L7" s="177">
        <f t="shared" si="2"/>
        <v>78.646200000000007</v>
      </c>
      <c r="M7" s="209">
        <f t="shared" si="3"/>
        <v>943</v>
      </c>
      <c r="N7" s="211">
        <f t="shared" si="4"/>
        <v>3.9707932137633266</v>
      </c>
      <c r="O7" s="211">
        <f t="shared" si="5"/>
        <v>8.3920748886095975</v>
      </c>
      <c r="P7" s="176">
        <f t="shared" si="6"/>
        <v>37.444580005788168</v>
      </c>
      <c r="Q7" s="212">
        <f t="shared" si="7"/>
        <v>79.13726619958851</v>
      </c>
      <c r="R7" s="384"/>
      <c r="S7" s="387"/>
      <c r="T7" s="387"/>
      <c r="U7" s="390"/>
      <c r="V7" s="395"/>
      <c r="X7" s="176">
        <f t="shared" si="8"/>
        <v>943</v>
      </c>
      <c r="Y7" s="210">
        <f t="shared" si="9"/>
        <v>3.97</v>
      </c>
      <c r="Z7" s="210">
        <f t="shared" si="9"/>
        <v>8.39</v>
      </c>
    </row>
    <row r="8" spans="1:30" s="166" customFormat="1" ht="12.75" x14ac:dyDescent="0.2">
      <c r="A8" s="213">
        <v>70345</v>
      </c>
      <c r="B8" s="216">
        <v>1023</v>
      </c>
      <c r="C8" s="118" t="s">
        <v>77</v>
      </c>
      <c r="D8" s="205">
        <v>45872</v>
      </c>
      <c r="E8" s="206"/>
      <c r="F8" s="207" t="s">
        <v>4</v>
      </c>
      <c r="G8" s="208" t="str">
        <f t="shared" si="0"/>
        <v>Pali</v>
      </c>
      <c r="H8" s="209">
        <v>1245</v>
      </c>
      <c r="I8" s="210">
        <v>4.0999999999999996</v>
      </c>
      <c r="J8" s="210">
        <v>8.41</v>
      </c>
      <c r="K8" s="176">
        <f t="shared" si="1"/>
        <v>51.044999999999995</v>
      </c>
      <c r="L8" s="177">
        <f t="shared" si="2"/>
        <v>104.70450000000001</v>
      </c>
      <c r="M8" s="209">
        <f>$R$8*H8/SUM($H$8:$H$11)</f>
        <v>1242.527308838133</v>
      </c>
      <c r="N8" s="211">
        <f t="shared" ref="N8:N14" si="10">P8/M8*100</f>
        <v>4.1547711892123074</v>
      </c>
      <c r="O8" s="211">
        <f t="shared" ref="O8:O14" si="11">Q8/M8*100</f>
        <v>8.1703245218498086</v>
      </c>
      <c r="P8" s="176">
        <f>$U$8*K8/SUM($K$8:$K$11)</f>
        <v>51.624166645701784</v>
      </c>
      <c r="Q8" s="212">
        <f>$V$8*L8/SUM($L$8:$L$11)</f>
        <v>101.51851340468248</v>
      </c>
      <c r="R8" s="396">
        <v>4020</v>
      </c>
      <c r="S8" s="392">
        <v>4</v>
      </c>
      <c r="T8" s="392">
        <v>8.08</v>
      </c>
      <c r="U8" s="388">
        <f>R8*S8%</f>
        <v>160.80000000000001</v>
      </c>
      <c r="V8" s="393">
        <f>R8*T8%</f>
        <v>324.81599999999997</v>
      </c>
      <c r="X8" s="176">
        <f t="shared" si="8"/>
        <v>1243</v>
      </c>
      <c r="Y8" s="210">
        <f t="shared" si="9"/>
        <v>4.1500000000000004</v>
      </c>
      <c r="Z8" s="210">
        <f t="shared" si="9"/>
        <v>8.17</v>
      </c>
    </row>
    <row r="9" spans="1:30" s="166" customFormat="1" ht="12.75" x14ac:dyDescent="0.2">
      <c r="A9" s="213">
        <v>70345</v>
      </c>
      <c r="B9" s="216">
        <v>1023</v>
      </c>
      <c r="C9" s="118" t="s">
        <v>77</v>
      </c>
      <c r="D9" s="205">
        <v>45872</v>
      </c>
      <c r="E9" s="206"/>
      <c r="F9" s="207" t="s">
        <v>6</v>
      </c>
      <c r="G9" s="208" t="str">
        <f t="shared" si="0"/>
        <v>Hisri</v>
      </c>
      <c r="H9" s="209">
        <v>377</v>
      </c>
      <c r="I9" s="210">
        <v>4.2</v>
      </c>
      <c r="J9" s="210">
        <v>8.31</v>
      </c>
      <c r="K9" s="176">
        <f t="shared" si="1"/>
        <v>15.834000000000001</v>
      </c>
      <c r="L9" s="177">
        <f t="shared" si="2"/>
        <v>31.328700000000001</v>
      </c>
      <c r="M9" s="209">
        <f t="shared" ref="M9:M11" si="12">$R$8*H9/SUM($H$8:$H$11)</f>
        <v>376.25124131082424</v>
      </c>
      <c r="N9" s="211">
        <f t="shared" ref="N9:N11" si="13">P9/M9*100</f>
        <v>4.2561070718760234</v>
      </c>
      <c r="O9" s="211">
        <f t="shared" ref="O9:O11" si="14">Q9/M9*100</f>
        <v>8.0731744086292387</v>
      </c>
      <c r="P9" s="176">
        <f t="shared" ref="P9:P11" si="15">$U$8*K9/SUM($K$8:$K$11)</f>
        <v>16.013655689451312</v>
      </c>
      <c r="Q9" s="212">
        <f t="shared" ref="Q9:Q11" si="16">$V$8*L9/SUM($L$8:$L$11)</f>
        <v>30.375418925655303</v>
      </c>
      <c r="R9" s="397"/>
      <c r="S9" s="386"/>
      <c r="T9" s="386"/>
      <c r="U9" s="389"/>
      <c r="V9" s="394"/>
      <c r="X9" s="176">
        <f t="shared" si="8"/>
        <v>376</v>
      </c>
      <c r="Y9" s="210">
        <f t="shared" si="9"/>
        <v>4.26</v>
      </c>
      <c r="Z9" s="210">
        <f t="shared" si="9"/>
        <v>8.07</v>
      </c>
    </row>
    <row r="10" spans="1:30" s="166" customFormat="1" ht="12.75" x14ac:dyDescent="0.2">
      <c r="A10" s="213">
        <v>70345</v>
      </c>
      <c r="B10" s="216">
        <v>1023</v>
      </c>
      <c r="C10" s="118" t="s">
        <v>77</v>
      </c>
      <c r="D10" s="205">
        <v>45872</v>
      </c>
      <c r="E10" s="206"/>
      <c r="F10" s="207" t="s">
        <v>8</v>
      </c>
      <c r="G10" s="208" t="str">
        <f t="shared" si="0"/>
        <v>Choria</v>
      </c>
      <c r="H10" s="209">
        <v>1031</v>
      </c>
      <c r="I10" s="210">
        <v>3.2</v>
      </c>
      <c r="J10" s="210">
        <v>8.11</v>
      </c>
      <c r="K10" s="176">
        <f t="shared" si="1"/>
        <v>32.991999999999997</v>
      </c>
      <c r="L10" s="177">
        <f t="shared" si="2"/>
        <v>83.614099999999993</v>
      </c>
      <c r="M10" s="209">
        <f t="shared" si="12"/>
        <v>1028.9523336643495</v>
      </c>
      <c r="N10" s="211">
        <f t="shared" si="13"/>
        <v>3.2427482452388743</v>
      </c>
      <c r="O10" s="211">
        <f t="shared" si="14"/>
        <v>7.8788741821881016</v>
      </c>
      <c r="P10" s="176">
        <f t="shared" si="15"/>
        <v>33.366333744245139</v>
      </c>
      <c r="Q10" s="212">
        <f t="shared" si="16"/>
        <v>81.069859764102404</v>
      </c>
      <c r="R10" s="397"/>
      <c r="S10" s="386"/>
      <c r="T10" s="386"/>
      <c r="U10" s="389"/>
      <c r="V10" s="394"/>
      <c r="X10" s="176">
        <f t="shared" si="8"/>
        <v>1029</v>
      </c>
      <c r="Y10" s="210">
        <f t="shared" si="9"/>
        <v>3.24</v>
      </c>
      <c r="Z10" s="210">
        <f t="shared" si="9"/>
        <v>7.88</v>
      </c>
    </row>
    <row r="11" spans="1:30" s="166" customFormat="1" ht="12.75" x14ac:dyDescent="0.2">
      <c r="A11" s="213">
        <v>70345</v>
      </c>
      <c r="B11" s="216">
        <v>1023</v>
      </c>
      <c r="C11" s="118" t="s">
        <v>77</v>
      </c>
      <c r="D11" s="205">
        <v>45872</v>
      </c>
      <c r="E11" s="206"/>
      <c r="F11" s="207" t="s">
        <v>89</v>
      </c>
      <c r="G11" s="208" t="str">
        <f t="shared" si="0"/>
        <v>Chanho</v>
      </c>
      <c r="H11" s="209">
        <v>1375</v>
      </c>
      <c r="I11" s="210">
        <v>4.3</v>
      </c>
      <c r="J11" s="210">
        <v>8.39</v>
      </c>
      <c r="K11" s="176">
        <f t="shared" si="1"/>
        <v>59.124999999999993</v>
      </c>
      <c r="L11" s="177">
        <f t="shared" si="2"/>
        <v>115.3625</v>
      </c>
      <c r="M11" s="209">
        <f t="shared" si="12"/>
        <v>1372.2691161866931</v>
      </c>
      <c r="N11" s="211">
        <f t="shared" si="13"/>
        <v>4.3574429545397368</v>
      </c>
      <c r="O11" s="211">
        <f t="shared" si="14"/>
        <v>8.1508944992056929</v>
      </c>
      <c r="P11" s="176">
        <f t="shared" si="15"/>
        <v>59.795843920601776</v>
      </c>
      <c r="Q11" s="212">
        <f t="shared" si="16"/>
        <v>111.85220790555974</v>
      </c>
      <c r="R11" s="398"/>
      <c r="S11" s="387"/>
      <c r="T11" s="387"/>
      <c r="U11" s="390"/>
      <c r="V11" s="395"/>
      <c r="X11" s="176">
        <f t="shared" si="8"/>
        <v>1372</v>
      </c>
      <c r="Y11" s="210">
        <f t="shared" si="9"/>
        <v>4.3600000000000003</v>
      </c>
      <c r="Z11" s="210">
        <f t="shared" si="9"/>
        <v>8.15</v>
      </c>
      <c r="AC11" s="174" t="s">
        <v>2</v>
      </c>
      <c r="AD11" s="166" t="s">
        <v>3</v>
      </c>
    </row>
    <row r="12" spans="1:30" s="166" customFormat="1" ht="12.75" x14ac:dyDescent="0.2">
      <c r="A12" s="213">
        <v>71433</v>
      </c>
      <c r="B12" s="213">
        <v>1023</v>
      </c>
      <c r="C12" s="118" t="s">
        <v>109</v>
      </c>
      <c r="D12" s="205">
        <v>45871</v>
      </c>
      <c r="E12" s="206"/>
      <c r="F12" s="207" t="s">
        <v>14</v>
      </c>
      <c r="G12" s="208" t="str">
        <f t="shared" si="0"/>
        <v>Piragutu</v>
      </c>
      <c r="H12" s="209">
        <v>977</v>
      </c>
      <c r="I12" s="210">
        <v>4.25</v>
      </c>
      <c r="J12" s="210">
        <v>8.6300000000000008</v>
      </c>
      <c r="K12" s="176">
        <f t="shared" si="1"/>
        <v>41.522500000000001</v>
      </c>
      <c r="L12" s="177">
        <f t="shared" si="2"/>
        <v>84.315100000000001</v>
      </c>
      <c r="M12" s="209">
        <f>$R$12*H12/SUM($H$12:$H$13)</f>
        <v>991.28884826325407</v>
      </c>
      <c r="N12" s="211">
        <f t="shared" si="10"/>
        <v>4.2705715118821992</v>
      </c>
      <c r="O12" s="211">
        <f t="shared" si="11"/>
        <v>8.4544867762156155</v>
      </c>
      <c r="P12" s="176">
        <f>$U$12*K12/SUM($K$12:$K$13)</f>
        <v>42.333699154395688</v>
      </c>
      <c r="Q12" s="212">
        <f>$V$12*L12/SUM($L$12:$L$13)</f>
        <v>83.808384590516894</v>
      </c>
      <c r="R12" s="391">
        <v>3330</v>
      </c>
      <c r="S12" s="391">
        <v>4.2</v>
      </c>
      <c r="T12" s="392">
        <v>8.31</v>
      </c>
      <c r="U12" s="391">
        <f>R12*S12%</f>
        <v>139.86000000000001</v>
      </c>
      <c r="V12" s="391">
        <f>R12*T12%</f>
        <v>276.72300000000001</v>
      </c>
      <c r="X12" s="176">
        <f t="shared" si="8"/>
        <v>991</v>
      </c>
      <c r="Y12" s="210">
        <f t="shared" si="9"/>
        <v>4.2699999999999996</v>
      </c>
      <c r="Z12" s="210">
        <f t="shared" si="9"/>
        <v>8.4499999999999993</v>
      </c>
      <c r="AC12" s="174" t="s">
        <v>4</v>
      </c>
      <c r="AD12" s="166" t="s">
        <v>5</v>
      </c>
    </row>
    <row r="13" spans="1:30" s="166" customFormat="1" ht="12.75" x14ac:dyDescent="0.2">
      <c r="A13" s="213">
        <v>71433</v>
      </c>
      <c r="B13" s="213">
        <v>1023</v>
      </c>
      <c r="C13" s="118" t="s">
        <v>109</v>
      </c>
      <c r="D13" s="205">
        <v>45871</v>
      </c>
      <c r="E13" s="206"/>
      <c r="F13" s="207" t="s">
        <v>4</v>
      </c>
      <c r="G13" s="208" t="str">
        <f t="shared" si="0"/>
        <v>Pali</v>
      </c>
      <c r="H13" s="209">
        <v>2305</v>
      </c>
      <c r="I13" s="210">
        <v>4.1500000000000004</v>
      </c>
      <c r="J13" s="210">
        <v>8.42</v>
      </c>
      <c r="K13" s="176">
        <f t="shared" si="1"/>
        <v>95.657499999999999</v>
      </c>
      <c r="L13" s="177">
        <f t="shared" si="2"/>
        <v>194.08099999999999</v>
      </c>
      <c r="M13" s="209">
        <f>$R$12*H13/SUM($H$12:$H$13)</f>
        <v>2338.7111517367457</v>
      </c>
      <c r="N13" s="211">
        <f t="shared" ref="N13" si="17">P13/M13*100</f>
        <v>4.1700874763084999</v>
      </c>
      <c r="O13" s="211">
        <f t="shared" ref="O13" si="18">Q13/M13*100</f>
        <v>8.2487576657862682</v>
      </c>
      <c r="P13" s="176">
        <f>$U$12*K13/SUM($K$12:$K$13)</f>
        <v>97.526300845604311</v>
      </c>
      <c r="Q13" s="212">
        <f>$V$12*L13/SUM($L$12:$L$13)</f>
        <v>192.9146154094831</v>
      </c>
      <c r="R13" s="390"/>
      <c r="S13" s="390"/>
      <c r="T13" s="387"/>
      <c r="U13" s="390"/>
      <c r="V13" s="390"/>
      <c r="X13" s="176">
        <f t="shared" si="8"/>
        <v>2339</v>
      </c>
      <c r="Y13" s="210">
        <f t="shared" si="9"/>
        <v>4.17</v>
      </c>
      <c r="Z13" s="210">
        <f t="shared" si="9"/>
        <v>8.25</v>
      </c>
      <c r="AC13" s="174" t="s">
        <v>6</v>
      </c>
      <c r="AD13" s="166" t="s">
        <v>92</v>
      </c>
    </row>
    <row r="14" spans="1:30" s="166" customFormat="1" ht="12.75" x14ac:dyDescent="0.2">
      <c r="A14" s="213">
        <v>70346</v>
      </c>
      <c r="B14" s="213">
        <v>8504</v>
      </c>
      <c r="C14" s="118" t="s">
        <v>73</v>
      </c>
      <c r="D14" s="205">
        <v>45874</v>
      </c>
      <c r="E14" s="175"/>
      <c r="F14" s="207" t="s">
        <v>89</v>
      </c>
      <c r="G14" s="208" t="str">
        <f t="shared" si="0"/>
        <v>Chanho</v>
      </c>
      <c r="H14" s="209">
        <v>1360</v>
      </c>
      <c r="I14" s="210">
        <v>4.4000000000000004</v>
      </c>
      <c r="J14" s="210">
        <v>8.41</v>
      </c>
      <c r="K14" s="176">
        <f t="shared" si="1"/>
        <v>59.84</v>
      </c>
      <c r="L14" s="177">
        <f t="shared" si="2"/>
        <v>114.376</v>
      </c>
      <c r="M14" s="209">
        <f>$R$14*H14/SUM($H$14:$H$17)</f>
        <v>1375.3924790069368</v>
      </c>
      <c r="N14" s="211">
        <f t="shared" si="10"/>
        <v>4.3870208118896397</v>
      </c>
      <c r="O14" s="211">
        <f t="shared" si="11"/>
        <v>8.3474469333166486</v>
      </c>
      <c r="P14" s="176">
        <f>$U$14*K14/SUM($K$14:$K$17)</f>
        <v>60.338754299199159</v>
      </c>
      <c r="Q14" s="212">
        <f>$V$14*L14/SUM($L$14:$L$17)</f>
        <v>114.81015730993238</v>
      </c>
      <c r="R14" s="379">
        <v>5540</v>
      </c>
      <c r="S14" s="379">
        <v>4.3499999999999996</v>
      </c>
      <c r="T14" s="379">
        <v>8.34</v>
      </c>
      <c r="U14" s="379">
        <f>R14*S14%</f>
        <v>240.98999999999998</v>
      </c>
      <c r="V14" s="379">
        <f>R14*T14%</f>
        <v>462.036</v>
      </c>
      <c r="X14" s="176">
        <f t="shared" si="8"/>
        <v>1375</v>
      </c>
      <c r="Y14" s="210">
        <f t="shared" si="9"/>
        <v>4.3899999999999997</v>
      </c>
      <c r="Z14" s="210">
        <f t="shared" si="9"/>
        <v>8.35</v>
      </c>
      <c r="AC14" s="174" t="s">
        <v>8</v>
      </c>
      <c r="AD14" s="166" t="s">
        <v>105</v>
      </c>
    </row>
    <row r="15" spans="1:30" s="166" customFormat="1" ht="12.75" x14ac:dyDescent="0.2">
      <c r="A15" s="213">
        <v>70346</v>
      </c>
      <c r="B15" s="213">
        <v>8504</v>
      </c>
      <c r="C15" s="118" t="s">
        <v>73</v>
      </c>
      <c r="D15" s="205">
        <v>45874</v>
      </c>
      <c r="E15" s="175"/>
      <c r="F15" s="207" t="s">
        <v>14</v>
      </c>
      <c r="G15" s="208" t="str">
        <f t="shared" si="0"/>
        <v>Piragutu</v>
      </c>
      <c r="H15" s="209">
        <v>1042</v>
      </c>
      <c r="I15" s="210">
        <v>4.5</v>
      </c>
      <c r="J15" s="210">
        <v>8.3699999999999992</v>
      </c>
      <c r="K15" s="176">
        <f t="shared" si="1"/>
        <v>46.89</v>
      </c>
      <c r="L15" s="177">
        <f t="shared" si="2"/>
        <v>87.215400000000002</v>
      </c>
      <c r="M15" s="209">
        <f t="shared" ref="M15:M17" si="19">$R$14*H15/SUM($H$14:$H$17)</f>
        <v>1053.7933552391385</v>
      </c>
      <c r="N15" s="211">
        <f t="shared" ref="N15:N17" si="20">P15/M15*100</f>
        <v>4.4867258303416762</v>
      </c>
      <c r="O15" s="211">
        <f t="shared" ref="O15:O17" si="21">Q15/M15*100</f>
        <v>8.3077444508751892</v>
      </c>
      <c r="P15" s="176">
        <f t="shared" ref="P15:P17" si="22">$U$14*K15/SUM($K$14:$K$17)</f>
        <v>47.280818667938647</v>
      </c>
      <c r="Q15" s="212">
        <f t="shared" ref="Q15:Q17" si="23">$V$14*L15/SUM($L$14:$L$17)</f>
        <v>87.546458993570994</v>
      </c>
      <c r="R15" s="381"/>
      <c r="S15" s="381"/>
      <c r="T15" s="381"/>
      <c r="U15" s="381"/>
      <c r="V15" s="381"/>
      <c r="X15" s="176">
        <f t="shared" si="8"/>
        <v>1054</v>
      </c>
      <c r="Y15" s="210">
        <f t="shared" si="9"/>
        <v>4.49</v>
      </c>
      <c r="Z15" s="210">
        <f t="shared" si="9"/>
        <v>8.31</v>
      </c>
      <c r="AC15" s="174" t="s">
        <v>10</v>
      </c>
      <c r="AD15" s="166" t="s">
        <v>106</v>
      </c>
    </row>
    <row r="16" spans="1:30" s="166" customFormat="1" ht="12.75" x14ac:dyDescent="0.2">
      <c r="A16" s="213">
        <v>70346</v>
      </c>
      <c r="B16" s="213">
        <v>8504</v>
      </c>
      <c r="C16" s="118" t="s">
        <v>73</v>
      </c>
      <c r="D16" s="205">
        <v>45874</v>
      </c>
      <c r="E16" s="175"/>
      <c r="F16" s="207" t="s">
        <v>6</v>
      </c>
      <c r="G16" s="208" t="str">
        <f t="shared" si="0"/>
        <v>Hisri</v>
      </c>
      <c r="H16" s="209">
        <v>2041</v>
      </c>
      <c r="I16" s="210">
        <v>4.3</v>
      </c>
      <c r="J16" s="210">
        <v>8.39</v>
      </c>
      <c r="K16" s="176">
        <f t="shared" si="1"/>
        <v>87.762999999999991</v>
      </c>
      <c r="L16" s="177">
        <f t="shared" si="2"/>
        <v>171.23990000000001</v>
      </c>
      <c r="M16" s="209">
        <f t="shared" si="19"/>
        <v>2064.1000365096752</v>
      </c>
      <c r="N16" s="211">
        <f t="shared" si="20"/>
        <v>4.2873157934376005</v>
      </c>
      <c r="O16" s="211">
        <f t="shared" si="21"/>
        <v>8.3275956920959171</v>
      </c>
      <c r="P16" s="176">
        <f t="shared" si="22"/>
        <v>88.494486857630591</v>
      </c>
      <c r="Q16" s="212">
        <f t="shared" si="23"/>
        <v>171.88990572092996</v>
      </c>
      <c r="R16" s="381"/>
      <c r="S16" s="381"/>
      <c r="T16" s="381"/>
      <c r="U16" s="381"/>
      <c r="V16" s="381"/>
      <c r="X16" s="176">
        <f t="shared" si="8"/>
        <v>2064</v>
      </c>
      <c r="Y16" s="210">
        <f t="shared" si="9"/>
        <v>4.29</v>
      </c>
      <c r="Z16" s="210">
        <f t="shared" si="9"/>
        <v>8.33</v>
      </c>
      <c r="AC16" s="174" t="s">
        <v>12</v>
      </c>
      <c r="AD16" s="166" t="s">
        <v>107</v>
      </c>
    </row>
    <row r="17" spans="1:31" s="166" customFormat="1" ht="12.75" x14ac:dyDescent="0.2">
      <c r="A17" s="213">
        <v>70346</v>
      </c>
      <c r="B17" s="213">
        <v>8504</v>
      </c>
      <c r="C17" s="118" t="s">
        <v>73</v>
      </c>
      <c r="D17" s="205">
        <v>45874</v>
      </c>
      <c r="E17" s="175"/>
      <c r="F17" s="207" t="s">
        <v>4</v>
      </c>
      <c r="G17" s="208" t="str">
        <f t="shared" si="0"/>
        <v>Pali</v>
      </c>
      <c r="H17" s="209">
        <v>1035</v>
      </c>
      <c r="I17" s="210">
        <v>4.3</v>
      </c>
      <c r="J17" s="210">
        <v>8.4499999999999993</v>
      </c>
      <c r="K17" s="176">
        <f t="shared" si="1"/>
        <v>44.504999999999995</v>
      </c>
      <c r="L17" s="177">
        <f t="shared" si="2"/>
        <v>87.457499999999996</v>
      </c>
      <c r="M17" s="209">
        <f t="shared" si="19"/>
        <v>1046.7141292442498</v>
      </c>
      <c r="N17" s="211">
        <f t="shared" si="20"/>
        <v>4.2873157934376005</v>
      </c>
      <c r="O17" s="211">
        <f t="shared" si="21"/>
        <v>8.3871494157581044</v>
      </c>
      <c r="P17" s="176">
        <f t="shared" si="22"/>
        <v>44.875940175231584</v>
      </c>
      <c r="Q17" s="212">
        <f t="shared" si="23"/>
        <v>87.789477975566626</v>
      </c>
      <c r="R17" s="380"/>
      <c r="S17" s="380"/>
      <c r="T17" s="380"/>
      <c r="U17" s="380"/>
      <c r="V17" s="380"/>
      <c r="X17" s="176">
        <f t="shared" si="8"/>
        <v>1047</v>
      </c>
      <c r="Y17" s="210">
        <f t="shared" si="9"/>
        <v>4.29</v>
      </c>
      <c r="Z17" s="210">
        <f t="shared" si="9"/>
        <v>8.39</v>
      </c>
      <c r="AC17" s="174" t="s">
        <v>14</v>
      </c>
      <c r="AD17" s="166" t="s">
        <v>91</v>
      </c>
    </row>
    <row r="18" spans="1:31" s="166" customFormat="1" ht="12.75" x14ac:dyDescent="0.2">
      <c r="A18" s="213">
        <v>70055</v>
      </c>
      <c r="B18" s="216" t="s">
        <v>90</v>
      </c>
      <c r="C18" s="118" t="s">
        <v>73</v>
      </c>
      <c r="D18" s="205">
        <v>45872</v>
      </c>
      <c r="E18" s="175"/>
      <c r="F18" s="207" t="s">
        <v>4</v>
      </c>
      <c r="G18" s="208" t="str">
        <f t="shared" si="0"/>
        <v>Pali</v>
      </c>
      <c r="H18" s="209">
        <v>945</v>
      </c>
      <c r="I18" s="210">
        <v>4.0999999999999996</v>
      </c>
      <c r="J18" s="210">
        <v>8.2899999999999991</v>
      </c>
      <c r="K18" s="176">
        <f t="shared" si="1"/>
        <v>38.744999999999997</v>
      </c>
      <c r="L18" s="177">
        <f t="shared" si="2"/>
        <v>78.340499999999992</v>
      </c>
      <c r="M18" s="209">
        <f>$R$18*H18/SUM($H$18:$H$22)</f>
        <v>949.72500000000002</v>
      </c>
      <c r="N18" s="211">
        <f t="shared" ref="N18:N73" si="24">P18/M18*100</f>
        <v>4.1506311112539471</v>
      </c>
      <c r="O18" s="211">
        <f t="shared" ref="O18:O73" si="25">Q18/M18*100</f>
        <v>8.2909377245375406</v>
      </c>
      <c r="P18" s="176">
        <f>$U$18*K18/SUM($K$18:$K$22)</f>
        <v>39.419581321356546</v>
      </c>
      <c r="Q18" s="212">
        <f>$V$18*L18/SUM($L$18:$L$22)</f>
        <v>78.741108304364161</v>
      </c>
      <c r="R18" s="379">
        <v>6030</v>
      </c>
      <c r="S18" s="379">
        <v>4.2</v>
      </c>
      <c r="T18" s="379">
        <v>8.3699999999999992</v>
      </c>
      <c r="U18" s="379">
        <f>R18*S18%</f>
        <v>253.26000000000002</v>
      </c>
      <c r="V18" s="379">
        <f>R18*T18%</f>
        <v>504.71099999999996</v>
      </c>
      <c r="X18" s="176">
        <f t="shared" si="8"/>
        <v>950</v>
      </c>
      <c r="Y18" s="210">
        <f t="shared" si="9"/>
        <v>4.1500000000000004</v>
      </c>
      <c r="Z18" s="210">
        <f t="shared" si="9"/>
        <v>8.2899999999999991</v>
      </c>
      <c r="AC18" s="174" t="s">
        <v>78</v>
      </c>
      <c r="AD18" s="166" t="s">
        <v>108</v>
      </c>
    </row>
    <row r="19" spans="1:31" s="166" customFormat="1" ht="12.75" x14ac:dyDescent="0.2">
      <c r="A19" s="213">
        <v>70055</v>
      </c>
      <c r="B19" s="216" t="s">
        <v>90</v>
      </c>
      <c r="C19" s="118" t="s">
        <v>73</v>
      </c>
      <c r="D19" s="205">
        <v>45872</v>
      </c>
      <c r="E19" s="175"/>
      <c r="F19" s="207" t="s">
        <v>14</v>
      </c>
      <c r="G19" s="208" t="str">
        <f t="shared" si="0"/>
        <v>Piragutu</v>
      </c>
      <c r="H19" s="209">
        <v>936</v>
      </c>
      <c r="I19" s="210">
        <v>4.4000000000000004</v>
      </c>
      <c r="J19" s="210">
        <v>8.5399999999999991</v>
      </c>
      <c r="K19" s="176">
        <f t="shared" si="1"/>
        <v>41.184000000000005</v>
      </c>
      <c r="L19" s="177">
        <f t="shared" si="2"/>
        <v>79.934399999999997</v>
      </c>
      <c r="M19" s="209">
        <f t="shared" ref="M19:M22" si="26">$R$18*H19/SUM($H$18:$H$22)</f>
        <v>940.68</v>
      </c>
      <c r="N19" s="211">
        <f t="shared" ref="N19:N25" si="27">P19/M19*100</f>
        <v>4.4543358267115547</v>
      </c>
      <c r="O19" s="211">
        <f t="shared" ref="O19:O25" si="28">Q19/M19*100</f>
        <v>8.540966003323355</v>
      </c>
      <c r="P19" s="176">
        <f t="shared" ref="P19:P22" si="29">$U$18*K19/SUM($K$18:$K$22)</f>
        <v>41.901046254710245</v>
      </c>
      <c r="Q19" s="212">
        <f t="shared" ref="Q19:Q22" si="30">$V$18*L19/SUM($L$18:$L$22)</f>
        <v>80.34315900006213</v>
      </c>
      <c r="R19" s="381"/>
      <c r="S19" s="381"/>
      <c r="T19" s="381"/>
      <c r="U19" s="381"/>
      <c r="V19" s="381"/>
      <c r="X19" s="176">
        <f t="shared" si="8"/>
        <v>941</v>
      </c>
      <c r="Y19" s="210">
        <f t="shared" si="9"/>
        <v>4.45</v>
      </c>
      <c r="Z19" s="210">
        <f t="shared" si="9"/>
        <v>8.5399999999999991</v>
      </c>
      <c r="AC19" s="174" t="s">
        <v>89</v>
      </c>
      <c r="AD19" s="166" t="s">
        <v>88</v>
      </c>
    </row>
    <row r="20" spans="1:31" s="166" customFormat="1" ht="12.75" x14ac:dyDescent="0.2">
      <c r="A20" s="213">
        <v>70055</v>
      </c>
      <c r="B20" s="216" t="s">
        <v>90</v>
      </c>
      <c r="C20" s="118" t="s">
        <v>73</v>
      </c>
      <c r="D20" s="205">
        <v>45872</v>
      </c>
      <c r="E20" s="175"/>
      <c r="F20" s="207" t="s">
        <v>4</v>
      </c>
      <c r="G20" s="208" t="str">
        <f t="shared" si="0"/>
        <v>Pali</v>
      </c>
      <c r="H20" s="209">
        <v>1103</v>
      </c>
      <c r="I20" s="210">
        <v>4.1500000000000004</v>
      </c>
      <c r="J20" s="210">
        <v>8.3000000000000007</v>
      </c>
      <c r="K20" s="176">
        <f t="shared" si="1"/>
        <v>45.774500000000003</v>
      </c>
      <c r="L20" s="177">
        <f t="shared" si="2"/>
        <v>91.549000000000007</v>
      </c>
      <c r="M20" s="209">
        <f t="shared" si="26"/>
        <v>1108.5150000000001</v>
      </c>
      <c r="N20" s="211">
        <f t="shared" si="27"/>
        <v>4.2012485638302151</v>
      </c>
      <c r="O20" s="211">
        <f t="shared" si="28"/>
        <v>8.3009388556889743</v>
      </c>
      <c r="P20" s="176">
        <f t="shared" si="29"/>
        <v>46.571470517342512</v>
      </c>
      <c r="Q20" s="212">
        <f t="shared" si="30"/>
        <v>92.017152356140642</v>
      </c>
      <c r="R20" s="381"/>
      <c r="S20" s="381"/>
      <c r="T20" s="381"/>
      <c r="U20" s="381"/>
      <c r="V20" s="381"/>
      <c r="X20" s="176">
        <f t="shared" si="8"/>
        <v>1109</v>
      </c>
      <c r="Y20" s="210">
        <f t="shared" si="9"/>
        <v>4.2</v>
      </c>
      <c r="Z20" s="210">
        <f t="shared" si="9"/>
        <v>8.3000000000000007</v>
      </c>
    </row>
    <row r="21" spans="1:31" s="166" customFormat="1" ht="12.75" x14ac:dyDescent="0.2">
      <c r="A21" s="213">
        <v>70055</v>
      </c>
      <c r="B21" s="216" t="s">
        <v>90</v>
      </c>
      <c r="C21" s="118" t="s">
        <v>73</v>
      </c>
      <c r="D21" s="205">
        <v>45872</v>
      </c>
      <c r="E21" s="175"/>
      <c r="F21" s="207" t="s">
        <v>6</v>
      </c>
      <c r="G21" s="208" t="str">
        <f t="shared" si="0"/>
        <v>Hisri</v>
      </c>
      <c r="H21" s="209">
        <v>1033</v>
      </c>
      <c r="I21" s="210">
        <v>4.25</v>
      </c>
      <c r="J21" s="210">
        <v>8.32</v>
      </c>
      <c r="K21" s="176">
        <f t="shared" si="1"/>
        <v>43.902500000000003</v>
      </c>
      <c r="L21" s="177">
        <f t="shared" si="2"/>
        <v>85.945599999999999</v>
      </c>
      <c r="M21" s="209">
        <f t="shared" si="26"/>
        <v>1038.165</v>
      </c>
      <c r="N21" s="211">
        <f t="shared" si="27"/>
        <v>4.3024834689827509</v>
      </c>
      <c r="O21" s="211">
        <f t="shared" si="28"/>
        <v>8.3209411179918398</v>
      </c>
      <c r="P21" s="176">
        <f t="shared" si="29"/>
        <v>44.666877505764774</v>
      </c>
      <c r="Q21" s="212">
        <f t="shared" si="30"/>
        <v>86.385098357599972</v>
      </c>
      <c r="R21" s="381"/>
      <c r="S21" s="381"/>
      <c r="T21" s="381"/>
      <c r="U21" s="381"/>
      <c r="V21" s="381"/>
      <c r="X21" s="176">
        <f t="shared" si="8"/>
        <v>1038</v>
      </c>
      <c r="Y21" s="210">
        <f t="shared" si="9"/>
        <v>4.3</v>
      </c>
      <c r="Z21" s="210">
        <f t="shared" si="9"/>
        <v>8.32</v>
      </c>
    </row>
    <row r="22" spans="1:31" s="166" customFormat="1" ht="12.75" x14ac:dyDescent="0.2">
      <c r="A22" s="213">
        <v>70055</v>
      </c>
      <c r="B22" s="216" t="s">
        <v>90</v>
      </c>
      <c r="C22" s="118" t="s">
        <v>73</v>
      </c>
      <c r="D22" s="205">
        <v>45872</v>
      </c>
      <c r="E22" s="175"/>
      <c r="F22" s="207" t="s">
        <v>12</v>
      </c>
      <c r="G22" s="208" t="str">
        <f t="shared" si="0"/>
        <v>Ormanjhi</v>
      </c>
      <c r="H22" s="209">
        <v>1983</v>
      </c>
      <c r="I22" s="210">
        <v>4</v>
      </c>
      <c r="J22" s="210">
        <v>8.39</v>
      </c>
      <c r="K22" s="176">
        <f t="shared" si="1"/>
        <v>79.320000000000007</v>
      </c>
      <c r="L22" s="177">
        <f t="shared" si="2"/>
        <v>166.37370000000001</v>
      </c>
      <c r="M22" s="209">
        <f t="shared" si="26"/>
        <v>1992.915</v>
      </c>
      <c r="N22" s="211">
        <f t="shared" si="27"/>
        <v>4.049396206101413</v>
      </c>
      <c r="O22" s="211">
        <f t="shared" si="28"/>
        <v>8.3909490360518681</v>
      </c>
      <c r="P22" s="176">
        <f t="shared" si="29"/>
        <v>80.701024400825972</v>
      </c>
      <c r="Q22" s="212">
        <f t="shared" si="30"/>
        <v>167.22448198183307</v>
      </c>
      <c r="R22" s="380"/>
      <c r="S22" s="380"/>
      <c r="T22" s="380"/>
      <c r="U22" s="380"/>
      <c r="V22" s="380"/>
      <c r="X22" s="176">
        <f t="shared" si="8"/>
        <v>1993</v>
      </c>
      <c r="Y22" s="210">
        <f t="shared" si="9"/>
        <v>4.05</v>
      </c>
      <c r="Z22" s="210">
        <f t="shared" si="9"/>
        <v>8.39</v>
      </c>
    </row>
    <row r="23" spans="1:31" s="166" customFormat="1" x14ac:dyDescent="0.25">
      <c r="A23" s="220">
        <v>71429</v>
      </c>
      <c r="B23" s="221">
        <v>1023</v>
      </c>
      <c r="C23" s="250" t="s">
        <v>109</v>
      </c>
      <c r="D23" s="229">
        <v>45870</v>
      </c>
      <c r="E23" s="65"/>
      <c r="F23" s="227" t="s">
        <v>89</v>
      </c>
      <c r="G23" s="65" t="str">
        <f t="shared" si="0"/>
        <v>Chanho</v>
      </c>
      <c r="H23" s="65">
        <v>1341.82</v>
      </c>
      <c r="I23" s="65">
        <v>4.1500000000000004</v>
      </c>
      <c r="J23" s="65">
        <v>8.49</v>
      </c>
      <c r="K23" s="176">
        <f t="shared" si="1"/>
        <v>55.68553</v>
      </c>
      <c r="L23" s="176">
        <f t="shared" si="2"/>
        <v>113.920518</v>
      </c>
      <c r="M23" s="209">
        <f>$R$23*H23/SUM($H$23:$H$24)</f>
        <v>1339.1989219543075</v>
      </c>
      <c r="N23" s="211">
        <f t="shared" si="27"/>
        <v>4.069637019434075</v>
      </c>
      <c r="O23" s="211">
        <f t="shared" si="28"/>
        <v>8.255738050673699</v>
      </c>
      <c r="P23" s="176">
        <f>$U$23*K23/SUM($K$23:$K$24)</f>
        <v>54.500535091714539</v>
      </c>
      <c r="Q23" s="212">
        <f>$V$23*L23/SUM($L$23:$L$24)</f>
        <v>110.56075497399374</v>
      </c>
      <c r="R23" s="347">
        <v>2570</v>
      </c>
      <c r="S23" s="347">
        <v>3.6</v>
      </c>
      <c r="T23" s="347">
        <v>8.1300000000000008</v>
      </c>
      <c r="U23" s="347">
        <f>R23*S23%</f>
        <v>92.52000000000001</v>
      </c>
      <c r="V23" s="347">
        <f>R23*T23%</f>
        <v>208.94100000000003</v>
      </c>
      <c r="X23" s="176">
        <f t="shared" si="8"/>
        <v>1339</v>
      </c>
      <c r="Y23" s="210">
        <f t="shared" si="9"/>
        <v>4.07</v>
      </c>
      <c r="Z23" s="210">
        <f t="shared" si="9"/>
        <v>8.26</v>
      </c>
    </row>
    <row r="24" spans="1:31" s="166" customFormat="1" x14ac:dyDescent="0.25">
      <c r="A24" s="220">
        <v>71429</v>
      </c>
      <c r="B24" s="221">
        <v>1023</v>
      </c>
      <c r="C24" s="250" t="s">
        <v>109</v>
      </c>
      <c r="D24" s="229">
        <v>45870</v>
      </c>
      <c r="E24" s="65"/>
      <c r="F24" s="227" t="s">
        <v>8</v>
      </c>
      <c r="G24" s="65" t="str">
        <f t="shared" si="0"/>
        <v>Choria</v>
      </c>
      <c r="H24" s="65">
        <v>1233.21</v>
      </c>
      <c r="I24" s="65">
        <v>3.15</v>
      </c>
      <c r="J24" s="65">
        <v>8.2200000000000006</v>
      </c>
      <c r="K24" s="176">
        <f t="shared" si="1"/>
        <v>38.846115000000005</v>
      </c>
      <c r="L24" s="176">
        <f t="shared" si="2"/>
        <v>101.36986200000001</v>
      </c>
      <c r="M24" s="209">
        <f>$R$23*H24/SUM($H$23:$H$24)</f>
        <v>1230.801078045693</v>
      </c>
      <c r="N24" s="211">
        <f t="shared" ref="N24" si="31">P24/M24*100</f>
        <v>3.0890015930644181</v>
      </c>
      <c r="O24" s="211">
        <f t="shared" ref="O24" si="32">Q24/M24*100</f>
        <v>7.9931880773307178</v>
      </c>
      <c r="P24" s="176">
        <f>$U$23*K24/SUM($K$23:$K$24)</f>
        <v>38.019464908285485</v>
      </c>
      <c r="Q24" s="212">
        <f>$V$23*L24/SUM($L$23:$L$24)</f>
        <v>98.380245026006278</v>
      </c>
      <c r="R24" s="348"/>
      <c r="S24" s="348"/>
      <c r="T24" s="348"/>
      <c r="U24" s="348"/>
      <c r="V24" s="348"/>
      <c r="X24" s="176">
        <f t="shared" si="8"/>
        <v>1231</v>
      </c>
      <c r="Y24" s="210">
        <f t="shared" si="9"/>
        <v>3.09</v>
      </c>
      <c r="Z24" s="210">
        <f t="shared" si="9"/>
        <v>7.99</v>
      </c>
    </row>
    <row r="25" spans="1:31" s="166" customFormat="1" x14ac:dyDescent="0.25">
      <c r="A25" s="220">
        <v>71429</v>
      </c>
      <c r="B25" s="221">
        <v>1023</v>
      </c>
      <c r="C25" s="250" t="s">
        <v>77</v>
      </c>
      <c r="D25" s="229">
        <v>45870</v>
      </c>
      <c r="E25" s="65"/>
      <c r="F25" s="227" t="s">
        <v>14</v>
      </c>
      <c r="G25" s="65" t="str">
        <f t="shared" si="0"/>
        <v>Piragutu</v>
      </c>
      <c r="H25" s="65">
        <v>956.25</v>
      </c>
      <c r="I25" s="65">
        <v>4.2</v>
      </c>
      <c r="J25" s="65">
        <v>8.4</v>
      </c>
      <c r="K25" s="176">
        <f t="shared" si="1"/>
        <v>40.162500000000001</v>
      </c>
      <c r="L25" s="176">
        <f t="shared" si="2"/>
        <v>80.325000000000003</v>
      </c>
      <c r="M25" s="209">
        <f>$R$25*H25/SUM($H$25:$H$27)</f>
        <v>960.72248964841185</v>
      </c>
      <c r="N25" s="211">
        <f t="shared" si="27"/>
        <v>4.274839027532078</v>
      </c>
      <c r="O25" s="211">
        <f t="shared" si="28"/>
        <v>8.3617391176640155</v>
      </c>
      <c r="P25" s="176">
        <f>$U$25*K25/SUM($K$25:$K$27)</f>
        <v>41.069339933768141</v>
      </c>
      <c r="Q25" s="212">
        <f>$V$25*L25/SUM($L$25:$L$27)</f>
        <v>80.333108229126864</v>
      </c>
      <c r="R25" s="347">
        <v>4120</v>
      </c>
      <c r="S25" s="347">
        <v>4.2</v>
      </c>
      <c r="T25" s="347">
        <v>8.3699999999999992</v>
      </c>
      <c r="U25" s="347">
        <f>R25*S25%</f>
        <v>173.04000000000002</v>
      </c>
      <c r="V25" s="347">
        <f>R25*T25%</f>
        <v>344.84399999999999</v>
      </c>
      <c r="X25" s="176">
        <f t="shared" si="8"/>
        <v>961</v>
      </c>
      <c r="Y25" s="210">
        <f t="shared" si="9"/>
        <v>4.2699999999999996</v>
      </c>
      <c r="Z25" s="210">
        <f t="shared" si="9"/>
        <v>8.36</v>
      </c>
    </row>
    <row r="26" spans="1:31" s="166" customFormat="1" x14ac:dyDescent="0.25">
      <c r="A26" s="220">
        <v>71429</v>
      </c>
      <c r="B26" s="221">
        <v>1023</v>
      </c>
      <c r="C26" s="250" t="s">
        <v>77</v>
      </c>
      <c r="D26" s="229">
        <v>45870</v>
      </c>
      <c r="E26" s="65"/>
      <c r="F26" s="227" t="s">
        <v>4</v>
      </c>
      <c r="G26" s="65" t="str">
        <f t="shared" si="0"/>
        <v>Pali</v>
      </c>
      <c r="H26" s="65">
        <v>2182.5700000000002</v>
      </c>
      <c r="I26" s="65">
        <v>4.1500000000000004</v>
      </c>
      <c r="J26" s="65">
        <v>8.42</v>
      </c>
      <c r="K26" s="176">
        <f t="shared" si="1"/>
        <v>90.576655000000017</v>
      </c>
      <c r="L26" s="176">
        <f t="shared" si="2"/>
        <v>183.77239400000002</v>
      </c>
      <c r="M26" s="209">
        <f t="shared" ref="M26:M27" si="33">$R$25*H26/SUM($H$25:$H$27)</f>
        <v>2192.7781273013693</v>
      </c>
      <c r="N26" s="211">
        <f t="shared" ref="N26:N27" si="34">P26/M26*100</f>
        <v>4.2239480867281261</v>
      </c>
      <c r="O26" s="211">
        <f t="shared" ref="O26:O27" si="35">Q26/M26*100</f>
        <v>8.3816480203251196</v>
      </c>
      <c r="P26" s="176">
        <f t="shared" ref="P26:P27" si="36">$U$25*K26/SUM($K$25:$K$27)</f>
        <v>92.621809754339012</v>
      </c>
      <c r="Q26" s="212">
        <f t="shared" ref="Q26:Q27" si="37">$V$25*L26/SUM($L$25:$L$27)</f>
        <v>183.79094449707745</v>
      </c>
      <c r="R26" s="349"/>
      <c r="S26" s="349"/>
      <c r="T26" s="349"/>
      <c r="U26" s="349"/>
      <c r="V26" s="349"/>
      <c r="X26" s="176">
        <f t="shared" si="8"/>
        <v>2193</v>
      </c>
      <c r="Y26" s="210">
        <f t="shared" si="9"/>
        <v>4.22</v>
      </c>
      <c r="Z26" s="210">
        <f t="shared" si="9"/>
        <v>8.3800000000000008</v>
      </c>
    </row>
    <row r="27" spans="1:31" s="166" customFormat="1" x14ac:dyDescent="0.25">
      <c r="A27" s="220">
        <v>71429</v>
      </c>
      <c r="B27" s="221">
        <v>1023</v>
      </c>
      <c r="C27" s="250" t="s">
        <v>77</v>
      </c>
      <c r="D27" s="229">
        <v>45870</v>
      </c>
      <c r="E27" s="65"/>
      <c r="F27" s="227" t="s">
        <v>12</v>
      </c>
      <c r="G27" s="65" t="str">
        <f t="shared" si="0"/>
        <v>Ormanjhi</v>
      </c>
      <c r="H27" s="65">
        <v>962</v>
      </c>
      <c r="I27" s="65">
        <v>4</v>
      </c>
      <c r="J27" s="65">
        <v>8.39</v>
      </c>
      <c r="K27" s="176">
        <f t="shared" si="1"/>
        <v>38.480000000000004</v>
      </c>
      <c r="L27" s="176">
        <f t="shared" si="2"/>
        <v>80.711799999999997</v>
      </c>
      <c r="M27" s="209">
        <f t="shared" si="33"/>
        <v>966.49938305021931</v>
      </c>
      <c r="N27" s="211">
        <f t="shared" si="34"/>
        <v>4.0712752643162649</v>
      </c>
      <c r="O27" s="211">
        <f t="shared" si="35"/>
        <v>8.3517846663334616</v>
      </c>
      <c r="P27" s="176">
        <f t="shared" si="36"/>
        <v>39.348850311892889</v>
      </c>
      <c r="Q27" s="212">
        <f t="shared" si="37"/>
        <v>80.719947273795725</v>
      </c>
      <c r="R27" s="348"/>
      <c r="S27" s="348"/>
      <c r="T27" s="348"/>
      <c r="U27" s="348"/>
      <c r="V27" s="348"/>
      <c r="X27" s="176">
        <f t="shared" si="8"/>
        <v>966</v>
      </c>
      <c r="Y27" s="210">
        <f t="shared" si="9"/>
        <v>4.07</v>
      </c>
      <c r="Z27" s="210">
        <f t="shared" si="9"/>
        <v>8.35</v>
      </c>
    </row>
    <row r="28" spans="1:31" s="166" customFormat="1" ht="12.75" x14ac:dyDescent="0.2">
      <c r="A28" s="213">
        <v>71430</v>
      </c>
      <c r="B28" s="213">
        <v>1023</v>
      </c>
      <c r="C28" s="118" t="s">
        <v>109</v>
      </c>
      <c r="D28" s="205">
        <v>45873</v>
      </c>
      <c r="E28" s="214"/>
      <c r="F28" s="207" t="s">
        <v>4</v>
      </c>
      <c r="G28" s="208" t="str">
        <f t="shared" si="0"/>
        <v>Pali</v>
      </c>
      <c r="H28" s="209">
        <v>1103</v>
      </c>
      <c r="I28" s="210">
        <v>4.1500000000000004</v>
      </c>
      <c r="J28" s="210">
        <v>8.3000000000000007</v>
      </c>
      <c r="K28" s="176">
        <f t="shared" si="1"/>
        <v>45.774500000000003</v>
      </c>
      <c r="L28" s="177">
        <f t="shared" si="2"/>
        <v>91.549000000000007</v>
      </c>
      <c r="M28" s="209">
        <f>$R$28*H28/SUM($H$28:$H$31)</f>
        <v>1105.6414642490593</v>
      </c>
      <c r="N28" s="211">
        <f t="shared" si="24"/>
        <v>4.1517932394679535</v>
      </c>
      <c r="O28" s="211">
        <f t="shared" si="25"/>
        <v>8.2266451597145611</v>
      </c>
      <c r="P28" s="176">
        <f>$U$28*K28/SUM($K$28:$K$31)</f>
        <v>45.903947565446934</v>
      </c>
      <c r="Q28" s="212">
        <f>$V$28*L28/SUM($L$28:$L$31)</f>
        <v>90.957200002442434</v>
      </c>
      <c r="R28" s="379">
        <v>2930</v>
      </c>
      <c r="S28" s="379">
        <v>4</v>
      </c>
      <c r="T28" s="379">
        <v>8.33</v>
      </c>
      <c r="U28" s="379">
        <f>R28*S28%</f>
        <v>117.2</v>
      </c>
      <c r="V28" s="379">
        <f>R28*T28%</f>
        <v>244.06899999999999</v>
      </c>
      <c r="X28" s="176">
        <f t="shared" si="8"/>
        <v>1106</v>
      </c>
      <c r="Y28" s="210">
        <f t="shared" si="9"/>
        <v>4.1500000000000004</v>
      </c>
      <c r="Z28" s="210">
        <f t="shared" si="9"/>
        <v>8.23</v>
      </c>
    </row>
    <row r="29" spans="1:31" s="166" customFormat="1" x14ac:dyDescent="0.25">
      <c r="A29" s="213">
        <v>71430</v>
      </c>
      <c r="B29" s="213">
        <v>1023</v>
      </c>
      <c r="C29" s="118" t="s">
        <v>109</v>
      </c>
      <c r="D29" s="205">
        <v>45873</v>
      </c>
      <c r="E29" s="214"/>
      <c r="F29" s="207" t="s">
        <v>6</v>
      </c>
      <c r="G29" s="208" t="str">
        <f t="shared" si="0"/>
        <v>Hisri</v>
      </c>
      <c r="H29" s="209">
        <v>300</v>
      </c>
      <c r="I29" s="210">
        <v>4.2</v>
      </c>
      <c r="J29" s="210">
        <v>8.3699999999999992</v>
      </c>
      <c r="K29" s="176">
        <f t="shared" si="1"/>
        <v>12.600000000000001</v>
      </c>
      <c r="L29" s="177">
        <f t="shared" si="2"/>
        <v>25.11</v>
      </c>
      <c r="M29" s="209">
        <f t="shared" ref="M29:M31" si="38">$R$28*H29/SUM($H$28:$H$31)</f>
        <v>300.71843995894631</v>
      </c>
      <c r="N29" s="211">
        <f t="shared" ref="N29:N31" si="39">P29/M29*100</f>
        <v>4.2018148447627484</v>
      </c>
      <c r="O29" s="211">
        <f t="shared" ref="O29:O31" si="40">Q29/M29*100</f>
        <v>8.2960265044350443</v>
      </c>
      <c r="P29" s="176">
        <f t="shared" ref="P29:P31" si="41">$U$28*K29/SUM($K$28:$K$31)</f>
        <v>12.635632051133959</v>
      </c>
      <c r="Q29" s="212">
        <f t="shared" ref="Q29:Q31" si="42">$V$28*L29/SUM($L$28:$L$31)</f>
        <v>24.947681482717773</v>
      </c>
      <c r="R29" s="381"/>
      <c r="S29" s="381"/>
      <c r="T29" s="381"/>
      <c r="U29" s="381"/>
      <c r="V29" s="381"/>
      <c r="X29" s="176">
        <f t="shared" si="8"/>
        <v>301</v>
      </c>
      <c r="Y29" s="210">
        <f t="shared" si="9"/>
        <v>4.2</v>
      </c>
      <c r="Z29" s="210">
        <f t="shared" si="9"/>
        <v>8.3000000000000007</v>
      </c>
      <c r="AC29" s="109">
        <v>5910</v>
      </c>
      <c r="AD29" s="109">
        <v>3.85</v>
      </c>
      <c r="AE29" s="109">
        <v>8.0500000000000007</v>
      </c>
    </row>
    <row r="30" spans="1:31" s="166" customFormat="1" ht="12.75" x14ac:dyDescent="0.2">
      <c r="A30" s="213">
        <v>71430</v>
      </c>
      <c r="B30" s="213">
        <v>1023</v>
      </c>
      <c r="C30" s="118" t="s">
        <v>109</v>
      </c>
      <c r="D30" s="205">
        <v>45873</v>
      </c>
      <c r="E30" s="214"/>
      <c r="F30" s="207" t="s">
        <v>8</v>
      </c>
      <c r="G30" s="208" t="str">
        <f t="shared" si="0"/>
        <v>Choria</v>
      </c>
      <c r="H30" s="209">
        <v>510</v>
      </c>
      <c r="I30" s="210">
        <v>3.35</v>
      </c>
      <c r="J30" s="210">
        <v>8.5</v>
      </c>
      <c r="K30" s="176">
        <f t="shared" si="1"/>
        <v>17.085000000000001</v>
      </c>
      <c r="L30" s="177">
        <f t="shared" si="2"/>
        <v>43.35</v>
      </c>
      <c r="M30" s="209">
        <f t="shared" si="38"/>
        <v>511.22134793020871</v>
      </c>
      <c r="N30" s="211">
        <f t="shared" si="39"/>
        <v>3.3514475547512399</v>
      </c>
      <c r="O30" s="211">
        <f t="shared" si="40"/>
        <v>8.424877573201659</v>
      </c>
      <c r="P30" s="176">
        <f t="shared" si="41"/>
        <v>17.133315364573306</v>
      </c>
      <c r="Q30" s="212">
        <f t="shared" si="42"/>
        <v>43.069772691191375</v>
      </c>
      <c r="R30" s="381"/>
      <c r="S30" s="381"/>
      <c r="T30" s="381"/>
      <c r="U30" s="381"/>
      <c r="V30" s="381"/>
      <c r="X30" s="176">
        <f t="shared" si="8"/>
        <v>511</v>
      </c>
      <c r="Y30" s="210">
        <f t="shared" si="9"/>
        <v>3.35</v>
      </c>
      <c r="Z30" s="210">
        <f t="shared" si="9"/>
        <v>8.42</v>
      </c>
    </row>
    <row r="31" spans="1:31" s="166" customFormat="1" ht="12.75" x14ac:dyDescent="0.2">
      <c r="A31" s="213">
        <v>71430</v>
      </c>
      <c r="B31" s="213">
        <v>1023</v>
      </c>
      <c r="C31" s="118" t="s">
        <v>109</v>
      </c>
      <c r="D31" s="205">
        <v>45873</v>
      </c>
      <c r="E31" s="214"/>
      <c r="F31" s="207" t="s">
        <v>12</v>
      </c>
      <c r="G31" s="208" t="str">
        <f t="shared" si="0"/>
        <v>Ormanjhi</v>
      </c>
      <c r="H31" s="209">
        <v>1010</v>
      </c>
      <c r="I31" s="210">
        <v>4.0999999999999996</v>
      </c>
      <c r="J31" s="210">
        <v>8.48</v>
      </c>
      <c r="K31" s="176">
        <f t="shared" si="1"/>
        <v>41.41</v>
      </c>
      <c r="L31" s="177">
        <f t="shared" si="2"/>
        <v>85.647999999999996</v>
      </c>
      <c r="M31" s="209">
        <f t="shared" si="38"/>
        <v>1012.4187478617858</v>
      </c>
      <c r="N31" s="211">
        <f t="shared" si="39"/>
        <v>4.1017716341731587</v>
      </c>
      <c r="O31" s="211">
        <f t="shared" si="40"/>
        <v>8.4050543318529485</v>
      </c>
      <c r="P31" s="176">
        <f t="shared" si="41"/>
        <v>41.527105018845802</v>
      </c>
      <c r="Q31" s="212">
        <f t="shared" si="42"/>
        <v>85.09434582364841</v>
      </c>
      <c r="R31" s="380"/>
      <c r="S31" s="380"/>
      <c r="T31" s="380"/>
      <c r="U31" s="380"/>
      <c r="V31" s="380"/>
      <c r="X31" s="176">
        <f t="shared" si="8"/>
        <v>1012</v>
      </c>
      <c r="Y31" s="210">
        <f t="shared" si="9"/>
        <v>4.0999999999999996</v>
      </c>
      <c r="Z31" s="210">
        <f t="shared" si="9"/>
        <v>8.41</v>
      </c>
    </row>
    <row r="32" spans="1:31" s="166" customFormat="1" ht="12.75" x14ac:dyDescent="0.2">
      <c r="A32" s="213">
        <v>71399</v>
      </c>
      <c r="B32" s="213">
        <v>9944</v>
      </c>
      <c r="C32" s="118" t="s">
        <v>73</v>
      </c>
      <c r="D32" s="205">
        <v>45873</v>
      </c>
      <c r="E32" s="214"/>
      <c r="F32" s="207" t="s">
        <v>78</v>
      </c>
      <c r="G32" s="208" t="str">
        <f t="shared" si="0"/>
        <v>Bhandra</v>
      </c>
      <c r="H32" s="209">
        <v>6600</v>
      </c>
      <c r="I32" s="210">
        <v>4.2</v>
      </c>
      <c r="J32" s="210">
        <v>8.31</v>
      </c>
      <c r="K32" s="176">
        <f t="shared" si="1"/>
        <v>277.20000000000005</v>
      </c>
      <c r="L32" s="177">
        <f t="shared" si="2"/>
        <v>548.46</v>
      </c>
      <c r="M32" s="209">
        <f>$R$32*H32/SUM($H$32)</f>
        <v>6610</v>
      </c>
      <c r="N32" s="211">
        <f t="shared" si="24"/>
        <v>4.3</v>
      </c>
      <c r="O32" s="211">
        <f t="shared" si="25"/>
        <v>8.3299999999999983</v>
      </c>
      <c r="P32" s="176">
        <f>$U$32*K32/SUM($K$32)</f>
        <v>284.22999999999996</v>
      </c>
      <c r="Q32" s="212">
        <f>$V$32*L32/SUM($L$32)</f>
        <v>550.61299999999994</v>
      </c>
      <c r="R32" s="236">
        <v>6610</v>
      </c>
      <c r="S32" s="236">
        <v>4.3</v>
      </c>
      <c r="T32" s="236">
        <v>8.33</v>
      </c>
      <c r="U32" s="238">
        <f>R32*S32%</f>
        <v>284.22999999999996</v>
      </c>
      <c r="V32" s="238">
        <f>R32*T32%</f>
        <v>550.61299999999994</v>
      </c>
      <c r="X32" s="176">
        <f t="shared" si="8"/>
        <v>6610</v>
      </c>
      <c r="Y32" s="210">
        <f t="shared" si="9"/>
        <v>4.3</v>
      </c>
      <c r="Z32" s="210">
        <f t="shared" si="9"/>
        <v>8.33</v>
      </c>
    </row>
    <row r="33" spans="1:26" s="166" customFormat="1" ht="12.75" x14ac:dyDescent="0.2">
      <c r="A33" s="213">
        <v>70316</v>
      </c>
      <c r="B33" s="213">
        <v>8504</v>
      </c>
      <c r="C33" s="118" t="s">
        <v>73</v>
      </c>
      <c r="D33" s="205">
        <v>45873</v>
      </c>
      <c r="E33" s="214"/>
      <c r="F33" s="207" t="s">
        <v>89</v>
      </c>
      <c r="G33" s="208" t="str">
        <f t="shared" si="0"/>
        <v>Chanho</v>
      </c>
      <c r="H33" s="209">
        <v>1362</v>
      </c>
      <c r="I33" s="210">
        <v>4.0999999999999996</v>
      </c>
      <c r="J33" s="210">
        <v>8.35</v>
      </c>
      <c r="K33" s="176">
        <f t="shared" si="1"/>
        <v>55.841999999999992</v>
      </c>
      <c r="L33" s="177">
        <f t="shared" si="2"/>
        <v>113.72699999999999</v>
      </c>
      <c r="M33" s="209">
        <f>$R$33*H33/SUM($H$33:$H$36)</f>
        <v>1361.0278372591006</v>
      </c>
      <c r="N33" s="211">
        <f t="shared" si="24"/>
        <v>4.1500000000000004</v>
      </c>
      <c r="O33" s="211">
        <f t="shared" si="25"/>
        <v>8.3640938521535055</v>
      </c>
      <c r="P33" s="176">
        <f>$U$33*K33/SUM($K$33:$K$36)</f>
        <v>56.482655246252676</v>
      </c>
      <c r="Q33" s="212">
        <f>$V$33*L33/SUM($L$33:$L$36)</f>
        <v>113.83764566228625</v>
      </c>
      <c r="R33" s="379">
        <v>5600</v>
      </c>
      <c r="S33" s="379">
        <v>4.1500000000000004</v>
      </c>
      <c r="T33" s="379">
        <v>8.33</v>
      </c>
      <c r="U33" s="391">
        <f>R33*S33%</f>
        <v>232.4</v>
      </c>
      <c r="V33" s="391">
        <f>R33*T33%</f>
        <v>466.48</v>
      </c>
      <c r="X33" s="176">
        <f t="shared" si="8"/>
        <v>1361</v>
      </c>
      <c r="Y33" s="210">
        <f t="shared" ref="Y33:Z46" si="43">ROUND(N33,2)</f>
        <v>4.1500000000000004</v>
      </c>
      <c r="Z33" s="210">
        <f t="shared" si="43"/>
        <v>8.36</v>
      </c>
    </row>
    <row r="34" spans="1:26" s="166" customFormat="1" ht="12.75" x14ac:dyDescent="0.2">
      <c r="A34" s="213">
        <v>70316</v>
      </c>
      <c r="B34" s="213">
        <v>8504</v>
      </c>
      <c r="C34" s="118" t="s">
        <v>73</v>
      </c>
      <c r="D34" s="205">
        <v>45873</v>
      </c>
      <c r="E34" s="214"/>
      <c r="F34" s="207" t="s">
        <v>14</v>
      </c>
      <c r="G34" s="208" t="str">
        <f t="shared" si="0"/>
        <v>Piragutu</v>
      </c>
      <c r="H34" s="209">
        <v>957</v>
      </c>
      <c r="I34" s="210">
        <v>4.0999999999999996</v>
      </c>
      <c r="J34" s="210">
        <v>8.23</v>
      </c>
      <c r="K34" s="176">
        <f t="shared" si="1"/>
        <v>39.236999999999995</v>
      </c>
      <c r="L34" s="177">
        <f t="shared" si="2"/>
        <v>78.761099999999999</v>
      </c>
      <c r="M34" s="209">
        <f t="shared" ref="M34:M36" si="44">$R$33*H34/SUM($H$33:$H$36)</f>
        <v>956.31691648822266</v>
      </c>
      <c r="N34" s="211">
        <f t="shared" ref="N34:N36" si="45">P34/M34*100</f>
        <v>4.1500000000000004</v>
      </c>
      <c r="O34" s="211">
        <f t="shared" ref="O34:O36" si="46">Q34/M34*100</f>
        <v>8.2438913057752519</v>
      </c>
      <c r="P34" s="176">
        <f t="shared" ref="P34:P36" si="47">$U$33*K34/SUM($K$33:$K$36)</f>
        <v>39.687152034261246</v>
      </c>
      <c r="Q34" s="212">
        <f t="shared" ref="Q34:Q36" si="48">$V$33*L34/SUM($L$33:$L$36)</f>
        <v>78.837727134030558</v>
      </c>
      <c r="R34" s="381"/>
      <c r="S34" s="381"/>
      <c r="T34" s="381"/>
      <c r="U34" s="389"/>
      <c r="V34" s="389"/>
      <c r="X34" s="176">
        <f t="shared" si="8"/>
        <v>956</v>
      </c>
      <c r="Y34" s="210">
        <f t="shared" si="43"/>
        <v>4.1500000000000004</v>
      </c>
      <c r="Z34" s="210">
        <f t="shared" si="43"/>
        <v>8.24</v>
      </c>
    </row>
    <row r="35" spans="1:26" s="166" customFormat="1" ht="12.75" x14ac:dyDescent="0.2">
      <c r="A35" s="213">
        <v>70316</v>
      </c>
      <c r="B35" s="213">
        <v>8504</v>
      </c>
      <c r="C35" s="118" t="s">
        <v>73</v>
      </c>
      <c r="D35" s="205">
        <v>45873</v>
      </c>
      <c r="E35" s="214"/>
      <c r="F35" s="207" t="s">
        <v>6</v>
      </c>
      <c r="G35" s="208" t="str">
        <f t="shared" si="0"/>
        <v>Hisri</v>
      </c>
      <c r="H35" s="209">
        <v>2275</v>
      </c>
      <c r="I35" s="210">
        <v>4.0999999999999996</v>
      </c>
      <c r="J35" s="210">
        <v>8.2899999999999991</v>
      </c>
      <c r="K35" s="176">
        <f t="shared" si="1"/>
        <v>93.274999999999991</v>
      </c>
      <c r="L35" s="177">
        <f t="shared" si="2"/>
        <v>188.59749999999997</v>
      </c>
      <c r="M35" s="209">
        <f t="shared" si="44"/>
        <v>2273.3761598857959</v>
      </c>
      <c r="N35" s="211">
        <f t="shared" si="45"/>
        <v>4.1499999999999995</v>
      </c>
      <c r="O35" s="211">
        <f t="shared" si="46"/>
        <v>8.3039925789643778</v>
      </c>
      <c r="P35" s="176">
        <f t="shared" si="47"/>
        <v>94.345110635260525</v>
      </c>
      <c r="Q35" s="212">
        <f t="shared" si="48"/>
        <v>188.78098760886184</v>
      </c>
      <c r="R35" s="381"/>
      <c r="S35" s="381"/>
      <c r="T35" s="381"/>
      <c r="U35" s="389"/>
      <c r="V35" s="389"/>
      <c r="X35" s="176">
        <f t="shared" si="8"/>
        <v>2273</v>
      </c>
      <c r="Y35" s="210">
        <f t="shared" si="43"/>
        <v>4.1500000000000004</v>
      </c>
      <c r="Z35" s="210">
        <f t="shared" si="43"/>
        <v>8.3000000000000007</v>
      </c>
    </row>
    <row r="36" spans="1:26" s="166" customFormat="1" ht="12.75" x14ac:dyDescent="0.2">
      <c r="A36" s="213">
        <v>70316</v>
      </c>
      <c r="B36" s="213">
        <v>8504</v>
      </c>
      <c r="C36" s="118" t="s">
        <v>73</v>
      </c>
      <c r="D36" s="205">
        <v>45873</v>
      </c>
      <c r="E36" s="214"/>
      <c r="F36" s="207" t="s">
        <v>4</v>
      </c>
      <c r="G36" s="208" t="str">
        <f t="shared" si="0"/>
        <v>Pali</v>
      </c>
      <c r="H36" s="209">
        <v>1010</v>
      </c>
      <c r="I36" s="210">
        <v>4.0999999999999996</v>
      </c>
      <c r="J36" s="210">
        <v>8.41</v>
      </c>
      <c r="K36" s="176">
        <f t="shared" si="1"/>
        <v>41.41</v>
      </c>
      <c r="L36" s="177">
        <f t="shared" si="2"/>
        <v>84.941000000000003</v>
      </c>
      <c r="M36" s="209">
        <f t="shared" si="44"/>
        <v>1009.2790863668808</v>
      </c>
      <c r="N36" s="211">
        <f t="shared" si="45"/>
        <v>4.1499999999999995</v>
      </c>
      <c r="O36" s="211">
        <f t="shared" si="46"/>
        <v>8.4241951253426297</v>
      </c>
      <c r="P36" s="176">
        <f t="shared" si="47"/>
        <v>41.885082084225552</v>
      </c>
      <c r="Q36" s="212">
        <f t="shared" si="48"/>
        <v>85.023639594821418</v>
      </c>
      <c r="R36" s="380"/>
      <c r="S36" s="380"/>
      <c r="T36" s="380"/>
      <c r="U36" s="390"/>
      <c r="V36" s="390"/>
      <c r="X36" s="176">
        <f t="shared" si="8"/>
        <v>1009</v>
      </c>
      <c r="Y36" s="210">
        <f t="shared" si="43"/>
        <v>4.1500000000000004</v>
      </c>
      <c r="Z36" s="210">
        <f t="shared" si="43"/>
        <v>8.42</v>
      </c>
    </row>
    <row r="37" spans="1:26" s="166" customFormat="1" ht="12.75" x14ac:dyDescent="0.2">
      <c r="A37" s="213">
        <v>71431</v>
      </c>
      <c r="B37" s="213">
        <v>1023</v>
      </c>
      <c r="C37" s="235" t="s">
        <v>73</v>
      </c>
      <c r="D37" s="218">
        <v>45874</v>
      </c>
      <c r="E37" s="214"/>
      <c r="F37" s="207" t="s">
        <v>4</v>
      </c>
      <c r="G37" s="208" t="str">
        <f t="shared" si="0"/>
        <v>Pali</v>
      </c>
      <c r="H37" s="209">
        <v>1328</v>
      </c>
      <c r="I37" s="210">
        <v>4.1500000000000004</v>
      </c>
      <c r="J37" s="210">
        <v>8.42</v>
      </c>
      <c r="K37" s="176">
        <f t="shared" si="1"/>
        <v>55.112000000000002</v>
      </c>
      <c r="L37" s="177">
        <f t="shared" si="2"/>
        <v>111.8176</v>
      </c>
      <c r="M37" s="209">
        <f>$R$37*H37/SUM($H$37:$H$40)</f>
        <v>1334.4051446945339</v>
      </c>
      <c r="N37" s="211">
        <f t="shared" si="24"/>
        <v>4.1729006514102522</v>
      </c>
      <c r="O37" s="211">
        <f t="shared" si="25"/>
        <v>8.4690364286844559</v>
      </c>
      <c r="P37" s="176">
        <f>$U$37*K37/SUM($K$37:$K$40)</f>
        <v>55.683400975410123</v>
      </c>
      <c r="Q37" s="212">
        <f>$V$37*L37/SUM($L$37:$L$40)</f>
        <v>113.01125781041959</v>
      </c>
      <c r="R37" s="379">
        <v>3750</v>
      </c>
      <c r="S37" s="379">
        <v>3.95</v>
      </c>
      <c r="T37" s="379">
        <v>8.3800000000000008</v>
      </c>
      <c r="U37" s="379">
        <f>R37*S37%</f>
        <v>148.125</v>
      </c>
      <c r="V37" s="379">
        <f>R37*T37%</f>
        <v>314.25000000000006</v>
      </c>
      <c r="X37" s="176">
        <f t="shared" si="8"/>
        <v>1334</v>
      </c>
      <c r="Y37" s="210">
        <f t="shared" si="43"/>
        <v>4.17</v>
      </c>
      <c r="Z37" s="210">
        <f t="shared" si="43"/>
        <v>8.4700000000000006</v>
      </c>
    </row>
    <row r="38" spans="1:26" s="166" customFormat="1" ht="12.75" x14ac:dyDescent="0.2">
      <c r="A38" s="213">
        <v>71431</v>
      </c>
      <c r="B38" s="213">
        <v>1023</v>
      </c>
      <c r="C38" s="235" t="s">
        <v>73</v>
      </c>
      <c r="D38" s="218">
        <v>45874</v>
      </c>
      <c r="E38" s="214"/>
      <c r="F38" s="207" t="s">
        <v>6</v>
      </c>
      <c r="G38" s="208" t="str">
        <f t="shared" si="0"/>
        <v>Hisri</v>
      </c>
      <c r="H38" s="209">
        <v>356</v>
      </c>
      <c r="I38" s="210">
        <v>4.1500000000000004</v>
      </c>
      <c r="J38" s="210">
        <v>8.2899999999999991</v>
      </c>
      <c r="K38" s="176">
        <f t="shared" si="1"/>
        <v>14.774000000000001</v>
      </c>
      <c r="L38" s="177">
        <f t="shared" si="2"/>
        <v>29.512399999999996</v>
      </c>
      <c r="M38" s="209">
        <f t="shared" ref="M38:M40" si="49">$R$37*H38/SUM($H$37:$H$40)</f>
        <v>357.71704180064307</v>
      </c>
      <c r="N38" s="211">
        <f t="shared" ref="N38:N40" si="50">P38/M38*100</f>
        <v>4.1729006514102531</v>
      </c>
      <c r="O38" s="211">
        <f t="shared" ref="O38:O40" si="51">Q38/M38*100</f>
        <v>8.3382793341798251</v>
      </c>
      <c r="P38" s="176">
        <f t="shared" ref="P38:P40" si="52">$U$37*K38/SUM($K$37:$K$40)</f>
        <v>14.927176767504521</v>
      </c>
      <c r="Q38" s="212">
        <f t="shared" ref="Q38:Q40" si="53">$V$37*L38/SUM($L$37:$L$40)</f>
        <v>29.82744617130243</v>
      </c>
      <c r="R38" s="381"/>
      <c r="S38" s="381"/>
      <c r="T38" s="381"/>
      <c r="U38" s="381"/>
      <c r="V38" s="381"/>
      <c r="X38" s="176">
        <f t="shared" si="8"/>
        <v>358</v>
      </c>
      <c r="Y38" s="210">
        <f t="shared" si="43"/>
        <v>4.17</v>
      </c>
      <c r="Z38" s="210">
        <f t="shared" si="43"/>
        <v>8.34</v>
      </c>
    </row>
    <row r="39" spans="1:26" s="166" customFormat="1" ht="12.75" x14ac:dyDescent="0.2">
      <c r="A39" s="213">
        <v>71431</v>
      </c>
      <c r="B39" s="213">
        <v>1023</v>
      </c>
      <c r="C39" s="235" t="s">
        <v>73</v>
      </c>
      <c r="D39" s="218">
        <v>45874</v>
      </c>
      <c r="E39" s="232"/>
      <c r="F39" s="207" t="s">
        <v>8</v>
      </c>
      <c r="G39" s="208" t="str">
        <f t="shared" si="0"/>
        <v>Choria</v>
      </c>
      <c r="H39" s="209">
        <v>659</v>
      </c>
      <c r="I39" s="210">
        <v>3</v>
      </c>
      <c r="J39" s="210">
        <v>8.01</v>
      </c>
      <c r="K39" s="176">
        <f t="shared" si="1"/>
        <v>19.77</v>
      </c>
      <c r="L39" s="177">
        <f t="shared" si="2"/>
        <v>52.785900000000005</v>
      </c>
      <c r="M39" s="209">
        <f t="shared" si="49"/>
        <v>662.17845659163982</v>
      </c>
      <c r="N39" s="211">
        <f t="shared" si="50"/>
        <v>3.016554687766448</v>
      </c>
      <c r="O39" s="211">
        <f t="shared" si="51"/>
        <v>8.0566486690929331</v>
      </c>
      <c r="P39" s="176">
        <f t="shared" si="52"/>
        <v>19.974975273694625</v>
      </c>
      <c r="Q39" s="212">
        <f t="shared" si="53"/>
        <v>53.349391810010481</v>
      </c>
      <c r="R39" s="381"/>
      <c r="S39" s="381"/>
      <c r="T39" s="381"/>
      <c r="U39" s="381"/>
      <c r="V39" s="381"/>
      <c r="X39" s="176">
        <f t="shared" si="8"/>
        <v>662</v>
      </c>
      <c r="Y39" s="210">
        <f t="shared" si="43"/>
        <v>3.02</v>
      </c>
      <c r="Z39" s="210">
        <f t="shared" si="43"/>
        <v>8.06</v>
      </c>
    </row>
    <row r="40" spans="1:26" s="166" customFormat="1" ht="12.75" x14ac:dyDescent="0.2">
      <c r="A40" s="213">
        <v>71431</v>
      </c>
      <c r="B40" s="213">
        <v>1023</v>
      </c>
      <c r="C40" s="235" t="s">
        <v>73</v>
      </c>
      <c r="D40" s="218">
        <v>45874</v>
      </c>
      <c r="E40" s="233"/>
      <c r="F40" s="207" t="s">
        <v>12</v>
      </c>
      <c r="G40" s="208" t="str">
        <f t="shared" si="0"/>
        <v>Ormanjhi</v>
      </c>
      <c r="H40" s="209">
        <v>1389</v>
      </c>
      <c r="I40" s="210">
        <v>4.0999999999999996</v>
      </c>
      <c r="J40" s="210">
        <v>8.41</v>
      </c>
      <c r="K40" s="176">
        <f t="shared" si="1"/>
        <v>56.948999999999991</v>
      </c>
      <c r="L40" s="177">
        <f t="shared" si="2"/>
        <v>116.81490000000001</v>
      </c>
      <c r="M40" s="209">
        <f t="shared" si="49"/>
        <v>1395.6993569131832</v>
      </c>
      <c r="N40" s="211">
        <f t="shared" si="50"/>
        <v>4.1226247399474776</v>
      </c>
      <c r="O40" s="211">
        <f t="shared" si="51"/>
        <v>8.4589781906456381</v>
      </c>
      <c r="P40" s="176">
        <f t="shared" si="52"/>
        <v>57.539446983390739</v>
      </c>
      <c r="Q40" s="212">
        <f t="shared" si="53"/>
        <v>118.06190420826761</v>
      </c>
      <c r="R40" s="380"/>
      <c r="S40" s="380"/>
      <c r="T40" s="380"/>
      <c r="U40" s="380"/>
      <c r="V40" s="380"/>
      <c r="X40" s="176">
        <f t="shared" si="8"/>
        <v>1396</v>
      </c>
      <c r="Y40" s="210">
        <f t="shared" si="43"/>
        <v>4.12</v>
      </c>
      <c r="Z40" s="210">
        <f t="shared" si="43"/>
        <v>8.4600000000000009</v>
      </c>
    </row>
    <row r="41" spans="1:26" s="166" customFormat="1" ht="12.75" x14ac:dyDescent="0.2">
      <c r="A41" s="213">
        <v>70347</v>
      </c>
      <c r="B41" s="213">
        <v>9944</v>
      </c>
      <c r="C41" s="118" t="s">
        <v>73</v>
      </c>
      <c r="D41" s="205">
        <v>45875</v>
      </c>
      <c r="E41" s="214"/>
      <c r="F41" s="207" t="s">
        <v>2</v>
      </c>
      <c r="G41" s="208" t="str">
        <f t="shared" si="0"/>
        <v>Itki</v>
      </c>
      <c r="H41" s="209">
        <v>5620</v>
      </c>
      <c r="I41" s="210">
        <v>4.4000000000000004</v>
      </c>
      <c r="J41" s="210">
        <v>8.4700000000000006</v>
      </c>
      <c r="K41" s="176">
        <f t="shared" si="1"/>
        <v>247.28000000000003</v>
      </c>
      <c r="L41" s="177">
        <f t="shared" si="2"/>
        <v>476.01400000000007</v>
      </c>
      <c r="M41" s="209">
        <f>$R$41*H41/SUM($H$41:$H$44)</f>
        <v>5654.4237749546282</v>
      </c>
      <c r="N41" s="211">
        <f t="shared" si="24"/>
        <v>4.3858074476850417</v>
      </c>
      <c r="O41" s="211">
        <f t="shared" si="25"/>
        <v>8.3711352358846103</v>
      </c>
      <c r="P41" s="176">
        <f>$U$41*K41/SUM($K$41:$K$44)</f>
        <v>247.99213904563376</v>
      </c>
      <c r="Q41" s="212">
        <f>$V$41*L41/SUM($L$41:$L$44)</f>
        <v>473.33946101146353</v>
      </c>
      <c r="R41" s="379">
        <v>8870</v>
      </c>
      <c r="S41" s="379">
        <v>4.3499999999999996</v>
      </c>
      <c r="T41" s="379">
        <v>8.34</v>
      </c>
      <c r="U41" s="379">
        <f>R41*S41%</f>
        <v>385.84499999999997</v>
      </c>
      <c r="V41" s="379">
        <f>R41*T41%</f>
        <v>739.75800000000004</v>
      </c>
      <c r="X41" s="176">
        <f t="shared" si="8"/>
        <v>5654</v>
      </c>
      <c r="Y41" s="210">
        <f t="shared" si="43"/>
        <v>4.3899999999999997</v>
      </c>
      <c r="Z41" s="210">
        <f t="shared" si="43"/>
        <v>8.3699999999999992</v>
      </c>
    </row>
    <row r="42" spans="1:26" s="166" customFormat="1" ht="12.75" x14ac:dyDescent="0.2">
      <c r="A42" s="213">
        <v>70347</v>
      </c>
      <c r="B42" s="213">
        <v>9944</v>
      </c>
      <c r="C42" s="118" t="s">
        <v>73</v>
      </c>
      <c r="D42" s="205">
        <v>45875</v>
      </c>
      <c r="E42" s="175"/>
      <c r="F42" s="207" t="s">
        <v>4</v>
      </c>
      <c r="G42" s="208" t="str">
        <f t="shared" si="0"/>
        <v>Pali</v>
      </c>
      <c r="H42" s="209">
        <v>584</v>
      </c>
      <c r="I42" s="210">
        <v>4.0999999999999996</v>
      </c>
      <c r="J42" s="210">
        <v>8.41</v>
      </c>
      <c r="K42" s="176">
        <f t="shared" si="1"/>
        <v>23.943999999999996</v>
      </c>
      <c r="L42" s="177">
        <f t="shared" si="2"/>
        <v>49.114400000000003</v>
      </c>
      <c r="M42" s="209">
        <f t="shared" ref="M42:M44" si="54">$R$41*H42/SUM($H$41:$H$44)</f>
        <v>587.57713248638834</v>
      </c>
      <c r="N42" s="211">
        <f t="shared" ref="N42:N44" si="55">P42/M42*100</f>
        <v>4.0867751217065162</v>
      </c>
      <c r="O42" s="211">
        <f t="shared" ref="O42:O44" si="56">Q42/M42*100</f>
        <v>8.3118355765985328</v>
      </c>
      <c r="P42" s="176">
        <f t="shared" ref="P42:P44" si="57">$U$41*K42/SUM($K$41:$K$44)</f>
        <v>24.012956071290251</v>
      </c>
      <c r="Q42" s="212">
        <f t="shared" ref="Q42:Q44" si="58">$V$41*L42/SUM($L$41:$L$44)</f>
        <v>48.838445137961116</v>
      </c>
      <c r="R42" s="381"/>
      <c r="S42" s="381"/>
      <c r="T42" s="381"/>
      <c r="U42" s="381"/>
      <c r="V42" s="381"/>
      <c r="X42" s="176">
        <f t="shared" si="8"/>
        <v>588</v>
      </c>
      <c r="Y42" s="210">
        <f t="shared" si="43"/>
        <v>4.09</v>
      </c>
      <c r="Z42" s="210">
        <f t="shared" si="43"/>
        <v>8.31</v>
      </c>
    </row>
    <row r="43" spans="1:26" s="166" customFormat="1" ht="12.75" x14ac:dyDescent="0.2">
      <c r="A43" s="213">
        <v>70347</v>
      </c>
      <c r="B43" s="213">
        <v>9944</v>
      </c>
      <c r="C43" s="118" t="s">
        <v>73</v>
      </c>
      <c r="D43" s="205">
        <v>45875</v>
      </c>
      <c r="E43" s="175"/>
      <c r="F43" s="207" t="s">
        <v>14</v>
      </c>
      <c r="G43" s="208" t="str">
        <f t="shared" si="0"/>
        <v>Piragutu</v>
      </c>
      <c r="H43" s="209">
        <v>1197</v>
      </c>
      <c r="I43" s="210">
        <v>4.4000000000000004</v>
      </c>
      <c r="J43" s="210">
        <v>8.35</v>
      </c>
      <c r="K43" s="176">
        <f t="shared" si="1"/>
        <v>52.668000000000006</v>
      </c>
      <c r="L43" s="177">
        <f t="shared" si="2"/>
        <v>99.949499999999986</v>
      </c>
      <c r="M43" s="209">
        <f t="shared" si="54"/>
        <v>1204.3318965517242</v>
      </c>
      <c r="N43" s="211">
        <f t="shared" si="55"/>
        <v>4.3858074476850417</v>
      </c>
      <c r="O43" s="211">
        <f t="shared" si="56"/>
        <v>8.2525359173124517</v>
      </c>
      <c r="P43" s="176">
        <f t="shared" si="57"/>
        <v>52.81967801381203</v>
      </c>
      <c r="Q43" s="212">
        <f t="shared" si="58"/>
        <v>99.387922326581275</v>
      </c>
      <c r="R43" s="381"/>
      <c r="S43" s="381"/>
      <c r="T43" s="381"/>
      <c r="U43" s="381"/>
      <c r="V43" s="381"/>
      <c r="X43" s="176">
        <f t="shared" si="8"/>
        <v>1204</v>
      </c>
      <c r="Y43" s="210">
        <f t="shared" si="43"/>
        <v>4.3899999999999997</v>
      </c>
      <c r="Z43" s="210">
        <f t="shared" si="43"/>
        <v>8.25</v>
      </c>
    </row>
    <row r="44" spans="1:26" s="166" customFormat="1" ht="12.75" x14ac:dyDescent="0.2">
      <c r="A44" s="213">
        <v>70347</v>
      </c>
      <c r="B44" s="213">
        <v>9944</v>
      </c>
      <c r="C44" s="118" t="s">
        <v>73</v>
      </c>
      <c r="D44" s="205">
        <v>45875</v>
      </c>
      <c r="E44" s="175"/>
      <c r="F44" s="207" t="s">
        <v>89</v>
      </c>
      <c r="G44" s="208" t="str">
        <f t="shared" si="0"/>
        <v>Chanho</v>
      </c>
      <c r="H44" s="209">
        <v>1415</v>
      </c>
      <c r="I44" s="210">
        <v>4.3</v>
      </c>
      <c r="J44" s="210">
        <v>8.4</v>
      </c>
      <c r="K44" s="176">
        <f t="shared" si="1"/>
        <v>60.844999999999992</v>
      </c>
      <c r="L44" s="177">
        <f t="shared" si="2"/>
        <v>118.86000000000001</v>
      </c>
      <c r="M44" s="209">
        <f t="shared" si="54"/>
        <v>1423.6671960072595</v>
      </c>
      <c r="N44" s="211">
        <f t="shared" si="55"/>
        <v>4.2861300056921996</v>
      </c>
      <c r="O44" s="211">
        <f t="shared" si="56"/>
        <v>8.3019523000508535</v>
      </c>
      <c r="P44" s="176">
        <f t="shared" si="57"/>
        <v>61.020226869263922</v>
      </c>
      <c r="Q44" s="212">
        <f t="shared" si="58"/>
        <v>118.19217152399416</v>
      </c>
      <c r="R44" s="380"/>
      <c r="S44" s="380"/>
      <c r="T44" s="380"/>
      <c r="U44" s="380"/>
      <c r="V44" s="380"/>
      <c r="X44" s="176">
        <f t="shared" si="8"/>
        <v>1424</v>
      </c>
      <c r="Y44" s="210">
        <f t="shared" si="43"/>
        <v>4.29</v>
      </c>
      <c r="Z44" s="210">
        <f t="shared" si="43"/>
        <v>8.3000000000000007</v>
      </c>
    </row>
    <row r="45" spans="1:26" s="166" customFormat="1" ht="12.75" x14ac:dyDescent="0.2">
      <c r="A45" s="213">
        <v>71402</v>
      </c>
      <c r="B45" s="216">
        <v>1023</v>
      </c>
      <c r="C45" s="118" t="s">
        <v>109</v>
      </c>
      <c r="D45" s="205">
        <v>45876</v>
      </c>
      <c r="E45" s="175"/>
      <c r="F45" s="207" t="s">
        <v>6</v>
      </c>
      <c r="G45" s="208" t="str">
        <f t="shared" si="0"/>
        <v>Hisri</v>
      </c>
      <c r="H45" s="209">
        <v>2671</v>
      </c>
      <c r="I45" s="210">
        <v>4.25</v>
      </c>
      <c r="J45" s="210">
        <v>8.26</v>
      </c>
      <c r="K45" s="176">
        <f t="shared" si="1"/>
        <v>113.51750000000001</v>
      </c>
      <c r="L45" s="177">
        <f t="shared" si="2"/>
        <v>220.62459999999999</v>
      </c>
      <c r="M45" s="209">
        <f>$R$45*H45/SUM($H$45:$H$47)</f>
        <v>2647.8710062705286</v>
      </c>
      <c r="N45" s="211">
        <f t="shared" si="24"/>
        <v>4.2678711905543034</v>
      </c>
      <c r="O45" s="211">
        <f t="shared" si="25"/>
        <v>8.2432677643296675</v>
      </c>
      <c r="P45" s="176">
        <f>$U$45*K45/SUM($K$45:$K$47)</f>
        <v>113.00772383966022</v>
      </c>
      <c r="Q45" s="212">
        <f>$V$45*L45/SUM($L$45:$L$47)</f>
        <v>218.27109710093006</v>
      </c>
      <c r="R45" s="379">
        <v>3320</v>
      </c>
      <c r="S45" s="379">
        <v>4.25</v>
      </c>
      <c r="T45" s="379">
        <v>8.26</v>
      </c>
      <c r="U45" s="379">
        <f>R45*S45%</f>
        <v>141.10000000000002</v>
      </c>
      <c r="V45" s="379">
        <f>R45*T45%</f>
        <v>274.23199999999997</v>
      </c>
      <c r="X45" s="176">
        <f t="shared" si="8"/>
        <v>2648</v>
      </c>
      <c r="Y45" s="210">
        <f t="shared" si="43"/>
        <v>4.2699999999999996</v>
      </c>
      <c r="Z45" s="210">
        <f t="shared" si="43"/>
        <v>8.24</v>
      </c>
    </row>
    <row r="46" spans="1:26" s="166" customFormat="1" ht="12.75" x14ac:dyDescent="0.2">
      <c r="A46" s="213">
        <v>71402</v>
      </c>
      <c r="B46" s="216">
        <v>1023</v>
      </c>
      <c r="C46" s="118" t="s">
        <v>109</v>
      </c>
      <c r="D46" s="205">
        <v>45876</v>
      </c>
      <c r="E46" s="175"/>
      <c r="F46" s="207" t="s">
        <v>6</v>
      </c>
      <c r="G46" s="208" t="str">
        <f t="shared" si="0"/>
        <v>Hisri</v>
      </c>
      <c r="H46" s="209">
        <v>257</v>
      </c>
      <c r="I46" s="210">
        <v>4.0999999999999996</v>
      </c>
      <c r="J46" s="210">
        <v>8.1999999999999993</v>
      </c>
      <c r="K46" s="176">
        <f t="shared" si="1"/>
        <v>10.536999999999999</v>
      </c>
      <c r="L46" s="177">
        <f t="shared" si="2"/>
        <v>21.073999999999998</v>
      </c>
      <c r="M46" s="209">
        <f t="shared" ref="M46:M47" si="59">$R$45*H46/SUM($H$45:$H$47)</f>
        <v>254.7745595700209</v>
      </c>
      <c r="N46" s="211">
        <f t="shared" ref="N46:N47" si="60">P46/M46*100</f>
        <v>4.1172404426523856</v>
      </c>
      <c r="O46" s="211">
        <f t="shared" ref="O46:O47" si="61">Q46/M46*100</f>
        <v>8.1833893059931313</v>
      </c>
      <c r="P46" s="176">
        <f t="shared" ref="P46:P47" si="62">$U$45*K46/SUM($K$45:$K$47)</f>
        <v>10.489681204206395</v>
      </c>
      <c r="Q46" s="212">
        <f t="shared" ref="Q46:Q47" si="63">$V$45*L46/SUM($L$45:$L$47)</f>
        <v>20.849194062244191</v>
      </c>
      <c r="R46" s="381"/>
      <c r="S46" s="381"/>
      <c r="T46" s="381"/>
      <c r="U46" s="381"/>
      <c r="V46" s="381"/>
      <c r="X46" s="176">
        <f t="shared" si="8"/>
        <v>255</v>
      </c>
      <c r="Y46" s="210">
        <f t="shared" si="43"/>
        <v>4.12</v>
      </c>
      <c r="Z46" s="210">
        <f t="shared" si="43"/>
        <v>8.18</v>
      </c>
    </row>
    <row r="47" spans="1:26" s="166" customFormat="1" ht="12.75" x14ac:dyDescent="0.2">
      <c r="A47" s="213">
        <v>71402</v>
      </c>
      <c r="B47" s="216">
        <v>1023</v>
      </c>
      <c r="C47" s="118" t="s">
        <v>109</v>
      </c>
      <c r="D47" s="205">
        <v>45876</v>
      </c>
      <c r="E47" s="175"/>
      <c r="F47" s="207" t="s">
        <v>12</v>
      </c>
      <c r="G47" s="208" t="str">
        <f t="shared" si="0"/>
        <v>Ormanjhi</v>
      </c>
      <c r="H47" s="209">
        <v>421</v>
      </c>
      <c r="I47" s="210">
        <v>4.2</v>
      </c>
      <c r="J47" s="210">
        <v>8.43</v>
      </c>
      <c r="K47" s="176">
        <f t="shared" si="1"/>
        <v>17.682000000000002</v>
      </c>
      <c r="L47" s="177">
        <f t="shared" si="2"/>
        <v>35.490299999999998</v>
      </c>
      <c r="M47" s="209">
        <f t="shared" si="59"/>
        <v>417.35443415945059</v>
      </c>
      <c r="N47" s="211">
        <f t="shared" si="60"/>
        <v>4.2176609412536639</v>
      </c>
      <c r="O47" s="211">
        <f t="shared" si="61"/>
        <v>8.4129233962831833</v>
      </c>
      <c r="P47" s="176">
        <f t="shared" si="62"/>
        <v>17.602594956133387</v>
      </c>
      <c r="Q47" s="212">
        <f t="shared" si="63"/>
        <v>35.111708836825713</v>
      </c>
      <c r="R47" s="380"/>
      <c r="S47" s="380"/>
      <c r="T47" s="380"/>
      <c r="U47" s="380"/>
      <c r="V47" s="380"/>
      <c r="X47" s="176">
        <f t="shared" si="8"/>
        <v>417</v>
      </c>
      <c r="Y47" s="210">
        <f t="shared" ref="Y47:Z62" si="64">ROUND(N47,2)</f>
        <v>4.22</v>
      </c>
      <c r="Z47" s="210">
        <f t="shared" si="64"/>
        <v>8.41</v>
      </c>
    </row>
    <row r="48" spans="1:26" s="166" customFormat="1" ht="12.75" x14ac:dyDescent="0.2">
      <c r="A48" s="213">
        <v>71401</v>
      </c>
      <c r="B48" s="216">
        <v>8504</v>
      </c>
      <c r="C48" s="118" t="s">
        <v>73</v>
      </c>
      <c r="D48" s="205">
        <v>45875</v>
      </c>
      <c r="E48" s="175"/>
      <c r="F48" s="207" t="s">
        <v>4</v>
      </c>
      <c r="G48" s="208" t="str">
        <f t="shared" si="0"/>
        <v>Pali</v>
      </c>
      <c r="H48" s="209">
        <v>1176</v>
      </c>
      <c r="I48" s="210">
        <v>4.2</v>
      </c>
      <c r="J48" s="210">
        <v>8.3699999999999992</v>
      </c>
      <c r="K48" s="176">
        <f t="shared" si="1"/>
        <v>49.392000000000003</v>
      </c>
      <c r="L48" s="177">
        <f t="shared" si="2"/>
        <v>98.43119999999999</v>
      </c>
      <c r="M48" s="209">
        <f>$R$48*H48/SUM($H$48:$H$51)</f>
        <v>1176</v>
      </c>
      <c r="N48" s="211">
        <f t="shared" si="24"/>
        <v>4.1813519335316434</v>
      </c>
      <c r="O48" s="211">
        <f t="shared" si="25"/>
        <v>8.3730893554195962</v>
      </c>
      <c r="P48" s="176">
        <f>$U$48*K48/SUM($K$48:$K$51)</f>
        <v>49.17269873833213</v>
      </c>
      <c r="Q48" s="212">
        <f>$V$48*L48/SUM($L$48:$L$51)</f>
        <v>98.467530819734463</v>
      </c>
      <c r="R48" s="379">
        <v>3440</v>
      </c>
      <c r="S48" s="379">
        <v>3.95</v>
      </c>
      <c r="T48" s="379">
        <v>8.32</v>
      </c>
      <c r="U48" s="379">
        <f>R48*S48%</f>
        <v>135.88</v>
      </c>
      <c r="V48" s="379">
        <f>R48*T48%</f>
        <v>286.20799999999997</v>
      </c>
      <c r="X48" s="176">
        <f t="shared" si="8"/>
        <v>1176</v>
      </c>
      <c r="Y48" s="210">
        <f t="shared" si="64"/>
        <v>4.18</v>
      </c>
      <c r="Z48" s="210">
        <f t="shared" si="64"/>
        <v>8.3699999999999992</v>
      </c>
    </row>
    <row r="49" spans="1:26" s="166" customFormat="1" ht="12.75" x14ac:dyDescent="0.2">
      <c r="A49" s="213">
        <v>71401</v>
      </c>
      <c r="B49" s="216">
        <v>8504</v>
      </c>
      <c r="C49" s="118" t="s">
        <v>73</v>
      </c>
      <c r="D49" s="205">
        <v>45875</v>
      </c>
      <c r="E49" s="175"/>
      <c r="F49" s="207" t="s">
        <v>6</v>
      </c>
      <c r="G49" s="208" t="str">
        <f t="shared" si="0"/>
        <v>Hisri</v>
      </c>
      <c r="H49" s="209">
        <v>378</v>
      </c>
      <c r="I49" s="210">
        <v>4.1500000000000004</v>
      </c>
      <c r="J49" s="210">
        <v>8.3000000000000007</v>
      </c>
      <c r="K49" s="176">
        <f t="shared" si="1"/>
        <v>15.687000000000001</v>
      </c>
      <c r="L49" s="177">
        <f t="shared" si="2"/>
        <v>31.374000000000002</v>
      </c>
      <c r="M49" s="209">
        <f t="shared" ref="M49:M51" si="65">$R$48*H49/SUM($H$48:$H$51)</f>
        <v>378</v>
      </c>
      <c r="N49" s="211">
        <f t="shared" ref="N49:N51" si="66">P49/M49*100</f>
        <v>4.1315739343229332</v>
      </c>
      <c r="O49" s="211">
        <f t="shared" ref="O49:O51" si="67">Q49/M49*100</f>
        <v>8.3030635185164474</v>
      </c>
      <c r="P49" s="176">
        <f t="shared" ref="P49:P51" si="68">$U$48*K49/SUM($K$48:$K$51)</f>
        <v>15.617349471740688</v>
      </c>
      <c r="Q49" s="212">
        <f t="shared" ref="Q49:Q51" si="69">$V$48*L49/SUM($L$48:$L$51)</f>
        <v>31.385580099992172</v>
      </c>
      <c r="R49" s="381"/>
      <c r="S49" s="381"/>
      <c r="T49" s="381"/>
      <c r="U49" s="381"/>
      <c r="V49" s="381"/>
      <c r="X49" s="176">
        <f t="shared" si="8"/>
        <v>378</v>
      </c>
      <c r="Y49" s="210">
        <f t="shared" si="64"/>
        <v>4.13</v>
      </c>
      <c r="Z49" s="210">
        <f t="shared" si="64"/>
        <v>8.3000000000000007</v>
      </c>
    </row>
    <row r="50" spans="1:26" s="166" customFormat="1" ht="12.75" x14ac:dyDescent="0.2">
      <c r="A50" s="213">
        <v>71401</v>
      </c>
      <c r="B50" s="216">
        <v>8504</v>
      </c>
      <c r="C50" s="118" t="s">
        <v>73</v>
      </c>
      <c r="D50" s="205">
        <v>45875</v>
      </c>
      <c r="E50" s="175"/>
      <c r="F50" s="207" t="s">
        <v>8</v>
      </c>
      <c r="G50" s="208" t="str">
        <f t="shared" si="0"/>
        <v>Choria</v>
      </c>
      <c r="H50" s="209">
        <v>648</v>
      </c>
      <c r="I50" s="210">
        <v>2.9</v>
      </c>
      <c r="J50" s="210">
        <v>8.11</v>
      </c>
      <c r="K50" s="176">
        <f t="shared" si="1"/>
        <v>18.791999999999998</v>
      </c>
      <c r="L50" s="177">
        <f t="shared" si="2"/>
        <v>52.552799999999998</v>
      </c>
      <c r="M50" s="209">
        <f t="shared" si="65"/>
        <v>648</v>
      </c>
      <c r="N50" s="211">
        <f t="shared" si="66"/>
        <v>2.8871239541051823</v>
      </c>
      <c r="O50" s="211">
        <f t="shared" si="67"/>
        <v>8.1129933897793229</v>
      </c>
      <c r="P50" s="176">
        <f t="shared" si="68"/>
        <v>18.70856322260158</v>
      </c>
      <c r="Q50" s="212">
        <f t="shared" si="69"/>
        <v>52.572197165770014</v>
      </c>
      <c r="R50" s="381"/>
      <c r="S50" s="381"/>
      <c r="T50" s="381"/>
      <c r="U50" s="381"/>
      <c r="V50" s="381"/>
      <c r="X50" s="176">
        <f t="shared" si="8"/>
        <v>648</v>
      </c>
      <c r="Y50" s="210">
        <f t="shared" si="64"/>
        <v>2.89</v>
      </c>
      <c r="Z50" s="210">
        <f t="shared" si="64"/>
        <v>8.11</v>
      </c>
    </row>
    <row r="51" spans="1:26" s="166" customFormat="1" ht="12.75" x14ac:dyDescent="0.2">
      <c r="A51" s="213">
        <v>71401</v>
      </c>
      <c r="B51" s="216">
        <v>8504</v>
      </c>
      <c r="C51" s="118" t="s">
        <v>73</v>
      </c>
      <c r="D51" s="205">
        <v>45875</v>
      </c>
      <c r="E51" s="175"/>
      <c r="F51" s="207" t="s">
        <v>12</v>
      </c>
      <c r="G51" s="208" t="str">
        <f t="shared" si="0"/>
        <v>Ormanjhi</v>
      </c>
      <c r="H51" s="209">
        <v>1238</v>
      </c>
      <c r="I51" s="210">
        <v>4.25</v>
      </c>
      <c r="J51" s="210">
        <v>8.3800000000000008</v>
      </c>
      <c r="K51" s="176">
        <f t="shared" si="1"/>
        <v>52.615000000000002</v>
      </c>
      <c r="L51" s="177">
        <f t="shared" si="2"/>
        <v>103.74440000000001</v>
      </c>
      <c r="M51" s="209">
        <f t="shared" si="65"/>
        <v>1238</v>
      </c>
      <c r="N51" s="211">
        <f t="shared" si="66"/>
        <v>4.2311299327403535</v>
      </c>
      <c r="O51" s="211">
        <f t="shared" si="67"/>
        <v>8.3830930464057616</v>
      </c>
      <c r="P51" s="176">
        <f t="shared" si="68"/>
        <v>52.38138856732558</v>
      </c>
      <c r="Q51" s="212">
        <f t="shared" si="69"/>
        <v>103.78269191450335</v>
      </c>
      <c r="R51" s="380"/>
      <c r="S51" s="380"/>
      <c r="T51" s="380"/>
      <c r="U51" s="380"/>
      <c r="V51" s="380"/>
      <c r="X51" s="176">
        <f t="shared" si="8"/>
        <v>1238</v>
      </c>
      <c r="Y51" s="210">
        <f t="shared" si="64"/>
        <v>4.2300000000000004</v>
      </c>
      <c r="Z51" s="210">
        <f t="shared" si="64"/>
        <v>8.3800000000000008</v>
      </c>
    </row>
    <row r="52" spans="1:26" s="166" customFormat="1" ht="12.75" x14ac:dyDescent="0.2">
      <c r="A52" s="213">
        <v>71403</v>
      </c>
      <c r="B52" s="216" t="s">
        <v>90</v>
      </c>
      <c r="C52" s="118" t="s">
        <v>73</v>
      </c>
      <c r="D52" s="205">
        <v>45877</v>
      </c>
      <c r="E52" s="175"/>
      <c r="F52" s="207" t="s">
        <v>89</v>
      </c>
      <c r="G52" s="208" t="str">
        <f t="shared" si="0"/>
        <v>Chanho</v>
      </c>
      <c r="H52" s="209">
        <v>1356</v>
      </c>
      <c r="I52" s="210">
        <v>4.25</v>
      </c>
      <c r="J52" s="210">
        <v>8.44</v>
      </c>
      <c r="K52" s="176">
        <f t="shared" si="1"/>
        <v>57.63</v>
      </c>
      <c r="L52" s="177">
        <f t="shared" si="2"/>
        <v>114.44639999999998</v>
      </c>
      <c r="M52" s="209">
        <f>$R$52*H52/SUM($H$52:$H$56)</f>
        <v>1364.8297674418604</v>
      </c>
      <c r="N52" s="211">
        <f t="shared" si="24"/>
        <v>4.2307826955044803</v>
      </c>
      <c r="O52" s="211">
        <f t="shared" si="25"/>
        <v>8.3843019113244583</v>
      </c>
      <c r="P52" s="176">
        <f>$U$52*K52/SUM($K$52:$K$56)</f>
        <v>57.742981624024281</v>
      </c>
      <c r="Q52" s="212">
        <f>$V$52*L52/SUM($L$52:$L$56)</f>
        <v>114.43144827795307</v>
      </c>
      <c r="R52" s="379">
        <v>5410</v>
      </c>
      <c r="S52" s="379">
        <v>4.0999999999999996</v>
      </c>
      <c r="T52" s="379">
        <v>8.2899999999999991</v>
      </c>
      <c r="U52" s="379">
        <f>R52*S52%</f>
        <v>221.80999999999997</v>
      </c>
      <c r="V52" s="379">
        <f>R52*T52%</f>
        <v>448.48899999999992</v>
      </c>
      <c r="X52" s="176">
        <f t="shared" si="8"/>
        <v>1365</v>
      </c>
      <c r="Y52" s="210">
        <f t="shared" si="64"/>
        <v>4.2300000000000004</v>
      </c>
      <c r="Z52" s="210">
        <f t="shared" si="64"/>
        <v>8.3800000000000008</v>
      </c>
    </row>
    <row r="53" spans="1:26" s="166" customFormat="1" ht="12.75" x14ac:dyDescent="0.2">
      <c r="A53" s="213">
        <v>71403</v>
      </c>
      <c r="B53" s="216" t="s">
        <v>90</v>
      </c>
      <c r="C53" s="118" t="s">
        <v>73</v>
      </c>
      <c r="D53" s="205">
        <v>45877</v>
      </c>
      <c r="E53" s="175"/>
      <c r="F53" s="207" t="s">
        <v>8</v>
      </c>
      <c r="G53" s="208" t="str">
        <f t="shared" si="0"/>
        <v>Choria</v>
      </c>
      <c r="H53" s="209">
        <v>607</v>
      </c>
      <c r="I53" s="210">
        <v>3.1</v>
      </c>
      <c r="J53" s="210">
        <v>8.0299999999999994</v>
      </c>
      <c r="K53" s="176">
        <f t="shared" si="1"/>
        <v>18.817</v>
      </c>
      <c r="L53" s="177">
        <f t="shared" si="2"/>
        <v>48.742100000000001</v>
      </c>
      <c r="M53" s="209">
        <f t="shared" ref="M53:M56" si="70">$R$52*H53/SUM($H$52:$H$56)</f>
        <v>610.95255813953486</v>
      </c>
      <c r="N53" s="211">
        <f t="shared" ref="N53:N56" si="71">P53/M53*100</f>
        <v>3.085982672015033</v>
      </c>
      <c r="O53" s="211">
        <f t="shared" ref="O53:O56" si="72">Q53/M53*100</f>
        <v>7.9770076241629644</v>
      </c>
      <c r="P53" s="176">
        <f t="shared" ref="P53:P56" si="73">$U$52*K53/SUM($K$52:$K$56)</f>
        <v>18.853890078418615</v>
      </c>
      <c r="Q53" s="212">
        <f t="shared" ref="Q53:Q56" si="74">$V$52*L53/SUM($L$52:$L$56)</f>
        <v>48.735732142809361</v>
      </c>
      <c r="R53" s="381"/>
      <c r="S53" s="381"/>
      <c r="T53" s="381"/>
      <c r="U53" s="381"/>
      <c r="V53" s="381"/>
      <c r="X53" s="176">
        <f t="shared" si="8"/>
        <v>611</v>
      </c>
      <c r="Y53" s="210">
        <f t="shared" si="64"/>
        <v>3.09</v>
      </c>
      <c r="Z53" s="210">
        <f t="shared" si="64"/>
        <v>7.98</v>
      </c>
    </row>
    <row r="54" spans="1:26" s="166" customFormat="1" ht="12.75" x14ac:dyDescent="0.2">
      <c r="A54" s="213">
        <v>71403</v>
      </c>
      <c r="B54" s="216" t="s">
        <v>90</v>
      </c>
      <c r="C54" s="118" t="s">
        <v>73</v>
      </c>
      <c r="D54" s="205">
        <v>45877</v>
      </c>
      <c r="E54" s="175"/>
      <c r="F54" s="207" t="s">
        <v>14</v>
      </c>
      <c r="G54" s="208" t="str">
        <f t="shared" si="0"/>
        <v>Piragutu</v>
      </c>
      <c r="H54" s="209">
        <v>1035</v>
      </c>
      <c r="I54" s="210">
        <v>4.4000000000000004</v>
      </c>
      <c r="J54" s="210">
        <v>8.41</v>
      </c>
      <c r="K54" s="176">
        <f t="shared" si="1"/>
        <v>45.540000000000006</v>
      </c>
      <c r="L54" s="177">
        <f t="shared" si="2"/>
        <v>87.043500000000009</v>
      </c>
      <c r="M54" s="209">
        <f t="shared" si="70"/>
        <v>1041.739534883721</v>
      </c>
      <c r="N54" s="211">
        <f t="shared" si="71"/>
        <v>4.3801044376987566</v>
      </c>
      <c r="O54" s="211">
        <f t="shared" si="72"/>
        <v>8.3544998903126437</v>
      </c>
      <c r="P54" s="176">
        <f t="shared" si="73"/>
        <v>45.629279596704251</v>
      </c>
      <c r="Q54" s="212">
        <f t="shared" si="74"/>
        <v>87.032128299203919</v>
      </c>
      <c r="R54" s="381"/>
      <c r="S54" s="381"/>
      <c r="T54" s="381"/>
      <c r="U54" s="381"/>
      <c r="V54" s="381"/>
      <c r="X54" s="176">
        <f t="shared" si="8"/>
        <v>1042</v>
      </c>
      <c r="Y54" s="210">
        <f t="shared" si="64"/>
        <v>4.38</v>
      </c>
      <c r="Z54" s="210">
        <f t="shared" si="64"/>
        <v>8.35</v>
      </c>
    </row>
    <row r="55" spans="1:26" s="166" customFormat="1" ht="12.75" x14ac:dyDescent="0.2">
      <c r="A55" s="213">
        <v>71403</v>
      </c>
      <c r="B55" s="216" t="s">
        <v>90</v>
      </c>
      <c r="C55" s="118" t="s">
        <v>73</v>
      </c>
      <c r="D55" s="205">
        <v>45877</v>
      </c>
      <c r="E55" s="175"/>
      <c r="F55" s="207" t="s">
        <v>6</v>
      </c>
      <c r="G55" s="208" t="str">
        <f t="shared" si="0"/>
        <v>Hisri</v>
      </c>
      <c r="H55" s="209">
        <v>966</v>
      </c>
      <c r="I55" s="210">
        <v>4.3</v>
      </c>
      <c r="J55" s="210">
        <v>8.26</v>
      </c>
      <c r="K55" s="176">
        <f t="shared" si="1"/>
        <v>41.537999999999997</v>
      </c>
      <c r="L55" s="177">
        <f t="shared" si="2"/>
        <v>79.791599999999988</v>
      </c>
      <c r="M55" s="209">
        <f t="shared" si="70"/>
        <v>972.29023255813956</v>
      </c>
      <c r="N55" s="211">
        <f t="shared" si="71"/>
        <v>4.2805566095692384</v>
      </c>
      <c r="O55" s="211">
        <f t="shared" si="72"/>
        <v>8.2054897852535564</v>
      </c>
      <c r="P55" s="176">
        <f t="shared" si="73"/>
        <v>41.619433813963568</v>
      </c>
      <c r="Q55" s="212">
        <f t="shared" si="74"/>
        <v>79.781175715576197</v>
      </c>
      <c r="R55" s="381"/>
      <c r="S55" s="381"/>
      <c r="T55" s="381"/>
      <c r="U55" s="381"/>
      <c r="V55" s="381"/>
      <c r="X55" s="176">
        <f t="shared" si="8"/>
        <v>972</v>
      </c>
      <c r="Y55" s="210">
        <f t="shared" si="64"/>
        <v>4.28</v>
      </c>
      <c r="Z55" s="210">
        <f t="shared" si="64"/>
        <v>8.2100000000000009</v>
      </c>
    </row>
    <row r="56" spans="1:26" s="166" customFormat="1" ht="12.75" x14ac:dyDescent="0.2">
      <c r="A56" s="213">
        <v>71403</v>
      </c>
      <c r="B56" s="216" t="s">
        <v>90</v>
      </c>
      <c r="C56" s="118" t="s">
        <v>73</v>
      </c>
      <c r="D56" s="205">
        <v>45877</v>
      </c>
      <c r="E56" s="175"/>
      <c r="F56" s="207" t="s">
        <v>12</v>
      </c>
      <c r="G56" s="208" t="str">
        <f t="shared" si="0"/>
        <v>Ormanjhi</v>
      </c>
      <c r="H56" s="209">
        <v>1411</v>
      </c>
      <c r="I56" s="210">
        <v>4.0999999999999996</v>
      </c>
      <c r="J56" s="210">
        <v>8.4</v>
      </c>
      <c r="K56" s="176">
        <f t="shared" si="1"/>
        <v>57.850999999999992</v>
      </c>
      <c r="L56" s="177">
        <f t="shared" si="2"/>
        <v>118.524</v>
      </c>
      <c r="M56" s="209">
        <f t="shared" si="70"/>
        <v>1420.1879069767442</v>
      </c>
      <c r="N56" s="211">
        <f t="shared" si="71"/>
        <v>4.081460953310204</v>
      </c>
      <c r="O56" s="211">
        <f t="shared" si="72"/>
        <v>8.3445658833087037</v>
      </c>
      <c r="P56" s="176">
        <f t="shared" si="73"/>
        <v>57.964414886889259</v>
      </c>
      <c r="Q56" s="212">
        <f t="shared" si="74"/>
        <v>118.50851556445735</v>
      </c>
      <c r="R56" s="380"/>
      <c r="S56" s="380"/>
      <c r="T56" s="380"/>
      <c r="U56" s="380"/>
      <c r="V56" s="380"/>
      <c r="X56" s="176">
        <f t="shared" si="8"/>
        <v>1420</v>
      </c>
      <c r="Y56" s="210">
        <f t="shared" si="64"/>
        <v>4.08</v>
      </c>
      <c r="Z56" s="210">
        <f t="shared" si="64"/>
        <v>8.34</v>
      </c>
    </row>
    <row r="57" spans="1:26" s="166" customFormat="1" ht="12.75" x14ac:dyDescent="0.2">
      <c r="A57" s="213">
        <v>70349</v>
      </c>
      <c r="B57" s="213">
        <v>1023</v>
      </c>
      <c r="C57" s="118" t="s">
        <v>109</v>
      </c>
      <c r="D57" s="205">
        <v>45877</v>
      </c>
      <c r="E57" s="175"/>
      <c r="F57" s="207" t="s">
        <v>4</v>
      </c>
      <c r="G57" s="208" t="str">
        <f t="shared" si="0"/>
        <v>Pali</v>
      </c>
      <c r="H57" s="209">
        <v>1176</v>
      </c>
      <c r="I57" s="210">
        <v>4</v>
      </c>
      <c r="J57" s="210">
        <v>8.35</v>
      </c>
      <c r="K57" s="176">
        <f t="shared" si="1"/>
        <v>47.04</v>
      </c>
      <c r="L57" s="177">
        <f t="shared" si="2"/>
        <v>98.195999999999984</v>
      </c>
      <c r="M57" s="209">
        <f>$R$57*H57/SUM($H$57:$H$60)</f>
        <v>1180.6938900828984</v>
      </c>
      <c r="N57" s="211">
        <f t="shared" si="24"/>
        <v>4.0212903711510952</v>
      </c>
      <c r="O57" s="211">
        <f t="shared" si="25"/>
        <v>8.2937327355243244</v>
      </c>
      <c r="P57" s="176">
        <f>$U$57*K57/SUM($K$57:$K$60)</f>
        <v>47.479129714672887</v>
      </c>
      <c r="Q57" s="212">
        <f>$V$57*L57/SUM($L$57:$L$60)</f>
        <v>97.923595668140933</v>
      </c>
      <c r="R57" s="379">
        <v>3270</v>
      </c>
      <c r="S57" s="379">
        <v>4.0999999999999996</v>
      </c>
      <c r="T57" s="379">
        <v>8.2899999999999991</v>
      </c>
      <c r="U57" s="379">
        <f>R57*S57%</f>
        <v>134.07</v>
      </c>
      <c r="V57" s="379">
        <f>R57*T57%</f>
        <v>271.08299999999997</v>
      </c>
      <c r="X57" s="176">
        <f t="shared" si="8"/>
        <v>1181</v>
      </c>
      <c r="Y57" s="210">
        <f t="shared" si="64"/>
        <v>4.0199999999999996</v>
      </c>
      <c r="Z57" s="210">
        <f t="shared" si="64"/>
        <v>8.2899999999999991</v>
      </c>
    </row>
    <row r="58" spans="1:26" s="166" customFormat="1" ht="12.75" x14ac:dyDescent="0.2">
      <c r="A58" s="213">
        <v>70349</v>
      </c>
      <c r="B58" s="213">
        <v>1023</v>
      </c>
      <c r="C58" s="118" t="s">
        <v>109</v>
      </c>
      <c r="D58" s="205">
        <v>45877</v>
      </c>
      <c r="E58" s="175"/>
      <c r="F58" s="207" t="s">
        <v>89</v>
      </c>
      <c r="G58" s="208" t="str">
        <f t="shared" si="0"/>
        <v>Chanho</v>
      </c>
      <c r="H58" s="209">
        <v>587</v>
      </c>
      <c r="I58" s="210">
        <v>4</v>
      </c>
      <c r="J58" s="210">
        <v>8.39</v>
      </c>
      <c r="K58" s="176">
        <f t="shared" si="1"/>
        <v>23.48</v>
      </c>
      <c r="L58" s="177">
        <f t="shared" si="2"/>
        <v>49.249299999999998</v>
      </c>
      <c r="M58" s="209">
        <f t="shared" ref="M58:M60" si="75">$R$57*H58/SUM($H$57:$H$60)</f>
        <v>589.34295363831745</v>
      </c>
      <c r="N58" s="211">
        <f t="shared" ref="N58:N60" si="76">P58/M58*100</f>
        <v>4.0212903711510952</v>
      </c>
      <c r="O58" s="211">
        <f t="shared" ref="O58:O60" si="77">Q58/M58*100</f>
        <v>8.3334631917424069</v>
      </c>
      <c r="P58" s="176">
        <f t="shared" ref="P58:P60" si="78">$U$57*K58/SUM($K$57:$K$60)</f>
        <v>23.699191447715123</v>
      </c>
      <c r="Q58" s="212">
        <f t="shared" ref="Q58:Q60" si="79">$V$57*L58/SUM($L$57:$L$60)</f>
        <v>49.112678114576703</v>
      </c>
      <c r="R58" s="381"/>
      <c r="S58" s="381"/>
      <c r="T58" s="381"/>
      <c r="U58" s="381"/>
      <c r="V58" s="381"/>
      <c r="X58" s="176">
        <f t="shared" si="8"/>
        <v>589</v>
      </c>
      <c r="Y58" s="210">
        <f t="shared" si="64"/>
        <v>4.0199999999999996</v>
      </c>
      <c r="Z58" s="210">
        <f t="shared" si="64"/>
        <v>8.33</v>
      </c>
    </row>
    <row r="59" spans="1:26" s="166" customFormat="1" ht="12.75" x14ac:dyDescent="0.2">
      <c r="A59" s="213">
        <v>70349</v>
      </c>
      <c r="B59" s="213">
        <v>1023</v>
      </c>
      <c r="C59" s="118" t="s">
        <v>109</v>
      </c>
      <c r="D59" s="205">
        <v>45877</v>
      </c>
      <c r="E59" s="175"/>
      <c r="F59" s="207" t="s">
        <v>6</v>
      </c>
      <c r="G59" s="208" t="str">
        <f t="shared" si="0"/>
        <v>Hisri</v>
      </c>
      <c r="H59" s="209">
        <v>292</v>
      </c>
      <c r="I59" s="210">
        <v>4.05</v>
      </c>
      <c r="J59" s="210">
        <v>8.31</v>
      </c>
      <c r="K59" s="176">
        <f t="shared" si="1"/>
        <v>11.826000000000001</v>
      </c>
      <c r="L59" s="177">
        <f t="shared" si="2"/>
        <v>24.265200000000004</v>
      </c>
      <c r="M59" s="209">
        <f t="shared" si="75"/>
        <v>293.16548971446116</v>
      </c>
      <c r="N59" s="211">
        <f t="shared" si="76"/>
        <v>4.0715565007904839</v>
      </c>
      <c r="O59" s="211">
        <f t="shared" si="77"/>
        <v>8.2540022793062473</v>
      </c>
      <c r="P59" s="176">
        <f t="shared" si="78"/>
        <v>11.9363985545434</v>
      </c>
      <c r="Q59" s="212">
        <f t="shared" si="79"/>
        <v>24.197886203170949</v>
      </c>
      <c r="R59" s="381"/>
      <c r="S59" s="381"/>
      <c r="T59" s="381"/>
      <c r="U59" s="381"/>
      <c r="V59" s="381"/>
      <c r="X59" s="176">
        <f t="shared" si="8"/>
        <v>293</v>
      </c>
      <c r="Y59" s="210">
        <f t="shared" si="64"/>
        <v>4.07</v>
      </c>
      <c r="Z59" s="210">
        <f t="shared" si="64"/>
        <v>8.25</v>
      </c>
    </row>
    <row r="60" spans="1:26" s="166" customFormat="1" ht="12.75" x14ac:dyDescent="0.2">
      <c r="A60" s="213">
        <v>70349</v>
      </c>
      <c r="B60" s="213">
        <v>1023</v>
      </c>
      <c r="C60" s="118" t="s">
        <v>109</v>
      </c>
      <c r="D60" s="205">
        <v>45877</v>
      </c>
      <c r="E60" s="175"/>
      <c r="F60" s="207" t="s">
        <v>14</v>
      </c>
      <c r="G60" s="208" t="str">
        <f t="shared" si="0"/>
        <v>Piragutu</v>
      </c>
      <c r="H60" s="209">
        <v>1202</v>
      </c>
      <c r="I60" s="210">
        <v>4.2</v>
      </c>
      <c r="J60" s="210">
        <v>8.33</v>
      </c>
      <c r="K60" s="176">
        <f t="shared" si="1"/>
        <v>50.484000000000002</v>
      </c>
      <c r="L60" s="177">
        <f t="shared" si="2"/>
        <v>100.1266</v>
      </c>
      <c r="M60" s="209">
        <f t="shared" si="75"/>
        <v>1206.797666564323</v>
      </c>
      <c r="N60" s="211">
        <f t="shared" si="76"/>
        <v>4.2223548897086491</v>
      </c>
      <c r="O60" s="211">
        <f t="shared" si="77"/>
        <v>8.2738675074152876</v>
      </c>
      <c r="P60" s="176">
        <f t="shared" si="78"/>
        <v>50.955280283068575</v>
      </c>
      <c r="Q60" s="212">
        <f t="shared" si="79"/>
        <v>99.848840014111403</v>
      </c>
      <c r="R60" s="380"/>
      <c r="S60" s="380"/>
      <c r="T60" s="380"/>
      <c r="U60" s="380"/>
      <c r="V60" s="380"/>
      <c r="X60" s="176">
        <f t="shared" si="8"/>
        <v>1207</v>
      </c>
      <c r="Y60" s="210">
        <f t="shared" si="64"/>
        <v>4.22</v>
      </c>
      <c r="Z60" s="210">
        <f t="shared" si="64"/>
        <v>8.27</v>
      </c>
    </row>
    <row r="61" spans="1:26" s="166" customFormat="1" ht="12.75" x14ac:dyDescent="0.2">
      <c r="A61" s="213">
        <v>70484</v>
      </c>
      <c r="B61" s="216">
        <v>1023</v>
      </c>
      <c r="C61" s="118" t="s">
        <v>109</v>
      </c>
      <c r="D61" s="205">
        <v>45882</v>
      </c>
      <c r="E61" s="175"/>
      <c r="F61" s="207" t="s">
        <v>6</v>
      </c>
      <c r="G61" s="208" t="str">
        <f t="shared" si="0"/>
        <v>Hisri</v>
      </c>
      <c r="H61" s="209">
        <v>2045</v>
      </c>
      <c r="I61" s="210">
        <v>4.45</v>
      </c>
      <c r="J61" s="210">
        <v>8.23</v>
      </c>
      <c r="K61" s="176">
        <f t="shared" si="1"/>
        <v>91.002500000000012</v>
      </c>
      <c r="L61" s="177">
        <f t="shared" si="2"/>
        <v>168.30349999999999</v>
      </c>
      <c r="M61" s="209">
        <f>$R$61*H61/SUM($H$61:$H$62)</f>
        <v>2050.0462677359656</v>
      </c>
      <c r="N61" s="211">
        <f t="shared" si="24"/>
        <v>4.5187460195377627</v>
      </c>
      <c r="O61" s="211">
        <f t="shared" si="25"/>
        <v>8.1743142135076905</v>
      </c>
      <c r="P61" s="176">
        <f>$U$61*K61/SUM($K$61:$K$62)</f>
        <v>92.636384122001402</v>
      </c>
      <c r="Q61" s="212">
        <f>$V$61*L61/SUM($L$61:$L$62)</f>
        <v>167.57722344702495</v>
      </c>
      <c r="R61" s="379">
        <v>3250</v>
      </c>
      <c r="S61" s="379">
        <v>4.5</v>
      </c>
      <c r="T61" s="379">
        <v>8.31</v>
      </c>
      <c r="U61" s="379">
        <f>R61*S61%</f>
        <v>146.25</v>
      </c>
      <c r="V61" s="379">
        <f>R61*T61%</f>
        <v>270.07500000000005</v>
      </c>
      <c r="X61" s="176">
        <f t="shared" si="8"/>
        <v>2050</v>
      </c>
      <c r="Y61" s="210">
        <f t="shared" si="64"/>
        <v>4.5199999999999996</v>
      </c>
      <c r="Z61" s="210">
        <f t="shared" si="64"/>
        <v>8.17</v>
      </c>
    </row>
    <row r="62" spans="1:26" s="166" customFormat="1" ht="12.75" x14ac:dyDescent="0.2">
      <c r="A62" s="213">
        <v>70484</v>
      </c>
      <c r="B62" s="216">
        <v>1023</v>
      </c>
      <c r="C62" s="118" t="s">
        <v>109</v>
      </c>
      <c r="D62" s="205">
        <v>45882</v>
      </c>
      <c r="E62" s="175"/>
      <c r="F62" s="207" t="s">
        <v>14</v>
      </c>
      <c r="G62" s="208" t="str">
        <f t="shared" si="0"/>
        <v>Piragutu</v>
      </c>
      <c r="H62" s="209">
        <v>1197</v>
      </c>
      <c r="I62" s="210">
        <v>4.4000000000000004</v>
      </c>
      <c r="J62" s="210">
        <v>8.6</v>
      </c>
      <c r="K62" s="176">
        <f t="shared" si="1"/>
        <v>52.668000000000006</v>
      </c>
      <c r="L62" s="177">
        <f t="shared" si="2"/>
        <v>102.94199999999999</v>
      </c>
      <c r="M62" s="209">
        <f>$R$61*H62/SUM($H$61:$H$62)</f>
        <v>1199.9537322640344</v>
      </c>
      <c r="N62" s="211">
        <f t="shared" ref="N62" si="80">P62/M62*100</f>
        <v>4.467973592351945</v>
      </c>
      <c r="O62" s="211">
        <f t="shared" ref="O62" si="81">Q62/M62*100</f>
        <v>8.5418107212838574</v>
      </c>
      <c r="P62" s="176">
        <f>$U$61*K62/SUM($K$61:$K$62)</f>
        <v>53.613615877998619</v>
      </c>
      <c r="Q62" s="212">
        <f>$V$61*L62/SUM($L$61:$L$62)</f>
        <v>102.49777655297508</v>
      </c>
      <c r="R62" s="380"/>
      <c r="S62" s="380"/>
      <c r="T62" s="380"/>
      <c r="U62" s="380"/>
      <c r="V62" s="380"/>
      <c r="X62" s="176">
        <f t="shared" si="8"/>
        <v>1200</v>
      </c>
      <c r="Y62" s="210">
        <f t="shared" si="64"/>
        <v>4.47</v>
      </c>
      <c r="Z62" s="210">
        <f t="shared" si="64"/>
        <v>8.5399999999999991</v>
      </c>
    </row>
    <row r="63" spans="1:26" s="166" customFormat="1" ht="12.75" x14ac:dyDescent="0.2">
      <c r="A63" s="213">
        <v>71436</v>
      </c>
      <c r="B63" s="216">
        <v>8504</v>
      </c>
      <c r="C63" s="118" t="s">
        <v>73</v>
      </c>
      <c r="D63" s="205">
        <v>45882</v>
      </c>
      <c r="E63" s="175"/>
      <c r="F63" s="207" t="s">
        <v>12</v>
      </c>
      <c r="G63" s="208" t="str">
        <f t="shared" si="0"/>
        <v>Ormanjhi</v>
      </c>
      <c r="H63" s="209">
        <v>636</v>
      </c>
      <c r="I63" s="210">
        <v>4.1500000000000004</v>
      </c>
      <c r="J63" s="210">
        <v>8.4499999999999993</v>
      </c>
      <c r="K63" s="176">
        <f t="shared" si="1"/>
        <v>26.394000000000002</v>
      </c>
      <c r="L63" s="177">
        <f t="shared" si="2"/>
        <v>53.741999999999997</v>
      </c>
      <c r="M63" s="209">
        <f>$R$63*H63/SUM($H$63:$H$67)</f>
        <v>639.35849794641115</v>
      </c>
      <c r="N63" s="211">
        <f t="shared" si="24"/>
        <v>4.2159048011012876</v>
      </c>
      <c r="O63" s="211">
        <f t="shared" si="25"/>
        <v>8.4714141895438999</v>
      </c>
      <c r="P63" s="176">
        <f>$U$63*K63/SUM($K$63:$K$67)</f>
        <v>26.954745611171823</v>
      </c>
      <c r="Q63" s="212">
        <f>$V$63*L63/SUM($L$63:$L$67)</f>
        <v>54.162706517087024</v>
      </c>
      <c r="R63" s="379">
        <v>5140</v>
      </c>
      <c r="S63" s="379">
        <v>4.2</v>
      </c>
      <c r="T63" s="379">
        <v>8.3699999999999992</v>
      </c>
      <c r="U63" s="379">
        <f>R63*S63%</f>
        <v>215.88000000000002</v>
      </c>
      <c r="V63" s="379">
        <f>R63*T63%</f>
        <v>430.21799999999996</v>
      </c>
      <c r="X63" s="176">
        <f t="shared" si="8"/>
        <v>639</v>
      </c>
      <c r="Y63" s="210">
        <f t="shared" ref="Y63:Z68" si="82">ROUND(N63,2)</f>
        <v>4.22</v>
      </c>
      <c r="Z63" s="210">
        <f t="shared" si="82"/>
        <v>8.4700000000000006</v>
      </c>
    </row>
    <row r="64" spans="1:26" s="166" customFormat="1" ht="12.75" x14ac:dyDescent="0.2">
      <c r="A64" s="213">
        <v>71436</v>
      </c>
      <c r="B64" s="216">
        <v>8504</v>
      </c>
      <c r="C64" s="118" t="s">
        <v>73</v>
      </c>
      <c r="D64" s="205">
        <v>45882</v>
      </c>
      <c r="E64" s="175"/>
      <c r="F64" s="207" t="s">
        <v>4</v>
      </c>
      <c r="G64" s="208" t="str">
        <f t="shared" si="0"/>
        <v>Pali</v>
      </c>
      <c r="H64" s="209">
        <v>1062</v>
      </c>
      <c r="I64" s="210">
        <v>4.2</v>
      </c>
      <c r="J64" s="210">
        <v>8.43</v>
      </c>
      <c r="K64" s="176">
        <f t="shared" si="1"/>
        <v>44.604000000000006</v>
      </c>
      <c r="L64" s="177">
        <f t="shared" si="2"/>
        <v>89.526600000000002</v>
      </c>
      <c r="M64" s="209">
        <f t="shared" ref="M64:M67" si="83">$R$63*H64/SUM($H$63:$H$67)</f>
        <v>1067.6080578916487</v>
      </c>
      <c r="N64" s="211">
        <f t="shared" ref="N64:N67" si="84">P64/M64*100</f>
        <v>4.2666988348494961</v>
      </c>
      <c r="O64" s="211">
        <f t="shared" ref="O64:O67" si="85">Q64/M64*100</f>
        <v>8.45136350507161</v>
      </c>
      <c r="P64" s="176">
        <f t="shared" ref="P64:P67" si="86">$U$63*K64/SUM($K$63:$K$67)</f>
        <v>45.551620566822315</v>
      </c>
      <c r="Q64" s="212">
        <f t="shared" ref="Q64:Q67" si="87">$V$63*L64/SUM($L$63:$L$67)</f>
        <v>90.227437781858583</v>
      </c>
      <c r="R64" s="381"/>
      <c r="S64" s="381"/>
      <c r="T64" s="381"/>
      <c r="U64" s="381"/>
      <c r="V64" s="381"/>
      <c r="X64" s="176">
        <f t="shared" si="8"/>
        <v>1068</v>
      </c>
      <c r="Y64" s="210">
        <f t="shared" si="82"/>
        <v>4.2699999999999996</v>
      </c>
      <c r="Z64" s="210">
        <f t="shared" si="82"/>
        <v>8.4499999999999993</v>
      </c>
    </row>
    <row r="65" spans="1:26" s="166" customFormat="1" ht="12.75" x14ac:dyDescent="0.2">
      <c r="A65" s="213">
        <v>71436</v>
      </c>
      <c r="B65" s="216">
        <v>8504</v>
      </c>
      <c r="C65" s="118" t="s">
        <v>73</v>
      </c>
      <c r="D65" s="205">
        <v>45882</v>
      </c>
      <c r="E65" s="175"/>
      <c r="F65" s="207" t="s">
        <v>4</v>
      </c>
      <c r="G65" s="208" t="str">
        <f t="shared" si="0"/>
        <v>Pali</v>
      </c>
      <c r="H65" s="209">
        <v>1117</v>
      </c>
      <c r="I65" s="210">
        <v>4.2</v>
      </c>
      <c r="J65" s="210">
        <v>8.43</v>
      </c>
      <c r="K65" s="176">
        <f t="shared" si="1"/>
        <v>46.914000000000001</v>
      </c>
      <c r="L65" s="177">
        <f t="shared" si="2"/>
        <v>94.1631</v>
      </c>
      <c r="M65" s="209">
        <f t="shared" si="83"/>
        <v>1122.8984940348132</v>
      </c>
      <c r="N65" s="211">
        <f t="shared" si="84"/>
        <v>4.2666988348494961</v>
      </c>
      <c r="O65" s="211">
        <f t="shared" si="85"/>
        <v>8.4513635050716083</v>
      </c>
      <c r="P65" s="176">
        <f t="shared" si="86"/>
        <v>47.910696961525908</v>
      </c>
      <c r="Q65" s="212">
        <f t="shared" si="87"/>
        <v>94.900233523856897</v>
      </c>
      <c r="R65" s="381"/>
      <c r="S65" s="381"/>
      <c r="T65" s="381"/>
      <c r="U65" s="381"/>
      <c r="V65" s="381"/>
      <c r="X65" s="176">
        <f t="shared" ref="X65:X68" si="88">ROUND(M65,0)</f>
        <v>1123</v>
      </c>
      <c r="Y65" s="210">
        <f t="shared" si="82"/>
        <v>4.2699999999999996</v>
      </c>
      <c r="Z65" s="210">
        <f t="shared" si="82"/>
        <v>8.4499999999999993</v>
      </c>
    </row>
    <row r="66" spans="1:26" s="166" customFormat="1" ht="12.75" x14ac:dyDescent="0.2">
      <c r="A66" s="213">
        <v>71436</v>
      </c>
      <c r="B66" s="216">
        <v>8504</v>
      </c>
      <c r="C66" s="118" t="s">
        <v>73</v>
      </c>
      <c r="D66" s="205">
        <v>45882</v>
      </c>
      <c r="E66" s="175"/>
      <c r="F66" s="207" t="s">
        <v>89</v>
      </c>
      <c r="G66" s="208" t="str">
        <f t="shared" si="0"/>
        <v>Chanho</v>
      </c>
      <c r="H66" s="209">
        <v>1260</v>
      </c>
      <c r="I66" s="210">
        <v>4</v>
      </c>
      <c r="J66" s="210">
        <v>8.14</v>
      </c>
      <c r="K66" s="176">
        <f t="shared" si="1"/>
        <v>50.4</v>
      </c>
      <c r="L66" s="177">
        <f t="shared" si="2"/>
        <v>102.56400000000001</v>
      </c>
      <c r="M66" s="209">
        <f t="shared" si="83"/>
        <v>1266.6536280070409</v>
      </c>
      <c r="N66" s="211">
        <f t="shared" si="84"/>
        <v>4.0635226998566623</v>
      </c>
      <c r="O66" s="211">
        <f t="shared" si="85"/>
        <v>8.1606285802233565</v>
      </c>
      <c r="P66" s="176">
        <f t="shared" si="86"/>
        <v>51.47075770262407</v>
      </c>
      <c r="Q66" s="212">
        <f t="shared" si="87"/>
        <v>103.36689797957862</v>
      </c>
      <c r="R66" s="381"/>
      <c r="S66" s="381"/>
      <c r="T66" s="381"/>
      <c r="U66" s="381"/>
      <c r="V66" s="381"/>
      <c r="X66" s="176">
        <f t="shared" si="88"/>
        <v>1267</v>
      </c>
      <c r="Y66" s="210">
        <f t="shared" si="82"/>
        <v>4.0599999999999996</v>
      </c>
      <c r="Z66" s="210">
        <f t="shared" si="82"/>
        <v>8.16</v>
      </c>
    </row>
    <row r="67" spans="1:26" s="166" customFormat="1" ht="12.75" x14ac:dyDescent="0.2">
      <c r="A67" s="213">
        <v>71436</v>
      </c>
      <c r="B67" s="216">
        <v>8504</v>
      </c>
      <c r="C67" s="118" t="s">
        <v>73</v>
      </c>
      <c r="D67" s="205">
        <v>45882</v>
      </c>
      <c r="E67" s="175"/>
      <c r="F67" s="207" t="s">
        <v>12</v>
      </c>
      <c r="G67" s="208" t="str">
        <f t="shared" si="0"/>
        <v>Ormanjhi</v>
      </c>
      <c r="H67" s="209">
        <v>1038</v>
      </c>
      <c r="I67" s="210">
        <v>4.1500000000000004</v>
      </c>
      <c r="J67" s="210">
        <v>8.3699999999999992</v>
      </c>
      <c r="K67" s="176">
        <f t="shared" si="1"/>
        <v>43.077000000000005</v>
      </c>
      <c r="L67" s="177">
        <f t="shared" si="2"/>
        <v>86.880600000000001</v>
      </c>
      <c r="M67" s="209">
        <f t="shared" si="83"/>
        <v>1043.4813221200861</v>
      </c>
      <c r="N67" s="211">
        <f t="shared" si="84"/>
        <v>4.2159048011012876</v>
      </c>
      <c r="O67" s="211">
        <f t="shared" si="85"/>
        <v>8.391211451654728</v>
      </c>
      <c r="P67" s="176">
        <f t="shared" si="86"/>
        <v>43.992179157855901</v>
      </c>
      <c r="Q67" s="212">
        <f t="shared" si="87"/>
        <v>87.560724197618825</v>
      </c>
      <c r="R67" s="380"/>
      <c r="S67" s="380"/>
      <c r="T67" s="380"/>
      <c r="U67" s="380"/>
      <c r="V67" s="380"/>
      <c r="X67" s="176">
        <f t="shared" si="88"/>
        <v>1043</v>
      </c>
      <c r="Y67" s="210">
        <f t="shared" si="82"/>
        <v>4.22</v>
      </c>
      <c r="Z67" s="210">
        <f t="shared" si="82"/>
        <v>8.39</v>
      </c>
    </row>
    <row r="68" spans="1:26" s="166" customFormat="1" ht="12.75" x14ac:dyDescent="0.2">
      <c r="A68" s="213">
        <v>70485</v>
      </c>
      <c r="B68" s="216" t="s">
        <v>90</v>
      </c>
      <c r="C68" s="118" t="s">
        <v>73</v>
      </c>
      <c r="D68" s="205">
        <v>45882</v>
      </c>
      <c r="E68" s="175"/>
      <c r="F68" s="207" t="s">
        <v>2</v>
      </c>
      <c r="G68" s="208" t="str">
        <f t="shared" si="0"/>
        <v>Itki</v>
      </c>
      <c r="H68" s="209">
        <v>5635</v>
      </c>
      <c r="I68" s="210">
        <v>4.45</v>
      </c>
      <c r="J68" s="210">
        <v>8.42</v>
      </c>
      <c r="K68" s="176">
        <f t="shared" si="1"/>
        <v>250.75750000000002</v>
      </c>
      <c r="L68" s="177">
        <f t="shared" si="2"/>
        <v>474.46699999999998</v>
      </c>
      <c r="M68" s="209">
        <f>$R$68*H68/SUM($H$68)</f>
        <v>5640</v>
      </c>
      <c r="N68" s="211">
        <f t="shared" si="24"/>
        <v>4.55</v>
      </c>
      <c r="O68" s="211">
        <f t="shared" si="25"/>
        <v>8.44</v>
      </c>
      <c r="P68" s="176">
        <f>$U$68*K68/SUM($K$68)</f>
        <v>256.62</v>
      </c>
      <c r="Q68" s="212">
        <f>$V$68*L68/SUM($L$68)</f>
        <v>476.01599999999996</v>
      </c>
      <c r="R68" s="236">
        <v>5640</v>
      </c>
      <c r="S68" s="236">
        <v>4.55</v>
      </c>
      <c r="T68" s="236">
        <v>8.44</v>
      </c>
      <c r="U68" s="237">
        <f>R68*S68%</f>
        <v>256.62</v>
      </c>
      <c r="V68" s="237">
        <f>R68*T68%</f>
        <v>476.01599999999996</v>
      </c>
      <c r="X68" s="176">
        <f t="shared" si="88"/>
        <v>5640</v>
      </c>
      <c r="Y68" s="210">
        <f t="shared" si="82"/>
        <v>4.55</v>
      </c>
      <c r="Z68" s="210">
        <f t="shared" si="82"/>
        <v>8.44</v>
      </c>
    </row>
    <row r="69" spans="1:26" s="166" customFormat="1" ht="12.75" x14ac:dyDescent="0.2">
      <c r="A69" s="213">
        <v>71408</v>
      </c>
      <c r="B69" s="216" t="s">
        <v>90</v>
      </c>
      <c r="C69" s="118" t="s">
        <v>73</v>
      </c>
      <c r="D69" s="205">
        <v>45881</v>
      </c>
      <c r="E69" s="175"/>
      <c r="F69" s="207" t="s">
        <v>2</v>
      </c>
      <c r="G69" s="208" t="str">
        <f t="shared" si="0"/>
        <v>Itki</v>
      </c>
      <c r="H69" s="209">
        <v>5466</v>
      </c>
      <c r="I69" s="210">
        <v>4.0999999999999996</v>
      </c>
      <c r="J69" s="210">
        <v>8.41</v>
      </c>
      <c r="K69" s="176">
        <f t="shared" si="1"/>
        <v>224.10599999999997</v>
      </c>
      <c r="L69" s="177">
        <f t="shared" si="2"/>
        <v>459.69060000000002</v>
      </c>
      <c r="M69" s="209">
        <f>$R$69*H69/SUM($H$69)</f>
        <v>5480</v>
      </c>
      <c r="N69" s="211">
        <f t="shared" ref="N69" si="89">P69/M69*100</f>
        <v>4.2</v>
      </c>
      <c r="O69" s="211">
        <f t="shared" ref="O69" si="90">Q69/M69*100</f>
        <v>8.3699999999999992</v>
      </c>
      <c r="P69" s="176">
        <f>$U$69*K69/SUM($K$69)</f>
        <v>230.16000000000003</v>
      </c>
      <c r="Q69" s="212">
        <f>$V$69*L69/SUM($L$69)</f>
        <v>458.67599999999999</v>
      </c>
      <c r="R69" s="236">
        <v>5480</v>
      </c>
      <c r="S69" s="236">
        <v>4.2</v>
      </c>
      <c r="T69" s="236">
        <v>8.3699999999999992</v>
      </c>
      <c r="U69" s="237">
        <f>R69*S69%</f>
        <v>230.16000000000003</v>
      </c>
      <c r="V69" s="237">
        <f>R69*T69%</f>
        <v>458.67599999999999</v>
      </c>
      <c r="X69" s="176">
        <f t="shared" ref="X69:X82" si="91">ROUND(M69,0)</f>
        <v>5480</v>
      </c>
      <c r="Y69" s="210">
        <f t="shared" ref="Y69:Y82" si="92">ROUND(N69,2)</f>
        <v>4.2</v>
      </c>
      <c r="Z69" s="210">
        <f t="shared" ref="Z69:Z82" si="93">ROUND(O69,2)</f>
        <v>8.3699999999999992</v>
      </c>
    </row>
    <row r="70" spans="1:26" s="166" customFormat="1" ht="12.75" x14ac:dyDescent="0.2">
      <c r="A70" s="213">
        <v>70482</v>
      </c>
      <c r="B70" s="216" t="s">
        <v>110</v>
      </c>
      <c r="C70" s="118" t="s">
        <v>109</v>
      </c>
      <c r="D70" s="205">
        <v>45881</v>
      </c>
      <c r="E70" s="175"/>
      <c r="F70" s="207" t="s">
        <v>14</v>
      </c>
      <c r="G70" s="208" t="str">
        <f t="shared" si="0"/>
        <v>Piragutu</v>
      </c>
      <c r="H70" s="209">
        <v>1208</v>
      </c>
      <c r="I70" s="210">
        <v>4.4000000000000004</v>
      </c>
      <c r="J70" s="210">
        <v>8.5399999999999991</v>
      </c>
      <c r="K70" s="176">
        <f t="shared" si="1"/>
        <v>53.152000000000008</v>
      </c>
      <c r="L70" s="177">
        <f t="shared" si="2"/>
        <v>103.16319999999999</v>
      </c>
      <c r="M70" s="209">
        <f>$R$70*H70/SUM($H$70:$H$72)</f>
        <v>1203.2758224062572</v>
      </c>
      <c r="N70" s="211">
        <f t="shared" si="24"/>
        <v>4.3763126058553112</v>
      </c>
      <c r="O70" s="211">
        <f t="shared" si="25"/>
        <v>8.4598209129722903</v>
      </c>
      <c r="P70" s="176">
        <f>$U$70*K70/SUM($K$70:$K$72)</f>
        <v>52.659111499174202</v>
      </c>
      <c r="Q70" s="212">
        <f>$V$70*L70/SUM($L$70:$L$72)</f>
        <v>101.79497966466387</v>
      </c>
      <c r="R70" s="379">
        <v>4330</v>
      </c>
      <c r="S70" s="379">
        <v>4.3499999999999996</v>
      </c>
      <c r="T70" s="379">
        <v>8.2799999999999994</v>
      </c>
      <c r="U70" s="379">
        <f>R70*S70%</f>
        <v>188.35499999999999</v>
      </c>
      <c r="V70" s="379">
        <f>R70*T70%</f>
        <v>358.524</v>
      </c>
      <c r="X70" s="176">
        <f t="shared" si="91"/>
        <v>1203</v>
      </c>
      <c r="Y70" s="210">
        <f t="shared" si="92"/>
        <v>4.38</v>
      </c>
      <c r="Z70" s="210">
        <f t="shared" si="93"/>
        <v>8.4600000000000009</v>
      </c>
    </row>
    <row r="71" spans="1:26" s="166" customFormat="1" ht="12.75" x14ac:dyDescent="0.2">
      <c r="A71" s="213">
        <v>70482</v>
      </c>
      <c r="B71" s="216" t="s">
        <v>110</v>
      </c>
      <c r="C71" s="118" t="s">
        <v>109</v>
      </c>
      <c r="D71" s="205">
        <v>45881</v>
      </c>
      <c r="E71" s="175"/>
      <c r="F71" s="207" t="s">
        <v>6</v>
      </c>
      <c r="G71" s="208" t="str">
        <f t="shared" si="0"/>
        <v>Hisri</v>
      </c>
      <c r="H71" s="209">
        <v>1989</v>
      </c>
      <c r="I71" s="210">
        <v>4.4000000000000004</v>
      </c>
      <c r="J71" s="210">
        <v>8.23</v>
      </c>
      <c r="K71" s="176">
        <f t="shared" si="1"/>
        <v>87.516000000000005</v>
      </c>
      <c r="L71" s="177">
        <f t="shared" si="2"/>
        <v>163.69469999999998</v>
      </c>
      <c r="M71" s="209">
        <f t="shared" ref="M71:M72" si="94">$R$70*H71/SUM($H$70:$H$72)</f>
        <v>1981.2215320910973</v>
      </c>
      <c r="N71" s="211">
        <f t="shared" ref="N71:N72" si="95">P71/M71*100</f>
        <v>4.3763126058553112</v>
      </c>
      <c r="O71" s="211">
        <f t="shared" ref="O71:O72" si="96">Q71/M71*100</f>
        <v>8.1527313950540936</v>
      </c>
      <c r="P71" s="176">
        <f t="shared" ref="P71:P72" si="97">$U$70*K71/SUM($K$70:$K$72)</f>
        <v>86.704447658822417</v>
      </c>
      <c r="Q71" s="212">
        <f t="shared" ref="Q71:Q72" si="98">$V$70*L71/SUM($L$70:$L$72)</f>
        <v>161.52366985236259</v>
      </c>
      <c r="R71" s="381"/>
      <c r="S71" s="381"/>
      <c r="T71" s="381"/>
      <c r="U71" s="381"/>
      <c r="V71" s="381"/>
      <c r="X71" s="176">
        <f t="shared" si="91"/>
        <v>1981</v>
      </c>
      <c r="Y71" s="210">
        <f t="shared" si="92"/>
        <v>4.38</v>
      </c>
      <c r="Z71" s="210">
        <f t="shared" si="93"/>
        <v>8.15</v>
      </c>
    </row>
    <row r="72" spans="1:26" s="166" customFormat="1" ht="12.75" x14ac:dyDescent="0.2">
      <c r="A72" s="213">
        <v>70482</v>
      </c>
      <c r="B72" s="216" t="s">
        <v>110</v>
      </c>
      <c r="C72" s="118" t="s">
        <v>109</v>
      </c>
      <c r="D72" s="205">
        <v>45881</v>
      </c>
      <c r="E72" s="175"/>
      <c r="F72" s="207" t="s">
        <v>4</v>
      </c>
      <c r="G72" s="208" t="str">
        <f t="shared" si="0"/>
        <v>Pali</v>
      </c>
      <c r="H72" s="209">
        <v>1150</v>
      </c>
      <c r="I72" s="210">
        <v>4.3</v>
      </c>
      <c r="J72" s="210">
        <v>8.39</v>
      </c>
      <c r="K72" s="176">
        <f t="shared" si="1"/>
        <v>49.449999999999996</v>
      </c>
      <c r="L72" s="177">
        <f t="shared" si="2"/>
        <v>96.484999999999999</v>
      </c>
      <c r="M72" s="209">
        <f t="shared" si="94"/>
        <v>1145.5026455026455</v>
      </c>
      <c r="N72" s="211">
        <f t="shared" si="95"/>
        <v>4.2768509557222352</v>
      </c>
      <c r="O72" s="211">
        <f t="shared" si="96"/>
        <v>8.3112292107538082</v>
      </c>
      <c r="P72" s="176">
        <f t="shared" si="97"/>
        <v>48.991440842003378</v>
      </c>
      <c r="Q72" s="212">
        <f t="shared" si="98"/>
        <v>95.205350482973515</v>
      </c>
      <c r="R72" s="380"/>
      <c r="S72" s="380"/>
      <c r="T72" s="380"/>
      <c r="U72" s="380"/>
      <c r="V72" s="380"/>
      <c r="X72" s="176">
        <f t="shared" si="91"/>
        <v>1146</v>
      </c>
      <c r="Y72" s="210">
        <f t="shared" si="92"/>
        <v>4.28</v>
      </c>
      <c r="Z72" s="210">
        <f t="shared" si="93"/>
        <v>8.31</v>
      </c>
    </row>
    <row r="73" spans="1:26" s="166" customFormat="1" ht="12.75" x14ac:dyDescent="0.2">
      <c r="A73" s="213">
        <v>71407</v>
      </c>
      <c r="B73" s="213">
        <v>8504</v>
      </c>
      <c r="C73" s="118" t="s">
        <v>73</v>
      </c>
      <c r="D73" s="205">
        <v>45881</v>
      </c>
      <c r="E73" s="175"/>
      <c r="F73" s="207" t="s">
        <v>4</v>
      </c>
      <c r="G73" s="208" t="str">
        <f t="shared" si="0"/>
        <v>Pali</v>
      </c>
      <c r="H73" s="209">
        <v>1164</v>
      </c>
      <c r="I73" s="210">
        <v>3.95</v>
      </c>
      <c r="J73" s="210">
        <v>8.39</v>
      </c>
      <c r="K73" s="176">
        <f t="shared" si="1"/>
        <v>45.978000000000002</v>
      </c>
      <c r="L73" s="177">
        <f t="shared" si="2"/>
        <v>97.659599999999998</v>
      </c>
      <c r="M73" s="209">
        <f>$R$73*H73/SUM($H$73:$H$76)</f>
        <v>1170.081066474509</v>
      </c>
      <c r="N73" s="211">
        <f t="shared" si="24"/>
        <v>3.9936370832720378</v>
      </c>
      <c r="O73" s="211">
        <f t="shared" si="25"/>
        <v>8.3721280525285593</v>
      </c>
      <c r="P73" s="176">
        <f>$U$73*K73/SUM($K$73:$K$76)</f>
        <v>46.728791375070934</v>
      </c>
      <c r="Q73" s="212">
        <f>$V$73*L73/SUM($L$73:$L$76)</f>
        <v>97.960685203637709</v>
      </c>
      <c r="R73" s="350">
        <v>5580</v>
      </c>
      <c r="S73" s="350">
        <v>3.9</v>
      </c>
      <c r="T73" s="350">
        <v>8.25</v>
      </c>
      <c r="U73" s="350">
        <f>R73*S73%</f>
        <v>217.62</v>
      </c>
      <c r="V73" s="350">
        <f>R73*T73%</f>
        <v>460.35</v>
      </c>
      <c r="X73" s="176">
        <f t="shared" si="91"/>
        <v>1170</v>
      </c>
      <c r="Y73" s="210">
        <f t="shared" si="92"/>
        <v>3.99</v>
      </c>
      <c r="Z73" s="210">
        <f t="shared" si="93"/>
        <v>8.3699999999999992</v>
      </c>
    </row>
    <row r="74" spans="1:26" s="166" customFormat="1" ht="12.75" x14ac:dyDescent="0.2">
      <c r="A74" s="213">
        <v>71407</v>
      </c>
      <c r="B74" s="213">
        <v>8504</v>
      </c>
      <c r="C74" s="118" t="s">
        <v>73</v>
      </c>
      <c r="D74" s="205">
        <v>45881</v>
      </c>
      <c r="E74" s="175"/>
      <c r="F74" s="207" t="s">
        <v>8</v>
      </c>
      <c r="G74" s="208" t="str">
        <f t="shared" si="0"/>
        <v>Choria</v>
      </c>
      <c r="H74" s="209">
        <v>1139</v>
      </c>
      <c r="I74" s="210">
        <v>3.25</v>
      </c>
      <c r="J74" s="210">
        <v>7.93</v>
      </c>
      <c r="K74" s="176">
        <f t="shared" si="1"/>
        <v>37.017499999999998</v>
      </c>
      <c r="L74" s="177">
        <f t="shared" si="2"/>
        <v>90.322699999999998</v>
      </c>
      <c r="M74" s="209">
        <f t="shared" ref="M74:M76" si="99">$R$73*H74/SUM($H$73:$H$76)</f>
        <v>1144.950459376689</v>
      </c>
      <c r="N74" s="211">
        <f t="shared" ref="N74:N76" si="100">P74/M74*100</f>
        <v>3.2859039292744607</v>
      </c>
      <c r="O74" s="211">
        <f t="shared" ref="O74:O76" si="101">Q74/M74*100</f>
        <v>7.9131079209238955</v>
      </c>
      <c r="P74" s="176">
        <f t="shared" ref="P74:P76" si="102">$U$73*K74/SUM($K$73:$K$76)</f>
        <v>37.62197213290461</v>
      </c>
      <c r="Q74" s="212">
        <f t="shared" ref="Q74:Q76" si="103">$V$73*L74/SUM($L$73:$L$76)</f>
        <v>90.601165491591303</v>
      </c>
      <c r="R74" s="351"/>
      <c r="S74" s="351"/>
      <c r="T74" s="351"/>
      <c r="U74" s="351"/>
      <c r="V74" s="351"/>
      <c r="X74" s="176">
        <f t="shared" si="91"/>
        <v>1145</v>
      </c>
      <c r="Y74" s="210">
        <f t="shared" si="92"/>
        <v>3.29</v>
      </c>
      <c r="Z74" s="210">
        <f t="shared" si="93"/>
        <v>7.91</v>
      </c>
    </row>
    <row r="75" spans="1:26" s="166" customFormat="1" ht="12.75" x14ac:dyDescent="0.2">
      <c r="A75" s="213">
        <v>71407</v>
      </c>
      <c r="B75" s="213">
        <v>8504</v>
      </c>
      <c r="C75" s="118" t="s">
        <v>73</v>
      </c>
      <c r="D75" s="205">
        <v>45881</v>
      </c>
      <c r="E75" s="175"/>
      <c r="F75" s="207" t="s">
        <v>89</v>
      </c>
      <c r="G75" s="208" t="str">
        <f t="shared" si="0"/>
        <v>Chanho</v>
      </c>
      <c r="H75" s="209">
        <v>1208</v>
      </c>
      <c r="I75" s="210">
        <v>4.0999999999999996</v>
      </c>
      <c r="J75" s="210">
        <v>8.16</v>
      </c>
      <c r="K75" s="176">
        <f t="shared" si="1"/>
        <v>49.527999999999992</v>
      </c>
      <c r="L75" s="177">
        <f t="shared" si="2"/>
        <v>98.572800000000001</v>
      </c>
      <c r="M75" s="209">
        <f t="shared" si="99"/>
        <v>1214.3109349666727</v>
      </c>
      <c r="N75" s="211">
        <f t="shared" si="100"/>
        <v>4.1452941877000891</v>
      </c>
      <c r="O75" s="211">
        <f t="shared" si="101"/>
        <v>8.1426179867262274</v>
      </c>
      <c r="P75" s="176">
        <f t="shared" si="102"/>
        <v>50.336760607780086</v>
      </c>
      <c r="Q75" s="212">
        <f t="shared" si="103"/>
        <v>98.87670060537971</v>
      </c>
      <c r="R75" s="351"/>
      <c r="S75" s="351"/>
      <c r="T75" s="351"/>
      <c r="U75" s="351"/>
      <c r="V75" s="351"/>
      <c r="X75" s="176">
        <f t="shared" si="91"/>
        <v>1214</v>
      </c>
      <c r="Y75" s="210">
        <f t="shared" si="92"/>
        <v>4.1500000000000004</v>
      </c>
      <c r="Z75" s="210">
        <f t="shared" si="93"/>
        <v>8.14</v>
      </c>
    </row>
    <row r="76" spans="1:26" s="166" customFormat="1" ht="12.75" x14ac:dyDescent="0.2">
      <c r="A76" s="213">
        <v>71407</v>
      </c>
      <c r="B76" s="213">
        <v>8504</v>
      </c>
      <c r="C76" s="118" t="s">
        <v>73</v>
      </c>
      <c r="D76" s="205">
        <v>45881</v>
      </c>
      <c r="E76" s="175"/>
      <c r="F76" s="207" t="s">
        <v>12</v>
      </c>
      <c r="G76" s="208" t="str">
        <f t="shared" si="0"/>
        <v>Ormanjhi</v>
      </c>
      <c r="H76" s="209">
        <v>2040</v>
      </c>
      <c r="I76" s="210">
        <v>4</v>
      </c>
      <c r="J76" s="210">
        <v>8.4499999999999993</v>
      </c>
      <c r="K76" s="176">
        <f t="shared" si="1"/>
        <v>81.600000000000009</v>
      </c>
      <c r="L76" s="177">
        <f t="shared" si="2"/>
        <v>172.38</v>
      </c>
      <c r="M76" s="209">
        <f t="shared" si="99"/>
        <v>2050.6575391821293</v>
      </c>
      <c r="N76" s="211">
        <f t="shared" si="100"/>
        <v>4.0441894514147219</v>
      </c>
      <c r="O76" s="211">
        <f t="shared" si="101"/>
        <v>8.4320002436074297</v>
      </c>
      <c r="P76" s="176">
        <f t="shared" si="102"/>
        <v>82.932475884244383</v>
      </c>
      <c r="Q76" s="212">
        <f t="shared" si="103"/>
        <v>172.91144869939126</v>
      </c>
      <c r="R76" s="352"/>
      <c r="S76" s="352"/>
      <c r="T76" s="352"/>
      <c r="U76" s="352"/>
      <c r="V76" s="352"/>
      <c r="X76" s="176">
        <f t="shared" si="91"/>
        <v>2051</v>
      </c>
      <c r="Y76" s="210">
        <f t="shared" si="92"/>
        <v>4.04</v>
      </c>
      <c r="Z76" s="210">
        <f t="shared" si="93"/>
        <v>8.43</v>
      </c>
    </row>
    <row r="77" spans="1:26" s="166" customFormat="1" ht="12.75" x14ac:dyDescent="0.2">
      <c r="A77" s="215">
        <v>70353</v>
      </c>
      <c r="B77" s="213">
        <v>9944</v>
      </c>
      <c r="C77" s="118" t="s">
        <v>73</v>
      </c>
      <c r="D77" s="205">
        <v>45880</v>
      </c>
      <c r="E77" s="175"/>
      <c r="F77" s="239"/>
      <c r="G77" s="240" t="s">
        <v>114</v>
      </c>
      <c r="H77" s="209">
        <v>2320</v>
      </c>
      <c r="I77" s="210">
        <v>4.0999999999999996</v>
      </c>
      <c r="J77" s="210">
        <v>8.35</v>
      </c>
      <c r="K77" s="176">
        <f t="shared" si="1"/>
        <v>95.11999999999999</v>
      </c>
      <c r="L77" s="177">
        <f t="shared" si="2"/>
        <v>193.71999999999997</v>
      </c>
      <c r="M77" s="209">
        <f>$R$77*H77/SUM($H$77:$H$78)</f>
        <v>2325.9411011523689</v>
      </c>
      <c r="N77" s="211">
        <f t="shared" ref="N77" si="104">P77/M77*100</f>
        <v>4.2634515644594444</v>
      </c>
      <c r="O77" s="211">
        <f t="shared" ref="O77" si="105">Q77/M77*100</f>
        <v>8.3829428176575469</v>
      </c>
      <c r="P77" s="176">
        <f>$U$77*K77/SUM($K$77:$K$78)</f>
        <v>99.1653722654859</v>
      </c>
      <c r="Q77" s="212">
        <f>$V$77*L77/SUM($L$77:$L$78)</f>
        <v>194.98231248199738</v>
      </c>
      <c r="R77" s="350">
        <v>7830</v>
      </c>
      <c r="S77" s="350">
        <v>4.3</v>
      </c>
      <c r="T77" s="350">
        <v>8.39</v>
      </c>
      <c r="U77" s="350">
        <f>R77*S77%</f>
        <v>336.69</v>
      </c>
      <c r="V77" s="350">
        <f>R77*T77%</f>
        <v>656.93700000000001</v>
      </c>
      <c r="X77" s="176">
        <f t="shared" si="91"/>
        <v>2326</v>
      </c>
      <c r="Y77" s="210">
        <f t="shared" si="92"/>
        <v>4.26</v>
      </c>
      <c r="Z77" s="210">
        <f t="shared" si="93"/>
        <v>8.3800000000000008</v>
      </c>
    </row>
    <row r="78" spans="1:26" s="166" customFormat="1" ht="12.75" x14ac:dyDescent="0.2">
      <c r="A78" s="215">
        <v>70353</v>
      </c>
      <c r="B78" s="213">
        <v>9944</v>
      </c>
      <c r="C78" s="118" t="s">
        <v>73</v>
      </c>
      <c r="D78" s="205">
        <v>45880</v>
      </c>
      <c r="E78" s="175"/>
      <c r="F78" s="207" t="s">
        <v>78</v>
      </c>
      <c r="G78" s="208" t="str">
        <f t="shared" si="0"/>
        <v>Bhandra</v>
      </c>
      <c r="H78" s="209">
        <v>5490</v>
      </c>
      <c r="I78" s="210">
        <v>4.1500000000000004</v>
      </c>
      <c r="J78" s="210">
        <v>8.36</v>
      </c>
      <c r="K78" s="176">
        <f t="shared" si="1"/>
        <v>227.83500000000001</v>
      </c>
      <c r="L78" s="177">
        <f t="shared" si="2"/>
        <v>458.96399999999994</v>
      </c>
      <c r="M78" s="209">
        <f>$R$77*H78/SUM($H$77:$H$78)</f>
        <v>5504.0588988476311</v>
      </c>
      <c r="N78" s="211">
        <f t="shared" ref="N78:N79" si="106">P78/M78*100</f>
        <v>4.3154448762211448</v>
      </c>
      <c r="O78" s="211">
        <f t="shared" ref="O78:O79" si="107">Q78/M78*100</f>
        <v>8.3929822701337855</v>
      </c>
      <c r="P78" s="176">
        <f>$U$77*K78/SUM($K$77:$K$78)</f>
        <v>237.5246277345141</v>
      </c>
      <c r="Q78" s="212">
        <f>$V$77*L78/SUM($L$77:$L$78)</f>
        <v>461.95468751800257</v>
      </c>
      <c r="R78" s="352"/>
      <c r="S78" s="352"/>
      <c r="T78" s="352"/>
      <c r="U78" s="352"/>
      <c r="V78" s="352"/>
      <c r="X78" s="176">
        <f t="shared" si="91"/>
        <v>5504</v>
      </c>
      <c r="Y78" s="210">
        <f t="shared" si="92"/>
        <v>4.32</v>
      </c>
      <c r="Z78" s="210">
        <f t="shared" si="93"/>
        <v>8.39</v>
      </c>
    </row>
    <row r="79" spans="1:26" s="166" customFormat="1" ht="12.75" x14ac:dyDescent="0.2">
      <c r="A79" s="215">
        <v>70481</v>
      </c>
      <c r="B79" s="216" t="s">
        <v>90</v>
      </c>
      <c r="C79" s="118" t="s">
        <v>73</v>
      </c>
      <c r="D79" s="205">
        <v>45881</v>
      </c>
      <c r="E79" s="175"/>
      <c r="F79" s="207" t="s">
        <v>2</v>
      </c>
      <c r="G79" s="208" t="str">
        <f t="shared" si="0"/>
        <v>Itki</v>
      </c>
      <c r="H79" s="209">
        <v>6150</v>
      </c>
      <c r="I79" s="210">
        <v>4.1500000000000004</v>
      </c>
      <c r="J79" s="210">
        <v>8.36</v>
      </c>
      <c r="K79" s="176">
        <f t="shared" si="1"/>
        <v>255.22500000000002</v>
      </c>
      <c r="L79" s="177">
        <f t="shared" si="2"/>
        <v>514.14</v>
      </c>
      <c r="M79" s="209">
        <f>$R$79*H79/SUM($H$79)</f>
        <v>6150</v>
      </c>
      <c r="N79" s="211">
        <f t="shared" si="106"/>
        <v>4.2</v>
      </c>
      <c r="O79" s="211">
        <f t="shared" si="107"/>
        <v>8.3699999999999992</v>
      </c>
      <c r="P79" s="176">
        <f>$U$79*K79/SUM($K$79)</f>
        <v>258.3</v>
      </c>
      <c r="Q79" s="212">
        <f>$V$79*L79/SUM($L$79)</f>
        <v>514.755</v>
      </c>
      <c r="R79" s="241">
        <v>6150</v>
      </c>
      <c r="S79" s="241">
        <v>4.2</v>
      </c>
      <c r="T79" s="241">
        <v>8.3699999999999992</v>
      </c>
      <c r="U79" s="241">
        <f>R79*S79%</f>
        <v>258.3</v>
      </c>
      <c r="V79" s="241">
        <f>R79*T79%</f>
        <v>514.755</v>
      </c>
      <c r="X79" s="176">
        <f t="shared" si="91"/>
        <v>6150</v>
      </c>
      <c r="Y79" s="210">
        <f t="shared" si="92"/>
        <v>4.2</v>
      </c>
      <c r="Z79" s="210">
        <f t="shared" si="93"/>
        <v>8.3699999999999992</v>
      </c>
    </row>
    <row r="80" spans="1:26" s="166" customFormat="1" ht="12.75" x14ac:dyDescent="0.2">
      <c r="A80" s="215">
        <v>71406</v>
      </c>
      <c r="B80" s="213">
        <v>8504</v>
      </c>
      <c r="C80" s="118" t="s">
        <v>73</v>
      </c>
      <c r="D80" s="205">
        <v>45880</v>
      </c>
      <c r="E80" s="175"/>
      <c r="F80" s="207" t="s">
        <v>12</v>
      </c>
      <c r="G80" s="208" t="str">
        <f t="shared" si="0"/>
        <v>Ormanjhi</v>
      </c>
      <c r="H80" s="209">
        <v>1900</v>
      </c>
      <c r="I80" s="210">
        <v>4</v>
      </c>
      <c r="J80" s="210">
        <v>8.39</v>
      </c>
      <c r="K80" s="176">
        <f t="shared" si="1"/>
        <v>76</v>
      </c>
      <c r="L80" s="177">
        <f t="shared" si="2"/>
        <v>159.41</v>
      </c>
      <c r="M80" s="209">
        <f>$R$80*H80/SUM($H$80:$H$83)</f>
        <v>1904.8049132947976</v>
      </c>
      <c r="N80" s="211">
        <f t="shared" ref="N80" si="108">P80/M80*100</f>
        <v>4.0177765034764539</v>
      </c>
      <c r="O80" s="211">
        <f t="shared" ref="O80" si="109">Q80/M80*100</f>
        <v>8.3292217542193878</v>
      </c>
      <c r="P80" s="176">
        <f>$U$80*K80/SUM($K$80:$K$83)</f>
        <v>76.530804243423418</v>
      </c>
      <c r="Q80" s="212">
        <f>$V$80*L80/SUM($L$80:$L$83)</f>
        <v>158.65542521359004</v>
      </c>
      <c r="R80" s="350">
        <v>5550</v>
      </c>
      <c r="S80" s="350">
        <v>4.05</v>
      </c>
      <c r="T80" s="350">
        <v>8.2799999999999994</v>
      </c>
      <c r="U80" s="350">
        <f>R80*S80%</f>
        <v>224.77500000000001</v>
      </c>
      <c r="V80" s="350">
        <f>R80*T80%</f>
        <v>459.54</v>
      </c>
      <c r="X80" s="176">
        <f t="shared" si="91"/>
        <v>1905</v>
      </c>
      <c r="Y80" s="210">
        <f t="shared" si="92"/>
        <v>4.0199999999999996</v>
      </c>
      <c r="Z80" s="210">
        <f t="shared" si="93"/>
        <v>8.33</v>
      </c>
    </row>
    <row r="81" spans="1:26" s="166" customFormat="1" ht="12.75" x14ac:dyDescent="0.2">
      <c r="A81" s="215">
        <v>71406</v>
      </c>
      <c r="B81" s="213">
        <v>8504</v>
      </c>
      <c r="C81" s="118" t="s">
        <v>73</v>
      </c>
      <c r="D81" s="205">
        <v>45880</v>
      </c>
      <c r="E81" s="175"/>
      <c r="F81" s="207" t="s">
        <v>4</v>
      </c>
      <c r="G81" s="208" t="str">
        <f t="shared" si="0"/>
        <v>Pali</v>
      </c>
      <c r="H81" s="209">
        <v>1156</v>
      </c>
      <c r="I81" s="210">
        <v>4.0999999999999996</v>
      </c>
      <c r="J81" s="210">
        <v>8.41</v>
      </c>
      <c r="K81" s="176">
        <f t="shared" si="1"/>
        <v>47.395999999999994</v>
      </c>
      <c r="L81" s="177">
        <f t="shared" si="2"/>
        <v>97.219600000000014</v>
      </c>
      <c r="M81" s="209">
        <f t="shared" ref="M81:M83" si="110">$R$80*H81/SUM($H$80:$H$83)</f>
        <v>1158.9234104046243</v>
      </c>
      <c r="N81" s="211">
        <f t="shared" ref="N81:N83" si="111">P81/M81*100</f>
        <v>4.1182209160633638</v>
      </c>
      <c r="O81" s="211">
        <f t="shared" ref="O81:O83" si="112">Q81/M81*100</f>
        <v>8.3490768716311177</v>
      </c>
      <c r="P81" s="176">
        <f t="shared" ref="P81:P83" si="113">$U$80*K81/SUM($K$80:$K$83)</f>
        <v>47.727026288438097</v>
      </c>
      <c r="Q81" s="212">
        <f t="shared" ref="Q81:Q83" si="114">$V$80*L81/SUM($L$80:$L$83)</f>
        <v>96.759406418011054</v>
      </c>
      <c r="R81" s="351"/>
      <c r="S81" s="351"/>
      <c r="T81" s="351"/>
      <c r="U81" s="351"/>
      <c r="V81" s="351"/>
      <c r="X81" s="176">
        <f t="shared" si="91"/>
        <v>1159</v>
      </c>
      <c r="Y81" s="210">
        <f t="shared" si="92"/>
        <v>4.12</v>
      </c>
      <c r="Z81" s="210">
        <f t="shared" si="93"/>
        <v>8.35</v>
      </c>
    </row>
    <row r="82" spans="1:26" s="166" customFormat="1" ht="12.75" x14ac:dyDescent="0.2">
      <c r="A82" s="215">
        <v>71406</v>
      </c>
      <c r="B82" s="213">
        <v>8504</v>
      </c>
      <c r="C82" s="118" t="s">
        <v>73</v>
      </c>
      <c r="D82" s="205">
        <v>45880</v>
      </c>
      <c r="E82" s="175"/>
      <c r="F82" s="207" t="s">
        <v>89</v>
      </c>
      <c r="G82" s="208" t="str">
        <f t="shared" si="0"/>
        <v>Chanho</v>
      </c>
      <c r="H82" s="209">
        <v>1240</v>
      </c>
      <c r="I82" s="210">
        <v>4.0999999999999996</v>
      </c>
      <c r="J82" s="210">
        <v>8.16</v>
      </c>
      <c r="K82" s="176">
        <f t="shared" si="1"/>
        <v>50.839999999999996</v>
      </c>
      <c r="L82" s="177">
        <f t="shared" si="2"/>
        <v>101.18400000000001</v>
      </c>
      <c r="M82" s="209">
        <f t="shared" si="110"/>
        <v>1243.1358381502889</v>
      </c>
      <c r="N82" s="211">
        <f t="shared" si="111"/>
        <v>4.1182209160633647</v>
      </c>
      <c r="O82" s="211">
        <f t="shared" si="112"/>
        <v>8.1008879039845318</v>
      </c>
      <c r="P82" s="176">
        <f t="shared" si="113"/>
        <v>51.195080101784818</v>
      </c>
      <c r="Q82" s="212">
        <f t="shared" si="114"/>
        <v>100.70504074281348</v>
      </c>
      <c r="R82" s="351"/>
      <c r="S82" s="351"/>
      <c r="T82" s="351"/>
      <c r="U82" s="351"/>
      <c r="V82" s="351"/>
      <c r="X82" s="176">
        <f t="shared" si="91"/>
        <v>1243</v>
      </c>
      <c r="Y82" s="210">
        <f t="shared" si="92"/>
        <v>4.12</v>
      </c>
      <c r="Z82" s="210">
        <f t="shared" si="93"/>
        <v>8.1</v>
      </c>
    </row>
    <row r="83" spans="1:26" s="166" customFormat="1" ht="12.75" x14ac:dyDescent="0.2">
      <c r="A83" s="215">
        <v>71406</v>
      </c>
      <c r="B83" s="213">
        <v>8504</v>
      </c>
      <c r="C83" s="118" t="s">
        <v>73</v>
      </c>
      <c r="D83" s="205">
        <v>45880</v>
      </c>
      <c r="E83" s="175"/>
      <c r="F83" s="207" t="s">
        <v>12</v>
      </c>
      <c r="G83" s="208" t="str">
        <f t="shared" si="0"/>
        <v>Ormanjhi</v>
      </c>
      <c r="H83" s="209">
        <v>1240</v>
      </c>
      <c r="I83" s="210">
        <v>3.95</v>
      </c>
      <c r="J83" s="210">
        <v>8.3800000000000008</v>
      </c>
      <c r="K83" s="176">
        <f t="shared" si="1"/>
        <v>48.980000000000004</v>
      </c>
      <c r="L83" s="177">
        <f t="shared" si="2"/>
        <v>103.91200000000002</v>
      </c>
      <c r="M83" s="209">
        <f t="shared" si="110"/>
        <v>1243.1358381502889</v>
      </c>
      <c r="N83" s="211">
        <f t="shared" si="111"/>
        <v>3.9675542971829985</v>
      </c>
      <c r="O83" s="211">
        <f t="shared" si="112"/>
        <v>8.3192941955135264</v>
      </c>
      <c r="P83" s="176">
        <f t="shared" si="113"/>
        <v>49.322089366353673</v>
      </c>
      <c r="Q83" s="212">
        <f t="shared" si="114"/>
        <v>103.42012762558542</v>
      </c>
      <c r="R83" s="352"/>
      <c r="S83" s="352"/>
      <c r="T83" s="352"/>
      <c r="U83" s="352"/>
      <c r="V83" s="352"/>
      <c r="X83" s="176">
        <f t="shared" ref="X83:X87" si="115">ROUND(M83,0)</f>
        <v>1243</v>
      </c>
      <c r="Y83" s="210">
        <f t="shared" ref="Y83:Y87" si="116">ROUND(N83,2)</f>
        <v>3.97</v>
      </c>
      <c r="Z83" s="210">
        <f t="shared" ref="Z83:Z87" si="117">ROUND(O83,2)</f>
        <v>8.32</v>
      </c>
    </row>
    <row r="84" spans="1:26" s="166" customFormat="1" ht="12.75" x14ac:dyDescent="0.2">
      <c r="A84" s="215">
        <v>70352</v>
      </c>
      <c r="B84" s="216">
        <v>8504</v>
      </c>
      <c r="C84" s="118" t="s">
        <v>73</v>
      </c>
      <c r="D84" s="205">
        <v>45879</v>
      </c>
      <c r="E84" s="175"/>
      <c r="F84" s="207" t="s">
        <v>78</v>
      </c>
      <c r="G84" s="208" t="str">
        <f t="shared" si="0"/>
        <v>Bhandra</v>
      </c>
      <c r="H84" s="209">
        <v>4475</v>
      </c>
      <c r="I84" s="210">
        <v>4.1500000000000004</v>
      </c>
      <c r="J84" s="210">
        <v>8.3000000000000007</v>
      </c>
      <c r="K84" s="176">
        <f t="shared" si="1"/>
        <v>185.71250000000001</v>
      </c>
      <c r="L84" s="177">
        <f t="shared" si="2"/>
        <v>371.42500000000001</v>
      </c>
      <c r="M84" s="209">
        <f>$R$84*H84/SUM($H$84:$H$85)</f>
        <v>4475</v>
      </c>
      <c r="N84" s="211">
        <f t="shared" ref="N84" si="118">P84/M84*100</f>
        <v>4.2862616300877345</v>
      </c>
      <c r="O84" s="211">
        <f t="shared" ref="O84" si="119">Q84/M84*100</f>
        <v>8.2866895795984252</v>
      </c>
      <c r="P84" s="176">
        <f>$U$84*K84/SUM($K$84:$K$85)</f>
        <v>191.81020794642612</v>
      </c>
      <c r="Q84" s="212">
        <f>$V$84*L84/SUM($L$84:$L$85)</f>
        <v>370.82935868702953</v>
      </c>
      <c r="R84" s="350">
        <v>6720</v>
      </c>
      <c r="S84" s="350">
        <v>4.2</v>
      </c>
      <c r="T84" s="350">
        <v>8.25</v>
      </c>
      <c r="U84" s="379">
        <f>R84*S84%</f>
        <v>282.24</v>
      </c>
      <c r="V84" s="379">
        <f>R84*T84%</f>
        <v>554.4</v>
      </c>
      <c r="X84" s="176">
        <f t="shared" si="115"/>
        <v>4475</v>
      </c>
      <c r="Y84" s="210">
        <f t="shared" si="116"/>
        <v>4.29</v>
      </c>
      <c r="Z84" s="210">
        <f t="shared" si="117"/>
        <v>8.2899999999999991</v>
      </c>
    </row>
    <row r="85" spans="1:26" s="166" customFormat="1" ht="12.75" x14ac:dyDescent="0.2">
      <c r="A85" s="215">
        <v>70352</v>
      </c>
      <c r="B85" s="216">
        <v>8504</v>
      </c>
      <c r="C85" s="118" t="s">
        <v>73</v>
      </c>
      <c r="D85" s="205">
        <v>45879</v>
      </c>
      <c r="E85" s="175"/>
      <c r="F85" s="239"/>
      <c r="G85" s="242" t="s">
        <v>114</v>
      </c>
      <c r="H85" s="209">
        <v>2245</v>
      </c>
      <c r="I85" s="210">
        <v>3.9</v>
      </c>
      <c r="J85" s="210">
        <v>8.19</v>
      </c>
      <c r="K85" s="176">
        <f t="shared" si="1"/>
        <v>87.555000000000007</v>
      </c>
      <c r="L85" s="177">
        <f t="shared" si="2"/>
        <v>183.8655</v>
      </c>
      <c r="M85" s="209">
        <f>$R$84*H85/SUM($H$84:$H$85)</f>
        <v>2245</v>
      </c>
      <c r="N85" s="211">
        <f t="shared" ref="N85" si="120">P85/M85*100</f>
        <v>4.0280530981547384</v>
      </c>
      <c r="O85" s="211">
        <f t="shared" ref="O85" si="121">Q85/M85*100</f>
        <v>8.176865982760372</v>
      </c>
      <c r="P85" s="176">
        <f>$U$84*K85/SUM($K$84:$K$85)</f>
        <v>90.429792053573877</v>
      </c>
      <c r="Q85" s="212">
        <f>$V$84*L85/SUM($L$84:$L$85)</f>
        <v>183.57064131297037</v>
      </c>
      <c r="R85" s="352"/>
      <c r="S85" s="352"/>
      <c r="T85" s="352"/>
      <c r="U85" s="380"/>
      <c r="V85" s="380"/>
      <c r="X85" s="176">
        <f t="shared" si="115"/>
        <v>2245</v>
      </c>
      <c r="Y85" s="210">
        <f t="shared" si="116"/>
        <v>4.03</v>
      </c>
      <c r="Z85" s="210">
        <f t="shared" si="117"/>
        <v>8.18</v>
      </c>
    </row>
    <row r="86" spans="1:26" s="166" customFormat="1" ht="12.75" x14ac:dyDescent="0.2">
      <c r="A86" s="215">
        <v>71405</v>
      </c>
      <c r="B86" s="216">
        <v>1023</v>
      </c>
      <c r="C86" s="118" t="s">
        <v>73</v>
      </c>
      <c r="D86" s="205">
        <v>45879</v>
      </c>
      <c r="E86" s="175"/>
      <c r="F86" s="207" t="s">
        <v>4</v>
      </c>
      <c r="G86" s="208" t="str">
        <f t="shared" si="0"/>
        <v>Pali</v>
      </c>
      <c r="H86" s="209">
        <v>1192</v>
      </c>
      <c r="I86" s="210">
        <v>4.2</v>
      </c>
      <c r="J86" s="210">
        <v>8.31</v>
      </c>
      <c r="K86" s="176">
        <f t="shared" si="1"/>
        <v>50.064</v>
      </c>
      <c r="L86" s="177">
        <f t="shared" si="2"/>
        <v>99.055200000000013</v>
      </c>
      <c r="M86" s="209">
        <f>$R$86*H86/SUM($H$86:$H$89)</f>
        <v>1192</v>
      </c>
      <c r="N86" s="211">
        <f t="shared" ref="N86" si="122">P86/M86*100</f>
        <v>4.2122695727450923</v>
      </c>
      <c r="O86" s="211">
        <f t="shared" ref="O86" si="123">Q86/M86*100</f>
        <v>8.2916033386692973</v>
      </c>
      <c r="P86" s="176">
        <f>$U$86*K86/SUM($K$86:$K$89)</f>
        <v>50.210253307121498</v>
      </c>
      <c r="Q86" s="212">
        <f>$V$86*L86/SUM($L$86:$L$89)</f>
        <v>98.835911796938021</v>
      </c>
      <c r="R86" s="350">
        <v>4330</v>
      </c>
      <c r="S86" s="350">
        <v>4</v>
      </c>
      <c r="T86" s="350">
        <v>8.27</v>
      </c>
      <c r="U86" s="350">
        <f>R86*S86%</f>
        <v>173.20000000000002</v>
      </c>
      <c r="V86" s="350">
        <f>R86*T86%</f>
        <v>358.09100000000001</v>
      </c>
      <c r="X86" s="176">
        <f t="shared" si="115"/>
        <v>1192</v>
      </c>
      <c r="Y86" s="210">
        <f t="shared" si="116"/>
        <v>4.21</v>
      </c>
      <c r="Z86" s="210">
        <f t="shared" si="117"/>
        <v>8.2899999999999991</v>
      </c>
    </row>
    <row r="87" spans="1:26" s="166" customFormat="1" ht="12.75" x14ac:dyDescent="0.2">
      <c r="A87" s="215">
        <v>71405</v>
      </c>
      <c r="B87" s="216">
        <v>1023</v>
      </c>
      <c r="C87" s="118" t="s">
        <v>73</v>
      </c>
      <c r="D87" s="205">
        <v>45879</v>
      </c>
      <c r="E87" s="175"/>
      <c r="F87" s="207" t="s">
        <v>8</v>
      </c>
      <c r="G87" s="208" t="str">
        <f t="shared" ref="G87:G160" si="124">VLOOKUP(F87,$AC$11:$AD$19,2,0)</f>
        <v>Choria</v>
      </c>
      <c r="H87" s="209">
        <v>587</v>
      </c>
      <c r="I87" s="210">
        <v>3.25</v>
      </c>
      <c r="J87" s="210">
        <v>7.99</v>
      </c>
      <c r="K87" s="176">
        <f t="shared" si="1"/>
        <v>19.077500000000001</v>
      </c>
      <c r="L87" s="177">
        <f t="shared" si="2"/>
        <v>46.901299999999999</v>
      </c>
      <c r="M87" s="209">
        <f t="shared" ref="M87:M89" si="125">$R$86*H87/SUM($H$86:$H$89)</f>
        <v>587</v>
      </c>
      <c r="N87" s="211">
        <f t="shared" ref="N87:N89" si="126">P87/M87*100</f>
        <v>3.2594943122432261</v>
      </c>
      <c r="O87" s="211">
        <f t="shared" ref="O87:O89" si="127">Q87/M87*100</f>
        <v>7.9723117540273973</v>
      </c>
      <c r="P87" s="176">
        <f t="shared" ref="P87:P89" si="128">$U$86*K87/SUM($K$86:$K$89)</f>
        <v>19.133231612867736</v>
      </c>
      <c r="Q87" s="212">
        <f t="shared" ref="Q87:Q89" si="129">$V$86*L87/SUM($L$86:$L$89)</f>
        <v>46.797469996140826</v>
      </c>
      <c r="R87" s="351"/>
      <c r="S87" s="351"/>
      <c r="T87" s="351"/>
      <c r="U87" s="351"/>
      <c r="V87" s="351"/>
      <c r="X87" s="176">
        <f t="shared" si="115"/>
        <v>587</v>
      </c>
      <c r="Y87" s="210">
        <f t="shared" si="116"/>
        <v>3.26</v>
      </c>
      <c r="Z87" s="210">
        <f t="shared" si="117"/>
        <v>7.97</v>
      </c>
    </row>
    <row r="88" spans="1:26" s="166" customFormat="1" ht="12.75" x14ac:dyDescent="0.2">
      <c r="A88" s="215">
        <v>71405</v>
      </c>
      <c r="B88" s="216">
        <v>1023</v>
      </c>
      <c r="C88" s="118" t="s">
        <v>73</v>
      </c>
      <c r="D88" s="205">
        <v>45879</v>
      </c>
      <c r="E88" s="175"/>
      <c r="F88" s="207" t="s">
        <v>89</v>
      </c>
      <c r="G88" s="208" t="str">
        <f t="shared" si="124"/>
        <v>Chanho</v>
      </c>
      <c r="H88" s="209">
        <v>1355</v>
      </c>
      <c r="I88" s="210">
        <v>4.2</v>
      </c>
      <c r="J88" s="210">
        <v>8.3000000000000007</v>
      </c>
      <c r="K88" s="176">
        <f t="shared" si="1"/>
        <v>56.910000000000004</v>
      </c>
      <c r="L88" s="177">
        <f t="shared" si="2"/>
        <v>112.465</v>
      </c>
      <c r="M88" s="209">
        <f t="shared" si="125"/>
        <v>1355</v>
      </c>
      <c r="N88" s="211">
        <f t="shared" si="126"/>
        <v>4.2122695727450932</v>
      </c>
      <c r="O88" s="211">
        <f t="shared" si="127"/>
        <v>8.2816254766492374</v>
      </c>
      <c r="P88" s="176">
        <f t="shared" si="128"/>
        <v>57.076252710696004</v>
      </c>
      <c r="Q88" s="212">
        <f t="shared" si="129"/>
        <v>112.21602520859717</v>
      </c>
      <c r="R88" s="351"/>
      <c r="S88" s="351"/>
      <c r="T88" s="351"/>
      <c r="U88" s="351"/>
      <c r="V88" s="351"/>
      <c r="X88" s="176">
        <f t="shared" ref="X88:X100" si="130">ROUND(M88,0)</f>
        <v>1355</v>
      </c>
      <c r="Y88" s="210">
        <f t="shared" ref="Y88:Y100" si="131">ROUND(N88,2)</f>
        <v>4.21</v>
      </c>
      <c r="Z88" s="210">
        <f t="shared" ref="Z88:Z100" si="132">ROUND(O88,2)</f>
        <v>8.2799999999999994</v>
      </c>
    </row>
    <row r="89" spans="1:26" s="166" customFormat="1" ht="12.75" x14ac:dyDescent="0.2">
      <c r="A89" s="215">
        <v>71405</v>
      </c>
      <c r="B89" s="216">
        <v>1023</v>
      </c>
      <c r="C89" s="118" t="s">
        <v>73</v>
      </c>
      <c r="D89" s="205">
        <v>45879</v>
      </c>
      <c r="E89" s="175"/>
      <c r="F89" s="207" t="s">
        <v>12</v>
      </c>
      <c r="G89" s="208" t="str">
        <f t="shared" si="124"/>
        <v>Ormanjhi</v>
      </c>
      <c r="H89" s="209">
        <v>1196</v>
      </c>
      <c r="I89" s="210">
        <v>3.9</v>
      </c>
      <c r="J89" s="210">
        <v>8.4</v>
      </c>
      <c r="K89" s="176">
        <f t="shared" si="1"/>
        <v>46.643999999999998</v>
      </c>
      <c r="L89" s="177">
        <f t="shared" si="2"/>
        <v>100.46400000000001</v>
      </c>
      <c r="M89" s="209">
        <f t="shared" si="125"/>
        <v>1196</v>
      </c>
      <c r="N89" s="211">
        <f t="shared" si="126"/>
        <v>3.9113931746918711</v>
      </c>
      <c r="O89" s="211">
        <f t="shared" si="127"/>
        <v>8.3814040968498311</v>
      </c>
      <c r="P89" s="176">
        <f t="shared" si="128"/>
        <v>46.780262369314777</v>
      </c>
      <c r="Q89" s="212">
        <f t="shared" si="129"/>
        <v>100.24159299832398</v>
      </c>
      <c r="R89" s="352"/>
      <c r="S89" s="352"/>
      <c r="T89" s="352"/>
      <c r="U89" s="352"/>
      <c r="V89" s="352"/>
      <c r="X89" s="176">
        <f t="shared" si="130"/>
        <v>1196</v>
      </c>
      <c r="Y89" s="210">
        <f t="shared" si="131"/>
        <v>3.91</v>
      </c>
      <c r="Z89" s="210">
        <f t="shared" si="132"/>
        <v>8.3800000000000008</v>
      </c>
    </row>
    <row r="90" spans="1:26" s="166" customFormat="1" ht="12.75" x14ac:dyDescent="0.2">
      <c r="A90" s="215">
        <v>70322</v>
      </c>
      <c r="B90" s="216" t="s">
        <v>90</v>
      </c>
      <c r="C90" s="118" t="s">
        <v>73</v>
      </c>
      <c r="D90" s="205">
        <v>45878</v>
      </c>
      <c r="E90" s="175"/>
      <c r="F90" s="207" t="s">
        <v>4</v>
      </c>
      <c r="G90" s="208" t="str">
        <f t="shared" si="124"/>
        <v>Pali</v>
      </c>
      <c r="H90" s="209">
        <v>988</v>
      </c>
      <c r="I90" s="210">
        <v>4.2</v>
      </c>
      <c r="J90" s="210">
        <v>8.3699999999999992</v>
      </c>
      <c r="K90" s="176">
        <f t="shared" si="1"/>
        <v>41.496000000000002</v>
      </c>
      <c r="L90" s="177">
        <f t="shared" si="2"/>
        <v>82.695599999999999</v>
      </c>
      <c r="M90" s="209">
        <f>$R$90*H90/SUM($H$90:$H$92)</f>
        <v>990.26778882938027</v>
      </c>
      <c r="N90" s="211">
        <f t="shared" ref="N90" si="133">P90/M90*100</f>
        <v>4.2030163459598056</v>
      </c>
      <c r="O90" s="211">
        <f t="shared" ref="O90" si="134">Q90/M90*100</f>
        <v>8.4022787444069884</v>
      </c>
      <c r="P90" s="176">
        <f>$U$90*K90/SUM($K$90:$K$92)</f>
        <v>41.621117033273585</v>
      </c>
      <c r="Q90" s="212">
        <f>$V$90*L90/SUM($L$90:$L$92)</f>
        <v>83.20505993352009</v>
      </c>
      <c r="R90" s="350">
        <v>3930</v>
      </c>
      <c r="S90" s="350">
        <v>4.3</v>
      </c>
      <c r="T90" s="350">
        <v>8.39</v>
      </c>
      <c r="U90" s="350">
        <f>R90*S90%</f>
        <v>168.98999999999998</v>
      </c>
      <c r="V90" s="350">
        <f>R90*T90%</f>
        <v>329.72700000000003</v>
      </c>
      <c r="X90" s="176">
        <f t="shared" si="130"/>
        <v>990</v>
      </c>
      <c r="Y90" s="210">
        <f t="shared" si="131"/>
        <v>4.2</v>
      </c>
      <c r="Z90" s="210">
        <f t="shared" si="132"/>
        <v>8.4</v>
      </c>
    </row>
    <row r="91" spans="1:26" s="166" customFormat="1" ht="12.75" x14ac:dyDescent="0.2">
      <c r="A91" s="215">
        <v>70322</v>
      </c>
      <c r="B91" s="216" t="s">
        <v>90</v>
      </c>
      <c r="C91" s="118" t="s">
        <v>73</v>
      </c>
      <c r="D91" s="205">
        <v>45878</v>
      </c>
      <c r="E91" s="175"/>
      <c r="F91" s="207" t="s">
        <v>6</v>
      </c>
      <c r="G91" s="208" t="str">
        <f t="shared" si="124"/>
        <v>Hisri</v>
      </c>
      <c r="H91" s="209">
        <v>2066</v>
      </c>
      <c r="I91" s="210">
        <v>4.3</v>
      </c>
      <c r="J91" s="210">
        <v>8.33</v>
      </c>
      <c r="K91" s="176">
        <f t="shared" si="1"/>
        <v>88.837999999999994</v>
      </c>
      <c r="L91" s="177">
        <f t="shared" si="2"/>
        <v>172.09780000000001</v>
      </c>
      <c r="M91" s="209">
        <f t="shared" ref="M91:M92" si="135">$R$90*H91/SUM($H$90:$H$92)</f>
        <v>2070.742157612854</v>
      </c>
      <c r="N91" s="211">
        <f t="shared" ref="N91:N92" si="136">P91/M91*100</f>
        <v>4.3030881637207532</v>
      </c>
      <c r="O91" s="211">
        <f t="shared" ref="O91:O92" si="137">Q91/M91*100</f>
        <v>8.3621244851744567</v>
      </c>
      <c r="P91" s="176">
        <f t="shared" ref="P91:P92" si="138">$U$90*K91/SUM($K$90:$K$92)</f>
        <v>89.105860685414456</v>
      </c>
      <c r="Q91" s="212">
        <f t="shared" ref="Q91:Q92" si="139">$V$90*L91/SUM($L$90:$L$92)</f>
        <v>173.15803698657433</v>
      </c>
      <c r="R91" s="351"/>
      <c r="S91" s="351"/>
      <c r="T91" s="351"/>
      <c r="U91" s="351"/>
      <c r="V91" s="351"/>
      <c r="X91" s="176">
        <f t="shared" si="130"/>
        <v>2071</v>
      </c>
      <c r="Y91" s="210">
        <f t="shared" si="131"/>
        <v>4.3</v>
      </c>
      <c r="Z91" s="210">
        <f t="shared" si="132"/>
        <v>8.36</v>
      </c>
    </row>
    <row r="92" spans="1:26" s="166" customFormat="1" ht="12.75" x14ac:dyDescent="0.2">
      <c r="A92" s="215">
        <v>70322</v>
      </c>
      <c r="B92" s="216" t="s">
        <v>90</v>
      </c>
      <c r="C92" s="118" t="s">
        <v>73</v>
      </c>
      <c r="D92" s="205">
        <v>45878</v>
      </c>
      <c r="E92" s="175"/>
      <c r="F92" s="207" t="s">
        <v>14</v>
      </c>
      <c r="G92" s="208" t="str">
        <f t="shared" si="124"/>
        <v>Piragutu</v>
      </c>
      <c r="H92" s="209">
        <v>867</v>
      </c>
      <c r="I92" s="210">
        <v>4.4000000000000004</v>
      </c>
      <c r="J92" s="210">
        <v>8.41</v>
      </c>
      <c r="K92" s="176">
        <f t="shared" si="1"/>
        <v>38.148000000000003</v>
      </c>
      <c r="L92" s="177">
        <f t="shared" si="2"/>
        <v>72.914700000000011</v>
      </c>
      <c r="M92" s="209">
        <f t="shared" si="135"/>
        <v>868.99005355776592</v>
      </c>
      <c r="N92" s="211">
        <f t="shared" si="136"/>
        <v>4.4031599814817008</v>
      </c>
      <c r="O92" s="211">
        <f t="shared" si="137"/>
        <v>8.4424330036395201</v>
      </c>
      <c r="P92" s="176">
        <f t="shared" si="138"/>
        <v>38.263022281311947</v>
      </c>
      <c r="Q92" s="212">
        <f t="shared" si="139"/>
        <v>73.363903079905569</v>
      </c>
      <c r="R92" s="352"/>
      <c r="S92" s="352"/>
      <c r="T92" s="352"/>
      <c r="U92" s="352"/>
      <c r="V92" s="352"/>
      <c r="X92" s="176">
        <f t="shared" si="130"/>
        <v>869</v>
      </c>
      <c r="Y92" s="210">
        <f t="shared" si="131"/>
        <v>4.4000000000000004</v>
      </c>
      <c r="Z92" s="210">
        <f t="shared" si="132"/>
        <v>8.44</v>
      </c>
    </row>
    <row r="93" spans="1:26" s="166" customFormat="1" ht="12.75" x14ac:dyDescent="0.2">
      <c r="A93" s="215">
        <v>71404</v>
      </c>
      <c r="B93" s="216">
        <v>8504</v>
      </c>
      <c r="C93" s="118" t="s">
        <v>73</v>
      </c>
      <c r="D93" s="205">
        <v>45878</v>
      </c>
      <c r="E93" s="175"/>
      <c r="F93" s="207" t="s">
        <v>8</v>
      </c>
      <c r="G93" s="208" t="str">
        <f t="shared" si="124"/>
        <v>Choria</v>
      </c>
      <c r="H93" s="209">
        <v>1223</v>
      </c>
      <c r="I93" s="210">
        <v>2.9</v>
      </c>
      <c r="J93" s="210">
        <v>7.86</v>
      </c>
      <c r="K93" s="176">
        <f t="shared" si="1"/>
        <v>35.466999999999999</v>
      </c>
      <c r="L93" s="177">
        <f t="shared" si="2"/>
        <v>96.127800000000008</v>
      </c>
      <c r="M93" s="209">
        <f>$R$93*H93/SUM($H$93:$H$95)</f>
        <v>1230.8718548858981</v>
      </c>
      <c r="N93" s="211">
        <f t="shared" ref="N93" si="140">P93/M93*100</f>
        <v>2.9126440432983638</v>
      </c>
      <c r="O93" s="211">
        <f t="shared" ref="O93" si="141">Q93/M93*100</f>
        <v>7.8285316338344719</v>
      </c>
      <c r="P93" s="176">
        <f>$U$93*K93/SUM($K$93:$K$95)</f>
        <v>35.850915761970192</v>
      </c>
      <c r="Q93" s="212">
        <f>$V$93*L93/SUM($L$93:$L$95)</f>
        <v>96.359192531707663</v>
      </c>
      <c r="R93" s="350">
        <v>3440</v>
      </c>
      <c r="S93" s="350">
        <v>3.7</v>
      </c>
      <c r="T93" s="350">
        <v>8.2100000000000009</v>
      </c>
      <c r="U93" s="350">
        <f>R93*S93%</f>
        <v>127.28000000000002</v>
      </c>
      <c r="V93" s="350">
        <f>R93*T93%</f>
        <v>282.42400000000004</v>
      </c>
      <c r="X93" s="176">
        <f t="shared" si="130"/>
        <v>1231</v>
      </c>
      <c r="Y93" s="210">
        <f t="shared" si="131"/>
        <v>2.91</v>
      </c>
      <c r="Z93" s="210">
        <f t="shared" si="132"/>
        <v>7.83</v>
      </c>
    </row>
    <row r="94" spans="1:26" s="166" customFormat="1" ht="12.75" x14ac:dyDescent="0.2">
      <c r="A94" s="215">
        <v>71404</v>
      </c>
      <c r="B94" s="216">
        <v>8504</v>
      </c>
      <c r="C94" s="118" t="s">
        <v>73</v>
      </c>
      <c r="D94" s="205">
        <v>45878</v>
      </c>
      <c r="E94" s="175"/>
      <c r="F94" s="207" t="s">
        <v>89</v>
      </c>
      <c r="G94" s="208" t="str">
        <f t="shared" si="124"/>
        <v>Chanho</v>
      </c>
      <c r="H94" s="209">
        <v>1325</v>
      </c>
      <c r="I94" s="210">
        <v>4.2</v>
      </c>
      <c r="J94" s="210">
        <v>8.5</v>
      </c>
      <c r="K94" s="176">
        <f t="shared" si="1"/>
        <v>55.650000000000006</v>
      </c>
      <c r="L94" s="177">
        <f t="shared" si="2"/>
        <v>112.62500000000001</v>
      </c>
      <c r="M94" s="209">
        <f t="shared" ref="M94:M95" si="142">$R$93*H94/SUM($H$93:$H$95)</f>
        <v>1333.5283791691047</v>
      </c>
      <c r="N94" s="211">
        <f t="shared" ref="N94:N95" si="143">P94/M94*100</f>
        <v>4.2183120627079758</v>
      </c>
      <c r="O94" s="211">
        <f t="shared" ref="O94:O95" si="144">Q94/M94*100</f>
        <v>8.4659693241212466</v>
      </c>
      <c r="P94" s="176">
        <f t="shared" ref="P94:P95" si="145">$U$93*K94/SUM($K$93:$K$95)</f>
        <v>56.252388478124487</v>
      </c>
      <c r="Q94" s="212">
        <f t="shared" ref="Q94:Q95" si="146">$V$93*L94/SUM($L$93:$L$95)</f>
        <v>112.89610350890769</v>
      </c>
      <c r="R94" s="351"/>
      <c r="S94" s="351"/>
      <c r="T94" s="351"/>
      <c r="U94" s="351"/>
      <c r="V94" s="351"/>
      <c r="X94" s="176">
        <f t="shared" si="130"/>
        <v>1334</v>
      </c>
      <c r="Y94" s="210">
        <f t="shared" si="131"/>
        <v>4.22</v>
      </c>
      <c r="Z94" s="210">
        <f t="shared" si="132"/>
        <v>8.4700000000000006</v>
      </c>
    </row>
    <row r="95" spans="1:26" s="166" customFormat="1" ht="12.75" x14ac:dyDescent="0.2">
      <c r="A95" s="215">
        <v>71404</v>
      </c>
      <c r="B95" s="216">
        <v>8504</v>
      </c>
      <c r="C95" s="118" t="s">
        <v>73</v>
      </c>
      <c r="D95" s="205">
        <v>45878</v>
      </c>
      <c r="E95" s="175"/>
      <c r="F95" s="207" t="s">
        <v>12</v>
      </c>
      <c r="G95" s="208" t="str">
        <f t="shared" si="124"/>
        <v>Ormanjhi</v>
      </c>
      <c r="H95" s="209">
        <v>870</v>
      </c>
      <c r="I95" s="210">
        <v>4</v>
      </c>
      <c r="J95" s="210">
        <v>8.39</v>
      </c>
      <c r="K95" s="176">
        <f t="shared" si="1"/>
        <v>34.800000000000004</v>
      </c>
      <c r="L95" s="177">
        <f t="shared" si="2"/>
        <v>72.992999999999995</v>
      </c>
      <c r="M95" s="209">
        <f t="shared" si="142"/>
        <v>875.5997659449971</v>
      </c>
      <c r="N95" s="211">
        <f t="shared" si="143"/>
        <v>4.0174400597218805</v>
      </c>
      <c r="O95" s="211">
        <f t="shared" si="144"/>
        <v>8.3564097211032049</v>
      </c>
      <c r="P95" s="176">
        <f t="shared" si="145"/>
        <v>35.176695759905343</v>
      </c>
      <c r="Q95" s="212">
        <f t="shared" si="146"/>
        <v>73.168703959384658</v>
      </c>
      <c r="R95" s="352"/>
      <c r="S95" s="352"/>
      <c r="T95" s="352"/>
      <c r="U95" s="352"/>
      <c r="V95" s="352"/>
      <c r="X95" s="176">
        <f t="shared" si="130"/>
        <v>876</v>
      </c>
      <c r="Y95" s="210">
        <f t="shared" si="131"/>
        <v>4.0199999999999996</v>
      </c>
      <c r="Z95" s="210">
        <f t="shared" si="132"/>
        <v>8.36</v>
      </c>
    </row>
    <row r="96" spans="1:26" s="166" customFormat="1" ht="12.75" x14ac:dyDescent="0.2">
      <c r="A96" s="215">
        <v>70320</v>
      </c>
      <c r="B96" s="213">
        <v>8504</v>
      </c>
      <c r="C96" s="118" t="s">
        <v>73</v>
      </c>
      <c r="D96" s="205">
        <v>45876</v>
      </c>
      <c r="E96" s="175"/>
      <c r="F96" s="207" t="s">
        <v>78</v>
      </c>
      <c r="G96" s="208" t="str">
        <f t="shared" si="124"/>
        <v>Bhandra</v>
      </c>
      <c r="H96" s="209">
        <v>5248</v>
      </c>
      <c r="I96" s="210">
        <v>4.3</v>
      </c>
      <c r="J96" s="210">
        <v>8.27</v>
      </c>
      <c r="K96" s="176">
        <f t="shared" ref="K96:K116" si="147">H96*I96%</f>
        <v>225.66399999999999</v>
      </c>
      <c r="L96" s="177">
        <f t="shared" ref="L96:L116" si="148">H96*J96%</f>
        <v>434.00959999999998</v>
      </c>
      <c r="M96" s="209">
        <f>$R$96*H96/SUM($H$96:$H$97)</f>
        <v>5257.7365491651208</v>
      </c>
      <c r="N96" s="211">
        <f t="shared" ref="N96" si="149">P96/M96*100</f>
        <v>4.3380580664819135</v>
      </c>
      <c r="O96" s="211">
        <f t="shared" ref="O96" si="150">Q96/M96*100</f>
        <v>8.2775517256607039</v>
      </c>
      <c r="P96" s="176">
        <f>$U$96*K96/SUM($K$96:$K$97)</f>
        <v>228.08366448542534</v>
      </c>
      <c r="Q96" s="212">
        <f>$V$96*L96/SUM($L$96:$L$97)</f>
        <v>435.21186245611096</v>
      </c>
      <c r="R96" s="350">
        <v>6480</v>
      </c>
      <c r="S96" s="350">
        <v>4.3</v>
      </c>
      <c r="T96" s="350">
        <v>8.27</v>
      </c>
      <c r="U96" s="350">
        <f>R96*S96%</f>
        <v>278.64</v>
      </c>
      <c r="V96" s="350">
        <f>R96*T96%</f>
        <v>535.89599999999996</v>
      </c>
      <c r="X96" s="176">
        <f t="shared" si="130"/>
        <v>5258</v>
      </c>
      <c r="Y96" s="210">
        <f t="shared" si="131"/>
        <v>4.34</v>
      </c>
      <c r="Z96" s="210">
        <f t="shared" si="132"/>
        <v>8.2799999999999994</v>
      </c>
    </row>
    <row r="97" spans="1:26" s="166" customFormat="1" ht="12.75" x14ac:dyDescent="0.2">
      <c r="A97" s="215">
        <v>70320</v>
      </c>
      <c r="B97" s="213">
        <v>8504</v>
      </c>
      <c r="C97" s="118" t="s">
        <v>73</v>
      </c>
      <c r="D97" s="205">
        <v>45876</v>
      </c>
      <c r="E97" s="175"/>
      <c r="F97" s="239"/>
      <c r="G97" s="242" t="s">
        <v>114</v>
      </c>
      <c r="H97" s="209">
        <v>1220</v>
      </c>
      <c r="I97" s="210">
        <v>4.0999999999999996</v>
      </c>
      <c r="J97" s="210">
        <v>8.23</v>
      </c>
      <c r="K97" s="176">
        <f t="shared" si="147"/>
        <v>50.019999999999996</v>
      </c>
      <c r="L97" s="177">
        <f t="shared" si="148"/>
        <v>100.40599999999999</v>
      </c>
      <c r="M97" s="209">
        <f>$R$96*H97/SUM($H$96:$H$97)</f>
        <v>1222.2634508348794</v>
      </c>
      <c r="N97" s="211">
        <f t="shared" ref="N97" si="151">P97/M97*100</f>
        <v>4.136287923854848</v>
      </c>
      <c r="O97" s="211">
        <f t="shared" ref="O97" si="152">Q97/M97*100</f>
        <v>8.2375151997808445</v>
      </c>
      <c r="P97" s="176">
        <f>$U$96*K97/SUM($K$96:$K$97)</f>
        <v>50.556335514574656</v>
      </c>
      <c r="Q97" s="212">
        <f>$V$96*L97/SUM($L$96:$L$97)</f>
        <v>100.68413754388905</v>
      </c>
      <c r="R97" s="352"/>
      <c r="S97" s="352"/>
      <c r="T97" s="352"/>
      <c r="U97" s="352"/>
      <c r="V97" s="352"/>
      <c r="X97" s="176">
        <f t="shared" si="130"/>
        <v>1222</v>
      </c>
      <c r="Y97" s="210">
        <f t="shared" si="131"/>
        <v>4.1399999999999997</v>
      </c>
      <c r="Z97" s="210">
        <f t="shared" si="132"/>
        <v>8.24</v>
      </c>
    </row>
    <row r="98" spans="1:26" s="166" customFormat="1" ht="12.75" x14ac:dyDescent="0.2">
      <c r="A98" s="215">
        <v>70321</v>
      </c>
      <c r="B98" s="216" t="s">
        <v>90</v>
      </c>
      <c r="C98" s="118" t="s">
        <v>73</v>
      </c>
      <c r="D98" s="205">
        <v>45877</v>
      </c>
      <c r="E98" s="175"/>
      <c r="F98" s="207" t="s">
        <v>78</v>
      </c>
      <c r="G98" s="208" t="str">
        <f t="shared" si="124"/>
        <v>Bhandra</v>
      </c>
      <c r="H98" s="209">
        <v>3113</v>
      </c>
      <c r="I98" s="210">
        <v>4.0999999999999996</v>
      </c>
      <c r="J98" s="210">
        <v>8.23</v>
      </c>
      <c r="K98" s="176">
        <f t="shared" si="147"/>
        <v>127.63299999999998</v>
      </c>
      <c r="L98" s="177">
        <f t="shared" si="148"/>
        <v>256.19990000000001</v>
      </c>
      <c r="M98" s="209">
        <f>$R$98*H98/SUM($H$98)</f>
        <v>3060</v>
      </c>
      <c r="N98" s="211">
        <f t="shared" ref="N98:N99" si="153">P98/M98*100</f>
        <v>4.2</v>
      </c>
      <c r="O98" s="211">
        <f t="shared" ref="O98:O99" si="154">Q98/M98*100</f>
        <v>8.25</v>
      </c>
      <c r="P98" s="176">
        <f>$U$98*K98/SUM($K$98)</f>
        <v>128.52000000000001</v>
      </c>
      <c r="Q98" s="212">
        <f>$V$98*L98/SUM($L$98)</f>
        <v>252.45000000000002</v>
      </c>
      <c r="R98" s="241">
        <v>3060</v>
      </c>
      <c r="S98" s="241">
        <v>4.2</v>
      </c>
      <c r="T98" s="241">
        <v>8.25</v>
      </c>
      <c r="U98" s="241">
        <f>R98*S98%</f>
        <v>128.52000000000001</v>
      </c>
      <c r="V98" s="241">
        <f>R98*T98%</f>
        <v>252.45000000000002</v>
      </c>
      <c r="X98" s="176">
        <f t="shared" si="130"/>
        <v>3060</v>
      </c>
      <c r="Y98" s="210">
        <f t="shared" si="131"/>
        <v>4.2</v>
      </c>
      <c r="Z98" s="210">
        <f t="shared" si="132"/>
        <v>8.25</v>
      </c>
    </row>
    <row r="99" spans="1:26" s="166" customFormat="1" ht="12.75" x14ac:dyDescent="0.2">
      <c r="A99" s="215">
        <v>71435</v>
      </c>
      <c r="B99" s="216">
        <v>8504</v>
      </c>
      <c r="C99" s="118" t="s">
        <v>73</v>
      </c>
      <c r="D99" s="205">
        <v>45878</v>
      </c>
      <c r="E99" s="175"/>
      <c r="F99" s="207" t="s">
        <v>6</v>
      </c>
      <c r="G99" s="208" t="str">
        <f t="shared" si="124"/>
        <v>Hisri</v>
      </c>
      <c r="H99" s="209">
        <v>1562</v>
      </c>
      <c r="I99" s="210">
        <v>4.4000000000000004</v>
      </c>
      <c r="J99" s="210">
        <v>8.41</v>
      </c>
      <c r="K99" s="176">
        <f t="shared" si="147"/>
        <v>68.728000000000009</v>
      </c>
      <c r="L99" s="177">
        <f t="shared" si="148"/>
        <v>131.36420000000001</v>
      </c>
      <c r="M99" s="209">
        <f>$R$99*H99/SUM($H$99:$H$101)</f>
        <v>1582.5526315789473</v>
      </c>
      <c r="N99" s="211">
        <f t="shared" si="153"/>
        <v>4.4130311353906118</v>
      </c>
      <c r="O99" s="211">
        <f t="shared" si="154"/>
        <v>8.3625836697715741</v>
      </c>
      <c r="P99" s="176">
        <f>$U$99*K99/SUM($K$99:$K$101)</f>
        <v>69.83854036552242</v>
      </c>
      <c r="Q99" s="212">
        <f>$V$99*L99/SUM($L$99:$L$101)</f>
        <v>132.34228793396136</v>
      </c>
      <c r="R99" s="350">
        <v>3850</v>
      </c>
      <c r="S99" s="350">
        <v>4.3</v>
      </c>
      <c r="T99" s="350">
        <v>8.33</v>
      </c>
      <c r="U99" s="350">
        <f>R99*S99%</f>
        <v>165.54999999999998</v>
      </c>
      <c r="V99" s="350">
        <f>R99*T99%</f>
        <v>320.70499999999998</v>
      </c>
      <c r="X99" s="176">
        <f t="shared" si="130"/>
        <v>1583</v>
      </c>
      <c r="Y99" s="210">
        <f t="shared" si="131"/>
        <v>4.41</v>
      </c>
      <c r="Z99" s="210">
        <f t="shared" si="132"/>
        <v>8.36</v>
      </c>
    </row>
    <row r="100" spans="1:26" s="166" customFormat="1" ht="12.75" x14ac:dyDescent="0.2">
      <c r="A100" s="215">
        <v>71435</v>
      </c>
      <c r="B100" s="216">
        <v>8504</v>
      </c>
      <c r="C100" s="118" t="s">
        <v>73</v>
      </c>
      <c r="D100" s="205">
        <v>45878</v>
      </c>
      <c r="E100" s="175"/>
      <c r="F100" s="207" t="s">
        <v>89</v>
      </c>
      <c r="G100" s="208" t="str">
        <f t="shared" si="124"/>
        <v>Chanho</v>
      </c>
      <c r="H100" s="209">
        <v>875</v>
      </c>
      <c r="I100" s="210">
        <v>4.3</v>
      </c>
      <c r="J100" s="210">
        <v>8.33</v>
      </c>
      <c r="K100" s="176">
        <f t="shared" si="147"/>
        <v>37.625</v>
      </c>
      <c r="L100" s="177">
        <f t="shared" si="148"/>
        <v>72.887500000000003</v>
      </c>
      <c r="M100" s="209">
        <f t="shared" ref="M100:M101" si="155">$R$99*H100/SUM($H$99:$H$101)</f>
        <v>886.51315789473688</v>
      </c>
      <c r="N100" s="211">
        <f t="shared" ref="N100:N101" si="156">P100/M100*100</f>
        <v>4.3127349732226419</v>
      </c>
      <c r="O100" s="211">
        <f t="shared" ref="O100:O101" si="157">Q100/M100*100</f>
        <v>8.2830347169081087</v>
      </c>
      <c r="P100" s="176">
        <f t="shared" ref="P100:P101" si="158">$U$99*K100/SUM($K$99:$K$101)</f>
        <v>38.232963002746779</v>
      </c>
      <c r="Q100" s="212">
        <f t="shared" ref="Q100:Q101" si="159">$V$99*L100/SUM($L$99:$L$101)</f>
        <v>73.430192638379452</v>
      </c>
      <c r="R100" s="351"/>
      <c r="S100" s="351"/>
      <c r="T100" s="351"/>
      <c r="U100" s="351"/>
      <c r="V100" s="351"/>
      <c r="X100" s="176">
        <f t="shared" si="130"/>
        <v>887</v>
      </c>
      <c r="Y100" s="210">
        <f t="shared" si="131"/>
        <v>4.3099999999999996</v>
      </c>
      <c r="Z100" s="210">
        <f t="shared" si="132"/>
        <v>8.2799999999999994</v>
      </c>
    </row>
    <row r="101" spans="1:26" s="166" customFormat="1" ht="12.75" x14ac:dyDescent="0.2">
      <c r="A101" s="215">
        <v>71435</v>
      </c>
      <c r="B101" s="216">
        <v>8504</v>
      </c>
      <c r="C101" s="118" t="s">
        <v>73</v>
      </c>
      <c r="D101" s="205">
        <v>45878</v>
      </c>
      <c r="E101" s="175"/>
      <c r="F101" s="207" t="s">
        <v>12</v>
      </c>
      <c r="G101" s="208" t="str">
        <f t="shared" si="124"/>
        <v>Ormanjhi</v>
      </c>
      <c r="H101" s="209">
        <v>1363</v>
      </c>
      <c r="I101" s="210">
        <v>4.1500000000000004</v>
      </c>
      <c r="J101" s="210">
        <v>8.3699999999999992</v>
      </c>
      <c r="K101" s="176">
        <f t="shared" si="147"/>
        <v>56.564500000000002</v>
      </c>
      <c r="L101" s="177">
        <f t="shared" si="148"/>
        <v>114.0831</v>
      </c>
      <c r="M101" s="209">
        <f t="shared" si="155"/>
        <v>1380.9342105263158</v>
      </c>
      <c r="N101" s="211">
        <f t="shared" si="156"/>
        <v>4.1622907299706897</v>
      </c>
      <c r="O101" s="211">
        <f t="shared" si="157"/>
        <v>8.3228091933398414</v>
      </c>
      <c r="P101" s="176">
        <f t="shared" si="158"/>
        <v>57.478496631730771</v>
      </c>
      <c r="Q101" s="212">
        <f t="shared" si="159"/>
        <v>114.93251942765917</v>
      </c>
      <c r="R101" s="352"/>
      <c r="S101" s="352"/>
      <c r="T101" s="352"/>
      <c r="U101" s="352"/>
      <c r="V101" s="352"/>
      <c r="X101" s="176">
        <f t="shared" ref="X101:X112" si="160">ROUND(M101,0)</f>
        <v>1381</v>
      </c>
      <c r="Y101" s="210">
        <f t="shared" ref="Y101:Y112" si="161">ROUND(N101,2)</f>
        <v>4.16</v>
      </c>
      <c r="Z101" s="210">
        <f t="shared" ref="Z101:Z112" si="162">ROUND(O101,2)</f>
        <v>8.32</v>
      </c>
    </row>
    <row r="102" spans="1:26" s="166" customFormat="1" ht="12.75" x14ac:dyDescent="0.2">
      <c r="A102" s="215">
        <v>70350</v>
      </c>
      <c r="B102" s="213">
        <v>9944</v>
      </c>
      <c r="C102" s="118" t="s">
        <v>73</v>
      </c>
      <c r="D102" s="205">
        <v>45877</v>
      </c>
      <c r="E102" s="175"/>
      <c r="F102" s="207" t="s">
        <v>4</v>
      </c>
      <c r="G102" s="208" t="str">
        <f t="shared" si="124"/>
        <v>Pali</v>
      </c>
      <c r="H102" s="209">
        <v>1021</v>
      </c>
      <c r="I102" s="210">
        <v>4.2</v>
      </c>
      <c r="J102" s="210">
        <v>8.43</v>
      </c>
      <c r="K102" s="176">
        <f t="shared" si="147"/>
        <v>42.882000000000005</v>
      </c>
      <c r="L102" s="177">
        <f t="shared" si="148"/>
        <v>86.070300000000003</v>
      </c>
      <c r="M102" s="209">
        <f>$R$102*H102/SUM($H$102:$H$103)</f>
        <v>1017.1348874277744</v>
      </c>
      <c r="N102" s="211">
        <f t="shared" ref="N102" si="163">P102/M102*100</f>
        <v>4.1500000000000012</v>
      </c>
      <c r="O102" s="211">
        <f t="shared" ref="O102" si="164">Q102/M102*100</f>
        <v>8.4200000000000017</v>
      </c>
      <c r="P102" s="176">
        <f>$U$102*K102/SUM($K$102:$K$103)</f>
        <v>42.211097828252647</v>
      </c>
      <c r="Q102" s="212">
        <f>$V$102*L102/SUM($L$102:$L$103)</f>
        <v>85.642757521418616</v>
      </c>
      <c r="R102" s="350">
        <v>5000</v>
      </c>
      <c r="S102" s="350">
        <v>4.1500000000000004</v>
      </c>
      <c r="T102" s="350">
        <v>8.42</v>
      </c>
      <c r="U102" s="350">
        <f>R102*S102%</f>
        <v>207.5</v>
      </c>
      <c r="V102" s="350">
        <f>R102*T102%</f>
        <v>421</v>
      </c>
      <c r="X102" s="176">
        <f t="shared" si="160"/>
        <v>1017</v>
      </c>
      <c r="Y102" s="210">
        <f t="shared" si="161"/>
        <v>4.1500000000000004</v>
      </c>
      <c r="Z102" s="210">
        <f t="shared" si="162"/>
        <v>8.42</v>
      </c>
    </row>
    <row r="103" spans="1:26" s="166" customFormat="1" ht="12.75" x14ac:dyDescent="0.2">
      <c r="A103" s="215">
        <v>70350</v>
      </c>
      <c r="B103" s="213">
        <v>9944</v>
      </c>
      <c r="C103" s="118" t="s">
        <v>73</v>
      </c>
      <c r="D103" s="205">
        <v>45877</v>
      </c>
      <c r="E103" s="175"/>
      <c r="F103" s="207" t="s">
        <v>2</v>
      </c>
      <c r="G103" s="208" t="str">
        <f t="shared" si="124"/>
        <v>Itki</v>
      </c>
      <c r="H103" s="209">
        <v>3998</v>
      </c>
      <c r="I103" s="210">
        <v>4.2</v>
      </c>
      <c r="J103" s="210">
        <v>8.43</v>
      </c>
      <c r="K103" s="176">
        <f t="shared" si="147"/>
        <v>167.916</v>
      </c>
      <c r="L103" s="177">
        <f t="shared" si="148"/>
        <v>337.03140000000002</v>
      </c>
      <c r="M103" s="209">
        <f>$R$102*H103/SUM($H$102:$H$103)</f>
        <v>3982.8651125722254</v>
      </c>
      <c r="N103" s="211">
        <f t="shared" ref="N103" si="165">P103/M103*100</f>
        <v>4.1500000000000004</v>
      </c>
      <c r="O103" s="211">
        <f t="shared" ref="O103" si="166">Q103/M103*100</f>
        <v>8.4199999999999982</v>
      </c>
      <c r="P103" s="176">
        <f>$U$102*K103/SUM($K$102:$K$103)</f>
        <v>165.28890217174737</v>
      </c>
      <c r="Q103" s="212">
        <f>$V$102*L103/SUM($L$102:$L$103)</f>
        <v>335.35724247858133</v>
      </c>
      <c r="R103" s="352"/>
      <c r="S103" s="352"/>
      <c r="T103" s="352"/>
      <c r="U103" s="352"/>
      <c r="V103" s="352"/>
      <c r="X103" s="176">
        <f t="shared" si="160"/>
        <v>3983</v>
      </c>
      <c r="Y103" s="210">
        <f t="shared" si="161"/>
        <v>4.1500000000000004</v>
      </c>
      <c r="Z103" s="210">
        <f t="shared" si="162"/>
        <v>8.42</v>
      </c>
    </row>
    <row r="104" spans="1:26" s="166" customFormat="1" ht="12.75" x14ac:dyDescent="0.2">
      <c r="A104" s="215">
        <v>70351</v>
      </c>
      <c r="B104" s="213">
        <v>1023</v>
      </c>
      <c r="C104" s="118" t="s">
        <v>109</v>
      </c>
      <c r="D104" s="205">
        <v>45878</v>
      </c>
      <c r="E104" s="175"/>
      <c r="F104" s="207" t="s">
        <v>4</v>
      </c>
      <c r="G104" s="208" t="str">
        <f t="shared" si="124"/>
        <v>Pali</v>
      </c>
      <c r="H104" s="209">
        <v>1128</v>
      </c>
      <c r="I104" s="210">
        <v>4.1500000000000004</v>
      </c>
      <c r="J104" s="210">
        <v>8.42</v>
      </c>
      <c r="K104" s="176">
        <f t="shared" si="147"/>
        <v>46.812000000000005</v>
      </c>
      <c r="L104" s="177">
        <f t="shared" si="148"/>
        <v>94.977599999999995</v>
      </c>
      <c r="M104" s="209">
        <f>$R$104*H104/SUM($H$104:$H$105)</f>
        <v>1113.3886010362694</v>
      </c>
      <c r="N104" s="211">
        <f t="shared" ref="N104" si="167">P104/M104*100</f>
        <v>4.2140650919804905</v>
      </c>
      <c r="O104" s="211">
        <f t="shared" ref="O104" si="168">Q104/M104*100</f>
        <v>8.3729618193511417</v>
      </c>
      <c r="P104" s="176">
        <f>$U$104*K104/SUM($K$104:$K$105)</f>
        <v>46.918920374359359</v>
      </c>
      <c r="Q104" s="212">
        <f>$V$104*L104/SUM($L$104:$L$105)</f>
        <v>93.223602465774647</v>
      </c>
      <c r="R104" s="350">
        <v>3810</v>
      </c>
      <c r="S104" s="350">
        <v>4.25</v>
      </c>
      <c r="T104" s="350">
        <v>8.3800000000000008</v>
      </c>
      <c r="U104" s="350">
        <f>R104*S104%</f>
        <v>161.92500000000001</v>
      </c>
      <c r="V104" s="350">
        <f>R104*T104%</f>
        <v>319.27800000000008</v>
      </c>
      <c r="X104" s="176">
        <f t="shared" si="160"/>
        <v>1113</v>
      </c>
      <c r="Y104" s="210">
        <f t="shared" si="161"/>
        <v>4.21</v>
      </c>
      <c r="Z104" s="210">
        <f t="shared" si="162"/>
        <v>8.3699999999999992</v>
      </c>
    </row>
    <row r="105" spans="1:26" s="166" customFormat="1" ht="12.75" x14ac:dyDescent="0.2">
      <c r="A105" s="215">
        <v>70351</v>
      </c>
      <c r="B105" s="213">
        <v>1023</v>
      </c>
      <c r="C105" s="118" t="s">
        <v>109</v>
      </c>
      <c r="D105" s="205">
        <v>45878</v>
      </c>
      <c r="E105" s="175"/>
      <c r="F105" s="207" t="s">
        <v>2</v>
      </c>
      <c r="G105" s="208" t="str">
        <f t="shared" si="124"/>
        <v>Itki</v>
      </c>
      <c r="H105" s="209">
        <v>2732</v>
      </c>
      <c r="I105" s="210">
        <v>4.2</v>
      </c>
      <c r="J105" s="210">
        <v>8.43</v>
      </c>
      <c r="K105" s="176">
        <f t="shared" si="147"/>
        <v>114.74400000000001</v>
      </c>
      <c r="L105" s="177">
        <f t="shared" si="148"/>
        <v>230.30760000000001</v>
      </c>
      <c r="M105" s="209">
        <f>$R$104*H105/SUM($H$104:$H$105)</f>
        <v>2696.6113989637306</v>
      </c>
      <c r="N105" s="211">
        <f t="shared" ref="N105" si="169">P105/M105*100</f>
        <v>4.2648369605585685</v>
      </c>
      <c r="O105" s="211">
        <f t="shared" ref="O105" si="170">Q105/M105*100</f>
        <v>8.3829059545285194</v>
      </c>
      <c r="P105" s="176">
        <f>$U$104*K105/SUM($K$104:$K$105)</f>
        <v>115.00607962564067</v>
      </c>
      <c r="Q105" s="212">
        <f>$V$104*L105/SUM($L$104:$L$105)</f>
        <v>226.05439753422536</v>
      </c>
      <c r="R105" s="352"/>
      <c r="S105" s="352"/>
      <c r="T105" s="352"/>
      <c r="U105" s="352"/>
      <c r="V105" s="352"/>
      <c r="X105" s="176">
        <f t="shared" si="160"/>
        <v>2697</v>
      </c>
      <c r="Y105" s="210">
        <f t="shared" si="161"/>
        <v>4.26</v>
      </c>
      <c r="Z105" s="210">
        <f t="shared" si="162"/>
        <v>8.3800000000000008</v>
      </c>
    </row>
    <row r="106" spans="1:26" s="166" customFormat="1" ht="12.75" x14ac:dyDescent="0.2">
      <c r="A106" s="215">
        <v>71437</v>
      </c>
      <c r="B106" s="213">
        <v>8504</v>
      </c>
      <c r="C106" s="118" t="s">
        <v>73</v>
      </c>
      <c r="D106" s="205">
        <v>45883</v>
      </c>
      <c r="E106" s="175"/>
      <c r="F106" s="207" t="s">
        <v>4</v>
      </c>
      <c r="G106" s="208" t="str">
        <f t="shared" si="124"/>
        <v>Pali</v>
      </c>
      <c r="H106" s="209">
        <v>1209</v>
      </c>
      <c r="I106" s="210">
        <v>4.25</v>
      </c>
      <c r="J106" s="210">
        <v>8.4700000000000006</v>
      </c>
      <c r="K106" s="176">
        <f t="shared" si="147"/>
        <v>51.3825</v>
      </c>
      <c r="L106" s="177">
        <f t="shared" si="148"/>
        <v>102.40230000000001</v>
      </c>
      <c r="M106" s="209">
        <f>$R$106*H106/SUM($H$106:$H$109)</f>
        <v>1213.4448529411766</v>
      </c>
      <c r="N106" s="211">
        <f t="shared" ref="N106" si="171">P106/M106*100</f>
        <v>4.2641888263721892</v>
      </c>
      <c r="O106" s="211">
        <f t="shared" ref="O106" si="172">Q106/M106*100</f>
        <v>8.4658420301519914</v>
      </c>
      <c r="P106" s="176">
        <f>$U$106*K106/SUM($K$106:$K$109)</f>
        <v>51.7435798333061</v>
      </c>
      <c r="Q106" s="212">
        <f>$V$106*L106/SUM($L$106:$L$109)</f>
        <v>102.72832437301015</v>
      </c>
      <c r="R106" s="350">
        <v>5460</v>
      </c>
      <c r="S106" s="350">
        <v>3.95</v>
      </c>
      <c r="T106" s="350">
        <v>8.3800000000000008</v>
      </c>
      <c r="U106" s="350">
        <f>R106*S106%</f>
        <v>215.67000000000002</v>
      </c>
      <c r="V106" s="350">
        <f>R106*T106%</f>
        <v>457.54800000000006</v>
      </c>
      <c r="X106" s="176">
        <f t="shared" si="160"/>
        <v>1213</v>
      </c>
      <c r="Y106" s="210">
        <f t="shared" si="161"/>
        <v>4.26</v>
      </c>
      <c r="Z106" s="210">
        <f t="shared" si="162"/>
        <v>8.4700000000000006</v>
      </c>
    </row>
    <row r="107" spans="1:26" s="166" customFormat="1" ht="12.75" x14ac:dyDescent="0.2">
      <c r="A107" s="215">
        <v>71437</v>
      </c>
      <c r="B107" s="213">
        <v>8504</v>
      </c>
      <c r="C107" s="118" t="s">
        <v>73</v>
      </c>
      <c r="D107" s="205">
        <v>45883</v>
      </c>
      <c r="E107" s="175"/>
      <c r="F107" s="207" t="s">
        <v>8</v>
      </c>
      <c r="G107" s="208" t="str">
        <f t="shared" si="124"/>
        <v>Choria</v>
      </c>
      <c r="H107" s="209">
        <v>1176</v>
      </c>
      <c r="I107" s="210">
        <v>3.3</v>
      </c>
      <c r="J107" s="210">
        <v>8.32</v>
      </c>
      <c r="K107" s="176">
        <f t="shared" si="147"/>
        <v>38.808</v>
      </c>
      <c r="L107" s="177">
        <f t="shared" si="148"/>
        <v>97.843199999999996</v>
      </c>
      <c r="M107" s="209">
        <f t="shared" ref="M107:M109" si="173">$R$106*H107/SUM($H$106:$H$109)</f>
        <v>1180.3235294117646</v>
      </c>
      <c r="N107" s="211">
        <f t="shared" ref="N107:N109" si="174">P107/M107*100</f>
        <v>3.3110172063595829</v>
      </c>
      <c r="O107" s="211">
        <f t="shared" ref="O107:O109" si="175">Q107/M107*100</f>
        <v>8.3159156659816507</v>
      </c>
      <c r="P107" s="176">
        <f t="shared" ref="P107:P109" si="176">$U$106*K107/SUM($K$106:$K$109)</f>
        <v>39.080715149534242</v>
      </c>
      <c r="Q107" s="212">
        <f t="shared" ref="Q107:Q109" si="177">$V$106*L107/SUM($L$106:$L$109)</f>
        <v>98.154709291620478</v>
      </c>
      <c r="R107" s="351"/>
      <c r="S107" s="351"/>
      <c r="T107" s="351"/>
      <c r="U107" s="351"/>
      <c r="V107" s="351"/>
      <c r="X107" s="176">
        <f t="shared" si="160"/>
        <v>1180</v>
      </c>
      <c r="Y107" s="210">
        <f t="shared" si="161"/>
        <v>3.31</v>
      </c>
      <c r="Z107" s="210">
        <f t="shared" si="162"/>
        <v>8.32</v>
      </c>
    </row>
    <row r="108" spans="1:26" s="166" customFormat="1" ht="12.75" x14ac:dyDescent="0.2">
      <c r="A108" s="215">
        <v>71437</v>
      </c>
      <c r="B108" s="213">
        <v>8504</v>
      </c>
      <c r="C108" s="118" t="s">
        <v>73</v>
      </c>
      <c r="D108" s="205">
        <v>45883</v>
      </c>
      <c r="E108" s="175"/>
      <c r="F108" s="207" t="s">
        <v>89</v>
      </c>
      <c r="G108" s="208" t="str">
        <f t="shared" si="124"/>
        <v>Chanho</v>
      </c>
      <c r="H108" s="209">
        <v>1183</v>
      </c>
      <c r="I108" s="210">
        <v>4.1500000000000004</v>
      </c>
      <c r="J108" s="210">
        <v>8.24</v>
      </c>
      <c r="K108" s="176">
        <f t="shared" si="147"/>
        <v>49.094500000000004</v>
      </c>
      <c r="L108" s="177">
        <f t="shared" si="148"/>
        <v>97.479200000000006</v>
      </c>
      <c r="M108" s="209">
        <f t="shared" si="173"/>
        <v>1187.3492647058824</v>
      </c>
      <c r="N108" s="211">
        <f t="shared" si="174"/>
        <v>4.163854971634021</v>
      </c>
      <c r="O108" s="211">
        <f t="shared" si="175"/>
        <v>8.2359549384241344</v>
      </c>
      <c r="P108" s="176">
        <f t="shared" si="176"/>
        <v>49.439501389115883</v>
      </c>
      <c r="Q108" s="212">
        <f t="shared" si="177"/>
        <v>97.789550402886761</v>
      </c>
      <c r="R108" s="351"/>
      <c r="S108" s="351"/>
      <c r="T108" s="351"/>
      <c r="U108" s="351"/>
      <c r="V108" s="351"/>
      <c r="X108" s="176">
        <f t="shared" si="160"/>
        <v>1187</v>
      </c>
      <c r="Y108" s="210">
        <f t="shared" si="161"/>
        <v>4.16</v>
      </c>
      <c r="Z108" s="210">
        <f t="shared" si="162"/>
        <v>8.24</v>
      </c>
    </row>
    <row r="109" spans="1:26" s="166" customFormat="1" ht="12.75" x14ac:dyDescent="0.2">
      <c r="A109" s="215">
        <v>71437</v>
      </c>
      <c r="B109" s="213">
        <v>8504</v>
      </c>
      <c r="C109" s="118" t="s">
        <v>73</v>
      </c>
      <c r="D109" s="205">
        <v>45883</v>
      </c>
      <c r="E109" s="175"/>
      <c r="F109" s="207" t="s">
        <v>12</v>
      </c>
      <c r="G109" s="208" t="str">
        <f t="shared" si="124"/>
        <v>Ormanjhi</v>
      </c>
      <c r="H109" s="209">
        <v>1872</v>
      </c>
      <c r="I109" s="210">
        <v>4</v>
      </c>
      <c r="J109" s="210">
        <v>8.4600000000000009</v>
      </c>
      <c r="K109" s="176">
        <f t="shared" si="147"/>
        <v>74.88</v>
      </c>
      <c r="L109" s="177">
        <f t="shared" si="148"/>
        <v>158.37120000000002</v>
      </c>
      <c r="M109" s="209">
        <f t="shared" si="173"/>
        <v>1878.8823529411766</v>
      </c>
      <c r="N109" s="211">
        <f t="shared" si="174"/>
        <v>4.0133541895267664</v>
      </c>
      <c r="O109" s="211">
        <f t="shared" si="175"/>
        <v>8.4558469392073032</v>
      </c>
      <c r="P109" s="176">
        <f t="shared" si="176"/>
        <v>75.406203628043798</v>
      </c>
      <c r="Q109" s="212">
        <f t="shared" si="177"/>
        <v>158.87541593248264</v>
      </c>
      <c r="R109" s="352"/>
      <c r="S109" s="352"/>
      <c r="T109" s="352"/>
      <c r="U109" s="352"/>
      <c r="V109" s="352"/>
      <c r="X109" s="176">
        <f t="shared" si="160"/>
        <v>1879</v>
      </c>
      <c r="Y109" s="210">
        <f t="shared" si="161"/>
        <v>4.01</v>
      </c>
      <c r="Z109" s="210">
        <f t="shared" si="162"/>
        <v>8.4600000000000009</v>
      </c>
    </row>
    <row r="110" spans="1:26" s="166" customFormat="1" ht="12.75" x14ac:dyDescent="0.2">
      <c r="A110" s="215">
        <v>70847</v>
      </c>
      <c r="B110" s="213">
        <v>1023</v>
      </c>
      <c r="C110" s="118" t="s">
        <v>109</v>
      </c>
      <c r="D110" s="205">
        <v>45884</v>
      </c>
      <c r="E110" s="175"/>
      <c r="F110" s="207" t="s">
        <v>14</v>
      </c>
      <c r="G110" s="208" t="str">
        <f t="shared" si="124"/>
        <v>Piragutu</v>
      </c>
      <c r="H110" s="209">
        <v>1170</v>
      </c>
      <c r="I110" s="210">
        <v>4.3</v>
      </c>
      <c r="J110" s="210">
        <v>8.33</v>
      </c>
      <c r="K110" s="176">
        <f t="shared" si="147"/>
        <v>50.309999999999995</v>
      </c>
      <c r="L110" s="177">
        <f t="shared" si="148"/>
        <v>97.460999999999999</v>
      </c>
      <c r="M110" s="209">
        <f>$R$110*H110/SUM($H$110:$H$111)</f>
        <v>1184.641638225256</v>
      </c>
      <c r="N110" s="211">
        <f t="shared" ref="N110" si="178">P110/M110*100</f>
        <v>4.25</v>
      </c>
      <c r="O110" s="211">
        <f t="shared" ref="O110" si="179">Q110/M110*100</f>
        <v>8.2932315058969674</v>
      </c>
      <c r="P110" s="176">
        <f>$U$110*K110/SUM($K$110:$K$111)</f>
        <v>50.347269624573379</v>
      </c>
      <c r="Q110" s="212">
        <f>$V$110*L110/SUM($L$110:$L$111)</f>
        <v>98.245073573270886</v>
      </c>
      <c r="R110" s="350">
        <v>2670</v>
      </c>
      <c r="S110" s="350">
        <v>4.25</v>
      </c>
      <c r="T110" s="350">
        <v>8.26</v>
      </c>
      <c r="U110" s="350">
        <f>R110*S110%</f>
        <v>113.47500000000001</v>
      </c>
      <c r="V110" s="350">
        <f>R110*T110%</f>
        <v>220.54199999999997</v>
      </c>
      <c r="X110" s="176">
        <f t="shared" si="160"/>
        <v>1185</v>
      </c>
      <c r="Y110" s="210">
        <f t="shared" si="161"/>
        <v>4.25</v>
      </c>
      <c r="Z110" s="210">
        <f t="shared" si="162"/>
        <v>8.2899999999999991</v>
      </c>
    </row>
    <row r="111" spans="1:26" s="166" customFormat="1" ht="12.75" x14ac:dyDescent="0.2">
      <c r="A111" s="215">
        <v>70847</v>
      </c>
      <c r="B111" s="213">
        <v>1023</v>
      </c>
      <c r="C111" s="118" t="s">
        <v>109</v>
      </c>
      <c r="D111" s="205">
        <v>45884</v>
      </c>
      <c r="E111" s="175"/>
      <c r="F111" s="207" t="s">
        <v>6</v>
      </c>
      <c r="G111" s="208" t="str">
        <f t="shared" si="124"/>
        <v>Hisri</v>
      </c>
      <c r="H111" s="209">
        <v>1467</v>
      </c>
      <c r="I111" s="210">
        <v>4.3</v>
      </c>
      <c r="J111" s="210">
        <v>8.27</v>
      </c>
      <c r="K111" s="176">
        <f t="shared" si="147"/>
        <v>63.080999999999996</v>
      </c>
      <c r="L111" s="177">
        <f t="shared" si="148"/>
        <v>121.32089999999999</v>
      </c>
      <c r="M111" s="209">
        <f>$R$110*H111/SUM($H$110:$H$111)</f>
        <v>1485.358361774744</v>
      </c>
      <c r="N111" s="211">
        <f t="shared" ref="N111" si="180">P111/M111*100</f>
        <v>4.25</v>
      </c>
      <c r="O111" s="211">
        <f t="shared" ref="O111" si="181">Q111/M111*100</f>
        <v>8.2334963449901455</v>
      </c>
      <c r="P111" s="176">
        <f>$U$110*K111/SUM($K$110:$K$111)</f>
        <v>63.127730375426623</v>
      </c>
      <c r="Q111" s="212">
        <f>$V$110*L111/SUM($L$110:$L$111)</f>
        <v>122.29692642672906</v>
      </c>
      <c r="R111" s="352"/>
      <c r="S111" s="352"/>
      <c r="T111" s="352"/>
      <c r="U111" s="352"/>
      <c r="V111" s="352"/>
      <c r="X111" s="176">
        <f t="shared" si="160"/>
        <v>1485</v>
      </c>
      <c r="Y111" s="210">
        <f t="shared" si="161"/>
        <v>4.25</v>
      </c>
      <c r="Z111" s="210">
        <f t="shared" si="162"/>
        <v>8.23</v>
      </c>
    </row>
    <row r="112" spans="1:26" s="166" customFormat="1" ht="12.75" x14ac:dyDescent="0.2">
      <c r="A112" s="215">
        <v>70323</v>
      </c>
      <c r="B112" s="216" t="s">
        <v>90</v>
      </c>
      <c r="C112" s="118" t="s">
        <v>73</v>
      </c>
      <c r="D112" s="205">
        <v>45879</v>
      </c>
      <c r="E112" s="175"/>
      <c r="F112" s="207" t="s">
        <v>14</v>
      </c>
      <c r="G112" s="208" t="str">
        <f t="shared" si="124"/>
        <v>Piragutu</v>
      </c>
      <c r="H112" s="209">
        <v>1000</v>
      </c>
      <c r="I112" s="210">
        <v>4.3</v>
      </c>
      <c r="J112" s="210">
        <v>8.58</v>
      </c>
      <c r="K112" s="176">
        <f t="shared" si="147"/>
        <v>43</v>
      </c>
      <c r="L112" s="177">
        <f t="shared" si="148"/>
        <v>85.8</v>
      </c>
      <c r="M112" s="209">
        <f>$R$112*H112/SUM($H$112:$H$114)</f>
        <v>998.95397489539744</v>
      </c>
      <c r="N112" s="211">
        <f t="shared" ref="N112" si="182">P112/M112*100</f>
        <v>4.2758037644568754</v>
      </c>
      <c r="O112" s="211">
        <f t="shared" ref="O112" si="183">Q112/M112*100</f>
        <v>8.389543806801969</v>
      </c>
      <c r="P112" s="176">
        <f>$U$112*K112/SUM($K$112:$K$114)</f>
        <v>42.713311663768991</v>
      </c>
      <c r="Q112" s="212">
        <f>$V$112*L112/SUM($L$112:$L$114)</f>
        <v>83.807681333638911</v>
      </c>
      <c r="R112" s="350">
        <v>3820</v>
      </c>
      <c r="S112" s="350">
        <v>4.3</v>
      </c>
      <c r="T112" s="350">
        <v>8.1999999999999993</v>
      </c>
      <c r="U112" s="350">
        <f>R112*S112%</f>
        <v>164.26</v>
      </c>
      <c r="V112" s="350">
        <f>R112*T112%</f>
        <v>313.23999999999995</v>
      </c>
      <c r="X112" s="176">
        <f t="shared" si="160"/>
        <v>999</v>
      </c>
      <c r="Y112" s="210">
        <f t="shared" si="161"/>
        <v>4.28</v>
      </c>
      <c r="Z112" s="210">
        <f t="shared" si="162"/>
        <v>8.39</v>
      </c>
    </row>
    <row r="113" spans="1:26" s="166" customFormat="1" ht="12.75" x14ac:dyDescent="0.2">
      <c r="A113" s="215">
        <v>70323</v>
      </c>
      <c r="B113" s="216" t="s">
        <v>90</v>
      </c>
      <c r="C113" s="118" t="s">
        <v>73</v>
      </c>
      <c r="D113" s="205">
        <v>45879</v>
      </c>
      <c r="E113" s="175"/>
      <c r="F113" s="207" t="s">
        <v>6</v>
      </c>
      <c r="G113" s="208" t="str">
        <f t="shared" si="124"/>
        <v>Hisri</v>
      </c>
      <c r="H113" s="209">
        <v>1861</v>
      </c>
      <c r="I113" s="210">
        <v>4.3499999999999996</v>
      </c>
      <c r="J113" s="210">
        <v>8.2799999999999994</v>
      </c>
      <c r="K113" s="176">
        <f t="shared" si="147"/>
        <v>80.953499999999991</v>
      </c>
      <c r="L113" s="177">
        <f t="shared" si="148"/>
        <v>154.0908</v>
      </c>
      <c r="M113" s="209">
        <f>$R$112*H113/SUM($H$112:$H$114)</f>
        <v>1859.0533472803347</v>
      </c>
      <c r="N113" s="211">
        <f t="shared" ref="N113" si="184">P113/M113*100</f>
        <v>4.3255224128807921</v>
      </c>
      <c r="O113" s="211">
        <f t="shared" ref="O113" si="185">Q113/M113*100</f>
        <v>8.0962031142564452</v>
      </c>
      <c r="P113" s="176">
        <f>$U$112*K113/SUM($K$112:$K$114)</f>
        <v>80.413769204021463</v>
      </c>
      <c r="Q113" s="212">
        <f>$V$112*L113/SUM($L$112:$L$114)</f>
        <v>150.51273499819914</v>
      </c>
      <c r="R113" s="351"/>
      <c r="S113" s="351"/>
      <c r="T113" s="351"/>
      <c r="U113" s="351"/>
      <c r="V113" s="351"/>
      <c r="X113" s="176">
        <f t="shared" ref="X113:X125" si="186">ROUND(M113,0)</f>
        <v>1859</v>
      </c>
      <c r="Y113" s="210">
        <f t="shared" ref="Y113:Y125" si="187">ROUND(N113,2)</f>
        <v>4.33</v>
      </c>
      <c r="Z113" s="210">
        <f t="shared" ref="Z113:Z125" si="188">ROUND(O113,2)</f>
        <v>8.1</v>
      </c>
    </row>
    <row r="114" spans="1:26" s="166" customFormat="1" ht="12.75" x14ac:dyDescent="0.2">
      <c r="A114" s="215">
        <v>70323</v>
      </c>
      <c r="B114" s="216" t="s">
        <v>90</v>
      </c>
      <c r="C114" s="118" t="s">
        <v>73</v>
      </c>
      <c r="D114" s="205">
        <v>45879</v>
      </c>
      <c r="E114" s="175"/>
      <c r="F114" s="207" t="s">
        <v>4</v>
      </c>
      <c r="G114" s="208" t="str">
        <f t="shared" si="124"/>
        <v>Pali</v>
      </c>
      <c r="H114" s="209">
        <v>963</v>
      </c>
      <c r="I114" s="210">
        <v>4.3</v>
      </c>
      <c r="J114" s="210">
        <v>8.39</v>
      </c>
      <c r="K114" s="176">
        <f t="shared" si="147"/>
        <v>41.408999999999999</v>
      </c>
      <c r="L114" s="177">
        <f t="shared" si="148"/>
        <v>80.795699999999997</v>
      </c>
      <c r="M114" s="209">
        <f>$R$112*H114/SUM($H$112:$H$114)</f>
        <v>961.99267782426773</v>
      </c>
      <c r="N114" s="211">
        <f t="shared" ref="N114" si="189">P114/M114*100</f>
        <v>4.2758037644568754</v>
      </c>
      <c r="O114" s="211">
        <f t="shared" ref="O114" si="190">Q114/M114*100</f>
        <v>8.2037613681898041</v>
      </c>
      <c r="P114" s="176">
        <f>$U$112*K114/SUM($K$112:$K$114)</f>
        <v>41.132919132209537</v>
      </c>
      <c r="Q114" s="212">
        <f>$V$112*L114/SUM($L$112:$L$114)</f>
        <v>78.919583668161877</v>
      </c>
      <c r="R114" s="352"/>
      <c r="S114" s="352"/>
      <c r="T114" s="352"/>
      <c r="U114" s="352"/>
      <c r="V114" s="352"/>
      <c r="X114" s="176">
        <f t="shared" si="186"/>
        <v>962</v>
      </c>
      <c r="Y114" s="210">
        <f t="shared" si="187"/>
        <v>4.28</v>
      </c>
      <c r="Z114" s="210">
        <f t="shared" si="188"/>
        <v>8.1999999999999993</v>
      </c>
    </row>
    <row r="115" spans="1:26" s="166" customFormat="1" ht="12.75" x14ac:dyDescent="0.2">
      <c r="A115" s="215">
        <v>70324</v>
      </c>
      <c r="B115" s="213">
        <v>1023</v>
      </c>
      <c r="C115" s="118" t="s">
        <v>109</v>
      </c>
      <c r="D115" s="205">
        <v>45880</v>
      </c>
      <c r="E115" s="175"/>
      <c r="F115" s="207" t="s">
        <v>14</v>
      </c>
      <c r="G115" s="208" t="str">
        <f t="shared" si="124"/>
        <v>Piragutu</v>
      </c>
      <c r="H115" s="209">
        <v>1053</v>
      </c>
      <c r="I115" s="210">
        <v>4.45</v>
      </c>
      <c r="J115" s="210">
        <v>8.61</v>
      </c>
      <c r="K115" s="176">
        <f t="shared" si="147"/>
        <v>46.858500000000006</v>
      </c>
      <c r="L115" s="177">
        <f t="shared" si="148"/>
        <v>90.663299999999992</v>
      </c>
      <c r="M115" s="209">
        <f>$R$115*H115/SUM($H$115:$H$117)</f>
        <v>1050.6766364304976</v>
      </c>
      <c r="N115" s="211">
        <f t="shared" ref="N115" si="191">P115/M115*100</f>
        <v>4.4636663657982476</v>
      </c>
      <c r="O115" s="211">
        <f t="shared" ref="O115" si="192">Q115/M115*100</f>
        <v>8.532269468337601</v>
      </c>
      <c r="P115" s="176">
        <f>$U$115*K115/SUM($K$115:$K$117)</f>
        <v>46.898699633648455</v>
      </c>
      <c r="Q115" s="212">
        <f>$V$115*L115/SUM($L$115:$L$117)</f>
        <v>89.646561861115813</v>
      </c>
      <c r="R115" s="350">
        <v>4070</v>
      </c>
      <c r="S115" s="350">
        <v>4.4000000000000004</v>
      </c>
      <c r="T115" s="350">
        <v>8.2899999999999991</v>
      </c>
      <c r="U115" s="350">
        <f>R115*S115%</f>
        <v>179.08</v>
      </c>
      <c r="V115" s="350">
        <f>R115*T115%</f>
        <v>337.40299999999996</v>
      </c>
      <c r="X115" s="176">
        <f t="shared" si="186"/>
        <v>1051</v>
      </c>
      <c r="Y115" s="210">
        <f t="shared" si="187"/>
        <v>4.46</v>
      </c>
      <c r="Z115" s="210">
        <f t="shared" si="188"/>
        <v>8.5299999999999994</v>
      </c>
    </row>
    <row r="116" spans="1:26" s="166" customFormat="1" ht="12.75" x14ac:dyDescent="0.2">
      <c r="A116" s="215">
        <v>70324</v>
      </c>
      <c r="B116" s="213">
        <v>1023</v>
      </c>
      <c r="C116" s="118" t="s">
        <v>109</v>
      </c>
      <c r="D116" s="205">
        <v>45880</v>
      </c>
      <c r="E116" s="175"/>
      <c r="F116" s="207" t="s">
        <v>6</v>
      </c>
      <c r="G116" s="208" t="str">
        <f t="shared" si="124"/>
        <v>Hisri</v>
      </c>
      <c r="H116" s="209">
        <v>1950</v>
      </c>
      <c r="I116" s="210">
        <v>4.4000000000000004</v>
      </c>
      <c r="J116" s="210">
        <v>8.2200000000000006</v>
      </c>
      <c r="K116" s="176">
        <f t="shared" si="147"/>
        <v>85.800000000000011</v>
      </c>
      <c r="L116" s="177">
        <f t="shared" si="148"/>
        <v>160.29000000000002</v>
      </c>
      <c r="M116" s="209">
        <f>$R$115*H116/SUM($H$115:$H$117)</f>
        <v>1945.6974748712919</v>
      </c>
      <c r="N116" s="211">
        <f t="shared" ref="N116" si="193">P116/M116*100</f>
        <v>4.413512811126358</v>
      </c>
      <c r="O116" s="211">
        <f t="shared" ref="O116" si="194">Q116/M116*100</f>
        <v>8.1457903635000122</v>
      </c>
      <c r="P116" s="176">
        <f>$U$115*K116/SUM($K$115:$K$117)</f>
        <v>85.873607319206513</v>
      </c>
      <c r="Q116" s="212">
        <f>$V$115*L116/SUM($L$115:$L$117)</f>
        <v>158.49243741092877</v>
      </c>
      <c r="R116" s="351"/>
      <c r="S116" s="351"/>
      <c r="T116" s="351"/>
      <c r="U116" s="351"/>
      <c r="V116" s="351"/>
      <c r="X116" s="176">
        <f t="shared" si="186"/>
        <v>1946</v>
      </c>
      <c r="Y116" s="210">
        <f t="shared" si="187"/>
        <v>4.41</v>
      </c>
      <c r="Z116" s="210">
        <f t="shared" si="188"/>
        <v>8.15</v>
      </c>
    </row>
    <row r="117" spans="1:26" s="166" customFormat="1" ht="12.75" x14ac:dyDescent="0.2">
      <c r="A117" s="215">
        <v>70324</v>
      </c>
      <c r="B117" s="213">
        <v>1023</v>
      </c>
      <c r="C117" s="118" t="s">
        <v>109</v>
      </c>
      <c r="D117" s="205">
        <v>45880</v>
      </c>
      <c r="E117" s="175"/>
      <c r="F117" s="207" t="s">
        <v>4</v>
      </c>
      <c r="G117" s="208" t="str">
        <f t="shared" si="124"/>
        <v>Pali</v>
      </c>
      <c r="H117" s="209">
        <v>1076</v>
      </c>
      <c r="I117" s="210">
        <v>4.3</v>
      </c>
      <c r="J117" s="210">
        <v>8.39</v>
      </c>
      <c r="K117" s="176">
        <f t="shared" ref="K117:K152" si="195">H117*I117%</f>
        <v>46.267999999999994</v>
      </c>
      <c r="L117" s="177">
        <f t="shared" ref="L117:L152" si="196">H117*J117%</f>
        <v>90.27640000000001</v>
      </c>
      <c r="M117" s="209">
        <f>$R$115*H117/SUM($H$115:$H$117)</f>
        <v>1073.6258886982102</v>
      </c>
      <c r="N117" s="211">
        <f t="shared" ref="N117" si="197">P117/M117*100</f>
        <v>4.313205701782576</v>
      </c>
      <c r="O117" s="211">
        <f t="shared" ref="O117" si="198">Q117/M117*100</f>
        <v>8.3142556143266546</v>
      </c>
      <c r="P117" s="176">
        <f>$U$115*K117/SUM($K$115:$K$117)</f>
        <v>46.307693047145051</v>
      </c>
      <c r="Q117" s="212">
        <f>$V$115*L117/SUM($L$115:$L$117)</f>
        <v>89.264000727955377</v>
      </c>
      <c r="R117" s="352"/>
      <c r="S117" s="352"/>
      <c r="T117" s="352"/>
      <c r="U117" s="352"/>
      <c r="V117" s="352"/>
      <c r="X117" s="176">
        <f t="shared" si="186"/>
        <v>1074</v>
      </c>
      <c r="Y117" s="210">
        <f t="shared" si="187"/>
        <v>4.3099999999999996</v>
      </c>
      <c r="Z117" s="210">
        <f t="shared" si="188"/>
        <v>8.31</v>
      </c>
    </row>
    <row r="118" spans="1:26" s="166" customFormat="1" ht="12.75" x14ac:dyDescent="0.2">
      <c r="A118" s="215">
        <v>71410</v>
      </c>
      <c r="B118" s="213">
        <v>1023</v>
      </c>
      <c r="C118" s="118" t="s">
        <v>109</v>
      </c>
      <c r="D118" s="205">
        <v>45883</v>
      </c>
      <c r="E118" s="175"/>
      <c r="F118" s="207" t="s">
        <v>14</v>
      </c>
      <c r="G118" s="208" t="str">
        <f t="shared" si="124"/>
        <v>Piragutu</v>
      </c>
      <c r="H118" s="209">
        <v>1089</v>
      </c>
      <c r="I118" s="210">
        <v>4.2</v>
      </c>
      <c r="J118" s="210">
        <v>8.5</v>
      </c>
      <c r="K118" s="176">
        <f t="shared" si="195"/>
        <v>45.738</v>
      </c>
      <c r="L118" s="177">
        <f t="shared" si="196"/>
        <v>92.565000000000012</v>
      </c>
      <c r="M118" s="209">
        <f>$R$118*H118/SUM($H$118:$H$120)</f>
        <v>1099.7362110311751</v>
      </c>
      <c r="N118" s="211">
        <f t="shared" ref="N118" si="199">P118/M118*100</f>
        <v>4.180915782260942</v>
      </c>
      <c r="O118" s="211">
        <f t="shared" ref="O118" si="200">Q118/M118*100</f>
        <v>8.484663509524653</v>
      </c>
      <c r="P118" s="176">
        <f>$U$118*K118/SUM($K$118:$K$120)</f>
        <v>45.979044810240893</v>
      </c>
      <c r="Q118" s="212">
        <f>$V$118*L118/SUM($L$118:$L$120)</f>
        <v>93.308916998391155</v>
      </c>
      <c r="R118" s="350">
        <v>3790</v>
      </c>
      <c r="S118" s="350">
        <v>4.2</v>
      </c>
      <c r="T118" s="350">
        <v>8.3699999999999992</v>
      </c>
      <c r="U118" s="350">
        <f>R118*S118%</f>
        <v>159.18</v>
      </c>
      <c r="V118" s="350">
        <f>R118*T118%</f>
        <v>317.22300000000001</v>
      </c>
      <c r="X118" s="176">
        <f t="shared" si="186"/>
        <v>1100</v>
      </c>
      <c r="Y118" s="210">
        <f t="shared" si="187"/>
        <v>4.18</v>
      </c>
      <c r="Z118" s="210">
        <f t="shared" si="188"/>
        <v>8.48</v>
      </c>
    </row>
    <row r="119" spans="1:26" s="166" customFormat="1" ht="12.75" x14ac:dyDescent="0.2">
      <c r="A119" s="215">
        <v>71410</v>
      </c>
      <c r="B119" s="213">
        <v>1023</v>
      </c>
      <c r="C119" s="118" t="s">
        <v>109</v>
      </c>
      <c r="D119" s="205">
        <v>45883</v>
      </c>
      <c r="E119" s="175"/>
      <c r="F119" s="207" t="s">
        <v>6</v>
      </c>
      <c r="G119" s="208" t="str">
        <f t="shared" si="124"/>
        <v>Hisri</v>
      </c>
      <c r="H119" s="209">
        <v>1439</v>
      </c>
      <c r="I119" s="210">
        <v>4.25</v>
      </c>
      <c r="J119" s="210">
        <v>8.26</v>
      </c>
      <c r="K119" s="176">
        <f t="shared" si="195"/>
        <v>61.157500000000006</v>
      </c>
      <c r="L119" s="177">
        <f t="shared" si="196"/>
        <v>118.86139999999999</v>
      </c>
      <c r="M119" s="209">
        <f t="shared" ref="M119:M120" si="201">$R$118*H119/SUM($H$118:$H$120)</f>
        <v>1453.1867839062083</v>
      </c>
      <c r="N119" s="211">
        <f t="shared" ref="N119:N120" si="202">P119/M119*100</f>
        <v>4.2306885891926198</v>
      </c>
      <c r="O119" s="211">
        <f t="shared" ref="O119:O120" si="203">Q119/M119*100</f>
        <v>8.2450965398439582</v>
      </c>
      <c r="P119" s="176">
        <f t="shared" ref="P119:P120" si="204">$U$118*K119/SUM($K$118:$K$120)</f>
        <v>61.479807446375176</v>
      </c>
      <c r="Q119" s="212">
        <f t="shared" ref="Q119:Q120" si="205">$V$118*L119/SUM($L$118:$L$120)</f>
        <v>119.81665323732047</v>
      </c>
      <c r="R119" s="351"/>
      <c r="S119" s="351"/>
      <c r="T119" s="351"/>
      <c r="U119" s="351"/>
      <c r="V119" s="351"/>
      <c r="X119" s="176">
        <f t="shared" si="186"/>
        <v>1453</v>
      </c>
      <c r="Y119" s="210">
        <f t="shared" si="187"/>
        <v>4.2300000000000004</v>
      </c>
      <c r="Z119" s="210">
        <f t="shared" si="188"/>
        <v>8.25</v>
      </c>
    </row>
    <row r="120" spans="1:26" s="166" customFormat="1" ht="12.75" x14ac:dyDescent="0.2">
      <c r="A120" s="215">
        <v>71410</v>
      </c>
      <c r="B120" s="213">
        <v>1023</v>
      </c>
      <c r="C120" s="118" t="s">
        <v>109</v>
      </c>
      <c r="D120" s="205">
        <v>45883</v>
      </c>
      <c r="E120" s="175"/>
      <c r="F120" s="207" t="s">
        <v>4</v>
      </c>
      <c r="G120" s="208" t="str">
        <f t="shared" si="124"/>
        <v>Pali</v>
      </c>
      <c r="H120" s="209">
        <v>1225</v>
      </c>
      <c r="I120" s="210">
        <v>4.2</v>
      </c>
      <c r="J120" s="210">
        <v>8.43</v>
      </c>
      <c r="K120" s="176">
        <f t="shared" si="195"/>
        <v>51.45</v>
      </c>
      <c r="L120" s="177">
        <f t="shared" si="196"/>
        <v>103.2675</v>
      </c>
      <c r="M120" s="209">
        <f t="shared" si="201"/>
        <v>1237.0770050626165</v>
      </c>
      <c r="N120" s="211">
        <f t="shared" si="202"/>
        <v>4.1809157822609428</v>
      </c>
      <c r="O120" s="211">
        <f t="shared" si="203"/>
        <v>8.4147898100344509</v>
      </c>
      <c r="P120" s="176">
        <f t="shared" si="204"/>
        <v>51.721147743383931</v>
      </c>
      <c r="Q120" s="212">
        <f t="shared" si="205"/>
        <v>104.09742976428842</v>
      </c>
      <c r="R120" s="352"/>
      <c r="S120" s="352"/>
      <c r="T120" s="352"/>
      <c r="U120" s="352"/>
      <c r="V120" s="352"/>
      <c r="X120" s="176">
        <f t="shared" si="186"/>
        <v>1237</v>
      </c>
      <c r="Y120" s="210">
        <f t="shared" si="187"/>
        <v>4.18</v>
      </c>
      <c r="Z120" s="210">
        <f t="shared" si="188"/>
        <v>8.41</v>
      </c>
    </row>
    <row r="121" spans="1:26" s="166" customFormat="1" ht="12.75" x14ac:dyDescent="0.2">
      <c r="A121" s="215">
        <v>71438</v>
      </c>
      <c r="B121" s="213">
        <v>1023</v>
      </c>
      <c r="C121" s="118" t="s">
        <v>109</v>
      </c>
      <c r="D121" s="205">
        <v>45885</v>
      </c>
      <c r="E121" s="175"/>
      <c r="F121" s="207" t="s">
        <v>4</v>
      </c>
      <c r="G121" s="208" t="str">
        <f t="shared" si="124"/>
        <v>Pali</v>
      </c>
      <c r="H121" s="209">
        <v>1178</v>
      </c>
      <c r="I121" s="210">
        <v>4.1500000000000004</v>
      </c>
      <c r="J121" s="210">
        <v>8.39</v>
      </c>
      <c r="K121" s="176">
        <f t="shared" si="195"/>
        <v>48.887</v>
      </c>
      <c r="L121" s="177">
        <f t="shared" si="196"/>
        <v>98.83420000000001</v>
      </c>
      <c r="M121" s="209">
        <f>$R$121*H121/SUM($H$121:$H$124)</f>
        <v>1178</v>
      </c>
      <c r="N121" s="211">
        <f t="shared" ref="N121" si="206">P121/M121*100</f>
        <v>4.1916885229722967</v>
      </c>
      <c r="O121" s="211">
        <f t="shared" ref="O121" si="207">Q121/M121*100</f>
        <v>8.3914164809680258</v>
      </c>
      <c r="P121" s="176">
        <f>$U$121*K121/SUM($K$121:$K$124)</f>
        <v>49.378090800613663</v>
      </c>
      <c r="Q121" s="212">
        <f>$V$121*L121/SUM($L$121:$L$124)</f>
        <v>98.850886145803344</v>
      </c>
      <c r="R121" s="350">
        <v>4330</v>
      </c>
      <c r="S121" s="350">
        <v>3.9</v>
      </c>
      <c r="T121" s="350">
        <v>8.25</v>
      </c>
      <c r="U121" s="350">
        <f t="shared" ref="U121" si="208">R121*S121%</f>
        <v>168.87</v>
      </c>
      <c r="V121" s="350">
        <f t="shared" ref="V121" si="209">R121*T121%</f>
        <v>357.22500000000002</v>
      </c>
      <c r="X121" s="176">
        <f t="shared" si="186"/>
        <v>1178</v>
      </c>
      <c r="Y121" s="210">
        <f t="shared" si="187"/>
        <v>4.1900000000000004</v>
      </c>
      <c r="Z121" s="210">
        <f t="shared" si="188"/>
        <v>8.39</v>
      </c>
    </row>
    <row r="122" spans="1:26" s="166" customFormat="1" ht="12.75" x14ac:dyDescent="0.2">
      <c r="A122" s="215">
        <v>71438</v>
      </c>
      <c r="B122" s="213">
        <v>1023</v>
      </c>
      <c r="C122" s="118" t="s">
        <v>109</v>
      </c>
      <c r="D122" s="205">
        <v>45885</v>
      </c>
      <c r="E122" s="175"/>
      <c r="F122" s="207" t="s">
        <v>8</v>
      </c>
      <c r="G122" s="208" t="str">
        <f t="shared" si="124"/>
        <v>Choria</v>
      </c>
      <c r="H122" s="209">
        <v>1240</v>
      </c>
      <c r="I122" s="210">
        <v>3.15</v>
      </c>
      <c r="J122" s="210">
        <v>7.91</v>
      </c>
      <c r="K122" s="176">
        <f t="shared" si="195"/>
        <v>39.06</v>
      </c>
      <c r="L122" s="177">
        <f t="shared" si="196"/>
        <v>98.084000000000003</v>
      </c>
      <c r="M122" s="209">
        <f t="shared" ref="M122:M123" si="210">$R$121*H122/SUM($H$121:$H$124)</f>
        <v>1240</v>
      </c>
      <c r="N122" s="211">
        <f t="shared" ref="N122:N124" si="211">P122/M122*100</f>
        <v>3.1816430957500579</v>
      </c>
      <c r="O122" s="211">
        <f t="shared" ref="O122:O124" si="212">Q122/M122*100</f>
        <v>7.9113354427243223</v>
      </c>
      <c r="P122" s="176">
        <f t="shared" ref="P122:P124" si="213">$U$121*K122/SUM($K$121:$K$124)</f>
        <v>39.452374387300715</v>
      </c>
      <c r="Q122" s="212">
        <f t="shared" ref="Q122:Q124" si="214">$V$121*L122/SUM($L$121:$L$124)</f>
        <v>98.100559489781602</v>
      </c>
      <c r="R122" s="351"/>
      <c r="S122" s="351"/>
      <c r="T122" s="351"/>
      <c r="U122" s="351"/>
      <c r="V122" s="351"/>
      <c r="X122" s="176">
        <f t="shared" si="186"/>
        <v>1240</v>
      </c>
      <c r="Y122" s="210">
        <f t="shared" si="187"/>
        <v>3.18</v>
      </c>
      <c r="Z122" s="210">
        <f t="shared" si="188"/>
        <v>7.91</v>
      </c>
    </row>
    <row r="123" spans="1:26" s="166" customFormat="1" ht="12.75" x14ac:dyDescent="0.2">
      <c r="A123" s="215">
        <v>71438</v>
      </c>
      <c r="B123" s="213">
        <v>1023</v>
      </c>
      <c r="C123" s="118" t="s">
        <v>109</v>
      </c>
      <c r="D123" s="205">
        <v>45885</v>
      </c>
      <c r="E123" s="175"/>
      <c r="F123" s="207" t="s">
        <v>89</v>
      </c>
      <c r="G123" s="208" t="str">
        <f t="shared" si="124"/>
        <v>Chanho</v>
      </c>
      <c r="H123" s="209">
        <v>1205</v>
      </c>
      <c r="I123" s="210">
        <v>4.2</v>
      </c>
      <c r="J123" s="210">
        <v>8.3699999999999992</v>
      </c>
      <c r="K123" s="176">
        <f t="shared" si="195"/>
        <v>50.610000000000007</v>
      </c>
      <c r="L123" s="177">
        <f t="shared" si="196"/>
        <v>100.85849999999999</v>
      </c>
      <c r="M123" s="209">
        <f t="shared" si="210"/>
        <v>1205</v>
      </c>
      <c r="N123" s="211">
        <f t="shared" si="211"/>
        <v>4.2421907943334096</v>
      </c>
      <c r="O123" s="211">
        <f t="shared" si="212"/>
        <v>8.3714131043745343</v>
      </c>
      <c r="P123" s="176">
        <f t="shared" si="213"/>
        <v>51.11839907171759</v>
      </c>
      <c r="Q123" s="212">
        <f t="shared" si="214"/>
        <v>100.87552790771315</v>
      </c>
      <c r="R123" s="351"/>
      <c r="S123" s="351"/>
      <c r="T123" s="351"/>
      <c r="U123" s="351"/>
      <c r="V123" s="351"/>
      <c r="X123" s="176">
        <f t="shared" si="186"/>
        <v>1205</v>
      </c>
      <c r="Y123" s="210">
        <f t="shared" si="187"/>
        <v>4.24</v>
      </c>
      <c r="Z123" s="210">
        <f t="shared" si="188"/>
        <v>8.3699999999999992</v>
      </c>
    </row>
    <row r="124" spans="1:26" s="166" customFormat="1" ht="12.75" x14ac:dyDescent="0.2">
      <c r="A124" s="215">
        <v>71438</v>
      </c>
      <c r="B124" s="213">
        <v>1023</v>
      </c>
      <c r="C124" s="118" t="s">
        <v>109</v>
      </c>
      <c r="D124" s="205">
        <v>45885</v>
      </c>
      <c r="E124" s="175"/>
      <c r="F124" s="207" t="s">
        <v>12</v>
      </c>
      <c r="G124" s="208" t="str">
        <f t="shared" si="124"/>
        <v>Ormanjhi</v>
      </c>
      <c r="H124" s="209">
        <v>707</v>
      </c>
      <c r="I124" s="210">
        <v>4.05</v>
      </c>
      <c r="J124" s="210">
        <v>8.4</v>
      </c>
      <c r="K124" s="176">
        <f t="shared" si="195"/>
        <v>28.633500000000002</v>
      </c>
      <c r="L124" s="177">
        <f t="shared" si="196"/>
        <v>59.388000000000005</v>
      </c>
      <c r="M124" s="209">
        <f>$R$121*H124/SUM($H$121:$H$124)</f>
        <v>707</v>
      </c>
      <c r="N124" s="211">
        <f t="shared" si="211"/>
        <v>4.0906839802500743</v>
      </c>
      <c r="O124" s="211">
        <f t="shared" si="212"/>
        <v>8.4014181692647689</v>
      </c>
      <c r="P124" s="176">
        <f t="shared" si="213"/>
        <v>28.921135740368026</v>
      </c>
      <c r="Q124" s="212">
        <f t="shared" si="214"/>
        <v>59.398026456701913</v>
      </c>
      <c r="R124" s="352"/>
      <c r="S124" s="352"/>
      <c r="T124" s="352"/>
      <c r="U124" s="352"/>
      <c r="V124" s="352"/>
      <c r="X124" s="176">
        <f t="shared" si="186"/>
        <v>707</v>
      </c>
      <c r="Y124" s="210">
        <f t="shared" si="187"/>
        <v>4.09</v>
      </c>
      <c r="Z124" s="210">
        <f t="shared" si="188"/>
        <v>8.4</v>
      </c>
    </row>
    <row r="125" spans="1:26" s="166" customFormat="1" ht="12.75" x14ac:dyDescent="0.2">
      <c r="A125" s="215">
        <v>71438</v>
      </c>
      <c r="B125" s="213">
        <v>1023</v>
      </c>
      <c r="C125" s="118" t="s">
        <v>77</v>
      </c>
      <c r="D125" s="205">
        <v>45885</v>
      </c>
      <c r="E125" s="175"/>
      <c r="F125" s="207" t="s">
        <v>14</v>
      </c>
      <c r="G125" s="208" t="str">
        <f t="shared" si="124"/>
        <v>Piragutu</v>
      </c>
      <c r="H125" s="209">
        <v>1211</v>
      </c>
      <c r="I125" s="210">
        <v>4.3</v>
      </c>
      <c r="J125" s="210">
        <v>8.64</v>
      </c>
      <c r="K125" s="176">
        <f t="shared" si="195"/>
        <v>52.072999999999993</v>
      </c>
      <c r="L125" s="177">
        <f t="shared" si="196"/>
        <v>104.63040000000001</v>
      </c>
      <c r="M125" s="209">
        <f>$R$125*H125/SUM($H$125:$H$128)</f>
        <v>1207.9171488081463</v>
      </c>
      <c r="N125" s="211">
        <f t="shared" ref="N125" si="215">P125/M125*100</f>
        <v>4.3653618983613898</v>
      </c>
      <c r="O125" s="211">
        <f t="shared" ref="O125" si="216">Q125/M125*100</f>
        <v>8.6752093401598174</v>
      </c>
      <c r="P125" s="176">
        <f>$U$125*K125/SUM($K$125:$K$128)</f>
        <v>52.729954977844066</v>
      </c>
      <c r="Q125" s="212">
        <f>$V$125*L125/SUM($L$125:$L$128)</f>
        <v>104.78934131479646</v>
      </c>
      <c r="R125" s="350">
        <v>4310</v>
      </c>
      <c r="S125" s="350">
        <v>4.3</v>
      </c>
      <c r="T125" s="350">
        <v>8.4499999999999993</v>
      </c>
      <c r="U125" s="350">
        <f t="shared" ref="U125" si="217">R125*S125%</f>
        <v>185.32999999999998</v>
      </c>
      <c r="V125" s="350">
        <f t="shared" ref="V125" si="218">R125*T125%</f>
        <v>364.19499999999994</v>
      </c>
      <c r="X125" s="176">
        <f t="shared" si="186"/>
        <v>1208</v>
      </c>
      <c r="Y125" s="210">
        <f t="shared" si="187"/>
        <v>4.37</v>
      </c>
      <c r="Z125" s="210">
        <f t="shared" si="188"/>
        <v>8.68</v>
      </c>
    </row>
    <row r="126" spans="1:26" s="166" customFormat="1" ht="12.75" x14ac:dyDescent="0.2">
      <c r="A126" s="215">
        <v>71438</v>
      </c>
      <c r="B126" s="213">
        <v>1023</v>
      </c>
      <c r="C126" s="118" t="s">
        <v>77</v>
      </c>
      <c r="D126" s="205">
        <v>45885</v>
      </c>
      <c r="E126" s="175"/>
      <c r="F126" s="207" t="s">
        <v>6</v>
      </c>
      <c r="G126" s="208" t="str">
        <f t="shared" si="124"/>
        <v>Hisri</v>
      </c>
      <c r="H126" s="209">
        <v>1670</v>
      </c>
      <c r="I126" s="210">
        <v>4.25</v>
      </c>
      <c r="J126" s="210">
        <v>8.26</v>
      </c>
      <c r="K126" s="176">
        <f t="shared" si="195"/>
        <v>70.975000000000009</v>
      </c>
      <c r="L126" s="177">
        <f t="shared" si="196"/>
        <v>137.94199999999998</v>
      </c>
      <c r="M126" s="209">
        <f t="shared" ref="M126:M128" si="219">$R$125*H126/SUM($H$125:$H$128)</f>
        <v>1665.7486692895163</v>
      </c>
      <c r="N126" s="211">
        <f t="shared" ref="N126:N128" si="220">P126/M126*100</f>
        <v>4.3146018762874219</v>
      </c>
      <c r="O126" s="211">
        <f t="shared" ref="O126:O128" si="221">Q126/M126*100</f>
        <v>8.2936607812176</v>
      </c>
      <c r="P126" s="176">
        <f t="shared" ref="P126:P128" si="222">$U$125*K126/SUM($K$125:$K$128)</f>
        <v>71.870423339398229</v>
      </c>
      <c r="Q126" s="212">
        <f t="shared" ref="Q126:Q128" si="223">$V$125*L126/SUM($L$125:$L$128)</f>
        <v>138.15154409851868</v>
      </c>
      <c r="R126" s="351"/>
      <c r="S126" s="351"/>
      <c r="T126" s="351"/>
      <c r="U126" s="351"/>
      <c r="V126" s="351"/>
      <c r="X126" s="176">
        <f t="shared" ref="X126:X139" si="224">ROUND(M126,0)</f>
        <v>1666</v>
      </c>
      <c r="Y126" s="210">
        <f t="shared" ref="Y126:Y139" si="225">ROUND(N126,2)</f>
        <v>4.3099999999999996</v>
      </c>
      <c r="Z126" s="210">
        <f t="shared" ref="Z126:Z139" si="226">ROUND(O126,2)</f>
        <v>8.2899999999999991</v>
      </c>
    </row>
    <row r="127" spans="1:26" s="166" customFormat="1" ht="12.75" x14ac:dyDescent="0.2">
      <c r="A127" s="215">
        <v>71438</v>
      </c>
      <c r="B127" s="213">
        <v>1023</v>
      </c>
      <c r="C127" s="118" t="s">
        <v>77</v>
      </c>
      <c r="D127" s="205">
        <v>45885</v>
      </c>
      <c r="E127" s="175"/>
      <c r="F127" s="207" t="s">
        <v>4</v>
      </c>
      <c r="G127" s="208" t="str">
        <f t="shared" si="124"/>
        <v>Pali</v>
      </c>
      <c r="H127" s="209">
        <v>1102</v>
      </c>
      <c r="I127" s="210">
        <v>4.2</v>
      </c>
      <c r="J127" s="210">
        <v>8.41</v>
      </c>
      <c r="K127" s="176">
        <f t="shared" si="195"/>
        <v>46.284000000000006</v>
      </c>
      <c r="L127" s="177">
        <f t="shared" si="196"/>
        <v>92.678200000000004</v>
      </c>
      <c r="M127" s="209">
        <f t="shared" si="219"/>
        <v>1099.1946308724832</v>
      </c>
      <c r="N127" s="211">
        <f t="shared" si="220"/>
        <v>4.2638418542134504</v>
      </c>
      <c r="O127" s="211">
        <f t="shared" si="221"/>
        <v>8.4442720544842658</v>
      </c>
      <c r="P127" s="176">
        <f t="shared" si="222"/>
        <v>46.867920730407988</v>
      </c>
      <c r="Q127" s="212">
        <f t="shared" si="223"/>
        <v>92.818985039156573</v>
      </c>
      <c r="R127" s="351"/>
      <c r="S127" s="351"/>
      <c r="T127" s="351"/>
      <c r="U127" s="351"/>
      <c r="V127" s="351"/>
      <c r="X127" s="176">
        <f t="shared" si="224"/>
        <v>1099</v>
      </c>
      <c r="Y127" s="210">
        <f t="shared" si="225"/>
        <v>4.26</v>
      </c>
      <c r="Z127" s="210">
        <f t="shared" si="226"/>
        <v>8.44</v>
      </c>
    </row>
    <row r="128" spans="1:26" s="166" customFormat="1" ht="12.75" x14ac:dyDescent="0.2">
      <c r="A128" s="215">
        <v>71438</v>
      </c>
      <c r="B128" s="213">
        <v>1023</v>
      </c>
      <c r="C128" s="118" t="s">
        <v>77</v>
      </c>
      <c r="D128" s="205">
        <v>45885</v>
      </c>
      <c r="E128" s="175"/>
      <c r="F128" s="207" t="s">
        <v>12</v>
      </c>
      <c r="G128" s="208" t="str">
        <f t="shared" si="124"/>
        <v>Ormanjhi</v>
      </c>
      <c r="H128" s="209">
        <v>338</v>
      </c>
      <c r="I128" s="210">
        <v>4.05</v>
      </c>
      <c r="J128" s="210">
        <v>8.4</v>
      </c>
      <c r="K128" s="176">
        <f t="shared" si="195"/>
        <v>13.689</v>
      </c>
      <c r="L128" s="177">
        <f t="shared" si="196"/>
        <v>28.392000000000003</v>
      </c>
      <c r="M128" s="209">
        <f t="shared" si="219"/>
        <v>337.1395510298542</v>
      </c>
      <c r="N128" s="211">
        <f t="shared" si="220"/>
        <v>4.1115617879915423</v>
      </c>
      <c r="O128" s="211">
        <f t="shared" si="221"/>
        <v>8.4342313029331546</v>
      </c>
      <c r="P128" s="176">
        <f t="shared" si="222"/>
        <v>13.861700952349731</v>
      </c>
      <c r="Q128" s="212">
        <f t="shared" si="223"/>
        <v>28.435129547528263</v>
      </c>
      <c r="R128" s="352"/>
      <c r="S128" s="352"/>
      <c r="T128" s="352"/>
      <c r="U128" s="352"/>
      <c r="V128" s="352"/>
      <c r="X128" s="176">
        <f t="shared" si="224"/>
        <v>337</v>
      </c>
      <c r="Y128" s="210">
        <f t="shared" si="225"/>
        <v>4.1100000000000003</v>
      </c>
      <c r="Z128" s="210">
        <f t="shared" si="226"/>
        <v>8.43</v>
      </c>
    </row>
    <row r="129" spans="1:26" s="166" customFormat="1" ht="12.75" x14ac:dyDescent="0.2">
      <c r="A129" s="215">
        <v>70850</v>
      </c>
      <c r="B129" s="213">
        <v>8504</v>
      </c>
      <c r="C129" s="118" t="s">
        <v>73</v>
      </c>
      <c r="D129" s="205">
        <v>45884</v>
      </c>
      <c r="E129" s="175"/>
      <c r="F129" s="207" t="s">
        <v>4</v>
      </c>
      <c r="G129" s="208" t="str">
        <f t="shared" si="124"/>
        <v>Pali</v>
      </c>
      <c r="H129" s="209">
        <v>2284</v>
      </c>
      <c r="I129" s="210">
        <v>4.1500000000000004</v>
      </c>
      <c r="J129" s="210">
        <v>8.42</v>
      </c>
      <c r="K129" s="176">
        <f t="shared" si="195"/>
        <v>94.786000000000001</v>
      </c>
      <c r="L129" s="177">
        <f t="shared" si="196"/>
        <v>192.31279999999998</v>
      </c>
      <c r="M129" s="209">
        <f>$R$129*H129/SUM($H$129:$H$131)</f>
        <v>2284.4334788384895</v>
      </c>
      <c r="N129" s="211">
        <f t="shared" ref="N129" si="227">P129/M129*100</f>
        <v>4.1842526864739122</v>
      </c>
      <c r="O129" s="211">
        <f t="shared" ref="O129" si="228">Q129/M129*100</f>
        <v>8.3939048444997439</v>
      </c>
      <c r="P129" s="176">
        <f>$U$129*K129/SUM($K$129:$K$131)</f>
        <v>95.586469209008953</v>
      </c>
      <c r="Q129" s="212">
        <f>$V$129*L129/SUM($L$129:$L$131)</f>
        <v>191.753172449598</v>
      </c>
      <c r="R129" s="350">
        <v>5270</v>
      </c>
      <c r="S129" s="350">
        <v>4.1500000000000004</v>
      </c>
      <c r="T129" s="350">
        <v>8.36</v>
      </c>
      <c r="U129" s="350">
        <f>R129*S129%</f>
        <v>218.70500000000001</v>
      </c>
      <c r="V129" s="350">
        <f>R129*T129%</f>
        <v>440.57199999999995</v>
      </c>
      <c r="X129" s="176">
        <f t="shared" si="224"/>
        <v>2284</v>
      </c>
      <c r="Y129" s="210">
        <f t="shared" si="225"/>
        <v>4.18</v>
      </c>
      <c r="Z129" s="210">
        <f t="shared" si="226"/>
        <v>8.39</v>
      </c>
    </row>
    <row r="130" spans="1:26" s="166" customFormat="1" ht="12.75" x14ac:dyDescent="0.2">
      <c r="A130" s="215">
        <v>70850</v>
      </c>
      <c r="B130" s="213">
        <v>8504</v>
      </c>
      <c r="C130" s="118" t="s">
        <v>73</v>
      </c>
      <c r="D130" s="205">
        <v>45884</v>
      </c>
      <c r="E130" s="175"/>
      <c r="F130" s="207" t="s">
        <v>89</v>
      </c>
      <c r="G130" s="208" t="str">
        <f t="shared" si="124"/>
        <v>Chanho</v>
      </c>
      <c r="H130" s="209">
        <v>1195</v>
      </c>
      <c r="I130" s="210">
        <v>4.1500000000000004</v>
      </c>
      <c r="J130" s="210">
        <v>8.3000000000000007</v>
      </c>
      <c r="K130" s="176">
        <f t="shared" si="195"/>
        <v>49.592500000000001</v>
      </c>
      <c r="L130" s="177">
        <f t="shared" si="196"/>
        <v>99.185000000000002</v>
      </c>
      <c r="M130" s="209">
        <f>$R$129*H130/SUM($H$129:$H$131)</f>
        <v>1195.2267982539381</v>
      </c>
      <c r="N130" s="211">
        <f t="shared" ref="N130" si="229">P130/M130*100</f>
        <v>4.1842526864739122</v>
      </c>
      <c r="O130" s="211">
        <f t="shared" ref="O130" si="230">Q130/M130*100</f>
        <v>8.2742767469534311</v>
      </c>
      <c r="P130" s="176">
        <f>$U$129*K130/SUM($K$129:$K$131)</f>
        <v>50.011309415396539</v>
      </c>
      <c r="Q130" s="212">
        <f>$V$129*L130/SUM($L$129:$L$131)</f>
        <v>98.896373041281592</v>
      </c>
      <c r="R130" s="351"/>
      <c r="S130" s="351"/>
      <c r="T130" s="351"/>
      <c r="U130" s="351"/>
      <c r="V130" s="351"/>
      <c r="X130" s="176">
        <f t="shared" si="224"/>
        <v>1195</v>
      </c>
      <c r="Y130" s="210">
        <f t="shared" si="225"/>
        <v>4.18</v>
      </c>
      <c r="Z130" s="210">
        <f t="shared" si="226"/>
        <v>8.27</v>
      </c>
    </row>
    <row r="131" spans="1:26" s="166" customFormat="1" ht="12.75" x14ac:dyDescent="0.2">
      <c r="A131" s="215">
        <v>70850</v>
      </c>
      <c r="B131" s="213">
        <v>8504</v>
      </c>
      <c r="C131" s="118" t="s">
        <v>73</v>
      </c>
      <c r="D131" s="205">
        <v>45884</v>
      </c>
      <c r="E131" s="175"/>
      <c r="F131" s="207" t="s">
        <v>12</v>
      </c>
      <c r="G131" s="208" t="str">
        <f t="shared" si="124"/>
        <v>Ormanjhi</v>
      </c>
      <c r="H131" s="209">
        <v>1790</v>
      </c>
      <c r="I131" s="210">
        <v>4.05</v>
      </c>
      <c r="J131" s="210">
        <v>8.4</v>
      </c>
      <c r="K131" s="176">
        <f t="shared" si="195"/>
        <v>72.495000000000005</v>
      </c>
      <c r="L131" s="177">
        <f t="shared" si="196"/>
        <v>150.36000000000001</v>
      </c>
      <c r="M131" s="209">
        <f>$R$129*H131/SUM($H$129:$H$131)</f>
        <v>1790.3397229075727</v>
      </c>
      <c r="N131" s="211">
        <f t="shared" ref="N131" si="231">P131/M131*100</f>
        <v>4.0834273205347822</v>
      </c>
      <c r="O131" s="211">
        <f t="shared" ref="O131" si="232">Q131/M131*100</f>
        <v>8.373966828242029</v>
      </c>
      <c r="P131" s="176">
        <f>$U$129*K131/SUM($K$129:$K$131)</f>
        <v>73.107221375594534</v>
      </c>
      <c r="Q131" s="212">
        <f>$V$129*L131/SUM($L$129:$L$131)</f>
        <v>149.92245450912037</v>
      </c>
      <c r="R131" s="352"/>
      <c r="S131" s="352"/>
      <c r="T131" s="352"/>
      <c r="U131" s="352"/>
      <c r="V131" s="352"/>
      <c r="X131" s="176">
        <f t="shared" si="224"/>
        <v>1790</v>
      </c>
      <c r="Y131" s="210">
        <f t="shared" si="225"/>
        <v>4.08</v>
      </c>
      <c r="Z131" s="210">
        <f t="shared" si="226"/>
        <v>8.3699999999999992</v>
      </c>
    </row>
    <row r="132" spans="1:26" s="166" customFormat="1" ht="12.75" x14ac:dyDescent="0.2">
      <c r="A132" s="215">
        <v>70360</v>
      </c>
      <c r="B132" s="213">
        <v>9944</v>
      </c>
      <c r="C132" s="118" t="s">
        <v>73</v>
      </c>
      <c r="D132" s="205">
        <v>45886</v>
      </c>
      <c r="E132" s="175"/>
      <c r="F132" s="239"/>
      <c r="G132" s="242" t="s">
        <v>114</v>
      </c>
      <c r="H132" s="209">
        <v>2180</v>
      </c>
      <c r="I132" s="210">
        <v>4.0999999999999996</v>
      </c>
      <c r="J132" s="210">
        <v>8.35</v>
      </c>
      <c r="K132" s="176">
        <f t="shared" si="195"/>
        <v>89.38</v>
      </c>
      <c r="L132" s="177">
        <f t="shared" si="196"/>
        <v>182.02999999999997</v>
      </c>
      <c r="M132" s="209">
        <f>$R$132*H132/SUM($H$132:$H$133)</f>
        <v>2176.4610389610389</v>
      </c>
      <c r="N132" s="211">
        <f t="shared" ref="N132" si="233">P132/M132*100</f>
        <v>4.2663838145747395</v>
      </c>
      <c r="O132" s="211">
        <f t="shared" ref="O132" si="234">Q132/M132*100</f>
        <v>8.4434666386923549</v>
      </c>
      <c r="P132" s="176">
        <f>$U$132*K132/SUM($K$132:$K$133)</f>
        <v>92.856181496758978</v>
      </c>
      <c r="Q132" s="212">
        <f>$V$132*L132/SUM($L$132:$L$133)</f>
        <v>183.76876172881234</v>
      </c>
      <c r="R132" s="350">
        <v>6150</v>
      </c>
      <c r="S132" s="350">
        <v>4.3</v>
      </c>
      <c r="T132" s="350">
        <v>8.4499999999999993</v>
      </c>
      <c r="U132" s="350">
        <f>R132*S132%</f>
        <v>264.45</v>
      </c>
      <c r="V132" s="350">
        <f>R132*T132%</f>
        <v>519.67499999999995</v>
      </c>
      <c r="X132" s="176">
        <f t="shared" si="224"/>
        <v>2176</v>
      </c>
      <c r="Y132" s="210">
        <f t="shared" si="225"/>
        <v>4.2699999999999996</v>
      </c>
      <c r="Z132" s="210">
        <f t="shared" si="226"/>
        <v>8.44</v>
      </c>
    </row>
    <row r="133" spans="1:26" s="166" customFormat="1" ht="12.75" x14ac:dyDescent="0.2">
      <c r="A133" s="215">
        <v>70360</v>
      </c>
      <c r="B133" s="213">
        <v>9944</v>
      </c>
      <c r="C133" s="118" t="s">
        <v>73</v>
      </c>
      <c r="D133" s="205">
        <v>45886</v>
      </c>
      <c r="E133" s="175"/>
      <c r="F133" s="207" t="s">
        <v>78</v>
      </c>
      <c r="G133" s="208" t="str">
        <f t="shared" si="124"/>
        <v>Bhandra</v>
      </c>
      <c r="H133" s="209">
        <v>3980</v>
      </c>
      <c r="I133" s="210">
        <v>4.1500000000000004</v>
      </c>
      <c r="J133" s="210">
        <v>8.36</v>
      </c>
      <c r="K133" s="176">
        <f t="shared" si="195"/>
        <v>165.17000000000002</v>
      </c>
      <c r="L133" s="177">
        <f t="shared" si="196"/>
        <v>332.72799999999995</v>
      </c>
      <c r="M133" s="209">
        <f>$R$132*H133/SUM($H$132:$H$133)</f>
        <v>3973.5389610389611</v>
      </c>
      <c r="N133" s="211">
        <f t="shared" ref="N133" si="235">P133/M133*100</f>
        <v>4.3184128854841877</v>
      </c>
      <c r="O133" s="211">
        <f t="shared" ref="O133" si="236">Q133/M133*100</f>
        <v>8.4535785747865972</v>
      </c>
      <c r="P133" s="176">
        <f>$U$132*K133/SUM($K$132:$K$133)</f>
        <v>171.59381850324101</v>
      </c>
      <c r="Q133" s="212">
        <f>$V$132*L133/SUM($L$132:$L$133)</f>
        <v>335.90623827118759</v>
      </c>
      <c r="R133" s="352"/>
      <c r="S133" s="352"/>
      <c r="T133" s="352"/>
      <c r="U133" s="352"/>
      <c r="V133" s="352"/>
      <c r="X133" s="176">
        <f t="shared" si="224"/>
        <v>3974</v>
      </c>
      <c r="Y133" s="210">
        <f t="shared" si="225"/>
        <v>4.32</v>
      </c>
      <c r="Z133" s="210">
        <f t="shared" si="226"/>
        <v>8.4499999999999993</v>
      </c>
    </row>
    <row r="134" spans="1:26" s="166" customFormat="1" ht="12.75" x14ac:dyDescent="0.2">
      <c r="A134" s="215">
        <v>70489</v>
      </c>
      <c r="B134" s="213">
        <v>1023</v>
      </c>
      <c r="C134" s="118" t="s">
        <v>109</v>
      </c>
      <c r="D134" s="205">
        <v>45886</v>
      </c>
      <c r="E134" s="175"/>
      <c r="F134" s="207" t="s">
        <v>89</v>
      </c>
      <c r="G134" s="208" t="str">
        <f t="shared" si="124"/>
        <v>Chanho</v>
      </c>
      <c r="H134" s="209">
        <v>1219</v>
      </c>
      <c r="I134" s="210">
        <v>4.1500000000000004</v>
      </c>
      <c r="J134" s="210">
        <v>8.24</v>
      </c>
      <c r="K134" s="176">
        <f t="shared" si="195"/>
        <v>50.588500000000003</v>
      </c>
      <c r="L134" s="177">
        <f t="shared" si="196"/>
        <v>100.4456</v>
      </c>
      <c r="M134" s="209">
        <f>$R$134*H134/SUM($H$134:$H$136)</f>
        <v>1223.207593688363</v>
      </c>
      <c r="N134" s="211">
        <f t="shared" ref="N134" si="237">P134/M134*100</f>
        <v>4.1094608528812815</v>
      </c>
      <c r="O134" s="211">
        <f t="shared" ref="O134" si="238">Q134/M134*100</f>
        <v>8.0825849881642675</v>
      </c>
      <c r="P134" s="176">
        <f>$U$134*K134/SUM($K$134:$K$136)</f>
        <v>50.267237212094408</v>
      </c>
      <c r="Q134" s="212">
        <f>$V$134*L134/SUM($L$134:$L$136)</f>
        <v>98.866793341540983</v>
      </c>
      <c r="R134" s="350">
        <v>4070</v>
      </c>
      <c r="S134" s="350">
        <v>4.25</v>
      </c>
      <c r="T134" s="350">
        <v>8.26</v>
      </c>
      <c r="U134" s="350">
        <f>R134*S134%</f>
        <v>172.97500000000002</v>
      </c>
      <c r="V134" s="350">
        <f>R134*T134%</f>
        <v>336.18199999999996</v>
      </c>
      <c r="X134" s="176">
        <f t="shared" si="224"/>
        <v>1223</v>
      </c>
      <c r="Y134" s="210">
        <f t="shared" si="225"/>
        <v>4.1100000000000003</v>
      </c>
      <c r="Z134" s="210">
        <f t="shared" si="226"/>
        <v>8.08</v>
      </c>
    </row>
    <row r="135" spans="1:26" s="166" customFormat="1" ht="12.75" x14ac:dyDescent="0.2">
      <c r="A135" s="215">
        <v>70489</v>
      </c>
      <c r="B135" s="213">
        <v>1023</v>
      </c>
      <c r="C135" s="118" t="s">
        <v>109</v>
      </c>
      <c r="D135" s="205">
        <v>45886</v>
      </c>
      <c r="E135" s="175"/>
      <c r="F135" s="207" t="s">
        <v>6</v>
      </c>
      <c r="G135" s="208" t="str">
        <f t="shared" si="124"/>
        <v>Hisri</v>
      </c>
      <c r="H135" s="209">
        <v>1391</v>
      </c>
      <c r="I135" s="210">
        <v>4.2</v>
      </c>
      <c r="J135" s="210">
        <v>8.31</v>
      </c>
      <c r="K135" s="176">
        <f t="shared" si="195"/>
        <v>58.422000000000004</v>
      </c>
      <c r="L135" s="177">
        <f t="shared" si="196"/>
        <v>115.59210000000002</v>
      </c>
      <c r="M135" s="209">
        <f>$R$134*H135/SUM($H$134:$H$136)</f>
        <v>1395.801282051282</v>
      </c>
      <c r="N135" s="211">
        <f t="shared" ref="N135" si="239">P135/M135*100</f>
        <v>4.1589724294220209</v>
      </c>
      <c r="O135" s="211">
        <f t="shared" ref="O135" si="240">Q135/M135*100</f>
        <v>8.1512477247142066</v>
      </c>
      <c r="P135" s="176">
        <f>$U$134*K135/SUM($K$134:$K$136)</f>
        <v>58.050990490031921</v>
      </c>
      <c r="Q135" s="212">
        <f>$V$134*L135/SUM($L$134:$L$136)</f>
        <v>113.77522024473686</v>
      </c>
      <c r="R135" s="351"/>
      <c r="S135" s="351"/>
      <c r="T135" s="351"/>
      <c r="U135" s="351"/>
      <c r="V135" s="351"/>
      <c r="X135" s="176">
        <f t="shared" si="224"/>
        <v>1396</v>
      </c>
      <c r="Y135" s="210">
        <f t="shared" si="225"/>
        <v>4.16</v>
      </c>
      <c r="Z135" s="210">
        <f t="shared" si="226"/>
        <v>8.15</v>
      </c>
    </row>
    <row r="136" spans="1:26" s="166" customFormat="1" ht="12.75" x14ac:dyDescent="0.2">
      <c r="A136" s="215">
        <v>70489</v>
      </c>
      <c r="B136" s="213">
        <v>1023</v>
      </c>
      <c r="C136" s="118" t="s">
        <v>109</v>
      </c>
      <c r="D136" s="205">
        <v>45886</v>
      </c>
      <c r="E136" s="175"/>
      <c r="F136" s="207" t="s">
        <v>14</v>
      </c>
      <c r="G136" s="208" t="str">
        <f t="shared" si="124"/>
        <v>Piragutu</v>
      </c>
      <c r="H136" s="209">
        <v>1446</v>
      </c>
      <c r="I136" s="210">
        <v>4.5</v>
      </c>
      <c r="J136" s="210">
        <v>8.68</v>
      </c>
      <c r="K136" s="176">
        <f t="shared" si="195"/>
        <v>65.069999999999993</v>
      </c>
      <c r="L136" s="177">
        <f t="shared" si="196"/>
        <v>125.5128</v>
      </c>
      <c r="M136" s="209">
        <f>$R$134*H136/SUM($H$134:$H$136)</f>
        <v>1450.991124260355</v>
      </c>
      <c r="N136" s="211">
        <f t="shared" ref="N136" si="241">P136/M136*100</f>
        <v>4.4560418886664506</v>
      </c>
      <c r="O136" s="211">
        <f t="shared" ref="O136" si="242">Q136/M136*100</f>
        <v>8.514179332192457</v>
      </c>
      <c r="P136" s="176">
        <f>$U$134*K136/SUM($K$134:$K$136)</f>
        <v>64.656772297873687</v>
      </c>
      <c r="Q136" s="212">
        <f>$V$134*L136/SUM($L$134:$L$136)</f>
        <v>123.5399864137221</v>
      </c>
      <c r="R136" s="352"/>
      <c r="S136" s="352"/>
      <c r="T136" s="352"/>
      <c r="U136" s="352"/>
      <c r="V136" s="352"/>
      <c r="X136" s="176">
        <f t="shared" si="224"/>
        <v>1451</v>
      </c>
      <c r="Y136" s="210">
        <f t="shared" si="225"/>
        <v>4.46</v>
      </c>
      <c r="Z136" s="210">
        <f t="shared" si="226"/>
        <v>8.51</v>
      </c>
    </row>
    <row r="137" spans="1:26" s="166" customFormat="1" ht="12.75" x14ac:dyDescent="0.2">
      <c r="A137" s="215">
        <v>71439</v>
      </c>
      <c r="B137" s="216" t="s">
        <v>90</v>
      </c>
      <c r="C137" s="118" t="s">
        <v>73</v>
      </c>
      <c r="D137" s="205">
        <v>45887</v>
      </c>
      <c r="E137" s="175"/>
      <c r="F137" s="207" t="s">
        <v>4</v>
      </c>
      <c r="G137" s="208" t="str">
        <f t="shared" si="124"/>
        <v>Pali</v>
      </c>
      <c r="H137" s="209">
        <v>1194</v>
      </c>
      <c r="I137" s="210">
        <v>4.2</v>
      </c>
      <c r="J137" s="210">
        <v>8.43</v>
      </c>
      <c r="K137" s="176">
        <f t="shared" si="195"/>
        <v>50.148000000000003</v>
      </c>
      <c r="L137" s="177">
        <f t="shared" si="196"/>
        <v>100.6542</v>
      </c>
      <c r="M137" s="209">
        <f>$R$137*H137/SUM($H$137:$H$140)</f>
        <v>1224.032012195122</v>
      </c>
      <c r="N137" s="211">
        <f t="shared" ref="N137" si="243">P137/M137*100</f>
        <v>4.2130645216342595</v>
      </c>
      <c r="O137" s="211">
        <f t="shared" ref="O137" si="244">Q137/M137*100</f>
        <v>8.3877459689256622</v>
      </c>
      <c r="P137" s="176">
        <f>$U$137*K137/SUM($K$137:$K$140)</f>
        <v>51.569258439238617</v>
      </c>
      <c r="Q137" s="212">
        <f>$V$137*L137/SUM($L$137:$L$140)</f>
        <v>102.66869576125602</v>
      </c>
      <c r="R137" s="350">
        <v>5380</v>
      </c>
      <c r="S137" s="350">
        <v>4.2</v>
      </c>
      <c r="T137" s="350">
        <v>8.3699999999999992</v>
      </c>
      <c r="U137" s="350">
        <f t="shared" ref="U137" si="245">R137*S137%</f>
        <v>225.96</v>
      </c>
      <c r="V137" s="350">
        <f t="shared" ref="V137" si="246">R137*T137%</f>
        <v>450.30599999999998</v>
      </c>
      <c r="X137" s="176">
        <f t="shared" si="224"/>
        <v>1224</v>
      </c>
      <c r="Y137" s="210">
        <f t="shared" si="225"/>
        <v>4.21</v>
      </c>
      <c r="Z137" s="210">
        <f t="shared" si="226"/>
        <v>8.39</v>
      </c>
    </row>
    <row r="138" spans="1:26" s="166" customFormat="1" ht="12.75" x14ac:dyDescent="0.2">
      <c r="A138" s="215">
        <v>71439</v>
      </c>
      <c r="B138" s="216" t="s">
        <v>90</v>
      </c>
      <c r="C138" s="118" t="s">
        <v>73</v>
      </c>
      <c r="D138" s="205">
        <v>45887</v>
      </c>
      <c r="E138" s="175"/>
      <c r="F138" s="207" t="s">
        <v>4</v>
      </c>
      <c r="G138" s="208" t="str">
        <f t="shared" si="124"/>
        <v>Pali</v>
      </c>
      <c r="H138" s="209">
        <v>1031</v>
      </c>
      <c r="I138" s="210">
        <v>4.25</v>
      </c>
      <c r="J138" s="210">
        <v>8.3800000000000008</v>
      </c>
      <c r="K138" s="176">
        <f t="shared" si="195"/>
        <v>43.817500000000003</v>
      </c>
      <c r="L138" s="177">
        <f t="shared" si="196"/>
        <v>86.397800000000018</v>
      </c>
      <c r="M138" s="209">
        <f>$R$137*H138/SUM($H$137:$H$140)</f>
        <v>1056.9321646341464</v>
      </c>
      <c r="N138" s="211">
        <f t="shared" ref="N138" si="247">P138/M138*100</f>
        <v>4.2632200516537155</v>
      </c>
      <c r="O138" s="211">
        <f t="shared" ref="O138" si="248">Q138/M138*100</f>
        <v>8.3379965859545742</v>
      </c>
      <c r="P138" s="176">
        <f>$U$137*K138/SUM($K$137:$K$140)</f>
        <v>45.059343975060585</v>
      </c>
      <c r="Q138" s="212">
        <f>$V$137*L138/SUM($L$137:$L$140)</f>
        <v>88.126967803050903</v>
      </c>
      <c r="R138" s="351"/>
      <c r="S138" s="351"/>
      <c r="T138" s="351"/>
      <c r="U138" s="351"/>
      <c r="V138" s="351"/>
      <c r="X138" s="176">
        <f t="shared" si="224"/>
        <v>1057</v>
      </c>
      <c r="Y138" s="210">
        <f t="shared" si="225"/>
        <v>4.26</v>
      </c>
      <c r="Z138" s="210">
        <f t="shared" si="226"/>
        <v>8.34</v>
      </c>
    </row>
    <row r="139" spans="1:26" s="166" customFormat="1" ht="12.75" x14ac:dyDescent="0.2">
      <c r="A139" s="215">
        <v>71439</v>
      </c>
      <c r="B139" s="216" t="s">
        <v>90</v>
      </c>
      <c r="C139" s="118" t="s">
        <v>73</v>
      </c>
      <c r="D139" s="205">
        <v>45887</v>
      </c>
      <c r="E139" s="175"/>
      <c r="F139" s="207" t="s">
        <v>89</v>
      </c>
      <c r="G139" s="208" t="str">
        <f t="shared" si="124"/>
        <v>Chanho</v>
      </c>
      <c r="H139" s="209">
        <v>1216</v>
      </c>
      <c r="I139" s="210">
        <v>4.25</v>
      </c>
      <c r="J139" s="210">
        <v>8.44</v>
      </c>
      <c r="K139" s="176">
        <f t="shared" si="195"/>
        <v>51.680000000000007</v>
      </c>
      <c r="L139" s="177">
        <f t="shared" si="196"/>
        <v>102.63039999999998</v>
      </c>
      <c r="M139" s="209">
        <f>$R$137*H139/SUM($H$137:$H$140)</f>
        <v>1246.5853658536585</v>
      </c>
      <c r="N139" s="211">
        <f t="shared" ref="N139" si="249">P139/M139*100</f>
        <v>4.2632200516537164</v>
      </c>
      <c r="O139" s="211">
        <f t="shared" ref="O139" si="250">Q139/M139*100</f>
        <v>8.3976958455198787</v>
      </c>
      <c r="P139" s="176">
        <f>$U$137*K139/SUM($K$137:$K$140)</f>
        <v>53.144677278054004</v>
      </c>
      <c r="Q139" s="212">
        <f>$V$137*L139/SUM($L$137:$L$140)</f>
        <v>104.68444747915146</v>
      </c>
      <c r="R139" s="351"/>
      <c r="S139" s="351"/>
      <c r="T139" s="351"/>
      <c r="U139" s="351"/>
      <c r="V139" s="351"/>
      <c r="X139" s="176">
        <f t="shared" si="224"/>
        <v>1247</v>
      </c>
      <c r="Y139" s="210">
        <f t="shared" si="225"/>
        <v>4.26</v>
      </c>
      <c r="Z139" s="210">
        <f t="shared" si="226"/>
        <v>8.4</v>
      </c>
    </row>
    <row r="140" spans="1:26" s="166" customFormat="1" ht="12.75" x14ac:dyDescent="0.2">
      <c r="A140" s="215">
        <v>71439</v>
      </c>
      <c r="B140" s="216" t="s">
        <v>90</v>
      </c>
      <c r="C140" s="118" t="s">
        <v>73</v>
      </c>
      <c r="D140" s="205">
        <v>45887</v>
      </c>
      <c r="E140" s="175"/>
      <c r="F140" s="207" t="s">
        <v>12</v>
      </c>
      <c r="G140" s="208" t="str">
        <f t="shared" si="124"/>
        <v>Ormanjhi</v>
      </c>
      <c r="H140" s="209">
        <v>1807</v>
      </c>
      <c r="I140" s="210">
        <v>4.0999999999999996</v>
      </c>
      <c r="J140" s="210">
        <v>8.4</v>
      </c>
      <c r="K140" s="176">
        <f t="shared" si="195"/>
        <v>74.086999999999989</v>
      </c>
      <c r="L140" s="177">
        <f t="shared" si="196"/>
        <v>151.78800000000001</v>
      </c>
      <c r="M140" s="209">
        <f>$R$137*H140/SUM($H$137:$H$140)</f>
        <v>1852.4504573170732</v>
      </c>
      <c r="N140" s="211">
        <f t="shared" ref="N140" si="251">P140/M140*100</f>
        <v>4.1127534615953474</v>
      </c>
      <c r="O140" s="211">
        <f t="shared" ref="O140" si="252">Q140/M140*100</f>
        <v>8.3578963391430108</v>
      </c>
      <c r="P140" s="176">
        <f>$U$137*K140/SUM($K$137:$K$140)</f>
        <v>76.18672030764678</v>
      </c>
      <c r="Q140" s="212">
        <f>$V$137*L140/SUM($L$137:$L$140)</f>
        <v>154.8258889565416</v>
      </c>
      <c r="R140" s="352"/>
      <c r="S140" s="352"/>
      <c r="T140" s="352"/>
      <c r="U140" s="352"/>
      <c r="V140" s="352"/>
      <c r="X140" s="176">
        <f t="shared" ref="X140:X167" si="253">ROUND(M140,0)</f>
        <v>1852</v>
      </c>
      <c r="Y140" s="210">
        <f t="shared" ref="Y140:Y167" si="254">ROUND(N140,2)</f>
        <v>4.1100000000000003</v>
      </c>
      <c r="Z140" s="210">
        <f t="shared" ref="Z140:Z167" si="255">ROUND(O140,2)</f>
        <v>8.36</v>
      </c>
    </row>
    <row r="141" spans="1:26" s="166" customFormat="1" ht="12.75" x14ac:dyDescent="0.2">
      <c r="A141" s="215">
        <v>70512</v>
      </c>
      <c r="B141" s="216" t="s">
        <v>90</v>
      </c>
      <c r="C141" s="118" t="s">
        <v>73</v>
      </c>
      <c r="D141" s="205">
        <v>45889</v>
      </c>
      <c r="E141" s="175"/>
      <c r="F141" s="207" t="s">
        <v>4</v>
      </c>
      <c r="G141" s="208" t="str">
        <f t="shared" si="124"/>
        <v>Pali</v>
      </c>
      <c r="H141" s="209">
        <v>1228</v>
      </c>
      <c r="I141" s="210">
        <v>4.25</v>
      </c>
      <c r="J141" s="210">
        <v>8.4700000000000006</v>
      </c>
      <c r="K141" s="176">
        <f t="shared" si="195"/>
        <v>52.190000000000005</v>
      </c>
      <c r="L141" s="177">
        <f t="shared" si="196"/>
        <v>104.01160000000002</v>
      </c>
      <c r="M141" s="209">
        <f>$R$141*H141/SUM($H$141:$H$144)</f>
        <v>1230.436507936508</v>
      </c>
      <c r="N141" s="211">
        <f t="shared" ref="N141" si="256">P141/M141*100</f>
        <v>4.2900673810102861</v>
      </c>
      <c r="O141" s="211">
        <f t="shared" ref="O141" si="257">Q141/M141*100</f>
        <v>8.5272583298847753</v>
      </c>
      <c r="P141" s="176">
        <f>$U$141*K141/SUM($K$141:$K$144)</f>
        <v>52.786555271026167</v>
      </c>
      <c r="Q141" s="212">
        <f>$V$141*L141/SUM($L$141:$L$144)</f>
        <v>104.92249961695921</v>
      </c>
      <c r="R141" s="350">
        <v>5050</v>
      </c>
      <c r="S141" s="350">
        <v>4.2</v>
      </c>
      <c r="T141" s="350">
        <v>8.3699999999999992</v>
      </c>
      <c r="U141" s="350">
        <f t="shared" ref="U141" si="258">R141*S141%</f>
        <v>212.10000000000002</v>
      </c>
      <c r="V141" s="350">
        <f t="shared" ref="V141" si="259">R141*T141%</f>
        <v>422.685</v>
      </c>
      <c r="X141" s="176">
        <f t="shared" si="253"/>
        <v>1230</v>
      </c>
      <c r="Y141" s="210">
        <f t="shared" si="254"/>
        <v>4.29</v>
      </c>
      <c r="Z141" s="210">
        <f t="shared" si="255"/>
        <v>8.5299999999999994</v>
      </c>
    </row>
    <row r="142" spans="1:26" s="166" customFormat="1" ht="12.75" x14ac:dyDescent="0.2">
      <c r="A142" s="215">
        <v>70512</v>
      </c>
      <c r="B142" s="216" t="s">
        <v>90</v>
      </c>
      <c r="C142" s="118" t="s">
        <v>73</v>
      </c>
      <c r="D142" s="205">
        <v>45889</v>
      </c>
      <c r="E142" s="175"/>
      <c r="F142" s="207" t="s">
        <v>14</v>
      </c>
      <c r="G142" s="208" t="str">
        <f t="shared" si="124"/>
        <v>Piragutu</v>
      </c>
      <c r="H142" s="209">
        <v>871</v>
      </c>
      <c r="I142" s="210">
        <v>4.0999999999999996</v>
      </c>
      <c r="J142" s="210">
        <v>8.23</v>
      </c>
      <c r="K142" s="176">
        <f t="shared" si="195"/>
        <v>35.710999999999999</v>
      </c>
      <c r="L142" s="177">
        <f t="shared" si="196"/>
        <v>71.683300000000003</v>
      </c>
      <c r="M142" s="209">
        <f t="shared" ref="M142:M144" si="260">$R$141*H142/SUM($H$141:$H$144)</f>
        <v>872.72817460317458</v>
      </c>
      <c r="N142" s="211">
        <f t="shared" ref="N142:N144" si="261">P142/M142*100</f>
        <v>4.1386532381510985</v>
      </c>
      <c r="O142" s="211">
        <f t="shared" ref="O142:O144" si="262">Q142/M142*100</f>
        <v>8.2856358978691489</v>
      </c>
      <c r="P142" s="176">
        <f t="shared" ref="P142:P144" si="263">$U$141*K142/SUM($K$141:$K$144)</f>
        <v>36.119192858471258</v>
      </c>
      <c r="Q142" s="212">
        <f t="shared" ref="Q142:Q144" si="264">$V$141*L142/SUM($L$141:$L$144)</f>
        <v>72.311078925738769</v>
      </c>
      <c r="R142" s="351"/>
      <c r="S142" s="351"/>
      <c r="T142" s="351"/>
      <c r="U142" s="351"/>
      <c r="V142" s="351"/>
      <c r="X142" s="176">
        <f t="shared" si="253"/>
        <v>873</v>
      </c>
      <c r="Y142" s="210">
        <f t="shared" si="254"/>
        <v>4.1399999999999997</v>
      </c>
      <c r="Z142" s="210">
        <f t="shared" si="255"/>
        <v>8.2899999999999991</v>
      </c>
    </row>
    <row r="143" spans="1:26" s="166" customFormat="1" ht="12.75" x14ac:dyDescent="0.2">
      <c r="A143" s="215">
        <v>70512</v>
      </c>
      <c r="B143" s="216" t="s">
        <v>90</v>
      </c>
      <c r="C143" s="118" t="s">
        <v>73</v>
      </c>
      <c r="D143" s="205">
        <v>45889</v>
      </c>
      <c r="E143" s="175"/>
      <c r="F143" s="207" t="s">
        <v>89</v>
      </c>
      <c r="G143" s="208" t="str">
        <f t="shared" si="124"/>
        <v>Chanho</v>
      </c>
      <c r="H143" s="209">
        <v>1221</v>
      </c>
      <c r="I143" s="210">
        <v>4.2</v>
      </c>
      <c r="J143" s="210">
        <v>8.25</v>
      </c>
      <c r="K143" s="176">
        <f t="shared" si="195"/>
        <v>51.282000000000004</v>
      </c>
      <c r="L143" s="177">
        <f t="shared" si="196"/>
        <v>100.7325</v>
      </c>
      <c r="M143" s="209">
        <f t="shared" si="260"/>
        <v>1223.422619047619</v>
      </c>
      <c r="N143" s="211">
        <f t="shared" si="261"/>
        <v>4.239596000057225</v>
      </c>
      <c r="O143" s="211">
        <f t="shared" si="262"/>
        <v>8.3057711005371164</v>
      </c>
      <c r="P143" s="176">
        <f t="shared" si="263"/>
        <v>51.868176420938191</v>
      </c>
      <c r="Q143" s="212">
        <f t="shared" si="264"/>
        <v>101.61468233029144</v>
      </c>
      <c r="R143" s="351"/>
      <c r="S143" s="351"/>
      <c r="T143" s="351"/>
      <c r="U143" s="351"/>
      <c r="V143" s="351"/>
      <c r="X143" s="176">
        <f t="shared" si="253"/>
        <v>1223</v>
      </c>
      <c r="Y143" s="210">
        <f t="shared" si="254"/>
        <v>4.24</v>
      </c>
      <c r="Z143" s="210">
        <f t="shared" si="255"/>
        <v>8.31</v>
      </c>
    </row>
    <row r="144" spans="1:26" s="166" customFormat="1" ht="12.75" x14ac:dyDescent="0.2">
      <c r="A144" s="215">
        <v>70512</v>
      </c>
      <c r="B144" s="216" t="s">
        <v>90</v>
      </c>
      <c r="C144" s="118" t="s">
        <v>73</v>
      </c>
      <c r="D144" s="205">
        <v>45889</v>
      </c>
      <c r="E144" s="175"/>
      <c r="F144" s="207" t="s">
        <v>12</v>
      </c>
      <c r="G144" s="208" t="str">
        <f t="shared" si="124"/>
        <v>Ormanjhi</v>
      </c>
      <c r="H144" s="209">
        <v>1720</v>
      </c>
      <c r="I144" s="210">
        <v>4.0999999999999996</v>
      </c>
      <c r="J144" s="210">
        <v>8.2899999999999991</v>
      </c>
      <c r="K144" s="176">
        <f t="shared" si="195"/>
        <v>70.52</v>
      </c>
      <c r="L144" s="177">
        <f t="shared" si="196"/>
        <v>142.58799999999997</v>
      </c>
      <c r="M144" s="209">
        <f t="shared" si="260"/>
        <v>1723.4126984126983</v>
      </c>
      <c r="N144" s="211">
        <f t="shared" si="261"/>
        <v>4.1386532381511003</v>
      </c>
      <c r="O144" s="211">
        <f t="shared" si="262"/>
        <v>8.3460415058730515</v>
      </c>
      <c r="P144" s="176">
        <f t="shared" si="263"/>
        <v>71.326075449564385</v>
      </c>
      <c r="Q144" s="212">
        <f t="shared" si="264"/>
        <v>143.83673912701056</v>
      </c>
      <c r="R144" s="352"/>
      <c r="S144" s="352"/>
      <c r="T144" s="352"/>
      <c r="U144" s="352"/>
      <c r="V144" s="352"/>
      <c r="X144" s="176">
        <f t="shared" si="253"/>
        <v>1723</v>
      </c>
      <c r="Y144" s="210">
        <f t="shared" si="254"/>
        <v>4.1399999999999997</v>
      </c>
      <c r="Z144" s="210">
        <f t="shared" si="255"/>
        <v>8.35</v>
      </c>
    </row>
    <row r="145" spans="1:26" s="166" customFormat="1" ht="12.75" x14ac:dyDescent="0.2">
      <c r="A145" s="215">
        <v>71440</v>
      </c>
      <c r="B145" s="216" t="s">
        <v>90</v>
      </c>
      <c r="C145" s="118" t="s">
        <v>73</v>
      </c>
      <c r="D145" s="205">
        <v>45888</v>
      </c>
      <c r="E145" s="162"/>
      <c r="F145" s="226" t="s">
        <v>4</v>
      </c>
      <c r="G145" s="192" t="str">
        <f t="shared" si="124"/>
        <v>Pali</v>
      </c>
      <c r="H145" s="219">
        <v>1200</v>
      </c>
      <c r="I145" s="222">
        <v>4.3</v>
      </c>
      <c r="J145" s="222">
        <v>8.52</v>
      </c>
      <c r="K145" s="176">
        <f t="shared" si="195"/>
        <v>51.599999999999994</v>
      </c>
      <c r="L145" s="177">
        <f t="shared" si="196"/>
        <v>102.24</v>
      </c>
      <c r="M145" s="209">
        <f>$R$145*H145/SUM($H$145:$H$149)</f>
        <v>1211.7199139215361</v>
      </c>
      <c r="N145" s="211">
        <f t="shared" ref="N145" si="265">P145/M145*100</f>
        <v>4.3231783009484426</v>
      </c>
      <c r="O145" s="211">
        <f t="shared" ref="O145" si="266">Q145/M145*100</f>
        <v>8.4646774962103422</v>
      </c>
      <c r="P145" s="176">
        <f>$U$145*K145/SUM($K$145:$K$149)</f>
        <v>52.384812386926995</v>
      </c>
      <c r="Q145" s="212">
        <f>$V$145*L145/SUM($L$145:$L$149)</f>
        <v>102.56818287081559</v>
      </c>
      <c r="R145" s="350">
        <v>6100</v>
      </c>
      <c r="S145" s="350">
        <v>4.25</v>
      </c>
      <c r="T145" s="350">
        <v>8.3800000000000008</v>
      </c>
      <c r="U145" s="350">
        <f>R145*S145%</f>
        <v>259.25</v>
      </c>
      <c r="V145" s="350">
        <f>R145*T145%</f>
        <v>511.18000000000006</v>
      </c>
      <c r="X145" s="176">
        <f t="shared" si="253"/>
        <v>1212</v>
      </c>
      <c r="Y145" s="210">
        <f t="shared" si="254"/>
        <v>4.32</v>
      </c>
      <c r="Z145" s="210">
        <f t="shared" si="255"/>
        <v>8.4600000000000009</v>
      </c>
    </row>
    <row r="146" spans="1:26" x14ac:dyDescent="0.25">
      <c r="A146" s="215">
        <v>71440</v>
      </c>
      <c r="B146" s="216" t="s">
        <v>90</v>
      </c>
      <c r="C146" s="118" t="s">
        <v>73</v>
      </c>
      <c r="D146" s="205">
        <v>45888</v>
      </c>
      <c r="E146" s="65"/>
      <c r="F146" s="227" t="s">
        <v>14</v>
      </c>
      <c r="G146" s="65" t="str">
        <f t="shared" si="124"/>
        <v>Piragutu</v>
      </c>
      <c r="H146" s="65">
        <v>759</v>
      </c>
      <c r="I146" s="66">
        <v>4.45</v>
      </c>
      <c r="J146" s="66">
        <v>8.73</v>
      </c>
      <c r="K146" s="176">
        <f t="shared" si="195"/>
        <v>33.775500000000001</v>
      </c>
      <c r="L146" s="177">
        <f t="shared" si="196"/>
        <v>66.2607</v>
      </c>
      <c r="M146" s="209">
        <f t="shared" ref="M146:M149" si="267">$R$145*H146/SUM($H$145:$H$149)</f>
        <v>766.41284555537163</v>
      </c>
      <c r="N146" s="211">
        <f t="shared" ref="N146:N149" si="268">P146/M146*100</f>
        <v>4.4739868463303658</v>
      </c>
      <c r="O146" s="211">
        <f t="shared" ref="O146:O149" si="269">Q146/M146*100</f>
        <v>8.6733139133704533</v>
      </c>
      <c r="P146" s="176">
        <f t="shared" ref="P146:P149" si="270">$U$145*K146/SUM($K$145:$K$149)</f>
        <v>34.289209898733588</v>
      </c>
      <c r="Q146" s="212">
        <f t="shared" ref="Q146:Q149" si="271">$V$145*L146/SUM($L$145:$L$149)</f>
        <v>66.473391967412454</v>
      </c>
      <c r="R146" s="351"/>
      <c r="S146" s="351"/>
      <c r="T146" s="351"/>
      <c r="U146" s="351"/>
      <c r="V146" s="351"/>
      <c r="W146" s="166"/>
      <c r="X146" s="176">
        <f t="shared" si="253"/>
        <v>766</v>
      </c>
      <c r="Y146" s="210">
        <f t="shared" si="254"/>
        <v>4.47</v>
      </c>
      <c r="Z146" s="210">
        <f t="shared" si="255"/>
        <v>8.67</v>
      </c>
    </row>
    <row r="147" spans="1:26" x14ac:dyDescent="0.25">
      <c r="A147" s="215">
        <v>71440</v>
      </c>
      <c r="B147" s="216" t="s">
        <v>90</v>
      </c>
      <c r="C147" s="118" t="s">
        <v>73</v>
      </c>
      <c r="D147" s="205">
        <v>45888</v>
      </c>
      <c r="E147" s="65"/>
      <c r="F147" s="227" t="s">
        <v>89</v>
      </c>
      <c r="G147" s="65" t="str">
        <f t="shared" si="124"/>
        <v>Chanho</v>
      </c>
      <c r="H147" s="65">
        <v>1221</v>
      </c>
      <c r="I147" s="66">
        <v>4.1500000000000004</v>
      </c>
      <c r="J147" s="66">
        <v>8.3000000000000007</v>
      </c>
      <c r="K147" s="176">
        <f t="shared" si="195"/>
        <v>50.671500000000002</v>
      </c>
      <c r="L147" s="177">
        <f t="shared" si="196"/>
        <v>101.343</v>
      </c>
      <c r="M147" s="209">
        <f t="shared" si="267"/>
        <v>1232.9250124151631</v>
      </c>
      <c r="N147" s="211">
        <f t="shared" si="268"/>
        <v>4.1723697555665202</v>
      </c>
      <c r="O147" s="211">
        <f t="shared" si="269"/>
        <v>8.2461060115664111</v>
      </c>
      <c r="P147" s="176">
        <f t="shared" si="270"/>
        <v>51.442190326825035</v>
      </c>
      <c r="Q147" s="212">
        <f t="shared" si="271"/>
        <v>101.66830356687269</v>
      </c>
      <c r="R147" s="351"/>
      <c r="S147" s="351"/>
      <c r="T147" s="351"/>
      <c r="U147" s="351"/>
      <c r="V147" s="351"/>
      <c r="W147" s="166"/>
      <c r="X147" s="176">
        <f t="shared" si="253"/>
        <v>1233</v>
      </c>
      <c r="Y147" s="210">
        <f t="shared" si="254"/>
        <v>4.17</v>
      </c>
      <c r="Z147" s="210">
        <f t="shared" si="255"/>
        <v>8.25</v>
      </c>
    </row>
    <row r="148" spans="1:26" x14ac:dyDescent="0.25">
      <c r="A148" s="215">
        <v>71440</v>
      </c>
      <c r="B148" s="216" t="s">
        <v>90</v>
      </c>
      <c r="C148" s="118" t="s">
        <v>73</v>
      </c>
      <c r="D148" s="205">
        <v>45888</v>
      </c>
      <c r="E148" s="65"/>
      <c r="F148" s="227" t="s">
        <v>4</v>
      </c>
      <c r="G148" s="65" t="str">
        <f t="shared" si="124"/>
        <v>Pali</v>
      </c>
      <c r="H148" s="65">
        <v>1009</v>
      </c>
      <c r="I148" s="66">
        <v>4.3</v>
      </c>
      <c r="J148" s="66">
        <v>8.43</v>
      </c>
      <c r="K148" s="176">
        <f t="shared" si="195"/>
        <v>43.386999999999993</v>
      </c>
      <c r="L148" s="177">
        <f t="shared" si="196"/>
        <v>85.058700000000002</v>
      </c>
      <c r="M148" s="209">
        <f t="shared" si="267"/>
        <v>1018.854494289025</v>
      </c>
      <c r="N148" s="211">
        <f t="shared" si="268"/>
        <v>4.3231783009484426</v>
      </c>
      <c r="O148" s="211">
        <f t="shared" si="269"/>
        <v>8.3752618888560058</v>
      </c>
      <c r="P148" s="176">
        <f t="shared" si="270"/>
        <v>44.046896415341116</v>
      </c>
      <c r="Q148" s="212">
        <f t="shared" si="271"/>
        <v>85.331732163085306</v>
      </c>
      <c r="R148" s="351"/>
      <c r="S148" s="351"/>
      <c r="T148" s="351"/>
      <c r="U148" s="351"/>
      <c r="V148" s="351"/>
      <c r="W148" s="166"/>
      <c r="X148" s="176">
        <f t="shared" si="253"/>
        <v>1019</v>
      </c>
      <c r="Y148" s="210">
        <f t="shared" si="254"/>
        <v>4.32</v>
      </c>
      <c r="Z148" s="210">
        <f t="shared" si="255"/>
        <v>8.3800000000000008</v>
      </c>
    </row>
    <row r="149" spans="1:26" x14ac:dyDescent="0.25">
      <c r="A149" s="215">
        <v>71440</v>
      </c>
      <c r="B149" s="216" t="s">
        <v>90</v>
      </c>
      <c r="C149" s="118" t="s">
        <v>73</v>
      </c>
      <c r="D149" s="205">
        <v>45888</v>
      </c>
      <c r="E149" s="65"/>
      <c r="F149" s="227" t="s">
        <v>12</v>
      </c>
      <c r="G149" s="65" t="str">
        <f t="shared" si="124"/>
        <v>Ormanjhi</v>
      </c>
      <c r="H149" s="65">
        <v>1852</v>
      </c>
      <c r="I149" s="66">
        <v>4.0999999999999996</v>
      </c>
      <c r="J149" s="66">
        <v>8.35</v>
      </c>
      <c r="K149" s="176">
        <f t="shared" si="195"/>
        <v>75.931999999999988</v>
      </c>
      <c r="L149" s="177">
        <f t="shared" si="196"/>
        <v>154.642</v>
      </c>
      <c r="M149" s="209">
        <f t="shared" si="267"/>
        <v>1870.0877338189041</v>
      </c>
      <c r="N149" s="211">
        <f t="shared" si="268"/>
        <v>4.1221002404392122</v>
      </c>
      <c r="O149" s="211">
        <f t="shared" si="269"/>
        <v>8.2957813489854875</v>
      </c>
      <c r="P149" s="176">
        <f t="shared" si="270"/>
        <v>77.086890972173265</v>
      </c>
      <c r="Q149" s="212">
        <f t="shared" si="271"/>
        <v>155.13838943181401</v>
      </c>
      <c r="R149" s="352"/>
      <c r="S149" s="352"/>
      <c r="T149" s="352"/>
      <c r="U149" s="352"/>
      <c r="V149" s="352"/>
      <c r="W149" s="166"/>
      <c r="X149" s="176">
        <f t="shared" si="253"/>
        <v>1870</v>
      </c>
      <c r="Y149" s="210">
        <f t="shared" si="254"/>
        <v>4.12</v>
      </c>
      <c r="Z149" s="210">
        <f t="shared" si="255"/>
        <v>8.3000000000000007</v>
      </c>
    </row>
    <row r="150" spans="1:26" x14ac:dyDescent="0.25">
      <c r="A150" s="220">
        <v>70325</v>
      </c>
      <c r="B150" s="228">
        <v>1023</v>
      </c>
      <c r="C150" s="109" t="s">
        <v>109</v>
      </c>
      <c r="D150" s="229">
        <v>45888</v>
      </c>
      <c r="E150" s="65"/>
      <c r="F150" s="227" t="s">
        <v>8</v>
      </c>
      <c r="G150" s="65" t="str">
        <f t="shared" si="124"/>
        <v>Choria</v>
      </c>
      <c r="H150" s="65">
        <v>1229</v>
      </c>
      <c r="I150" s="66">
        <v>3.1</v>
      </c>
      <c r="J150" s="66">
        <v>8.0299999999999994</v>
      </c>
      <c r="K150" s="176">
        <f t="shared" si="195"/>
        <v>38.098999999999997</v>
      </c>
      <c r="L150" s="177">
        <f t="shared" si="196"/>
        <v>98.688699999999997</v>
      </c>
      <c r="M150" s="209">
        <f>$R$150*H150/SUM($H$150:$H$152)</f>
        <v>1232.1574033460743</v>
      </c>
      <c r="N150" s="211">
        <f t="shared" ref="N150" si="272">P150/M150*100</f>
        <v>3.1193350401454829</v>
      </c>
      <c r="O150" s="211">
        <f t="shared" ref="O150" si="273">Q150/M150*100</f>
        <v>8.0276896548548304</v>
      </c>
      <c r="P150" s="176">
        <f>$U$150*K150/SUM($K$150:$K$152)</f>
        <v>38.435117632320804</v>
      </c>
      <c r="Q150" s="212">
        <f>$V$150*L150/SUM($L$150:$L$152)</f>
        <v>98.913772399940711</v>
      </c>
      <c r="R150" s="350">
        <v>3200</v>
      </c>
      <c r="S150" s="350">
        <v>3.8</v>
      </c>
      <c r="T150" s="350">
        <v>8.23</v>
      </c>
      <c r="U150" s="350">
        <f>R150*S150%</f>
        <v>121.6</v>
      </c>
      <c r="V150" s="350">
        <f>R150*T150%</f>
        <v>263.36</v>
      </c>
      <c r="W150" s="166"/>
      <c r="X150" s="176">
        <f t="shared" si="253"/>
        <v>1232</v>
      </c>
      <c r="Y150" s="210">
        <f t="shared" si="254"/>
        <v>3.12</v>
      </c>
      <c r="Z150" s="210">
        <f t="shared" si="255"/>
        <v>8.0299999999999994</v>
      </c>
    </row>
    <row r="151" spans="1:26" x14ac:dyDescent="0.25">
      <c r="A151" s="220">
        <v>70325</v>
      </c>
      <c r="B151" s="228">
        <v>1023</v>
      </c>
      <c r="C151" s="109" t="s">
        <v>109</v>
      </c>
      <c r="D151" s="229">
        <v>45888</v>
      </c>
      <c r="E151" s="65"/>
      <c r="F151" s="227" t="s">
        <v>14</v>
      </c>
      <c r="G151" s="65" t="str">
        <f t="shared" si="124"/>
        <v>Piragutu</v>
      </c>
      <c r="H151" s="65">
        <v>802.8</v>
      </c>
      <c r="I151" s="66">
        <v>4.2</v>
      </c>
      <c r="J151" s="66">
        <v>8.43</v>
      </c>
      <c r="K151" s="176">
        <f t="shared" si="195"/>
        <v>33.717599999999997</v>
      </c>
      <c r="L151" s="177">
        <f t="shared" si="196"/>
        <v>67.67604</v>
      </c>
      <c r="M151" s="209">
        <f t="shared" ref="M151:M152" si="274">$R$150*H151/SUM($H$150:$H$152)</f>
        <v>804.86246005388807</v>
      </c>
      <c r="N151" s="211">
        <f t="shared" ref="N151:N152" si="275">P151/M151*100</f>
        <v>4.2261958608422665</v>
      </c>
      <c r="O151" s="211">
        <f t="shared" ref="O151:O152" si="276">Q151/M151*100</f>
        <v>8.427574569168895</v>
      </c>
      <c r="P151" s="176">
        <f t="shared" ref="P151:P152" si="277">$U$150*K151/SUM($K$150:$K$152)</f>
        <v>34.01506397227066</v>
      </c>
      <c r="Q151" s="212">
        <f t="shared" ref="Q151:Q152" si="278">$V$150*L151/SUM($L$150:$L$152)</f>
        <v>67.830384000288632</v>
      </c>
      <c r="R151" s="351"/>
      <c r="S151" s="351"/>
      <c r="T151" s="351"/>
      <c r="U151" s="351"/>
      <c r="V151" s="351"/>
      <c r="W151" s="166"/>
      <c r="X151" s="176">
        <f t="shared" si="253"/>
        <v>805</v>
      </c>
      <c r="Y151" s="210">
        <f t="shared" si="254"/>
        <v>4.2300000000000004</v>
      </c>
      <c r="Z151" s="210">
        <f t="shared" si="255"/>
        <v>8.43</v>
      </c>
    </row>
    <row r="152" spans="1:26" x14ac:dyDescent="0.25">
      <c r="A152" s="220">
        <v>70325</v>
      </c>
      <c r="B152" s="228">
        <v>1023</v>
      </c>
      <c r="C152" s="109" t="s">
        <v>109</v>
      </c>
      <c r="D152" s="229">
        <v>45888</v>
      </c>
      <c r="E152" s="65"/>
      <c r="F152" s="227" t="s">
        <v>6</v>
      </c>
      <c r="G152" s="65" t="str">
        <f t="shared" si="124"/>
        <v>Hisri</v>
      </c>
      <c r="H152" s="65">
        <v>1160</v>
      </c>
      <c r="I152" s="66">
        <v>4.2</v>
      </c>
      <c r="J152" s="66">
        <v>8.31</v>
      </c>
      <c r="K152" s="176">
        <f t="shared" si="195"/>
        <v>48.720000000000006</v>
      </c>
      <c r="L152" s="177">
        <f t="shared" si="196"/>
        <v>96.396000000000015</v>
      </c>
      <c r="M152" s="209">
        <f t="shared" si="274"/>
        <v>1162.9801366000374</v>
      </c>
      <c r="N152" s="211">
        <f t="shared" si="275"/>
        <v>4.2261958608422683</v>
      </c>
      <c r="O152" s="211">
        <f t="shared" si="276"/>
        <v>8.3076090948746781</v>
      </c>
      <c r="P152" s="176">
        <f t="shared" si="277"/>
        <v>49.149818395408538</v>
      </c>
      <c r="Q152" s="212">
        <f t="shared" si="278"/>
        <v>96.61584359977067</v>
      </c>
      <c r="R152" s="352"/>
      <c r="S152" s="352"/>
      <c r="T152" s="352"/>
      <c r="U152" s="352"/>
      <c r="V152" s="352"/>
      <c r="W152" s="166"/>
      <c r="X152" s="176">
        <f t="shared" si="253"/>
        <v>1163</v>
      </c>
      <c r="Y152" s="210">
        <f t="shared" si="254"/>
        <v>4.2300000000000004</v>
      </c>
      <c r="Z152" s="210">
        <f t="shared" si="255"/>
        <v>8.31</v>
      </c>
    </row>
    <row r="153" spans="1:26" x14ac:dyDescent="0.25">
      <c r="A153" s="220">
        <v>70319</v>
      </c>
      <c r="B153" s="221">
        <v>1023</v>
      </c>
      <c r="C153" s="109" t="s">
        <v>109</v>
      </c>
      <c r="D153" s="229">
        <v>45887</v>
      </c>
      <c r="E153" s="65"/>
      <c r="F153" s="227" t="s">
        <v>14</v>
      </c>
      <c r="G153" s="65" t="str">
        <f t="shared" si="124"/>
        <v>Piragutu</v>
      </c>
      <c r="H153" s="65">
        <v>1291</v>
      </c>
      <c r="I153" s="66">
        <v>4.3</v>
      </c>
      <c r="J153" s="66">
        <v>8.52</v>
      </c>
      <c r="K153" s="176">
        <f t="shared" ref="K153:K197" si="279">H153*I153%</f>
        <v>55.512999999999998</v>
      </c>
      <c r="L153" s="177">
        <f t="shared" ref="L153:L197" si="280">H153*J153%</f>
        <v>109.9932</v>
      </c>
      <c r="M153" s="209">
        <f>$R$153*H153/SUM($H$153:$H$154)</f>
        <v>1331.0931677018634</v>
      </c>
      <c r="N153" s="211">
        <f t="shared" ref="N153" si="281">P153/M153*100</f>
        <v>4.1388307253691945</v>
      </c>
      <c r="O153" s="211">
        <f t="shared" ref="O153" si="282">Q153/M153*100</f>
        <v>8.1695611920815985</v>
      </c>
      <c r="P153" s="176">
        <f>$U$153*K153/SUM($K$153:$K$154)</f>
        <v>55.091693008134826</v>
      </c>
      <c r="Q153" s="212">
        <f>$V$153*L153/SUM($L$153:$L$154)</f>
        <v>108.74447085902106</v>
      </c>
      <c r="R153" s="350">
        <v>3320</v>
      </c>
      <c r="S153" s="350">
        <v>4.1100000000000003</v>
      </c>
      <c r="T153" s="350">
        <v>7.98</v>
      </c>
      <c r="U153" s="350">
        <f>R153*S153%</f>
        <v>136.45200000000003</v>
      </c>
      <c r="V153" s="350">
        <f>R153*T153%</f>
        <v>264.93600000000004</v>
      </c>
      <c r="W153" s="166"/>
      <c r="X153" s="176">
        <f t="shared" si="253"/>
        <v>1331</v>
      </c>
      <c r="Y153" s="210">
        <f t="shared" si="254"/>
        <v>4.1399999999999997</v>
      </c>
      <c r="Z153" s="210">
        <f t="shared" si="255"/>
        <v>8.17</v>
      </c>
    </row>
    <row r="154" spans="1:26" x14ac:dyDescent="0.25">
      <c r="A154" s="220">
        <v>70319</v>
      </c>
      <c r="B154" s="221">
        <v>1023</v>
      </c>
      <c r="C154" s="109" t="s">
        <v>109</v>
      </c>
      <c r="D154" s="229">
        <v>45887</v>
      </c>
      <c r="E154" s="65"/>
      <c r="F154" s="227" t="s">
        <v>6</v>
      </c>
      <c r="G154" s="65" t="str">
        <f t="shared" si="124"/>
        <v>Hisri</v>
      </c>
      <c r="H154" s="65">
        <v>1929</v>
      </c>
      <c r="I154" s="66">
        <v>4.25</v>
      </c>
      <c r="J154" s="66">
        <v>8.19</v>
      </c>
      <c r="K154" s="176">
        <f t="shared" si="279"/>
        <v>81.982500000000002</v>
      </c>
      <c r="L154" s="177">
        <f t="shared" si="280"/>
        <v>157.98509999999999</v>
      </c>
      <c r="M154" s="209">
        <f>$R$153*H154/SUM($H$153:$H$154)</f>
        <v>1988.9068322981366</v>
      </c>
      <c r="N154" s="211">
        <f t="shared" ref="N154" si="283">P154/M154*100</f>
        <v>4.090704786702112</v>
      </c>
      <c r="O154" s="211">
        <f t="shared" ref="O154" si="284">Q154/M154*100</f>
        <v>7.8531345261911136</v>
      </c>
      <c r="P154" s="176">
        <f>$U$153*K154/SUM($K$153:$K$154)</f>
        <v>81.360306991865215</v>
      </c>
      <c r="Q154" s="212">
        <f>$V$153*L154/SUM($L$153:$L$154)</f>
        <v>156.19152914097896</v>
      </c>
      <c r="R154" s="352"/>
      <c r="S154" s="352"/>
      <c r="T154" s="352"/>
      <c r="U154" s="352"/>
      <c r="V154" s="352"/>
      <c r="W154" s="166"/>
      <c r="X154" s="176">
        <f t="shared" si="253"/>
        <v>1989</v>
      </c>
      <c r="Y154" s="210">
        <f t="shared" si="254"/>
        <v>4.09</v>
      </c>
      <c r="Z154" s="210">
        <f t="shared" si="255"/>
        <v>7.85</v>
      </c>
    </row>
    <row r="155" spans="1:26" x14ac:dyDescent="0.25">
      <c r="A155" s="220">
        <v>71501</v>
      </c>
      <c r="B155" s="228">
        <v>9944</v>
      </c>
      <c r="C155" s="109" t="s">
        <v>73</v>
      </c>
      <c r="D155" s="229">
        <v>45888</v>
      </c>
      <c r="E155" s="65"/>
      <c r="F155" s="243"/>
      <c r="G155" s="244" t="s">
        <v>114</v>
      </c>
      <c r="H155" s="65">
        <v>1960</v>
      </c>
      <c r="I155" s="66">
        <v>4.0999999999999996</v>
      </c>
      <c r="J155" s="66">
        <v>8.23</v>
      </c>
      <c r="K155" s="176">
        <f t="shared" si="279"/>
        <v>80.359999999999985</v>
      </c>
      <c r="L155" s="177">
        <f t="shared" si="280"/>
        <v>161.30799999999999</v>
      </c>
      <c r="M155" s="209">
        <f>$R$155*H155/SUM($H$155:$H$156)</f>
        <v>1982.6205023761031</v>
      </c>
      <c r="N155" s="211">
        <f t="shared" ref="N155" si="285">P155/M155*100</f>
        <v>4.2123011151501224</v>
      </c>
      <c r="O155" s="211">
        <f t="shared" ref="O155" si="286">Q155/M155*100</f>
        <v>8.2839704256269933</v>
      </c>
      <c r="P155" s="176">
        <f>$U$155*K155/SUM($K$155:$K$156)</f>
        <v>83.513945530783545</v>
      </c>
      <c r="Q155" s="212">
        <f>$V$155*L155/SUM($L$155:$L$156)</f>
        <v>164.23969606925371</v>
      </c>
      <c r="R155" s="350">
        <v>7450</v>
      </c>
      <c r="S155" s="350">
        <v>4.25</v>
      </c>
      <c r="T155" s="350">
        <v>8.3800000000000008</v>
      </c>
      <c r="U155" s="350">
        <f>R155*S155%</f>
        <v>316.625</v>
      </c>
      <c r="V155" s="350">
        <f>R155*T155%</f>
        <v>624.31000000000006</v>
      </c>
      <c r="W155" s="166"/>
      <c r="X155" s="176">
        <f t="shared" si="253"/>
        <v>1983</v>
      </c>
      <c r="Y155" s="210">
        <f t="shared" si="254"/>
        <v>4.21</v>
      </c>
      <c r="Z155" s="210">
        <f t="shared" si="255"/>
        <v>8.2799999999999994</v>
      </c>
    </row>
    <row r="156" spans="1:26" x14ac:dyDescent="0.25">
      <c r="A156" s="220">
        <v>71501</v>
      </c>
      <c r="B156" s="228">
        <v>9944</v>
      </c>
      <c r="C156" s="109" t="s">
        <v>73</v>
      </c>
      <c r="D156" s="229">
        <v>45888</v>
      </c>
      <c r="E156" s="65"/>
      <c r="F156" s="227" t="s">
        <v>78</v>
      </c>
      <c r="G156" s="65" t="str">
        <f t="shared" si="124"/>
        <v>Bhandra</v>
      </c>
      <c r="H156" s="65">
        <v>5405</v>
      </c>
      <c r="I156" s="66">
        <v>4.1500000000000004</v>
      </c>
      <c r="J156" s="66">
        <v>8.36</v>
      </c>
      <c r="K156" s="176">
        <f t="shared" si="279"/>
        <v>224.3075</v>
      </c>
      <c r="L156" s="177">
        <f t="shared" si="280"/>
        <v>451.85799999999995</v>
      </c>
      <c r="M156" s="209">
        <f>$R$155*H156/SUM($H$155:$H$156)</f>
        <v>5467.3794976238969</v>
      </c>
      <c r="N156" s="211">
        <f t="shared" ref="N156" si="287">P156/M156*100</f>
        <v>4.2636706409446354</v>
      </c>
      <c r="O156" s="211">
        <f t="shared" ref="O156" si="288">Q156/M156*100</f>
        <v>8.4148229353878072</v>
      </c>
      <c r="P156" s="176">
        <f>$U$155*K156/SUM($K$155:$K$156)</f>
        <v>233.11105446921641</v>
      </c>
      <c r="Q156" s="212">
        <f>$V$155*L156/SUM($L$155:$L$156)</f>
        <v>460.07030393074638</v>
      </c>
      <c r="R156" s="352"/>
      <c r="S156" s="352"/>
      <c r="T156" s="352"/>
      <c r="U156" s="352"/>
      <c r="V156" s="352"/>
      <c r="W156" s="166"/>
      <c r="X156" s="176">
        <f t="shared" si="253"/>
        <v>5467</v>
      </c>
      <c r="Y156" s="210">
        <f t="shared" si="254"/>
        <v>4.26</v>
      </c>
      <c r="Z156" s="210">
        <f t="shared" si="255"/>
        <v>8.41</v>
      </c>
    </row>
    <row r="157" spans="1:26" x14ac:dyDescent="0.25">
      <c r="A157" s="220">
        <v>70355</v>
      </c>
      <c r="B157" s="228">
        <v>9944</v>
      </c>
      <c r="C157" s="109" t="s">
        <v>73</v>
      </c>
      <c r="D157" s="229">
        <v>45881</v>
      </c>
      <c r="E157" s="65"/>
      <c r="F157" s="243"/>
      <c r="G157" s="244" t="s">
        <v>114</v>
      </c>
      <c r="H157" s="65">
        <v>2200</v>
      </c>
      <c r="I157" s="66">
        <v>3.9</v>
      </c>
      <c r="J157" s="66">
        <v>8.25</v>
      </c>
      <c r="K157" s="176">
        <f t="shared" si="279"/>
        <v>85.8</v>
      </c>
      <c r="L157" s="177">
        <f t="shared" si="280"/>
        <v>181.5</v>
      </c>
      <c r="M157" s="209">
        <f>$R$157*H157/SUM($H$157:$H$158)</f>
        <v>2192.9512281950874</v>
      </c>
      <c r="N157" s="211">
        <f t="shared" ref="N157" si="289">P157/M157*100</f>
        <v>4.0423480212785581</v>
      </c>
      <c r="O157" s="211">
        <f t="shared" ref="O157" si="290">Q157/M157*100</f>
        <v>8.1776322289817536</v>
      </c>
      <c r="P157" s="176">
        <f>$U$157*K157/SUM($K$157:$K$158)</f>
        <v>88.646720580547949</v>
      </c>
      <c r="Q157" s="212">
        <f>$V$157*L157/SUM($L$157:$L$158)</f>
        <v>179.33148640273268</v>
      </c>
      <c r="R157" s="350">
        <v>5600</v>
      </c>
      <c r="S157" s="350">
        <v>4.2</v>
      </c>
      <c r="T157" s="350">
        <v>8.25</v>
      </c>
      <c r="U157" s="350">
        <f>R157*S157%</f>
        <v>235.20000000000002</v>
      </c>
      <c r="V157" s="350">
        <f>R157*T157%</f>
        <v>462</v>
      </c>
      <c r="W157" s="166"/>
      <c r="X157" s="176">
        <f t="shared" si="253"/>
        <v>2193</v>
      </c>
      <c r="Y157" s="210">
        <f t="shared" si="254"/>
        <v>4.04</v>
      </c>
      <c r="Z157" s="210">
        <f t="shared" si="255"/>
        <v>8.18</v>
      </c>
    </row>
    <row r="158" spans="1:26" x14ac:dyDescent="0.25">
      <c r="A158" s="220">
        <v>70355</v>
      </c>
      <c r="B158" s="228">
        <v>9944</v>
      </c>
      <c r="C158" s="109" t="s">
        <v>73</v>
      </c>
      <c r="D158" s="229">
        <v>45881</v>
      </c>
      <c r="E158" s="65"/>
      <c r="F158" s="227" t="s">
        <v>78</v>
      </c>
      <c r="G158" s="65" t="str">
        <f t="shared" si="124"/>
        <v>Bhandra</v>
      </c>
      <c r="H158" s="65">
        <v>3418</v>
      </c>
      <c r="I158" s="66">
        <v>4.1500000000000004</v>
      </c>
      <c r="J158" s="66">
        <v>8.3699999999999992</v>
      </c>
      <c r="K158" s="176">
        <f t="shared" si="279"/>
        <v>141.84700000000001</v>
      </c>
      <c r="L158" s="177">
        <f t="shared" si="280"/>
        <v>286.08659999999998</v>
      </c>
      <c r="M158" s="209">
        <f>$R$157*H158/SUM($H$157:$H$158)</f>
        <v>3407.0487718049126</v>
      </c>
      <c r="N158" s="211">
        <f t="shared" ref="N158" si="291">P158/M158*100</f>
        <v>4.301472894437441</v>
      </c>
      <c r="O158" s="211">
        <f t="shared" ref="O158" si="292">Q158/M158*100</f>
        <v>8.2965796068578541</v>
      </c>
      <c r="P158" s="176">
        <f>$U$157*K158/SUM($K$157:$K$158)</f>
        <v>146.55327941945205</v>
      </c>
      <c r="Q158" s="212">
        <f>$V$157*L158/SUM($L$157:$L$158)</f>
        <v>282.66851359726735</v>
      </c>
      <c r="R158" s="352"/>
      <c r="S158" s="352"/>
      <c r="T158" s="352"/>
      <c r="U158" s="352"/>
      <c r="V158" s="352"/>
      <c r="W158" s="166"/>
      <c r="X158" s="176">
        <f t="shared" si="253"/>
        <v>3407</v>
      </c>
      <c r="Y158" s="210">
        <f t="shared" si="254"/>
        <v>4.3</v>
      </c>
      <c r="Z158" s="210">
        <f t="shared" si="255"/>
        <v>8.3000000000000007</v>
      </c>
    </row>
    <row r="159" spans="1:26" x14ac:dyDescent="0.25">
      <c r="A159" s="220">
        <v>70356</v>
      </c>
      <c r="B159" s="221">
        <v>9944</v>
      </c>
      <c r="C159" s="109" t="s">
        <v>73</v>
      </c>
      <c r="D159" s="229">
        <v>45882</v>
      </c>
      <c r="E159" s="65"/>
      <c r="F159" s="243"/>
      <c r="G159" s="244" t="s">
        <v>114</v>
      </c>
      <c r="H159" s="65">
        <v>1710</v>
      </c>
      <c r="I159" s="66">
        <v>3.9</v>
      </c>
      <c r="J159" s="66">
        <v>8.31</v>
      </c>
      <c r="K159" s="176">
        <f t="shared" si="279"/>
        <v>66.69</v>
      </c>
      <c r="L159" s="177">
        <f t="shared" si="280"/>
        <v>142.101</v>
      </c>
      <c r="M159" s="209">
        <f>$R$159*H159/SUM($H$159:$H$160)</f>
        <v>1724.2914244186047</v>
      </c>
      <c r="N159" s="211">
        <f t="shared" ref="N159" si="293">P159/M159*100</f>
        <v>4.0359939479202609</v>
      </c>
      <c r="O159" s="211">
        <f t="shared" ref="O159" si="294">Q159/M159*100</f>
        <v>8.3800000000000008</v>
      </c>
      <c r="P159" s="176">
        <f>$U$159*K159/SUM($K$159:$K$160)</f>
        <v>69.592297534042956</v>
      </c>
      <c r="Q159" s="212">
        <f>$V$159*L159/SUM($L$159:$L$160)</f>
        <v>144.4956213662791</v>
      </c>
      <c r="R159" s="350">
        <v>5550</v>
      </c>
      <c r="S159" s="350">
        <v>4.25</v>
      </c>
      <c r="T159" s="350">
        <v>8.3800000000000008</v>
      </c>
      <c r="U159" s="350">
        <f>R159*S159%</f>
        <v>235.87500000000003</v>
      </c>
      <c r="V159" s="350">
        <f>R159*T159%</f>
        <v>465.09000000000009</v>
      </c>
      <c r="W159" s="166"/>
      <c r="X159" s="176">
        <f t="shared" si="253"/>
        <v>1724</v>
      </c>
      <c r="Y159" s="210">
        <f t="shared" si="254"/>
        <v>4.04</v>
      </c>
      <c r="Z159" s="210">
        <f t="shared" si="255"/>
        <v>8.3800000000000008</v>
      </c>
    </row>
    <row r="160" spans="1:26" x14ac:dyDescent="0.25">
      <c r="A160" s="220">
        <v>70356</v>
      </c>
      <c r="B160" s="221">
        <v>9944</v>
      </c>
      <c r="C160" s="109" t="s">
        <v>73</v>
      </c>
      <c r="D160" s="229">
        <v>45882</v>
      </c>
      <c r="E160" s="65"/>
      <c r="F160" s="227" t="s">
        <v>78</v>
      </c>
      <c r="G160" s="65" t="str">
        <f t="shared" si="124"/>
        <v>Bhandra</v>
      </c>
      <c r="H160" s="65">
        <v>3794</v>
      </c>
      <c r="I160" s="66">
        <v>4.2</v>
      </c>
      <c r="J160" s="66">
        <v>8.31</v>
      </c>
      <c r="K160" s="176">
        <f t="shared" si="279"/>
        <v>159.34800000000001</v>
      </c>
      <c r="L160" s="177">
        <f t="shared" si="280"/>
        <v>315.28140000000002</v>
      </c>
      <c r="M160" s="209">
        <f>$R$159*H160/SUM($H$159:$H$160)</f>
        <v>3825.7085755813955</v>
      </c>
      <c r="N160" s="211">
        <f t="shared" ref="N160" si="295">P160/M160*100</f>
        <v>4.3464550208372046</v>
      </c>
      <c r="O160" s="211">
        <f t="shared" ref="O160" si="296">Q160/M160*100</f>
        <v>8.3800000000000008</v>
      </c>
      <c r="P160" s="176">
        <f>$U$159*K160/SUM($K$159:$K$160)</f>
        <v>166.28270246595707</v>
      </c>
      <c r="Q160" s="212">
        <f>$V$159*L160/SUM($L$159:$L$160)</f>
        <v>320.59437863372096</v>
      </c>
      <c r="R160" s="352"/>
      <c r="S160" s="352"/>
      <c r="T160" s="352"/>
      <c r="U160" s="352"/>
      <c r="V160" s="352"/>
      <c r="W160" s="166"/>
      <c r="X160" s="176">
        <f t="shared" si="253"/>
        <v>3826</v>
      </c>
      <c r="Y160" s="210">
        <f t="shared" si="254"/>
        <v>4.3499999999999996</v>
      </c>
      <c r="Z160" s="210">
        <f t="shared" si="255"/>
        <v>8.3800000000000008</v>
      </c>
    </row>
    <row r="161" spans="1:26" x14ac:dyDescent="0.25">
      <c r="A161" s="220">
        <v>70357</v>
      </c>
      <c r="B161" s="228">
        <v>9944</v>
      </c>
      <c r="C161" s="109" t="s">
        <v>73</v>
      </c>
      <c r="D161" s="229">
        <v>45883</v>
      </c>
      <c r="E161" s="65"/>
      <c r="F161" s="243"/>
      <c r="G161" s="244" t="s">
        <v>114</v>
      </c>
      <c r="H161" s="65">
        <v>2310</v>
      </c>
      <c r="I161" s="66">
        <v>4</v>
      </c>
      <c r="J161" s="66">
        <v>8.27</v>
      </c>
      <c r="K161" s="176">
        <f t="shared" si="279"/>
        <v>92.4</v>
      </c>
      <c r="L161" s="177">
        <f t="shared" si="280"/>
        <v>191.03699999999998</v>
      </c>
      <c r="M161" s="209">
        <f>$R$161*H161/SUM($H$161:$H$162)</f>
        <v>2297.0907297830377</v>
      </c>
      <c r="N161" s="211">
        <f t="shared" ref="N161" si="297">P161/M161*100</f>
        <v>4.1706442201922611</v>
      </c>
      <c r="O161" s="211">
        <f t="shared" ref="O161" si="298">Q161/M161*100</f>
        <v>8.3275368696648471</v>
      </c>
      <c r="P161" s="176">
        <f>$U$161*K161/SUM($K$161:$K$162)</f>
        <v>95.803481754268489</v>
      </c>
      <c r="Q161" s="212">
        <f>$V$161*L161/SUM($L$161:$L$162)</f>
        <v>191.29107745233574</v>
      </c>
      <c r="R161" s="350">
        <v>6050</v>
      </c>
      <c r="S161" s="350">
        <v>4.3</v>
      </c>
      <c r="T161" s="350">
        <v>8.39</v>
      </c>
      <c r="U161" s="350">
        <f>R161*S161%</f>
        <v>260.14999999999998</v>
      </c>
      <c r="V161" s="350">
        <f>R161*T161%</f>
        <v>507.59500000000003</v>
      </c>
      <c r="W161" s="166"/>
      <c r="X161" s="176">
        <f t="shared" si="253"/>
        <v>2297</v>
      </c>
      <c r="Y161" s="210">
        <f t="shared" si="254"/>
        <v>4.17</v>
      </c>
      <c r="Z161" s="210">
        <f t="shared" si="255"/>
        <v>8.33</v>
      </c>
    </row>
    <row r="162" spans="1:26" x14ac:dyDescent="0.25">
      <c r="A162" s="220">
        <v>70357</v>
      </c>
      <c r="B162" s="228">
        <v>9944</v>
      </c>
      <c r="C162" s="109" t="s">
        <v>73</v>
      </c>
      <c r="D162" s="229">
        <v>45883</v>
      </c>
      <c r="E162" s="65"/>
      <c r="F162" s="227" t="s">
        <v>78</v>
      </c>
      <c r="G162" s="65" t="str">
        <f t="shared" ref="G162" si="299">VLOOKUP(F162,$AC$11:$AD$19,2,0)</f>
        <v>Bhandra</v>
      </c>
      <c r="H162" s="65">
        <v>3774</v>
      </c>
      <c r="I162" s="65">
        <v>4.2</v>
      </c>
      <c r="J162" s="65">
        <v>8.3699999999999992</v>
      </c>
      <c r="K162" s="176">
        <f t="shared" si="279"/>
        <v>158.50800000000001</v>
      </c>
      <c r="L162" s="177">
        <f t="shared" si="280"/>
        <v>315.88380000000001</v>
      </c>
      <c r="M162" s="209">
        <f>$R$161*H162/SUM($H$161:$H$162)</f>
        <v>3752.9092702169623</v>
      </c>
      <c r="N162" s="211">
        <f t="shared" ref="N162" si="300">P162/M162*100</f>
        <v>4.3791764312018744</v>
      </c>
      <c r="O162" s="211">
        <f t="shared" ref="O162" si="301">Q162/M162*100</f>
        <v>8.4282325996487035</v>
      </c>
      <c r="P162" s="176">
        <f>$U$161*K162/SUM($K$161:$K$162)</f>
        <v>164.34651824573149</v>
      </c>
      <c r="Q162" s="212">
        <f>$V$161*L162/SUM($L$161:$L$162)</f>
        <v>316.30392254766429</v>
      </c>
      <c r="R162" s="352"/>
      <c r="S162" s="352"/>
      <c r="T162" s="352"/>
      <c r="U162" s="352"/>
      <c r="V162" s="352"/>
      <c r="W162" s="166"/>
      <c r="X162" s="176">
        <f t="shared" si="253"/>
        <v>3753</v>
      </c>
      <c r="Y162" s="210">
        <f t="shared" si="254"/>
        <v>4.38</v>
      </c>
      <c r="Z162" s="210">
        <f t="shared" si="255"/>
        <v>8.43</v>
      </c>
    </row>
    <row r="163" spans="1:26" x14ac:dyDescent="0.25">
      <c r="A163" s="220">
        <v>71349</v>
      </c>
      <c r="B163" s="228">
        <v>8504</v>
      </c>
      <c r="C163" s="109" t="s">
        <v>73</v>
      </c>
      <c r="D163" s="229">
        <v>45885</v>
      </c>
      <c r="E163" s="65"/>
      <c r="F163" s="243"/>
      <c r="G163" s="244" t="s">
        <v>114</v>
      </c>
      <c r="H163" s="65">
        <v>2140</v>
      </c>
      <c r="I163" s="65">
        <v>3.95</v>
      </c>
      <c r="J163" s="65">
        <v>8.1999999999999993</v>
      </c>
      <c r="K163" s="176">
        <f t="shared" si="279"/>
        <v>84.53</v>
      </c>
      <c r="L163" s="177">
        <f t="shared" si="280"/>
        <v>175.48</v>
      </c>
      <c r="M163" s="209">
        <f>$R$163*H163/SUM($H$163:$H$164)</f>
        <v>2128.1965569112485</v>
      </c>
      <c r="N163" s="211">
        <f t="shared" ref="N163" si="302">P163/M163*100</f>
        <v>3.8965487752308805</v>
      </c>
      <c r="O163" s="211">
        <f t="shared" ref="O163" si="303">Q163/M163*100</f>
        <v>7.959435754514427</v>
      </c>
      <c r="P163" s="176">
        <f>$U$163*K163/SUM($K$163:$K$164)</f>
        <v>82.92621687283102</v>
      </c>
      <c r="Q163" s="212">
        <f>$V$163*L163/SUM($L$163:$L$164)</f>
        <v>169.3924376771389</v>
      </c>
      <c r="R163" s="350">
        <v>5950</v>
      </c>
      <c r="S163" s="350">
        <v>4.1500000000000004</v>
      </c>
      <c r="T163" s="350">
        <v>8.24</v>
      </c>
      <c r="U163" s="350">
        <f>R163*S163%</f>
        <v>246.92500000000001</v>
      </c>
      <c r="V163" s="350">
        <f>R163*T163%</f>
        <v>490.28000000000003</v>
      </c>
      <c r="W163" s="166"/>
      <c r="X163" s="176">
        <f t="shared" si="253"/>
        <v>2128</v>
      </c>
      <c r="Y163" s="210">
        <f t="shared" si="254"/>
        <v>3.9</v>
      </c>
      <c r="Z163" s="210">
        <f t="shared" si="255"/>
        <v>7.96</v>
      </c>
    </row>
    <row r="164" spans="1:26" x14ac:dyDescent="0.25">
      <c r="A164" s="220">
        <v>71349</v>
      </c>
      <c r="B164" s="228">
        <v>8504</v>
      </c>
      <c r="C164" s="109" t="s">
        <v>73</v>
      </c>
      <c r="D164" s="229">
        <v>45885</v>
      </c>
      <c r="E164" s="65"/>
      <c r="F164" s="227" t="s">
        <v>78</v>
      </c>
      <c r="G164" s="65" t="str">
        <f t="shared" ref="G164" si="304">VLOOKUP(F164,$AC$11:$AD$19,2,0)</f>
        <v>Bhandra</v>
      </c>
      <c r="H164" s="65">
        <v>3843</v>
      </c>
      <c r="I164" s="65">
        <v>4.3499999999999996</v>
      </c>
      <c r="J164" s="65">
        <v>8.65</v>
      </c>
      <c r="K164" s="176">
        <f t="shared" si="279"/>
        <v>167.17049999999998</v>
      </c>
      <c r="L164" s="177">
        <f t="shared" si="280"/>
        <v>332.41950000000003</v>
      </c>
      <c r="M164" s="209">
        <f>$R$163*H164/SUM($H$163:$H$164)</f>
        <v>3821.8034430887515</v>
      </c>
      <c r="N164" s="211">
        <f t="shared" ref="N164" si="305">P164/M164*100</f>
        <v>4.2911359929757786</v>
      </c>
      <c r="O164" s="211">
        <f t="shared" ref="O164" si="306">Q164/M164*100</f>
        <v>8.3962340581158301</v>
      </c>
      <c r="P164" s="176">
        <f>$U$163*K164/SUM($K$163:$K$164)</f>
        <v>163.99878312716899</v>
      </c>
      <c r="Q164" s="212">
        <f>$V$163*L164/SUM($L$163:$L$164)</f>
        <v>320.88756232286119</v>
      </c>
      <c r="R164" s="352"/>
      <c r="S164" s="352"/>
      <c r="T164" s="352"/>
      <c r="U164" s="352"/>
      <c r="V164" s="352"/>
      <c r="W164" s="166"/>
      <c r="X164" s="176">
        <f t="shared" si="253"/>
        <v>3822</v>
      </c>
      <c r="Y164" s="210">
        <f t="shared" si="254"/>
        <v>4.29</v>
      </c>
      <c r="Z164" s="210">
        <f t="shared" si="255"/>
        <v>8.4</v>
      </c>
    </row>
    <row r="165" spans="1:26" x14ac:dyDescent="0.25">
      <c r="A165" s="220">
        <v>70358</v>
      </c>
      <c r="B165" s="221">
        <v>9944</v>
      </c>
      <c r="C165" s="109" t="s">
        <v>73</v>
      </c>
      <c r="D165" s="229">
        <v>45884</v>
      </c>
      <c r="E165" s="65"/>
      <c r="F165" s="243"/>
      <c r="G165" s="244" t="s">
        <v>114</v>
      </c>
      <c r="H165" s="65">
        <v>1910</v>
      </c>
      <c r="I165" s="65">
        <v>3.9</v>
      </c>
      <c r="J165" s="65">
        <v>8.31</v>
      </c>
      <c r="K165" s="176">
        <f t="shared" si="279"/>
        <v>74.489999999999995</v>
      </c>
      <c r="L165" s="177">
        <f t="shared" si="280"/>
        <v>158.721</v>
      </c>
      <c r="M165" s="209">
        <f>$R$165*H165/SUM($H$165:$H$166)</f>
        <v>1902.6177090653548</v>
      </c>
      <c r="N165" s="211">
        <f t="shared" ref="N165" si="307">P165/M165*100</f>
        <v>4.0953417581403926</v>
      </c>
      <c r="O165" s="211">
        <f t="shared" ref="O165" si="308">Q165/M165*100</f>
        <v>8.3901254369312266</v>
      </c>
      <c r="P165" s="176">
        <f>$U$165*K165/SUM($K$165:$K$166)</f>
        <v>77.918697537127557</v>
      </c>
      <c r="Q165" s="212">
        <f>$V$165*L165/SUM($L$165:$L$166)</f>
        <v>159.63201237585051</v>
      </c>
      <c r="R165" s="350">
        <v>5670</v>
      </c>
      <c r="S165" s="350">
        <v>4.2</v>
      </c>
      <c r="T165" s="350">
        <v>8.3699999999999992</v>
      </c>
      <c r="U165" s="350">
        <f>R165*S165%</f>
        <v>238.14000000000001</v>
      </c>
      <c r="V165" s="350">
        <f>R165*T165%</f>
        <v>474.57900000000001</v>
      </c>
      <c r="W165" s="166"/>
      <c r="X165" s="176">
        <f t="shared" si="253"/>
        <v>1903</v>
      </c>
      <c r="Y165" s="210">
        <f t="shared" si="254"/>
        <v>4.0999999999999996</v>
      </c>
      <c r="Z165" s="210">
        <f t="shared" si="255"/>
        <v>8.39</v>
      </c>
    </row>
    <row r="166" spans="1:26" x14ac:dyDescent="0.25">
      <c r="A166" s="220">
        <v>70358</v>
      </c>
      <c r="B166" s="221">
        <v>9944</v>
      </c>
      <c r="C166" s="109" t="s">
        <v>73</v>
      </c>
      <c r="D166" s="229">
        <v>45884</v>
      </c>
      <c r="E166" s="65"/>
      <c r="F166" s="227" t="s">
        <v>78</v>
      </c>
      <c r="G166" s="65" t="str">
        <f t="shared" ref="G166:G180" si="309">VLOOKUP(F166,$AC$11:$AD$19,2,0)</f>
        <v>Bhandra</v>
      </c>
      <c r="H166" s="65">
        <v>3782</v>
      </c>
      <c r="I166" s="65">
        <v>4.05</v>
      </c>
      <c r="J166" s="65">
        <v>8.2799999999999994</v>
      </c>
      <c r="K166" s="176">
        <f t="shared" si="279"/>
        <v>153.17099999999999</v>
      </c>
      <c r="L166" s="177">
        <f t="shared" si="280"/>
        <v>313.14960000000002</v>
      </c>
      <c r="M166" s="209">
        <f>$R$165*H166/SUM($H$165:$H$166)</f>
        <v>3767.382290934645</v>
      </c>
      <c r="N166" s="211">
        <f t="shared" ref="N166" si="310">P166/M166*100</f>
        <v>4.2528549026842546</v>
      </c>
      <c r="O166" s="211">
        <f t="shared" ref="O166" si="311">Q166/M166*100</f>
        <v>8.3598361754260608</v>
      </c>
      <c r="P166" s="176">
        <f>$U$165*K166/SUM($K$165:$K$166)</f>
        <v>160.22130246287244</v>
      </c>
      <c r="Q166" s="212">
        <f>$V$165*L166/SUM($L$165:$L$166)</f>
        <v>314.94698762414953</v>
      </c>
      <c r="R166" s="352"/>
      <c r="S166" s="352"/>
      <c r="T166" s="352"/>
      <c r="U166" s="352"/>
      <c r="V166" s="352"/>
      <c r="W166" s="166"/>
      <c r="X166" s="176">
        <f t="shared" si="253"/>
        <v>3767</v>
      </c>
      <c r="Y166" s="210">
        <f t="shared" si="254"/>
        <v>4.25</v>
      </c>
      <c r="Z166" s="210">
        <f t="shared" si="255"/>
        <v>8.36</v>
      </c>
    </row>
    <row r="167" spans="1:26" x14ac:dyDescent="0.25">
      <c r="A167" s="220">
        <v>70513</v>
      </c>
      <c r="B167" s="221">
        <v>8504</v>
      </c>
      <c r="C167" s="109" t="s">
        <v>73</v>
      </c>
      <c r="D167" s="229">
        <v>45890</v>
      </c>
      <c r="E167" s="65"/>
      <c r="F167" s="227" t="s">
        <v>4</v>
      </c>
      <c r="G167" s="65" t="str">
        <f t="shared" si="309"/>
        <v>Pali</v>
      </c>
      <c r="H167" s="65">
        <v>1216</v>
      </c>
      <c r="I167" s="65">
        <v>4.3</v>
      </c>
      <c r="J167" s="65">
        <v>8.4499999999999993</v>
      </c>
      <c r="K167" s="176">
        <f t="shared" si="279"/>
        <v>52.287999999999997</v>
      </c>
      <c r="L167" s="177">
        <f t="shared" si="280"/>
        <v>102.752</v>
      </c>
      <c r="M167" s="209">
        <f>$R$167*H167/SUM($H$167:$H$170)</f>
        <v>1238.2081323225361</v>
      </c>
      <c r="N167" s="211">
        <f t="shared" ref="N167" si="312">P167/M167*100</f>
        <v>4.3104831370360781</v>
      </c>
      <c r="O167" s="211">
        <f t="shared" ref="O167" si="313">Q167/M167*100</f>
        <v>8.4406215782472476</v>
      </c>
      <c r="P167" s="176">
        <f>$U$167*K167/SUM($K$167:$K$170)</f>
        <v>53.372752745172285</v>
      </c>
      <c r="Q167" s="212">
        <f>$V$167*L167/SUM($L$167:$L$170)</f>
        <v>104.51246280042821</v>
      </c>
      <c r="R167" s="376">
        <v>5910</v>
      </c>
      <c r="S167" s="350">
        <v>3.9</v>
      </c>
      <c r="T167" s="350">
        <v>8.31</v>
      </c>
      <c r="U167" s="350">
        <f>R167*S167%</f>
        <v>230.49</v>
      </c>
      <c r="V167" s="350">
        <f>R167*T167%</f>
        <v>491.12100000000004</v>
      </c>
      <c r="W167" s="166"/>
      <c r="X167" s="176">
        <f t="shared" si="253"/>
        <v>1238</v>
      </c>
      <c r="Y167" s="210">
        <f t="shared" si="254"/>
        <v>4.3099999999999996</v>
      </c>
      <c r="Z167" s="210">
        <f t="shared" si="255"/>
        <v>8.44</v>
      </c>
    </row>
    <row r="168" spans="1:26" x14ac:dyDescent="0.25">
      <c r="A168" s="220">
        <v>70513</v>
      </c>
      <c r="B168" s="221">
        <v>8504</v>
      </c>
      <c r="C168" s="109" t="s">
        <v>73</v>
      </c>
      <c r="D168" s="229">
        <v>45890</v>
      </c>
      <c r="E168" s="65"/>
      <c r="F168" s="227" t="s">
        <v>14</v>
      </c>
      <c r="G168" s="65" t="str">
        <f t="shared" si="309"/>
        <v>Piragutu</v>
      </c>
      <c r="H168" s="65">
        <v>1305</v>
      </c>
      <c r="I168" s="65">
        <v>4.2</v>
      </c>
      <c r="J168" s="65">
        <v>8.56</v>
      </c>
      <c r="K168" s="176">
        <f t="shared" si="279"/>
        <v>54.81</v>
      </c>
      <c r="L168" s="177">
        <f t="shared" si="280"/>
        <v>111.70800000000001</v>
      </c>
      <c r="M168" s="209">
        <f t="shared" ref="M168:M170" si="314">$R$167*H168/SUM($H$167:$H$170)</f>
        <v>1328.8335630599586</v>
      </c>
      <c r="N168" s="211">
        <f t="shared" ref="N168:N170" si="315">P168/M168*100</f>
        <v>4.2102393431515184</v>
      </c>
      <c r="O168" s="211">
        <f t="shared" ref="O168:O170" si="316">Q168/M168*100</f>
        <v>8.5504994922836026</v>
      </c>
      <c r="P168" s="176">
        <f t="shared" ref="P168:P170" si="317">$U$167*K168/SUM($K$167:$K$170)</f>
        <v>55.947073476952518</v>
      </c>
      <c r="Q168" s="212">
        <f t="shared" ref="Q168:Q170" si="318">$V$167*L168/SUM($L$167:$L$170)</f>
        <v>113.62190706273587</v>
      </c>
      <c r="R168" s="377"/>
      <c r="S168" s="351"/>
      <c r="T168" s="351"/>
      <c r="U168" s="351"/>
      <c r="V168" s="351"/>
      <c r="X168" s="176">
        <f t="shared" ref="X168:X181" si="319">ROUND(M168,0)</f>
        <v>1329</v>
      </c>
      <c r="Y168" s="210">
        <f t="shared" ref="Y168:Y181" si="320">ROUND(N168,2)</f>
        <v>4.21</v>
      </c>
      <c r="Z168" s="210">
        <f t="shared" ref="Z168:Z181" si="321">ROUND(O168,2)</f>
        <v>8.5500000000000007</v>
      </c>
    </row>
    <row r="169" spans="1:26" x14ac:dyDescent="0.25">
      <c r="A169" s="220">
        <v>70513</v>
      </c>
      <c r="B169" s="221">
        <v>8504</v>
      </c>
      <c r="C169" s="109" t="s">
        <v>73</v>
      </c>
      <c r="D169" s="229">
        <v>45890</v>
      </c>
      <c r="E169" s="65"/>
      <c r="F169" s="227" t="s">
        <v>8</v>
      </c>
      <c r="G169" s="65" t="str">
        <f t="shared" si="309"/>
        <v>Choria</v>
      </c>
      <c r="H169" s="65">
        <v>1349</v>
      </c>
      <c r="I169" s="65">
        <v>2.85</v>
      </c>
      <c r="J169" s="65">
        <v>7.91</v>
      </c>
      <c r="K169" s="176">
        <f t="shared" si="279"/>
        <v>38.4465</v>
      </c>
      <c r="L169" s="177">
        <f t="shared" si="280"/>
        <v>106.7059</v>
      </c>
      <c r="M169" s="209">
        <f t="shared" si="314"/>
        <v>1373.6371467953136</v>
      </c>
      <c r="N169" s="211">
        <f t="shared" si="315"/>
        <v>2.856948125709958</v>
      </c>
      <c r="O169" s="211">
        <f t="shared" si="316"/>
        <v>7.9012209093415064</v>
      </c>
      <c r="P169" s="176">
        <f t="shared" si="317"/>
        <v>39.244100719424459</v>
      </c>
      <c r="Q169" s="212">
        <f t="shared" si="318"/>
        <v>108.53410546107339</v>
      </c>
      <c r="R169" s="377"/>
      <c r="S169" s="351"/>
      <c r="T169" s="351"/>
      <c r="U169" s="351"/>
      <c r="V169" s="351"/>
      <c r="X169" s="176">
        <f t="shared" si="319"/>
        <v>1374</v>
      </c>
      <c r="Y169" s="210">
        <f t="shared" si="320"/>
        <v>2.86</v>
      </c>
      <c r="Z169" s="210">
        <f t="shared" si="321"/>
        <v>7.9</v>
      </c>
    </row>
    <row r="170" spans="1:26" x14ac:dyDescent="0.25">
      <c r="A170" s="220">
        <v>70513</v>
      </c>
      <c r="B170" s="221">
        <v>8504</v>
      </c>
      <c r="C170" s="109" t="s">
        <v>73</v>
      </c>
      <c r="D170" s="229">
        <v>45890</v>
      </c>
      <c r="E170" s="65"/>
      <c r="F170" s="227" t="s">
        <v>12</v>
      </c>
      <c r="G170" s="65" t="str">
        <f t="shared" si="309"/>
        <v>Ormanjhi</v>
      </c>
      <c r="H170" s="65">
        <v>1934</v>
      </c>
      <c r="I170" s="65">
        <v>4.1500000000000004</v>
      </c>
      <c r="J170" s="65">
        <v>8.36</v>
      </c>
      <c r="K170" s="176">
        <f t="shared" si="279"/>
        <v>80.26100000000001</v>
      </c>
      <c r="L170" s="177">
        <f t="shared" si="280"/>
        <v>161.6824</v>
      </c>
      <c r="M170" s="209">
        <f t="shared" si="314"/>
        <v>1969.3211578221915</v>
      </c>
      <c r="N170" s="211">
        <f t="shared" si="315"/>
        <v>4.1601174462092381</v>
      </c>
      <c r="O170" s="211">
        <f t="shared" si="316"/>
        <v>8.350721466762959</v>
      </c>
      <c r="P170" s="176">
        <f t="shared" si="317"/>
        <v>81.926073058450754</v>
      </c>
      <c r="Q170" s="212">
        <f t="shared" si="318"/>
        <v>164.45252467576259</v>
      </c>
      <c r="R170" s="378"/>
      <c r="S170" s="352"/>
      <c r="T170" s="352"/>
      <c r="U170" s="352"/>
      <c r="V170" s="352"/>
      <c r="X170" s="176">
        <f t="shared" si="319"/>
        <v>1969</v>
      </c>
      <c r="Y170" s="210">
        <f t="shared" si="320"/>
        <v>4.16</v>
      </c>
      <c r="Z170" s="210">
        <f t="shared" si="321"/>
        <v>8.35</v>
      </c>
    </row>
    <row r="171" spans="1:26" x14ac:dyDescent="0.25">
      <c r="A171" s="220">
        <v>70851</v>
      </c>
      <c r="B171" s="228">
        <v>8504</v>
      </c>
      <c r="C171" s="109" t="s">
        <v>73</v>
      </c>
      <c r="D171" s="229">
        <v>45886</v>
      </c>
      <c r="E171" s="65"/>
      <c r="F171" s="227" t="s">
        <v>4</v>
      </c>
      <c r="G171" s="65" t="str">
        <f t="shared" si="309"/>
        <v>Pali</v>
      </c>
      <c r="H171" s="65">
        <v>1186.5999999999999</v>
      </c>
      <c r="I171" s="65">
        <v>4.2</v>
      </c>
      <c r="J171" s="65">
        <v>8.43</v>
      </c>
      <c r="K171" s="176">
        <f t="shared" si="279"/>
        <v>49.837199999999996</v>
      </c>
      <c r="L171" s="177">
        <f t="shared" si="280"/>
        <v>100.03037999999999</v>
      </c>
      <c r="M171" s="209">
        <f>$R$171*H171/SUM($H$171:$H$174)</f>
        <v>1193.4184946922355</v>
      </c>
      <c r="N171" s="211">
        <f t="shared" ref="N171" si="322">P171/M171*100</f>
        <v>4.2362364092522391</v>
      </c>
      <c r="O171" s="211">
        <f t="shared" ref="O171" si="323">Q171/M171*100</f>
        <v>8.4375127278174062</v>
      </c>
      <c r="P171" s="176">
        <f>$U$171*K171/SUM($K$171:$K$174)</f>
        <v>50.55602878690248</v>
      </c>
      <c r="Q171" s="212">
        <f>$V$171*L171/SUM($L$171:$L$174)</f>
        <v>100.69483738578427</v>
      </c>
      <c r="R171" s="347">
        <v>4920</v>
      </c>
      <c r="S171" s="347">
        <v>4.05</v>
      </c>
      <c r="T171" s="347">
        <v>8.34</v>
      </c>
      <c r="U171" s="350">
        <f>R171*S171%</f>
        <v>199.26000000000002</v>
      </c>
      <c r="V171" s="350">
        <f>R171*T171%</f>
        <v>410.32800000000003</v>
      </c>
      <c r="X171" s="176">
        <f t="shared" si="319"/>
        <v>1193</v>
      </c>
      <c r="Y171" s="210">
        <f t="shared" si="320"/>
        <v>4.24</v>
      </c>
      <c r="Z171" s="210">
        <f t="shared" si="321"/>
        <v>8.44</v>
      </c>
    </row>
    <row r="172" spans="1:26" x14ac:dyDescent="0.25">
      <c r="A172" s="220">
        <v>70851</v>
      </c>
      <c r="B172" s="228">
        <v>8504</v>
      </c>
      <c r="C172" s="109" t="s">
        <v>73</v>
      </c>
      <c r="D172" s="229">
        <v>45886</v>
      </c>
      <c r="E172" s="65"/>
      <c r="F172" s="227" t="s">
        <v>8</v>
      </c>
      <c r="G172" s="65" t="str">
        <f t="shared" si="309"/>
        <v>Choria</v>
      </c>
      <c r="H172" s="65">
        <v>613.57000000000005</v>
      </c>
      <c r="I172" s="65">
        <v>3.1</v>
      </c>
      <c r="J172" s="65">
        <v>8.0299999999999994</v>
      </c>
      <c r="K172" s="176">
        <f t="shared" si="279"/>
        <v>19.020670000000003</v>
      </c>
      <c r="L172" s="177">
        <f t="shared" si="280"/>
        <v>49.269671000000002</v>
      </c>
      <c r="M172" s="209">
        <f t="shared" ref="M172:M174" si="324">$R$171*H172/SUM($H$171:$H$174)</f>
        <v>617.09572373867775</v>
      </c>
      <c r="N172" s="211">
        <f t="shared" ref="N172:N174" si="325">P172/M172*100</f>
        <v>3.1267459211147486</v>
      </c>
      <c r="O172" s="211">
        <f t="shared" ref="O172:O174" si="326">Q172/M172*100</f>
        <v>8.0371562520016333</v>
      </c>
      <c r="P172" s="176">
        <f t="shared" ref="P172:P174" si="327">$U$171*K172/SUM($K$171:$K$174)</f>
        <v>19.295015371372642</v>
      </c>
      <c r="Q172" s="212">
        <f t="shared" ref="Q172:Q174" si="328">$V$171*L172/SUM($L$171:$L$174)</f>
        <v>49.596947541297865</v>
      </c>
      <c r="R172" s="349"/>
      <c r="S172" s="349"/>
      <c r="T172" s="349"/>
      <c r="U172" s="351"/>
      <c r="V172" s="351"/>
      <c r="X172" s="176">
        <f t="shared" si="319"/>
        <v>617</v>
      </c>
      <c r="Y172" s="210">
        <f t="shared" si="320"/>
        <v>3.13</v>
      </c>
      <c r="Z172" s="210">
        <f t="shared" si="321"/>
        <v>8.0399999999999991</v>
      </c>
    </row>
    <row r="173" spans="1:26" x14ac:dyDescent="0.25">
      <c r="A173" s="220">
        <v>70851</v>
      </c>
      <c r="B173" s="228">
        <v>8504</v>
      </c>
      <c r="C173" s="109" t="s">
        <v>73</v>
      </c>
      <c r="D173" s="229">
        <v>45886</v>
      </c>
      <c r="E173" s="65"/>
      <c r="F173" s="227" t="s">
        <v>4</v>
      </c>
      <c r="G173" s="65" t="str">
        <f t="shared" si="309"/>
        <v>Pali</v>
      </c>
      <c r="H173" s="65">
        <v>941.72</v>
      </c>
      <c r="I173" s="65">
        <v>4.3</v>
      </c>
      <c r="J173" s="65">
        <v>8.39</v>
      </c>
      <c r="K173" s="176">
        <f t="shared" si="279"/>
        <v>40.493960000000001</v>
      </c>
      <c r="L173" s="177">
        <f t="shared" si="280"/>
        <v>79.010308000000009</v>
      </c>
      <c r="M173" s="209">
        <f t="shared" si="324"/>
        <v>947.1313541391977</v>
      </c>
      <c r="N173" s="211">
        <f t="shared" si="325"/>
        <v>4.3370991809011032</v>
      </c>
      <c r="O173" s="211">
        <f t="shared" si="326"/>
        <v>8.397477080235829</v>
      </c>
      <c r="P173" s="176">
        <f t="shared" si="327"/>
        <v>41.078026202428667</v>
      </c>
      <c r="Q173" s="212">
        <f t="shared" si="328"/>
        <v>79.535138383566377</v>
      </c>
      <c r="R173" s="349"/>
      <c r="S173" s="349"/>
      <c r="T173" s="349"/>
      <c r="U173" s="351"/>
      <c r="V173" s="351"/>
      <c r="X173" s="176">
        <f t="shared" si="319"/>
        <v>947</v>
      </c>
      <c r="Y173" s="210">
        <f t="shared" si="320"/>
        <v>4.34</v>
      </c>
      <c r="Z173" s="210">
        <f t="shared" si="321"/>
        <v>8.4</v>
      </c>
    </row>
    <row r="174" spans="1:26" x14ac:dyDescent="0.25">
      <c r="A174" s="220">
        <v>70851</v>
      </c>
      <c r="B174" s="228">
        <v>8504</v>
      </c>
      <c r="C174" s="109" t="s">
        <v>73</v>
      </c>
      <c r="D174" s="229">
        <v>45886</v>
      </c>
      <c r="E174" s="65"/>
      <c r="F174" s="227" t="s">
        <v>12</v>
      </c>
      <c r="G174" s="65" t="str">
        <f t="shared" si="309"/>
        <v>Ormanjhi</v>
      </c>
      <c r="H174" s="65">
        <v>2150</v>
      </c>
      <c r="I174" s="65">
        <v>4.05</v>
      </c>
      <c r="J174" s="65">
        <v>8.34</v>
      </c>
      <c r="K174" s="176">
        <f t="shared" si="279"/>
        <v>87.075000000000003</v>
      </c>
      <c r="L174" s="177">
        <f t="shared" si="280"/>
        <v>179.31</v>
      </c>
      <c r="M174" s="209">
        <f t="shared" si="324"/>
        <v>2162.3544274298888</v>
      </c>
      <c r="N174" s="211">
        <f t="shared" si="325"/>
        <v>4.0849422517789469</v>
      </c>
      <c r="O174" s="211">
        <f t="shared" si="326"/>
        <v>8.3474325207588596</v>
      </c>
      <c r="P174" s="176">
        <f t="shared" si="327"/>
        <v>88.330929639296244</v>
      </c>
      <c r="Q174" s="212">
        <f t="shared" si="328"/>
        <v>180.50107668935155</v>
      </c>
      <c r="R174" s="348"/>
      <c r="S174" s="348"/>
      <c r="T174" s="348"/>
      <c r="U174" s="352"/>
      <c r="V174" s="352"/>
      <c r="X174" s="176">
        <f t="shared" si="319"/>
        <v>2162</v>
      </c>
      <c r="Y174" s="210">
        <f t="shared" si="320"/>
        <v>4.08</v>
      </c>
      <c r="Z174" s="210">
        <f t="shared" si="321"/>
        <v>8.35</v>
      </c>
    </row>
    <row r="175" spans="1:26" x14ac:dyDescent="0.25">
      <c r="A175" s="220">
        <v>70493</v>
      </c>
      <c r="B175" s="221">
        <v>1023</v>
      </c>
      <c r="C175" s="109" t="s">
        <v>109</v>
      </c>
      <c r="D175" s="229">
        <v>45889</v>
      </c>
      <c r="E175" s="65"/>
      <c r="F175" s="227" t="s">
        <v>4</v>
      </c>
      <c r="G175" s="65" t="str">
        <f t="shared" si="309"/>
        <v>Pali</v>
      </c>
      <c r="H175" s="65">
        <v>1110</v>
      </c>
      <c r="I175" s="65">
        <v>4.3</v>
      </c>
      <c r="J175" s="65">
        <v>8.4499999999999993</v>
      </c>
      <c r="K175" s="176">
        <f t="shared" si="279"/>
        <v>47.73</v>
      </c>
      <c r="L175" s="177">
        <f t="shared" si="280"/>
        <v>93.794999999999987</v>
      </c>
      <c r="M175" s="209">
        <f>$R$175*H175/SUM($H$175:$H$176)</f>
        <v>1102.3094688221709</v>
      </c>
      <c r="N175" s="211">
        <f t="shared" ref="N175" si="329">P175/M175*100</f>
        <v>4.2281589618815909</v>
      </c>
      <c r="O175" s="211">
        <f t="shared" ref="O175" si="330">Q175/M175*100</f>
        <v>8.2259366010194555</v>
      </c>
      <c r="P175" s="176">
        <f>$U$175*K175/SUM($K$175:$K$176)</f>
        <v>46.607396593673975</v>
      </c>
      <c r="Q175" s="212">
        <f>$V$175*L175/SUM($L$175:$L$176)</f>
        <v>90.675278052346101</v>
      </c>
      <c r="R175" s="347">
        <v>2580</v>
      </c>
      <c r="S175" s="347">
        <v>4.2</v>
      </c>
      <c r="T175" s="347">
        <v>8.1199999999999992</v>
      </c>
      <c r="U175" s="350">
        <f>R175*S175%</f>
        <v>108.36000000000001</v>
      </c>
      <c r="V175" s="350">
        <f>R175*T175%</f>
        <v>209.49599999999998</v>
      </c>
      <c r="X175" s="176">
        <f t="shared" si="319"/>
        <v>1102</v>
      </c>
      <c r="Y175" s="210">
        <f t="shared" si="320"/>
        <v>4.2300000000000004</v>
      </c>
      <c r="Z175" s="210">
        <f t="shared" si="321"/>
        <v>8.23</v>
      </c>
    </row>
    <row r="176" spans="1:26" x14ac:dyDescent="0.25">
      <c r="A176" s="220">
        <v>70493</v>
      </c>
      <c r="B176" s="221">
        <v>1023</v>
      </c>
      <c r="C176" s="109" t="s">
        <v>109</v>
      </c>
      <c r="D176" s="229">
        <v>45889</v>
      </c>
      <c r="E176" s="65"/>
      <c r="F176" s="227" t="s">
        <v>6</v>
      </c>
      <c r="G176" s="65" t="str">
        <f t="shared" si="309"/>
        <v>Hisri</v>
      </c>
      <c r="H176" s="65">
        <v>1488</v>
      </c>
      <c r="I176" s="65">
        <v>4.25</v>
      </c>
      <c r="J176" s="65">
        <v>8.26</v>
      </c>
      <c r="K176" s="176">
        <f t="shared" si="279"/>
        <v>63.24</v>
      </c>
      <c r="L176" s="177">
        <f t="shared" si="280"/>
        <v>122.90879999999999</v>
      </c>
      <c r="M176" s="209">
        <f>$R$175*H176/SUM($H$175:$H$176)</f>
        <v>1477.6905311778291</v>
      </c>
      <c r="N176" s="211">
        <f t="shared" ref="N176" si="331">P176/M176*100</f>
        <v>4.1789943227899435</v>
      </c>
      <c r="O176" s="211">
        <f t="shared" ref="O176" si="332">Q176/M176*100</f>
        <v>8.0409747129491969</v>
      </c>
      <c r="P176" s="176">
        <f>$U$175*K176/SUM($K$175:$K$176)</f>
        <v>61.752603406326045</v>
      </c>
      <c r="Q176" s="212">
        <f>$V$175*L176/SUM($L$175:$L$176)</f>
        <v>118.82072194765389</v>
      </c>
      <c r="R176" s="348"/>
      <c r="S176" s="348"/>
      <c r="T176" s="348"/>
      <c r="U176" s="352"/>
      <c r="V176" s="352"/>
      <c r="X176" s="176">
        <f t="shared" si="319"/>
        <v>1478</v>
      </c>
      <c r="Y176" s="210">
        <f t="shared" si="320"/>
        <v>4.18</v>
      </c>
      <c r="Z176" s="210">
        <f t="shared" si="321"/>
        <v>8.0399999999999991</v>
      </c>
    </row>
    <row r="177" spans="1:26" x14ac:dyDescent="0.25">
      <c r="A177" s="220">
        <v>71502</v>
      </c>
      <c r="B177" s="221">
        <v>9944</v>
      </c>
      <c r="C177" s="109" t="s">
        <v>73</v>
      </c>
      <c r="D177" s="229">
        <v>45889</v>
      </c>
      <c r="E177" s="65"/>
      <c r="F177" s="243"/>
      <c r="G177" s="244" t="s">
        <v>114</v>
      </c>
      <c r="H177" s="65">
        <v>1900</v>
      </c>
      <c r="I177" s="65">
        <v>3.9</v>
      </c>
      <c r="J177" s="65">
        <v>8.19</v>
      </c>
      <c r="K177" s="176">
        <f t="shared" si="279"/>
        <v>74.099999999999994</v>
      </c>
      <c r="L177" s="177">
        <f t="shared" si="280"/>
        <v>155.61000000000001</v>
      </c>
      <c r="M177" s="209">
        <f>$R$177*H177/SUM($H$177:$H$178)</f>
        <v>1897.2569778633301</v>
      </c>
      <c r="N177" s="211">
        <f t="shared" ref="N177" si="333">P177/M177*100</f>
        <v>3.9175350316245598</v>
      </c>
      <c r="O177" s="211">
        <f t="shared" ref="O177" si="334">Q177/M177*100</f>
        <v>8.147906000634471</v>
      </c>
      <c r="P177" s="176">
        <f>$U$177*K177/SUM($K$177:$K$178)</f>
        <v>74.325706747737371</v>
      </c>
      <c r="Q177" s="212">
        <f>$V$177*L177/SUM($L$177:$L$178)</f>
        <v>154.5867151467825</v>
      </c>
      <c r="R177" s="347">
        <v>8300</v>
      </c>
      <c r="S177" s="347">
        <v>4.1500000000000004</v>
      </c>
      <c r="T177" s="347">
        <v>8.24</v>
      </c>
      <c r="U177" s="350">
        <f>R177*S177%</f>
        <v>344.45000000000005</v>
      </c>
      <c r="V177" s="350">
        <f>R177*T177%</f>
        <v>683.92</v>
      </c>
      <c r="X177" s="176">
        <f t="shared" si="319"/>
        <v>1897</v>
      </c>
      <c r="Y177" s="210">
        <f t="shared" si="320"/>
        <v>3.92</v>
      </c>
      <c r="Z177" s="210">
        <f t="shared" si="321"/>
        <v>8.15</v>
      </c>
    </row>
    <row r="178" spans="1:26" x14ac:dyDescent="0.25">
      <c r="A178" s="220">
        <v>71502</v>
      </c>
      <c r="B178" s="221">
        <v>9944</v>
      </c>
      <c r="C178" s="109" t="s">
        <v>73</v>
      </c>
      <c r="D178" s="229">
        <v>45889</v>
      </c>
      <c r="E178" s="65"/>
      <c r="F178" s="227" t="s">
        <v>78</v>
      </c>
      <c r="G178" s="65" t="str">
        <f t="shared" si="309"/>
        <v>Bhandra</v>
      </c>
      <c r="H178" s="65">
        <v>6412</v>
      </c>
      <c r="I178" s="65">
        <v>4.2</v>
      </c>
      <c r="J178" s="65">
        <v>8.31</v>
      </c>
      <c r="K178" s="176">
        <f t="shared" si="279"/>
        <v>269.30400000000003</v>
      </c>
      <c r="L178" s="177">
        <f t="shared" si="280"/>
        <v>532.83720000000005</v>
      </c>
      <c r="M178" s="209">
        <f>$R$177*H178/SUM($H$177:$H$178)</f>
        <v>6402.7430221366694</v>
      </c>
      <c r="N178" s="211">
        <f t="shared" ref="N178" si="335">P178/M178*100</f>
        <v>4.2188838802110649</v>
      </c>
      <c r="O178" s="211">
        <f t="shared" ref="O178" si="336">Q178/M178*100</f>
        <v>8.2672892387390071</v>
      </c>
      <c r="P178" s="176">
        <f>$U$177*K178/SUM($K$177:$K$178)</f>
        <v>270.1242932522627</v>
      </c>
      <c r="Q178" s="212">
        <f>$V$177*L178/SUM($L$177:$L$178)</f>
        <v>529.33328485321749</v>
      </c>
      <c r="R178" s="348"/>
      <c r="S178" s="348"/>
      <c r="T178" s="348"/>
      <c r="U178" s="352"/>
      <c r="V178" s="352"/>
      <c r="X178" s="176">
        <f t="shared" si="319"/>
        <v>6403</v>
      </c>
      <c r="Y178" s="210">
        <f t="shared" si="320"/>
        <v>4.22</v>
      </c>
      <c r="Z178" s="210">
        <f t="shared" si="321"/>
        <v>8.27</v>
      </c>
    </row>
    <row r="179" spans="1:26" x14ac:dyDescent="0.25">
      <c r="A179" s="220">
        <v>71504</v>
      </c>
      <c r="B179" s="221">
        <v>9944</v>
      </c>
      <c r="C179" s="109" t="s">
        <v>73</v>
      </c>
      <c r="D179" s="229">
        <v>45891</v>
      </c>
      <c r="E179" s="65"/>
      <c r="F179" s="227" t="s">
        <v>4</v>
      </c>
      <c r="G179" s="65" t="str">
        <f t="shared" si="309"/>
        <v>Pali</v>
      </c>
      <c r="H179" s="65">
        <v>1063</v>
      </c>
      <c r="I179" s="65">
        <v>4.2</v>
      </c>
      <c r="J179" s="65">
        <v>8.43</v>
      </c>
      <c r="K179" s="176">
        <f t="shared" si="279"/>
        <v>44.646000000000001</v>
      </c>
      <c r="L179" s="177">
        <f t="shared" si="280"/>
        <v>89.610900000000001</v>
      </c>
      <c r="M179" s="209">
        <f>$R$179*H179/SUM($H$179:$H$183)</f>
        <v>1067.3565573770493</v>
      </c>
      <c r="N179" s="211">
        <f t="shared" ref="N179" si="337">P179/M179*100</f>
        <v>4.2325737335201969</v>
      </c>
      <c r="O179" s="211">
        <f t="shared" ref="O179" si="338">Q179/M179*100</f>
        <v>8.3639136962037473</v>
      </c>
      <c r="P179" s="176">
        <f>$U$179*K179/SUM($K$179:$K$183)</f>
        <v>45.176653290546412</v>
      </c>
      <c r="Q179" s="212">
        <f>$V$179*L179/SUM($L$179:$L$183)</f>
        <v>89.272781289787829</v>
      </c>
      <c r="R179" s="347">
        <v>6860</v>
      </c>
      <c r="S179" s="347">
        <v>4.25</v>
      </c>
      <c r="T179" s="347">
        <v>8.3800000000000008</v>
      </c>
      <c r="U179" s="350">
        <f>R179*S179%</f>
        <v>291.55</v>
      </c>
      <c r="V179" s="350">
        <f>R179*T179%</f>
        <v>574.86800000000005</v>
      </c>
      <c r="X179" s="176">
        <f t="shared" si="319"/>
        <v>1067</v>
      </c>
      <c r="Y179" s="210">
        <f t="shared" si="320"/>
        <v>4.2300000000000004</v>
      </c>
      <c r="Z179" s="210">
        <f t="shared" si="321"/>
        <v>8.36</v>
      </c>
    </row>
    <row r="180" spans="1:26" x14ac:dyDescent="0.25">
      <c r="A180" s="220">
        <v>71504</v>
      </c>
      <c r="B180" s="221">
        <v>9944</v>
      </c>
      <c r="C180" s="109" t="s">
        <v>73</v>
      </c>
      <c r="D180" s="229">
        <v>45891</v>
      </c>
      <c r="E180" s="65"/>
      <c r="F180" s="227" t="s">
        <v>89</v>
      </c>
      <c r="G180" s="65" t="str">
        <f t="shared" si="309"/>
        <v>Chanho</v>
      </c>
      <c r="H180" s="65">
        <v>1178</v>
      </c>
      <c r="I180" s="65">
        <v>4.3</v>
      </c>
      <c r="J180" s="65">
        <v>8.4499999999999993</v>
      </c>
      <c r="K180" s="176">
        <f t="shared" si="279"/>
        <v>50.653999999999996</v>
      </c>
      <c r="L180" s="177">
        <f t="shared" si="280"/>
        <v>99.540999999999997</v>
      </c>
      <c r="M180" s="209">
        <f t="shared" ref="M180:M183" si="339">$R$179*H180/SUM($H$179:$H$183)</f>
        <v>1182.827868852459</v>
      </c>
      <c r="N180" s="211">
        <f t="shared" ref="N180:N183" si="340">P180/M180*100</f>
        <v>4.3333492986040101</v>
      </c>
      <c r="O180" s="211">
        <f t="shared" ref="O180:O183" si="341">Q180/M180*100</f>
        <v>8.3837569078198886</v>
      </c>
      <c r="P180" s="176">
        <f t="shared" ref="P180:P183" si="342">$U$179*K180/SUM($K$179:$K$183)</f>
        <v>51.256063158610793</v>
      </c>
      <c r="Q180" s="212">
        <f t="shared" ref="Q180:Q183" si="343">$V$179*L180/SUM($L$179:$L$183)</f>
        <v>99.165413162536808</v>
      </c>
      <c r="R180" s="349"/>
      <c r="S180" s="349"/>
      <c r="T180" s="349"/>
      <c r="U180" s="351"/>
      <c r="V180" s="351"/>
      <c r="X180" s="176">
        <f t="shared" si="319"/>
        <v>1183</v>
      </c>
      <c r="Y180" s="210">
        <f t="shared" si="320"/>
        <v>4.33</v>
      </c>
      <c r="Z180" s="210">
        <f t="shared" si="321"/>
        <v>8.3800000000000008</v>
      </c>
    </row>
    <row r="181" spans="1:26" x14ac:dyDescent="0.25">
      <c r="A181" s="220">
        <v>71504</v>
      </c>
      <c r="B181" s="221">
        <v>9944</v>
      </c>
      <c r="C181" s="109" t="s">
        <v>73</v>
      </c>
      <c r="D181" s="229">
        <v>45891</v>
      </c>
      <c r="E181" s="65"/>
      <c r="F181" s="243"/>
      <c r="G181" s="244" t="s">
        <v>114</v>
      </c>
      <c r="H181" s="65">
        <v>2120</v>
      </c>
      <c r="I181" s="65">
        <v>4</v>
      </c>
      <c r="J181" s="65">
        <v>8.27</v>
      </c>
      <c r="K181" s="176">
        <f t="shared" si="279"/>
        <v>84.8</v>
      </c>
      <c r="L181" s="177">
        <f t="shared" si="280"/>
        <v>175.32399999999998</v>
      </c>
      <c r="M181" s="209">
        <f t="shared" si="339"/>
        <v>2128.688524590164</v>
      </c>
      <c r="N181" s="211">
        <f t="shared" si="340"/>
        <v>4.0310226033525671</v>
      </c>
      <c r="O181" s="211">
        <f t="shared" si="341"/>
        <v>8.2051680032746113</v>
      </c>
      <c r="P181" s="176">
        <f t="shared" si="342"/>
        <v>85.807915581201783</v>
      </c>
      <c r="Q181" s="212">
        <f t="shared" si="343"/>
        <v>174.66246970905055</v>
      </c>
      <c r="R181" s="349"/>
      <c r="S181" s="349"/>
      <c r="T181" s="349"/>
      <c r="U181" s="351"/>
      <c r="V181" s="351"/>
      <c r="X181" s="176">
        <f t="shared" si="319"/>
        <v>2129</v>
      </c>
      <c r="Y181" s="210">
        <f t="shared" si="320"/>
        <v>4.03</v>
      </c>
      <c r="Z181" s="210">
        <f t="shared" si="321"/>
        <v>8.2100000000000009</v>
      </c>
    </row>
    <row r="182" spans="1:26" x14ac:dyDescent="0.25">
      <c r="A182" s="220">
        <v>71504</v>
      </c>
      <c r="B182" s="221">
        <v>9944</v>
      </c>
      <c r="C182" s="109" t="s">
        <v>73</v>
      </c>
      <c r="D182" s="229">
        <v>45891</v>
      </c>
      <c r="E182" s="65"/>
      <c r="F182" s="227" t="s">
        <v>14</v>
      </c>
      <c r="G182" s="65" t="str">
        <f t="shared" ref="G182:G184" si="344">VLOOKUP(F182,$AC$11:$AD$19,2,0)</f>
        <v>Piragutu</v>
      </c>
      <c r="H182" s="65">
        <v>1339</v>
      </c>
      <c r="I182" s="65">
        <v>4.5</v>
      </c>
      <c r="J182" s="65">
        <v>8.74</v>
      </c>
      <c r="K182" s="176">
        <f t="shared" si="279"/>
        <v>60.254999999999995</v>
      </c>
      <c r="L182" s="177">
        <f t="shared" si="280"/>
        <v>117.02860000000001</v>
      </c>
      <c r="M182" s="209">
        <f t="shared" si="339"/>
        <v>1344.4877049180327</v>
      </c>
      <c r="N182" s="211">
        <f t="shared" si="340"/>
        <v>4.5349004287716381</v>
      </c>
      <c r="O182" s="211">
        <f t="shared" si="341"/>
        <v>8.671483476253945</v>
      </c>
      <c r="P182" s="176">
        <f t="shared" si="342"/>
        <v>60.971178695109828</v>
      </c>
      <c r="Q182" s="212">
        <f t="shared" si="343"/>
        <v>116.58702917223312</v>
      </c>
      <c r="R182" s="349"/>
      <c r="S182" s="349"/>
      <c r="T182" s="349"/>
      <c r="U182" s="351"/>
      <c r="V182" s="351"/>
      <c r="X182" s="176">
        <f t="shared" ref="X182:X197" si="345">ROUND(M182,0)</f>
        <v>1344</v>
      </c>
      <c r="Y182" s="210">
        <f t="shared" ref="Y182:Y197" si="346">ROUND(N182,2)</f>
        <v>4.53</v>
      </c>
      <c r="Z182" s="210">
        <f t="shared" ref="Z182:Z197" si="347">ROUND(O182,2)</f>
        <v>8.67</v>
      </c>
    </row>
    <row r="183" spans="1:26" x14ac:dyDescent="0.25">
      <c r="A183" s="220">
        <v>71504</v>
      </c>
      <c r="B183" s="221">
        <v>9944</v>
      </c>
      <c r="C183" s="109" t="s">
        <v>73</v>
      </c>
      <c r="D183" s="229">
        <v>45891</v>
      </c>
      <c r="E183" s="65"/>
      <c r="F183" s="227" t="s">
        <v>4</v>
      </c>
      <c r="G183" s="65" t="str">
        <f t="shared" si="344"/>
        <v>Pali</v>
      </c>
      <c r="H183" s="65">
        <v>1132</v>
      </c>
      <c r="I183" s="65">
        <v>4.22</v>
      </c>
      <c r="J183" s="65">
        <v>8.44</v>
      </c>
      <c r="K183" s="176">
        <f t="shared" si="279"/>
        <v>47.770399999999995</v>
      </c>
      <c r="L183" s="177">
        <f t="shared" si="280"/>
        <v>95.54079999999999</v>
      </c>
      <c r="M183" s="209">
        <f t="shared" si="339"/>
        <v>1136.639344262295</v>
      </c>
      <c r="N183" s="211">
        <f t="shared" si="340"/>
        <v>4.252728846536959</v>
      </c>
      <c r="O183" s="211">
        <f t="shared" si="341"/>
        <v>8.3738353020118179</v>
      </c>
      <c r="P183" s="176">
        <f t="shared" si="342"/>
        <v>48.338189274531153</v>
      </c>
      <c r="Q183" s="212">
        <f t="shared" si="343"/>
        <v>95.180306666391701</v>
      </c>
      <c r="R183" s="348"/>
      <c r="S183" s="348"/>
      <c r="T183" s="348"/>
      <c r="U183" s="352"/>
      <c r="V183" s="352"/>
      <c r="X183" s="176">
        <f t="shared" si="345"/>
        <v>1137</v>
      </c>
      <c r="Y183" s="210">
        <f t="shared" si="346"/>
        <v>4.25</v>
      </c>
      <c r="Z183" s="210">
        <f t="shared" si="347"/>
        <v>8.3699999999999992</v>
      </c>
    </row>
    <row r="184" spans="1:26" x14ac:dyDescent="0.25">
      <c r="A184" s="220">
        <v>70315</v>
      </c>
      <c r="B184" s="221">
        <v>8504</v>
      </c>
      <c r="C184" s="109" t="s">
        <v>73</v>
      </c>
      <c r="D184" s="229">
        <v>45871</v>
      </c>
      <c r="E184" s="65"/>
      <c r="F184" s="227" t="s">
        <v>2</v>
      </c>
      <c r="G184" s="65" t="str">
        <f t="shared" si="344"/>
        <v>Itki</v>
      </c>
      <c r="H184" s="65">
        <v>6730</v>
      </c>
      <c r="I184" s="65">
        <v>4.3</v>
      </c>
      <c r="J184" s="65">
        <v>8.3800000000000008</v>
      </c>
      <c r="K184" s="176">
        <f t="shared" si="279"/>
        <v>289.39</v>
      </c>
      <c r="L184" s="177">
        <f t="shared" si="280"/>
        <v>563.97400000000005</v>
      </c>
      <c r="M184" s="209">
        <f>$R$184*H184/SUM($H$184)</f>
        <v>6760</v>
      </c>
      <c r="N184" s="211">
        <f t="shared" ref="N184" si="348">P184/M184*100</f>
        <v>4.2</v>
      </c>
      <c r="O184" s="211">
        <f t="shared" ref="O184" si="349">Q184/M184*100</f>
        <v>8.35</v>
      </c>
      <c r="P184" s="176">
        <f>$U$184*K184/SUM($K$184)</f>
        <v>283.92</v>
      </c>
      <c r="Q184" s="212">
        <f>$V$184*L184/SUM($L$184)</f>
        <v>564.45999999999992</v>
      </c>
      <c r="R184" s="234">
        <v>6760</v>
      </c>
      <c r="S184" s="234">
        <v>4.2</v>
      </c>
      <c r="T184" s="234">
        <v>8.35</v>
      </c>
      <c r="U184" s="234">
        <f>R184*S184%</f>
        <v>283.92</v>
      </c>
      <c r="V184" s="234">
        <f>R184*T184%</f>
        <v>564.45999999999992</v>
      </c>
      <c r="X184" s="176">
        <f t="shared" si="345"/>
        <v>6760</v>
      </c>
      <c r="Y184" s="210">
        <f t="shared" si="346"/>
        <v>4.2</v>
      </c>
      <c r="Z184" s="210">
        <f t="shared" si="347"/>
        <v>8.35</v>
      </c>
    </row>
    <row r="185" spans="1:26" x14ac:dyDescent="0.25">
      <c r="A185" s="220" t="s">
        <v>111</v>
      </c>
      <c r="B185" s="221">
        <v>8504</v>
      </c>
      <c r="C185" s="109" t="s">
        <v>73</v>
      </c>
      <c r="D185" s="229">
        <v>45872</v>
      </c>
      <c r="E185" s="65"/>
      <c r="F185" s="227" t="s">
        <v>2</v>
      </c>
      <c r="G185" s="65" t="str">
        <f t="shared" ref="G185" si="350">VLOOKUP(F185,$AC$11:$AD$19,2,0)</f>
        <v>Itki</v>
      </c>
      <c r="H185" s="65">
        <v>2900</v>
      </c>
      <c r="I185" s="65">
        <v>4.3</v>
      </c>
      <c r="J185" s="65">
        <v>8.52</v>
      </c>
      <c r="K185" s="176">
        <f t="shared" si="279"/>
        <v>124.69999999999999</v>
      </c>
      <c r="L185" s="177">
        <f t="shared" si="280"/>
        <v>247.07999999999998</v>
      </c>
      <c r="M185" s="209">
        <f>$R$185*H185/SUM($H$185)</f>
        <v>2940</v>
      </c>
      <c r="N185" s="211">
        <f t="shared" ref="N185" si="351">P185/M185*100</f>
        <v>4.0999999999999996</v>
      </c>
      <c r="O185" s="211">
        <f t="shared" ref="O185" si="352">Q185/M185*100</f>
        <v>8.23</v>
      </c>
      <c r="P185" s="176">
        <f>$U$185*K185/SUM($K$185)</f>
        <v>120.53999999999998</v>
      </c>
      <c r="Q185" s="212">
        <f>$V$185*L185/SUM($L$185)</f>
        <v>241.96199999999999</v>
      </c>
      <c r="R185" s="234">
        <v>2940</v>
      </c>
      <c r="S185" s="234">
        <v>4.0999999999999996</v>
      </c>
      <c r="T185" s="234">
        <v>8.23</v>
      </c>
      <c r="U185" s="234">
        <f>R185*S185%</f>
        <v>120.53999999999998</v>
      </c>
      <c r="V185" s="234">
        <f>R185*T185%</f>
        <v>241.96199999999999</v>
      </c>
      <c r="X185" s="176">
        <f t="shared" si="345"/>
        <v>2940</v>
      </c>
      <c r="Y185" s="210">
        <f t="shared" si="346"/>
        <v>4.0999999999999996</v>
      </c>
      <c r="Z185" s="210">
        <f t="shared" si="347"/>
        <v>8.23</v>
      </c>
    </row>
    <row r="186" spans="1:26" x14ac:dyDescent="0.25">
      <c r="A186" s="220" t="s">
        <v>112</v>
      </c>
      <c r="B186" s="221">
        <v>9944</v>
      </c>
      <c r="C186" s="109" t="s">
        <v>73</v>
      </c>
      <c r="D186" s="229">
        <v>45874</v>
      </c>
      <c r="E186" s="65"/>
      <c r="F186" s="227" t="s">
        <v>2</v>
      </c>
      <c r="G186" s="65" t="str">
        <f t="shared" ref="G186" si="353">VLOOKUP(F186,$AC$11:$AD$19,2,0)</f>
        <v>Itki</v>
      </c>
      <c r="H186" s="65">
        <v>5500</v>
      </c>
      <c r="I186" s="65">
        <v>4.3</v>
      </c>
      <c r="J186" s="65">
        <v>8.58</v>
      </c>
      <c r="K186" s="176">
        <f t="shared" si="279"/>
        <v>236.49999999999997</v>
      </c>
      <c r="L186" s="177">
        <f t="shared" si="280"/>
        <v>471.90000000000003</v>
      </c>
      <c r="M186" s="209">
        <f>$R$186*H186/SUM($H$186)</f>
        <v>5480</v>
      </c>
      <c r="N186" s="211">
        <f t="shared" ref="N186" si="354">P186/M186*100</f>
        <v>4.1500000000000004</v>
      </c>
      <c r="O186" s="211">
        <f t="shared" ref="O186" si="355">Q186/M186*100</f>
        <v>8.24</v>
      </c>
      <c r="P186" s="176">
        <f>$U$186*K186/SUM($K$186)</f>
        <v>227.42000000000002</v>
      </c>
      <c r="Q186" s="212">
        <f>$V$186*L186/SUM($L$186)</f>
        <v>451.55200000000002</v>
      </c>
      <c r="R186" s="234">
        <v>5480</v>
      </c>
      <c r="S186" s="234">
        <v>4.1500000000000004</v>
      </c>
      <c r="T186" s="234">
        <v>8.24</v>
      </c>
      <c r="U186" s="234">
        <f>R186*S186%</f>
        <v>227.42000000000002</v>
      </c>
      <c r="V186" s="234">
        <f>R186*T186%</f>
        <v>451.55200000000002</v>
      </c>
      <c r="X186" s="176">
        <f t="shared" si="345"/>
        <v>5480</v>
      </c>
      <c r="Y186" s="210">
        <f t="shared" si="346"/>
        <v>4.1500000000000004</v>
      </c>
      <c r="Z186" s="210">
        <f t="shared" si="347"/>
        <v>8.24</v>
      </c>
    </row>
    <row r="187" spans="1:26" x14ac:dyDescent="0.25">
      <c r="A187" s="220" t="s">
        <v>113</v>
      </c>
      <c r="B187" s="221">
        <v>9944</v>
      </c>
      <c r="C187" s="109" t="s">
        <v>73</v>
      </c>
      <c r="D187" s="229">
        <v>45876</v>
      </c>
      <c r="E187" s="65"/>
      <c r="F187" s="227" t="s">
        <v>2</v>
      </c>
      <c r="G187" s="65" t="str">
        <f t="shared" ref="G187" si="356">VLOOKUP(F187,$AC$11:$AD$19,2,0)</f>
        <v>Itki</v>
      </c>
      <c r="H187" s="65">
        <v>5080</v>
      </c>
      <c r="I187" s="65">
        <v>4.2</v>
      </c>
      <c r="J187" s="65">
        <v>8.56</v>
      </c>
      <c r="K187" s="176">
        <f t="shared" si="279"/>
        <v>213.36</v>
      </c>
      <c r="L187" s="177">
        <f t="shared" si="280"/>
        <v>434.84800000000007</v>
      </c>
      <c r="M187" s="209">
        <f>$R$187*H187/SUM($H$187)</f>
        <v>5070</v>
      </c>
      <c r="N187" s="211">
        <f t="shared" ref="N187" si="357">P187/M187*100</f>
        <v>4</v>
      </c>
      <c r="O187" s="211">
        <f t="shared" ref="O187" si="358">Q187/M187*100</f>
        <v>8.39</v>
      </c>
      <c r="P187" s="176">
        <f>$U$187*K187/SUM($K$187)</f>
        <v>202.8</v>
      </c>
      <c r="Q187" s="212">
        <f>$V$187*L187/SUM($L$187)</f>
        <v>425.37299999999999</v>
      </c>
      <c r="R187" s="234">
        <v>5070</v>
      </c>
      <c r="S187" s="234">
        <v>4</v>
      </c>
      <c r="T187" s="234">
        <v>8.39</v>
      </c>
      <c r="U187" s="234">
        <f>R187*S187%</f>
        <v>202.8</v>
      </c>
      <c r="V187" s="234">
        <f>R187*T187%</f>
        <v>425.37299999999999</v>
      </c>
      <c r="X187" s="176">
        <f t="shared" si="345"/>
        <v>5070</v>
      </c>
      <c r="Y187" s="210">
        <f t="shared" si="346"/>
        <v>4</v>
      </c>
      <c r="Z187" s="210">
        <f t="shared" si="347"/>
        <v>8.39</v>
      </c>
    </row>
    <row r="188" spans="1:26" x14ac:dyDescent="0.25">
      <c r="A188" s="220">
        <v>70317</v>
      </c>
      <c r="B188" s="221">
        <v>9944</v>
      </c>
      <c r="C188" s="109" t="s">
        <v>73</v>
      </c>
      <c r="D188" s="229">
        <v>45879</v>
      </c>
      <c r="E188" s="65"/>
      <c r="F188" s="227" t="s">
        <v>2</v>
      </c>
      <c r="G188" s="65" t="str">
        <f t="shared" ref="G188" si="359">VLOOKUP(F188,$AC$11:$AD$19,2,0)</f>
        <v>Itki</v>
      </c>
      <c r="H188" s="65">
        <v>4350</v>
      </c>
      <c r="I188" s="65">
        <v>4.4000000000000004</v>
      </c>
      <c r="J188" s="65">
        <v>8.5399999999999991</v>
      </c>
      <c r="K188" s="176">
        <f t="shared" si="279"/>
        <v>191.4</v>
      </c>
      <c r="L188" s="177">
        <f t="shared" si="280"/>
        <v>371.48999999999995</v>
      </c>
      <c r="M188" s="209">
        <f>$R$188*H188/SUM($H$188)</f>
        <v>4330</v>
      </c>
      <c r="N188" s="211">
        <f t="shared" ref="N188" si="360">P188/M188*100</f>
        <v>4.3</v>
      </c>
      <c r="O188" s="211">
        <f t="shared" ref="O188" si="361">Q188/M188*100</f>
        <v>8.39</v>
      </c>
      <c r="P188" s="176">
        <f>$U$188*K188/SUM($K$188)</f>
        <v>186.19</v>
      </c>
      <c r="Q188" s="212">
        <f>$V$188*L188/SUM($L$188)</f>
        <v>363.28700000000003</v>
      </c>
      <c r="R188" s="234">
        <v>4330</v>
      </c>
      <c r="S188" s="234">
        <v>4.3</v>
      </c>
      <c r="T188" s="234">
        <v>8.39</v>
      </c>
      <c r="U188" s="234">
        <f>R188*S188%</f>
        <v>186.19</v>
      </c>
      <c r="V188" s="234">
        <f>R188*T188%</f>
        <v>363.28700000000003</v>
      </c>
      <c r="X188" s="176">
        <f t="shared" si="345"/>
        <v>4330</v>
      </c>
      <c r="Y188" s="210">
        <f t="shared" si="346"/>
        <v>4.3</v>
      </c>
      <c r="Z188" s="210">
        <f t="shared" si="347"/>
        <v>8.39</v>
      </c>
    </row>
    <row r="189" spans="1:26" x14ac:dyDescent="0.25">
      <c r="A189" s="220">
        <v>70486</v>
      </c>
      <c r="B189" s="228" t="s">
        <v>90</v>
      </c>
      <c r="C189" s="109" t="s">
        <v>73</v>
      </c>
      <c r="D189" s="229">
        <v>45883</v>
      </c>
      <c r="E189" s="65"/>
      <c r="F189" s="227" t="s">
        <v>2</v>
      </c>
      <c r="G189" s="65" t="str">
        <f t="shared" ref="G189:G221" si="362">VLOOKUP(F189,$AC$11:$AD$19,2,0)</f>
        <v>Itki</v>
      </c>
      <c r="H189" s="65">
        <v>6150</v>
      </c>
      <c r="I189" s="65">
        <v>4.4000000000000004</v>
      </c>
      <c r="J189" s="65">
        <v>8.5399999999999991</v>
      </c>
      <c r="K189" s="176">
        <f t="shared" si="279"/>
        <v>270.60000000000002</v>
      </c>
      <c r="L189" s="177">
        <f t="shared" si="280"/>
        <v>525.20999999999992</v>
      </c>
      <c r="M189" s="209">
        <f>$R$189*H189/SUM($H$189)</f>
        <v>6140</v>
      </c>
      <c r="N189" s="211">
        <f t="shared" ref="N189" si="363">P189/M189*100</f>
        <v>4.3499999999999996</v>
      </c>
      <c r="O189" s="211">
        <f t="shared" ref="O189" si="364">Q189/M189*100</f>
        <v>8.2799999999999994</v>
      </c>
      <c r="P189" s="176">
        <f>$U$189*K189/SUM($K$189)</f>
        <v>267.08999999999997</v>
      </c>
      <c r="Q189" s="212">
        <f>$V$189*L189/SUM($L$189)</f>
        <v>508.392</v>
      </c>
      <c r="R189" s="234">
        <v>6140</v>
      </c>
      <c r="S189" s="234">
        <v>4.3499999999999996</v>
      </c>
      <c r="T189" s="234">
        <v>8.2799999999999994</v>
      </c>
      <c r="U189" s="234">
        <f t="shared" ref="U189:U194" si="365">R189*S189%</f>
        <v>267.08999999999997</v>
      </c>
      <c r="V189" s="234">
        <f t="shared" ref="V189:V194" si="366">R189*T189%</f>
        <v>508.392</v>
      </c>
      <c r="X189" s="176">
        <f t="shared" si="345"/>
        <v>6140</v>
      </c>
      <c r="Y189" s="210">
        <f t="shared" si="346"/>
        <v>4.3499999999999996</v>
      </c>
      <c r="Z189" s="210">
        <f t="shared" si="347"/>
        <v>8.2799999999999994</v>
      </c>
    </row>
    <row r="190" spans="1:26" x14ac:dyDescent="0.25">
      <c r="A190" s="220">
        <v>70488</v>
      </c>
      <c r="B190" s="228" t="s">
        <v>90</v>
      </c>
      <c r="C190" s="109" t="s">
        <v>73</v>
      </c>
      <c r="D190" s="229">
        <v>45886</v>
      </c>
      <c r="E190" s="65"/>
      <c r="F190" s="227" t="s">
        <v>2</v>
      </c>
      <c r="G190" s="65" t="str">
        <f t="shared" si="362"/>
        <v>Itki</v>
      </c>
      <c r="H190" s="65">
        <v>5690</v>
      </c>
      <c r="I190" s="65">
        <v>4.3499999999999996</v>
      </c>
      <c r="J190" s="65">
        <v>8.5399999999999991</v>
      </c>
      <c r="K190" s="176">
        <f t="shared" si="279"/>
        <v>247.51499999999999</v>
      </c>
      <c r="L190" s="177">
        <f t="shared" si="280"/>
        <v>485.92599999999993</v>
      </c>
      <c r="M190" s="209">
        <f>$R$190*H190/SUM($H$190)</f>
        <v>5700</v>
      </c>
      <c r="N190" s="211">
        <f t="shared" ref="N190" si="367">P190/M190*100</f>
        <v>4.25</v>
      </c>
      <c r="O190" s="211">
        <f t="shared" ref="O190" si="368">Q190/M190*100</f>
        <v>8.44</v>
      </c>
      <c r="P190" s="176">
        <f>$U$190*K190/SUM($K$190)</f>
        <v>242.25000000000003</v>
      </c>
      <c r="Q190" s="212">
        <f>$V$190*L190/SUM($L$190)</f>
        <v>481.07999999999993</v>
      </c>
      <c r="R190" s="234">
        <v>5700</v>
      </c>
      <c r="S190" s="234">
        <v>4.25</v>
      </c>
      <c r="T190" s="234">
        <v>8.44</v>
      </c>
      <c r="U190" s="234">
        <f t="shared" si="365"/>
        <v>242.25000000000003</v>
      </c>
      <c r="V190" s="234">
        <f t="shared" si="366"/>
        <v>481.07999999999993</v>
      </c>
      <c r="X190" s="176">
        <f t="shared" si="345"/>
        <v>5700</v>
      </c>
      <c r="Y190" s="210">
        <f t="shared" si="346"/>
        <v>4.25</v>
      </c>
      <c r="Z190" s="210">
        <f t="shared" si="347"/>
        <v>8.44</v>
      </c>
    </row>
    <row r="191" spans="1:26" x14ac:dyDescent="0.25">
      <c r="A191" s="220">
        <v>70490</v>
      </c>
      <c r="B191" s="228">
        <v>8504</v>
      </c>
      <c r="C191" s="109" t="s">
        <v>73</v>
      </c>
      <c r="D191" s="229">
        <v>45887</v>
      </c>
      <c r="E191" s="65"/>
      <c r="F191" s="227" t="s">
        <v>2</v>
      </c>
      <c r="G191" s="65" t="str">
        <f t="shared" si="362"/>
        <v>Itki</v>
      </c>
      <c r="H191" s="65">
        <v>6750</v>
      </c>
      <c r="I191" s="65">
        <v>4.45</v>
      </c>
      <c r="J191" s="65">
        <v>8.5500000000000007</v>
      </c>
      <c r="K191" s="176">
        <f t="shared" si="279"/>
        <v>300.37500000000006</v>
      </c>
      <c r="L191" s="177">
        <f t="shared" si="280"/>
        <v>577.125</v>
      </c>
      <c r="M191" s="209">
        <f>$R$191*H191/SUM($H$191)</f>
        <v>6730</v>
      </c>
      <c r="N191" s="211">
        <f t="shared" ref="N191" si="369">P191/M191*100</f>
        <v>4.3</v>
      </c>
      <c r="O191" s="211">
        <f t="shared" ref="O191" si="370">Q191/M191*100</f>
        <v>8.39</v>
      </c>
      <c r="P191" s="176">
        <f>$U$191*K191/SUM($K$191)</f>
        <v>289.39</v>
      </c>
      <c r="Q191" s="212">
        <f>$V$191*L191/SUM($L$191)</f>
        <v>564.64700000000005</v>
      </c>
      <c r="R191" s="234">
        <v>6730</v>
      </c>
      <c r="S191" s="234">
        <v>4.3</v>
      </c>
      <c r="T191" s="234">
        <v>8.39</v>
      </c>
      <c r="U191" s="234">
        <f t="shared" si="365"/>
        <v>289.39</v>
      </c>
      <c r="V191" s="234">
        <f t="shared" si="366"/>
        <v>564.64700000000005</v>
      </c>
      <c r="X191" s="176">
        <f t="shared" si="345"/>
        <v>6730</v>
      </c>
      <c r="Y191" s="210">
        <f t="shared" si="346"/>
        <v>4.3</v>
      </c>
      <c r="Z191" s="210">
        <f t="shared" si="347"/>
        <v>8.39</v>
      </c>
    </row>
    <row r="192" spans="1:26" x14ac:dyDescent="0.25">
      <c r="A192" s="220">
        <v>70491</v>
      </c>
      <c r="B192" s="221">
        <v>8504</v>
      </c>
      <c r="C192" s="109" t="s">
        <v>73</v>
      </c>
      <c r="D192" s="229">
        <v>45888</v>
      </c>
      <c r="E192" s="65"/>
      <c r="F192" s="227" t="s">
        <v>2</v>
      </c>
      <c r="G192" s="65" t="str">
        <f t="shared" si="362"/>
        <v>Itki</v>
      </c>
      <c r="H192" s="65">
        <v>5690</v>
      </c>
      <c r="I192" s="65">
        <v>4.3499999999999996</v>
      </c>
      <c r="J192" s="65">
        <v>8.59</v>
      </c>
      <c r="K192" s="176">
        <f t="shared" si="279"/>
        <v>247.51499999999999</v>
      </c>
      <c r="L192" s="177">
        <f t="shared" si="280"/>
        <v>488.77100000000002</v>
      </c>
      <c r="M192" s="209">
        <f>$R$192*H192/SUM($H$192)</f>
        <v>5740</v>
      </c>
      <c r="N192" s="211">
        <f t="shared" ref="N192" si="371">P192/M192*100</f>
        <v>4.25</v>
      </c>
      <c r="O192" s="211">
        <f t="shared" ref="O192" si="372">Q192/M192*100</f>
        <v>8.44</v>
      </c>
      <c r="P192" s="176">
        <f>$U$192*K192/SUM($K$192)</f>
        <v>243.95000000000002</v>
      </c>
      <c r="Q192" s="212">
        <f>$V$192*L192/SUM($L$192)</f>
        <v>484.45599999999996</v>
      </c>
      <c r="R192" s="234">
        <v>5740</v>
      </c>
      <c r="S192" s="234">
        <v>4.25</v>
      </c>
      <c r="T192" s="234">
        <v>8.44</v>
      </c>
      <c r="U192" s="234">
        <f t="shared" si="365"/>
        <v>243.95000000000002</v>
      </c>
      <c r="V192" s="234">
        <f t="shared" si="366"/>
        <v>484.45599999999996</v>
      </c>
      <c r="X192" s="176">
        <f t="shared" si="345"/>
        <v>5740</v>
      </c>
      <c r="Y192" s="210">
        <f t="shared" si="346"/>
        <v>4.25</v>
      </c>
      <c r="Z192" s="210">
        <f t="shared" si="347"/>
        <v>8.44</v>
      </c>
    </row>
    <row r="193" spans="1:26" x14ac:dyDescent="0.25">
      <c r="A193" s="220">
        <v>70326</v>
      </c>
      <c r="B193" s="221">
        <v>8504</v>
      </c>
      <c r="C193" s="109" t="s">
        <v>73</v>
      </c>
      <c r="D193" s="229">
        <v>45889</v>
      </c>
      <c r="E193" s="65"/>
      <c r="F193" s="227" t="s">
        <v>2</v>
      </c>
      <c r="G193" s="65" t="str">
        <f t="shared" si="362"/>
        <v>Itki</v>
      </c>
      <c r="H193" s="65">
        <v>6740</v>
      </c>
      <c r="I193" s="65">
        <v>4.5</v>
      </c>
      <c r="J193" s="65">
        <v>8.56</v>
      </c>
      <c r="K193" s="176">
        <f t="shared" si="279"/>
        <v>303.3</v>
      </c>
      <c r="L193" s="177">
        <f t="shared" si="280"/>
        <v>576.94400000000007</v>
      </c>
      <c r="M193" s="209">
        <f>$R$193*H193/SUM($H$193)</f>
        <v>6740</v>
      </c>
      <c r="N193" s="211">
        <f t="shared" ref="N193" si="373">P193/M193*100</f>
        <v>4.3</v>
      </c>
      <c r="O193" s="211">
        <f t="shared" ref="O193" si="374">Q193/M193*100</f>
        <v>8.2700000000000014</v>
      </c>
      <c r="P193" s="176">
        <f>$U$193*K193/SUM($K$193)</f>
        <v>289.82</v>
      </c>
      <c r="Q193" s="212">
        <f>$V$193*L193/SUM($L$193)</f>
        <v>557.39800000000002</v>
      </c>
      <c r="R193" s="234">
        <v>6740</v>
      </c>
      <c r="S193" s="234">
        <v>4.3</v>
      </c>
      <c r="T193" s="234">
        <v>8.27</v>
      </c>
      <c r="U193" s="234">
        <f t="shared" si="365"/>
        <v>289.82</v>
      </c>
      <c r="V193" s="234">
        <f t="shared" si="366"/>
        <v>557.39800000000002</v>
      </c>
      <c r="X193" s="176">
        <f t="shared" si="345"/>
        <v>6740</v>
      </c>
      <c r="Y193" s="210">
        <f t="shared" si="346"/>
        <v>4.3</v>
      </c>
      <c r="Z193" s="210">
        <f t="shared" si="347"/>
        <v>8.27</v>
      </c>
    </row>
    <row r="194" spans="1:26" x14ac:dyDescent="0.25">
      <c r="A194" s="220">
        <v>70492</v>
      </c>
      <c r="B194" s="228" t="s">
        <v>90</v>
      </c>
      <c r="C194" s="109" t="s">
        <v>73</v>
      </c>
      <c r="D194" s="229">
        <v>45890</v>
      </c>
      <c r="E194" s="65"/>
      <c r="F194" s="227" t="s">
        <v>2</v>
      </c>
      <c r="G194" s="65" t="str">
        <f t="shared" si="362"/>
        <v>Itki</v>
      </c>
      <c r="H194" s="65">
        <v>6150</v>
      </c>
      <c r="I194" s="65">
        <v>4.5</v>
      </c>
      <c r="J194" s="65">
        <v>8.56</v>
      </c>
      <c r="K194" s="176">
        <f t="shared" si="279"/>
        <v>276.75</v>
      </c>
      <c r="L194" s="177">
        <f t="shared" si="280"/>
        <v>526.44000000000005</v>
      </c>
      <c r="M194" s="209">
        <f>$R$194*H194/SUM($H$194)</f>
        <v>6150</v>
      </c>
      <c r="N194" s="211">
        <f t="shared" ref="N194:N195" si="375">P194/M194*100</f>
        <v>4.2</v>
      </c>
      <c r="O194" s="211">
        <f t="shared" ref="O194:O195" si="376">Q194/M194*100</f>
        <v>8.3699999999999992</v>
      </c>
      <c r="P194" s="176">
        <f>$U$194*K194/SUM($K$194)</f>
        <v>258.3</v>
      </c>
      <c r="Q194" s="212">
        <f>$V$194*L194/SUM($L$194)</f>
        <v>514.755</v>
      </c>
      <c r="R194" s="234">
        <v>6150</v>
      </c>
      <c r="S194" s="234">
        <v>4.2</v>
      </c>
      <c r="T194" s="234">
        <v>8.3699999999999992</v>
      </c>
      <c r="U194" s="234">
        <f t="shared" si="365"/>
        <v>258.3</v>
      </c>
      <c r="V194" s="234">
        <f t="shared" si="366"/>
        <v>514.755</v>
      </c>
      <c r="X194" s="176">
        <f t="shared" si="345"/>
        <v>6150</v>
      </c>
      <c r="Y194" s="210">
        <f t="shared" si="346"/>
        <v>4.2</v>
      </c>
      <c r="Z194" s="210">
        <f t="shared" si="347"/>
        <v>8.3699999999999992</v>
      </c>
    </row>
    <row r="195" spans="1:26" x14ac:dyDescent="0.25">
      <c r="A195" s="220">
        <v>70514</v>
      </c>
      <c r="B195" s="221">
        <v>8504</v>
      </c>
      <c r="C195" s="109" t="s">
        <v>73</v>
      </c>
      <c r="D195" s="229">
        <v>45891</v>
      </c>
      <c r="E195" s="65"/>
      <c r="F195" s="227" t="s">
        <v>89</v>
      </c>
      <c r="G195" s="65" t="str">
        <f t="shared" si="362"/>
        <v>Chanho</v>
      </c>
      <c r="H195" s="65">
        <v>1128</v>
      </c>
      <c r="I195" s="65">
        <v>4.05</v>
      </c>
      <c r="J195" s="65">
        <v>8.34</v>
      </c>
      <c r="K195" s="176">
        <f t="shared" si="279"/>
        <v>45.684000000000005</v>
      </c>
      <c r="L195" s="177">
        <f t="shared" si="280"/>
        <v>94.075199999999995</v>
      </c>
      <c r="M195" s="209">
        <f>$R$195*H195/SUM($H$195:$H$197)</f>
        <v>1139.2771084337348</v>
      </c>
      <c r="N195" s="211">
        <f t="shared" si="375"/>
        <v>3.8727006590378794</v>
      </c>
      <c r="O195" s="211">
        <f t="shared" si="376"/>
        <v>8.0908789920361954</v>
      </c>
      <c r="P195" s="176">
        <f>$U$195*K195/SUM($K$195:$K$197)</f>
        <v>44.120792086580948</v>
      </c>
      <c r="Q195" s="212">
        <f>$V$195*L195/SUM($L$195:$L$197)</f>
        <v>92.177532227342468</v>
      </c>
      <c r="R195" s="347">
        <v>3940</v>
      </c>
      <c r="S195" s="347">
        <v>3.95</v>
      </c>
      <c r="T195" s="347">
        <v>8.1300000000000008</v>
      </c>
      <c r="U195" s="347">
        <f>R195*S195%</f>
        <v>155.63</v>
      </c>
      <c r="V195" s="347">
        <f>R195*T195%</f>
        <v>320.32200000000006</v>
      </c>
      <c r="X195" s="176">
        <f t="shared" si="345"/>
        <v>1139</v>
      </c>
      <c r="Y195" s="210">
        <f t="shared" si="346"/>
        <v>3.87</v>
      </c>
      <c r="Z195" s="210">
        <f t="shared" si="347"/>
        <v>8.09</v>
      </c>
    </row>
    <row r="196" spans="1:26" x14ac:dyDescent="0.25">
      <c r="A196" s="220">
        <v>70514</v>
      </c>
      <c r="B196" s="221">
        <v>8504</v>
      </c>
      <c r="C196" s="109" t="s">
        <v>73</v>
      </c>
      <c r="D196" s="229">
        <v>45891</v>
      </c>
      <c r="E196" s="65"/>
      <c r="F196" s="227" t="s">
        <v>4</v>
      </c>
      <c r="G196" s="65" t="str">
        <f t="shared" si="362"/>
        <v>Pali</v>
      </c>
      <c r="H196" s="65">
        <v>1178</v>
      </c>
      <c r="I196" s="65">
        <v>4.25</v>
      </c>
      <c r="J196" s="65">
        <v>8.4600000000000009</v>
      </c>
      <c r="K196" s="176">
        <f t="shared" si="279"/>
        <v>50.065000000000005</v>
      </c>
      <c r="L196" s="177">
        <f t="shared" si="280"/>
        <v>99.658800000000014</v>
      </c>
      <c r="M196" s="209">
        <f t="shared" ref="M196:M197" si="377">$R$195*H196/SUM($H$195:$H$197)</f>
        <v>1189.7769802614714</v>
      </c>
      <c r="N196" s="211">
        <f t="shared" ref="N196:N198" si="378">P196/M196*100</f>
        <v>4.0639451360274039</v>
      </c>
      <c r="O196" s="211">
        <f t="shared" ref="O196:O198" si="379">Q196/M196*100</f>
        <v>8.2072945171014648</v>
      </c>
      <c r="P196" s="176">
        <f t="shared" ref="P196:P197" si="380">$U$195*K196/SUM($K$195:$K$197)</f>
        <v>48.351883718909797</v>
      </c>
      <c r="Q196" s="212">
        <f t="shared" ref="Q196:Q197" si="381">$V$195*L196/SUM($L$195:$L$197)</f>
        <v>97.64850086673512</v>
      </c>
      <c r="R196" s="349"/>
      <c r="S196" s="349"/>
      <c r="T196" s="349"/>
      <c r="U196" s="349"/>
      <c r="V196" s="349"/>
      <c r="X196" s="176">
        <f t="shared" si="345"/>
        <v>1190</v>
      </c>
      <c r="Y196" s="210">
        <f t="shared" si="346"/>
        <v>4.0599999999999996</v>
      </c>
      <c r="Z196" s="210">
        <f t="shared" si="347"/>
        <v>8.2100000000000009</v>
      </c>
    </row>
    <row r="197" spans="1:26" x14ac:dyDescent="0.25">
      <c r="A197" s="220">
        <v>70514</v>
      </c>
      <c r="B197" s="221">
        <v>8504</v>
      </c>
      <c r="C197" s="109" t="s">
        <v>73</v>
      </c>
      <c r="D197" s="229">
        <v>45891</v>
      </c>
      <c r="E197" s="65"/>
      <c r="F197" s="227" t="s">
        <v>12</v>
      </c>
      <c r="G197" s="65" t="str">
        <f t="shared" si="362"/>
        <v>Ormanjhi</v>
      </c>
      <c r="H197" s="65">
        <v>1595</v>
      </c>
      <c r="I197" s="65">
        <v>4.0999999999999996</v>
      </c>
      <c r="J197" s="65">
        <v>8.35</v>
      </c>
      <c r="K197" s="176">
        <f t="shared" si="279"/>
        <v>65.394999999999996</v>
      </c>
      <c r="L197" s="177">
        <f t="shared" si="280"/>
        <v>133.18249999999998</v>
      </c>
      <c r="M197" s="209">
        <f t="shared" si="377"/>
        <v>1610.9459113047938</v>
      </c>
      <c r="N197" s="211">
        <f t="shared" si="378"/>
        <v>3.9205117782852592</v>
      </c>
      <c r="O197" s="211">
        <f t="shared" si="379"/>
        <v>8.1005802857916311</v>
      </c>
      <c r="P197" s="176">
        <f t="shared" si="380"/>
        <v>63.157324194509251</v>
      </c>
      <c r="Q197" s="212">
        <f t="shared" si="381"/>
        <v>130.49596690592244</v>
      </c>
      <c r="R197" s="348"/>
      <c r="S197" s="348"/>
      <c r="T197" s="348"/>
      <c r="U197" s="348"/>
      <c r="V197" s="348"/>
      <c r="X197" s="176">
        <f t="shared" si="345"/>
        <v>1611</v>
      </c>
      <c r="Y197" s="210">
        <f t="shared" si="346"/>
        <v>3.92</v>
      </c>
      <c r="Z197" s="210">
        <f t="shared" si="347"/>
        <v>8.1</v>
      </c>
    </row>
    <row r="198" spans="1:26" x14ac:dyDescent="0.25">
      <c r="A198" s="220">
        <v>70515</v>
      </c>
      <c r="B198" s="228" t="s">
        <v>90</v>
      </c>
      <c r="C198" s="109" t="s">
        <v>73</v>
      </c>
      <c r="D198" s="229">
        <v>45891</v>
      </c>
      <c r="E198" s="65"/>
      <c r="F198" s="227" t="s">
        <v>78</v>
      </c>
      <c r="G198" s="65" t="str">
        <f t="shared" si="362"/>
        <v>Bhandra</v>
      </c>
      <c r="H198" s="65">
        <v>6150</v>
      </c>
      <c r="I198" s="65">
        <v>4.25</v>
      </c>
      <c r="J198" s="65">
        <v>8.44</v>
      </c>
      <c r="K198" s="176">
        <f t="shared" ref="K198:K214" si="382">H198*I198%</f>
        <v>261.375</v>
      </c>
      <c r="L198" s="177">
        <f t="shared" ref="L198:L214" si="383">H198*J198%</f>
        <v>519.05999999999995</v>
      </c>
      <c r="M198" s="209">
        <f>$R$198*H198/SUM($H$198)</f>
        <v>6150</v>
      </c>
      <c r="N198" s="211">
        <f t="shared" si="378"/>
        <v>4.1500000000000012</v>
      </c>
      <c r="O198" s="211">
        <f t="shared" si="379"/>
        <v>8.2399999999999984</v>
      </c>
      <c r="P198" s="176">
        <f>$U$198*K198/SUM($K$198)</f>
        <v>255.22500000000005</v>
      </c>
      <c r="Q198" s="212">
        <f>$V$198*L198/SUM($L$198)</f>
        <v>506.75999999999993</v>
      </c>
      <c r="R198" s="234">
        <v>6150</v>
      </c>
      <c r="S198" s="234">
        <v>4.1500000000000004</v>
      </c>
      <c r="T198" s="234">
        <v>8.24</v>
      </c>
      <c r="U198" s="234">
        <f t="shared" ref="U198" si="384">R198*S198%</f>
        <v>255.22500000000002</v>
      </c>
      <c r="V198" s="234">
        <f t="shared" ref="V198" si="385">R198*T198%</f>
        <v>506.76</v>
      </c>
      <c r="X198" s="176">
        <f t="shared" ref="X198:X214" si="386">ROUND(M198,0)</f>
        <v>6150</v>
      </c>
      <c r="Y198" s="210">
        <f t="shared" ref="Y198:Y214" si="387">ROUND(N198,2)</f>
        <v>4.1500000000000004</v>
      </c>
      <c r="Z198" s="210">
        <f t="shared" ref="Z198:Z214" si="388">ROUND(O198,2)</f>
        <v>8.24</v>
      </c>
    </row>
    <row r="199" spans="1:26" x14ac:dyDescent="0.25">
      <c r="A199" s="220">
        <v>70511</v>
      </c>
      <c r="B199" s="221">
        <v>5337</v>
      </c>
      <c r="C199" s="109" t="s">
        <v>109</v>
      </c>
      <c r="D199" s="229">
        <v>45892</v>
      </c>
      <c r="E199" s="65"/>
      <c r="F199" s="227" t="s">
        <v>78</v>
      </c>
      <c r="G199" s="65" t="str">
        <f t="shared" si="362"/>
        <v>Bhandra</v>
      </c>
      <c r="H199" s="65">
        <v>5220</v>
      </c>
      <c r="I199" s="65">
        <v>4.3499999999999996</v>
      </c>
      <c r="J199" s="65">
        <v>8.65</v>
      </c>
      <c r="K199" s="176">
        <f t="shared" si="382"/>
        <v>227.07</v>
      </c>
      <c r="L199" s="177">
        <f t="shared" si="383"/>
        <v>451.53000000000003</v>
      </c>
      <c r="M199" s="209">
        <f>$R$199*H199/SUM($H$199)</f>
        <v>5130</v>
      </c>
      <c r="N199" s="211">
        <f t="shared" ref="N199" si="389">P199/M199*100</f>
        <v>4.3</v>
      </c>
      <c r="O199" s="211">
        <f t="shared" ref="O199" si="390">Q199/M199*100</f>
        <v>8.39</v>
      </c>
      <c r="P199" s="176">
        <f>$U$199*K199/SUM($K$199)</f>
        <v>220.58999999999997</v>
      </c>
      <c r="Q199" s="212">
        <f>$V$199*L199/SUM($L$199)</f>
        <v>430.40700000000004</v>
      </c>
      <c r="R199" s="234">
        <v>5130</v>
      </c>
      <c r="S199" s="234">
        <v>4.3</v>
      </c>
      <c r="T199" s="234">
        <v>8.39</v>
      </c>
      <c r="U199" s="234">
        <f>R199*S199%</f>
        <v>220.58999999999997</v>
      </c>
      <c r="V199" s="234">
        <f>R199*T199%</f>
        <v>430.40700000000004</v>
      </c>
      <c r="X199" s="176">
        <f t="shared" si="386"/>
        <v>5130</v>
      </c>
      <c r="Y199" s="210">
        <f t="shared" si="387"/>
        <v>4.3</v>
      </c>
      <c r="Z199" s="210">
        <f t="shared" si="388"/>
        <v>8.39</v>
      </c>
    </row>
    <row r="200" spans="1:26" x14ac:dyDescent="0.25">
      <c r="A200" s="220">
        <v>70511</v>
      </c>
      <c r="B200" s="221">
        <v>5337</v>
      </c>
      <c r="C200" s="109" t="s">
        <v>77</v>
      </c>
      <c r="D200" s="229">
        <v>45892</v>
      </c>
      <c r="E200" s="65"/>
      <c r="F200" s="227" t="s">
        <v>2</v>
      </c>
      <c r="G200" s="65" t="str">
        <f t="shared" si="362"/>
        <v>Itki</v>
      </c>
      <c r="H200" s="65">
        <v>4920</v>
      </c>
      <c r="I200" s="65">
        <v>4.25</v>
      </c>
      <c r="J200" s="65">
        <v>8.51</v>
      </c>
      <c r="K200" s="176">
        <f t="shared" si="382"/>
        <v>209.10000000000002</v>
      </c>
      <c r="L200" s="177">
        <f t="shared" si="383"/>
        <v>418.69199999999995</v>
      </c>
      <c r="M200" s="209">
        <f>$R$200*H200/SUM($H$200)</f>
        <v>4890</v>
      </c>
      <c r="N200" s="211">
        <f t="shared" ref="N200" si="391">P200/M200*100</f>
        <v>4.2000000000000011</v>
      </c>
      <c r="O200" s="211">
        <f t="shared" ref="O200" si="392">Q200/M200*100</f>
        <v>8.23</v>
      </c>
      <c r="P200" s="176">
        <f>$U$200*K200/SUM($K$200)</f>
        <v>205.38000000000005</v>
      </c>
      <c r="Q200" s="212">
        <f>$V$200*L200/SUM($L$200)</f>
        <v>402.447</v>
      </c>
      <c r="R200" s="234">
        <v>4890</v>
      </c>
      <c r="S200" s="234">
        <v>4.2</v>
      </c>
      <c r="T200" s="234">
        <v>8.23</v>
      </c>
      <c r="U200" s="234">
        <f>R200*S200%</f>
        <v>205.38000000000002</v>
      </c>
      <c r="V200" s="234">
        <f>R200*T200%</f>
        <v>402.447</v>
      </c>
      <c r="X200" s="176">
        <f t="shared" si="386"/>
        <v>4890</v>
      </c>
      <c r="Y200" s="210">
        <f t="shared" si="387"/>
        <v>4.2</v>
      </c>
      <c r="Z200" s="210">
        <f t="shared" si="388"/>
        <v>8.23</v>
      </c>
    </row>
    <row r="201" spans="1:26" x14ac:dyDescent="0.25">
      <c r="A201" s="220">
        <v>70516</v>
      </c>
      <c r="B201" s="228" t="s">
        <v>90</v>
      </c>
      <c r="C201" s="109" t="s">
        <v>73</v>
      </c>
      <c r="D201" s="229">
        <v>45891</v>
      </c>
      <c r="E201" s="65"/>
      <c r="F201" s="227" t="s">
        <v>8</v>
      </c>
      <c r="G201" s="65" t="str">
        <f t="shared" si="362"/>
        <v>Choria</v>
      </c>
      <c r="H201" s="65">
        <v>1320</v>
      </c>
      <c r="I201" s="65">
        <v>2.9</v>
      </c>
      <c r="J201" s="65">
        <v>7.99</v>
      </c>
      <c r="K201" s="176">
        <f t="shared" si="382"/>
        <v>38.279999999999994</v>
      </c>
      <c r="L201" s="177">
        <f t="shared" si="383"/>
        <v>105.468</v>
      </c>
      <c r="M201" s="209">
        <f>$R$201*H201/SUM($H$201:$H$203)</f>
        <v>1320.9412883289756</v>
      </c>
      <c r="N201" s="211">
        <f t="shared" ref="N201" si="393">P201/M201*100</f>
        <v>2.9048872273449722</v>
      </c>
      <c r="O201" s="211">
        <f t="shared" ref="O201" si="394">Q201/M201*100</f>
        <v>7.8833172202013344</v>
      </c>
      <c r="P201" s="176">
        <f>$U$201*K201/SUM($K$201:$K$203)</f>
        <v>38.371854765394531</v>
      </c>
      <c r="Q201" s="212">
        <f>$V$201*L201/SUM($L$201:$L$203)</f>
        <v>104.13399205158748</v>
      </c>
      <c r="R201" s="347">
        <v>4210</v>
      </c>
      <c r="S201" s="347">
        <v>3.85</v>
      </c>
      <c r="T201" s="347">
        <v>8.11</v>
      </c>
      <c r="U201" s="347">
        <f>R201*S201%</f>
        <v>162.08500000000001</v>
      </c>
      <c r="V201" s="347">
        <f>R201*T201%</f>
        <v>341.43099999999998</v>
      </c>
      <c r="X201" s="176">
        <f t="shared" si="386"/>
        <v>1321</v>
      </c>
      <c r="Y201" s="210">
        <f t="shared" si="387"/>
        <v>2.9</v>
      </c>
      <c r="Z201" s="210">
        <f t="shared" si="388"/>
        <v>7.88</v>
      </c>
    </row>
    <row r="202" spans="1:26" x14ac:dyDescent="0.25">
      <c r="A202" s="220">
        <v>70516</v>
      </c>
      <c r="B202" s="228" t="s">
        <v>90</v>
      </c>
      <c r="C202" s="109" t="s">
        <v>73</v>
      </c>
      <c r="D202" s="229">
        <v>45891</v>
      </c>
      <c r="E202" s="65"/>
      <c r="F202" s="227" t="s">
        <v>14</v>
      </c>
      <c r="G202" s="65" t="str">
        <f t="shared" si="362"/>
        <v>Piragutu</v>
      </c>
      <c r="H202" s="65">
        <v>1439</v>
      </c>
      <c r="I202" s="65">
        <v>4.3</v>
      </c>
      <c r="J202" s="65">
        <v>8.39</v>
      </c>
      <c r="K202" s="176">
        <f t="shared" si="382"/>
        <v>61.876999999999995</v>
      </c>
      <c r="L202" s="177">
        <f t="shared" si="383"/>
        <v>120.7321</v>
      </c>
      <c r="M202" s="209">
        <f t="shared" ref="M202:M203" si="395">$R$201*H202/SUM($H$201:$H$203)</f>
        <v>1440.026146898027</v>
      </c>
      <c r="N202" s="211">
        <f t="shared" ref="N202:N203" si="396">P202/M202*100</f>
        <v>4.3072465784770282</v>
      </c>
      <c r="O202" s="211">
        <f t="shared" ref="O202:O203" si="397">Q202/M202*100</f>
        <v>8.2779764051926392</v>
      </c>
      <c r="P202" s="176">
        <f t="shared" ref="P202:P203" si="398">$U$201*K202/SUM($K$201:$K$203)</f>
        <v>62.025476941439848</v>
      </c>
      <c r="Q202" s="212">
        <f t="shared" ref="Q202:Q203" si="399">$V$201*L202/SUM($L$201:$L$203)</f>
        <v>119.20502466882338</v>
      </c>
      <c r="R202" s="349"/>
      <c r="S202" s="349"/>
      <c r="T202" s="349"/>
      <c r="U202" s="349"/>
      <c r="V202" s="349"/>
      <c r="X202" s="176">
        <f t="shared" si="386"/>
        <v>1440</v>
      </c>
      <c r="Y202" s="210">
        <f t="shared" si="387"/>
        <v>4.3099999999999996</v>
      </c>
      <c r="Z202" s="210">
        <f t="shared" si="388"/>
        <v>8.2799999999999994</v>
      </c>
    </row>
    <row r="203" spans="1:26" x14ac:dyDescent="0.25">
      <c r="A203" s="220">
        <v>70516</v>
      </c>
      <c r="B203" s="228" t="s">
        <v>90</v>
      </c>
      <c r="C203" s="109" t="s">
        <v>73</v>
      </c>
      <c r="D203" s="229">
        <v>45891</v>
      </c>
      <c r="E203" s="65"/>
      <c r="F203" s="227" t="s">
        <v>6</v>
      </c>
      <c r="G203" s="65" t="str">
        <f t="shared" si="362"/>
        <v>Hisri</v>
      </c>
      <c r="H203" s="65">
        <v>1448</v>
      </c>
      <c r="I203" s="65">
        <v>4.25</v>
      </c>
      <c r="J203" s="65">
        <v>8.26</v>
      </c>
      <c r="K203" s="176">
        <f t="shared" si="382"/>
        <v>61.540000000000006</v>
      </c>
      <c r="L203" s="177">
        <f t="shared" si="383"/>
        <v>119.60479999999998</v>
      </c>
      <c r="M203" s="209">
        <f t="shared" si="395"/>
        <v>1449.0325647729974</v>
      </c>
      <c r="N203" s="211">
        <f t="shared" si="396"/>
        <v>4.2571623159365979</v>
      </c>
      <c r="O203" s="211">
        <f t="shared" si="397"/>
        <v>8.1497121700704618</v>
      </c>
      <c r="P203" s="176">
        <f t="shared" si="398"/>
        <v>61.687668293165622</v>
      </c>
      <c r="Q203" s="212">
        <f t="shared" si="399"/>
        <v>118.09198327958913</v>
      </c>
      <c r="R203" s="348"/>
      <c r="S203" s="348"/>
      <c r="T203" s="348"/>
      <c r="U203" s="348"/>
      <c r="V203" s="348"/>
      <c r="X203" s="176">
        <f t="shared" si="386"/>
        <v>1449</v>
      </c>
      <c r="Y203" s="210">
        <f t="shared" si="387"/>
        <v>4.26</v>
      </c>
      <c r="Z203" s="210">
        <f t="shared" si="388"/>
        <v>8.15</v>
      </c>
    </row>
    <row r="204" spans="1:26" x14ac:dyDescent="0.25">
      <c r="A204" s="220">
        <v>70494</v>
      </c>
      <c r="B204" s="221">
        <v>5337</v>
      </c>
      <c r="C204" s="109" t="s">
        <v>109</v>
      </c>
      <c r="D204" s="229">
        <v>45891</v>
      </c>
      <c r="E204" s="65"/>
      <c r="F204" s="227" t="s">
        <v>14</v>
      </c>
      <c r="G204" s="65" t="str">
        <f t="shared" si="362"/>
        <v>Piragutu</v>
      </c>
      <c r="H204" s="65">
        <v>952</v>
      </c>
      <c r="I204" s="65">
        <v>4.25</v>
      </c>
      <c r="J204" s="65">
        <v>8.57</v>
      </c>
      <c r="K204" s="176">
        <f t="shared" si="382"/>
        <v>40.46</v>
      </c>
      <c r="L204" s="177">
        <f t="shared" si="383"/>
        <v>81.586399999999998</v>
      </c>
      <c r="M204" s="209">
        <f>$R$204*H204/SUM($H$204:$H$205)</f>
        <v>952.23628691983117</v>
      </c>
      <c r="N204" s="211">
        <f t="shared" ref="N204" si="400">P204/M204*100</f>
        <v>4.2380785413744748</v>
      </c>
      <c r="O204" s="211">
        <f t="shared" ref="O204" si="401">Q204/M204*100</f>
        <v>8.2813983275917025</v>
      </c>
      <c r="P204" s="176">
        <f>$U$204*K204/SUM($K$204:$K$205)</f>
        <v>40.356521739130436</v>
      </c>
      <c r="Q204" s="212">
        <f>$V$204*L204/SUM($L$204:$L$205)</f>
        <v>78.858479939700231</v>
      </c>
      <c r="R204" s="347">
        <v>4030</v>
      </c>
      <c r="S204" s="347">
        <v>4.2</v>
      </c>
      <c r="T204" s="347">
        <v>8.06</v>
      </c>
      <c r="U204" s="347">
        <f>R204*S204%</f>
        <v>169.26000000000002</v>
      </c>
      <c r="V204" s="347">
        <f>R204*T204%</f>
        <v>324.81800000000004</v>
      </c>
      <c r="X204" s="176">
        <f t="shared" si="386"/>
        <v>952</v>
      </c>
      <c r="Y204" s="210">
        <f t="shared" si="387"/>
        <v>4.24</v>
      </c>
      <c r="Z204" s="210">
        <f t="shared" si="388"/>
        <v>8.2799999999999994</v>
      </c>
    </row>
    <row r="205" spans="1:26" x14ac:dyDescent="0.25">
      <c r="A205" s="220">
        <v>70494</v>
      </c>
      <c r="B205" s="221">
        <v>5337</v>
      </c>
      <c r="C205" s="109" t="s">
        <v>109</v>
      </c>
      <c r="D205" s="229">
        <v>45891</v>
      </c>
      <c r="E205" s="65"/>
      <c r="F205" s="227" t="s">
        <v>6</v>
      </c>
      <c r="G205" s="65" t="str">
        <f t="shared" si="362"/>
        <v>Hisri</v>
      </c>
      <c r="H205" s="65">
        <v>3077</v>
      </c>
      <c r="I205" s="65">
        <v>4.2</v>
      </c>
      <c r="J205" s="65">
        <v>8.27</v>
      </c>
      <c r="K205" s="176">
        <f t="shared" si="382"/>
        <v>129.23400000000001</v>
      </c>
      <c r="L205" s="177">
        <f t="shared" si="383"/>
        <v>254.46789999999999</v>
      </c>
      <c r="M205" s="209">
        <f>$R$204*H205/SUM($H$204:$H$205)</f>
        <v>3077.7637130801686</v>
      </c>
      <c r="N205" s="211">
        <f t="shared" ref="N205" si="402">P205/M205*100</f>
        <v>4.1882187938288924</v>
      </c>
      <c r="O205" s="211">
        <f t="shared" ref="O205" si="403">Q205/M205*100</f>
        <v>7.9915010699163807</v>
      </c>
      <c r="P205" s="176">
        <f>$U$204*K205/SUM($K$204:$K$205)</f>
        <v>128.90347826086958</v>
      </c>
      <c r="Q205" s="212">
        <f>$V$204*L205/SUM($L$204:$L$205)</f>
        <v>245.95952006029978</v>
      </c>
      <c r="R205" s="348"/>
      <c r="S205" s="348"/>
      <c r="T205" s="348"/>
      <c r="U205" s="348"/>
      <c r="V205" s="348"/>
      <c r="X205" s="176">
        <f t="shared" si="386"/>
        <v>3078</v>
      </c>
      <c r="Y205" s="210">
        <f t="shared" si="387"/>
        <v>4.1900000000000004</v>
      </c>
      <c r="Z205" s="210">
        <f t="shared" si="388"/>
        <v>7.99</v>
      </c>
    </row>
    <row r="206" spans="1:26" x14ac:dyDescent="0.25">
      <c r="A206" s="220">
        <v>70497</v>
      </c>
      <c r="B206" s="221">
        <v>8504</v>
      </c>
      <c r="C206" s="109" t="s">
        <v>73</v>
      </c>
      <c r="D206" s="229">
        <v>45892</v>
      </c>
      <c r="E206" s="65"/>
      <c r="F206" s="227" t="s">
        <v>4</v>
      </c>
      <c r="G206" s="65" t="str">
        <f t="shared" si="362"/>
        <v>Pali</v>
      </c>
      <c r="H206" s="65">
        <v>2167</v>
      </c>
      <c r="I206" s="65">
        <v>4.2</v>
      </c>
      <c r="J206" s="65">
        <v>8.31</v>
      </c>
      <c r="K206" s="176">
        <f t="shared" si="382"/>
        <v>91.01400000000001</v>
      </c>
      <c r="L206" s="177">
        <f t="shared" si="383"/>
        <v>180.07770000000002</v>
      </c>
      <c r="M206" s="209">
        <f>$R$206*H206/SUM($H$206:$H$207)</f>
        <v>2168.2533256217466</v>
      </c>
      <c r="N206" s="211">
        <f t="shared" ref="N206" si="404">P206/M206*100</f>
        <v>4.2</v>
      </c>
      <c r="O206" s="211">
        <f t="shared" ref="O206" si="405">Q206/M206*100</f>
        <v>8.31</v>
      </c>
      <c r="P206" s="176">
        <f>$U$206*K206/SUM($K$206:$K$207)</f>
        <v>91.066639676113368</v>
      </c>
      <c r="Q206" s="212">
        <f>$V$206*L206/SUM($L$206:$L$207)</f>
        <v>180.18185135916715</v>
      </c>
      <c r="R206" s="347">
        <v>3460</v>
      </c>
      <c r="S206" s="347">
        <v>4.2</v>
      </c>
      <c r="T206" s="347">
        <v>8.31</v>
      </c>
      <c r="U206" s="347">
        <f>R206*S206%</f>
        <v>145.32000000000002</v>
      </c>
      <c r="V206" s="347">
        <f>R206*T206%</f>
        <v>287.52600000000001</v>
      </c>
      <c r="X206" s="176">
        <f t="shared" si="386"/>
        <v>2168</v>
      </c>
      <c r="Y206" s="210">
        <f t="shared" si="387"/>
        <v>4.2</v>
      </c>
      <c r="Z206" s="210">
        <f t="shared" si="388"/>
        <v>8.31</v>
      </c>
    </row>
    <row r="207" spans="1:26" x14ac:dyDescent="0.25">
      <c r="A207" s="220">
        <v>70497</v>
      </c>
      <c r="B207" s="221">
        <v>8504</v>
      </c>
      <c r="C207" s="109" t="s">
        <v>73</v>
      </c>
      <c r="D207" s="229">
        <v>45892</v>
      </c>
      <c r="E207" s="65"/>
      <c r="F207" s="227" t="s">
        <v>12</v>
      </c>
      <c r="G207" s="65" t="str">
        <f t="shared" si="362"/>
        <v>Ormanjhi</v>
      </c>
      <c r="H207" s="65">
        <v>1291</v>
      </c>
      <c r="I207" s="65">
        <v>4.2</v>
      </c>
      <c r="J207" s="65">
        <v>8.31</v>
      </c>
      <c r="K207" s="176">
        <f t="shared" si="382"/>
        <v>54.222000000000001</v>
      </c>
      <c r="L207" s="177">
        <f t="shared" si="383"/>
        <v>107.28210000000001</v>
      </c>
      <c r="M207" s="209">
        <f>$R$206*H207/SUM($H$206:$H$207)</f>
        <v>1291.7466743782534</v>
      </c>
      <c r="N207" s="211">
        <f t="shared" ref="N207" si="406">P207/M207*100</f>
        <v>4.1999999999999993</v>
      </c>
      <c r="O207" s="211">
        <f t="shared" ref="O207" si="407">Q207/M207*100</f>
        <v>8.3099999999999987</v>
      </c>
      <c r="P207" s="176">
        <f>$U$206*K207/SUM($K$206:$K$207)</f>
        <v>54.253360323886639</v>
      </c>
      <c r="Q207" s="212">
        <f>$V$206*L207/SUM($L$206:$L$207)</f>
        <v>107.34414864083284</v>
      </c>
      <c r="R207" s="348"/>
      <c r="S207" s="348"/>
      <c r="T207" s="348"/>
      <c r="U207" s="348"/>
      <c r="V207" s="348"/>
      <c r="X207" s="176">
        <f t="shared" si="386"/>
        <v>1292</v>
      </c>
      <c r="Y207" s="210">
        <f t="shared" si="387"/>
        <v>4.2</v>
      </c>
      <c r="Z207" s="210">
        <f t="shared" si="388"/>
        <v>8.31</v>
      </c>
    </row>
    <row r="208" spans="1:26" x14ac:dyDescent="0.25">
      <c r="A208" s="220">
        <v>70498</v>
      </c>
      <c r="B208" s="221">
        <v>1023</v>
      </c>
      <c r="C208" s="109" t="s">
        <v>109</v>
      </c>
      <c r="D208" s="229">
        <v>45896</v>
      </c>
      <c r="E208" s="65"/>
      <c r="F208" s="227" t="s">
        <v>4</v>
      </c>
      <c r="G208" s="65" t="str">
        <f t="shared" si="362"/>
        <v>Pali</v>
      </c>
      <c r="H208" s="65">
        <v>4330</v>
      </c>
      <c r="I208" s="65">
        <v>4.3499999999999996</v>
      </c>
      <c r="J208" s="65">
        <v>8.4</v>
      </c>
      <c r="K208" s="176">
        <f t="shared" si="382"/>
        <v>188.35499999999999</v>
      </c>
      <c r="L208" s="177">
        <f t="shared" si="383"/>
        <v>363.72</v>
      </c>
      <c r="M208" s="209">
        <f>$R$208*H208/SUM($H$208)</f>
        <v>4340</v>
      </c>
      <c r="N208" s="211">
        <f t="shared" ref="N208:N209" si="408">P208/M208*100</f>
        <v>4.3499999999999988</v>
      </c>
      <c r="O208" s="211">
        <f t="shared" ref="O208:O209" si="409">Q208/M208*100</f>
        <v>8.4</v>
      </c>
      <c r="P208" s="176">
        <f>$U$208*K208/SUM($K$208)</f>
        <v>188.78999999999996</v>
      </c>
      <c r="Q208" s="212">
        <f>$V$208*L208/SUM($L$208)</f>
        <v>364.56</v>
      </c>
      <c r="R208" s="245">
        <v>4340</v>
      </c>
      <c r="S208" s="245">
        <v>4.3499999999999996</v>
      </c>
      <c r="T208" s="245">
        <v>8.4</v>
      </c>
      <c r="U208" s="245">
        <f>R208*S208%</f>
        <v>188.79</v>
      </c>
      <c r="V208" s="245">
        <f>R208*T208%</f>
        <v>364.56</v>
      </c>
      <c r="X208" s="176">
        <f t="shared" si="386"/>
        <v>4340</v>
      </c>
      <c r="Y208" s="210">
        <f t="shared" si="387"/>
        <v>4.3499999999999996</v>
      </c>
      <c r="Z208" s="210">
        <f t="shared" si="388"/>
        <v>8.4</v>
      </c>
    </row>
    <row r="209" spans="1:31" x14ac:dyDescent="0.25">
      <c r="A209" s="220">
        <v>70498</v>
      </c>
      <c r="B209" s="221">
        <v>1023</v>
      </c>
      <c r="C209" s="109" t="s">
        <v>77</v>
      </c>
      <c r="D209" s="229">
        <v>45896</v>
      </c>
      <c r="E209" s="65"/>
      <c r="F209" s="227" t="s">
        <v>4</v>
      </c>
      <c r="G209" s="65" t="str">
        <f t="shared" si="362"/>
        <v>Pali</v>
      </c>
      <c r="H209" s="65">
        <v>775</v>
      </c>
      <c r="I209" s="65">
        <v>4.3499999999999996</v>
      </c>
      <c r="J209" s="65">
        <v>8.2799999999999994</v>
      </c>
      <c r="K209" s="176">
        <f t="shared" si="382"/>
        <v>33.712499999999999</v>
      </c>
      <c r="L209" s="177">
        <f t="shared" si="383"/>
        <v>64.17</v>
      </c>
      <c r="M209" s="209">
        <f>$R$209*H209/SUM($H$209:$H$211)</f>
        <v>759.20158550396377</v>
      </c>
      <c r="N209" s="211">
        <f t="shared" si="408"/>
        <v>4.4317413709285365</v>
      </c>
      <c r="O209" s="211">
        <f t="shared" si="409"/>
        <v>8.4751107545433975</v>
      </c>
      <c r="P209" s="176">
        <f>$U$209*K209/SUM($K$209:$K$211)</f>
        <v>33.645850753524549</v>
      </c>
      <c r="Q209" s="212">
        <f>$V$209*L209/SUM($L$209:$L$211)</f>
        <v>64.343175221710425</v>
      </c>
      <c r="R209" s="399">
        <v>3460</v>
      </c>
      <c r="S209" s="399">
        <v>4.45</v>
      </c>
      <c r="T209" s="399">
        <v>8.42</v>
      </c>
      <c r="U209" s="347">
        <f>R209*S209%</f>
        <v>153.97000000000003</v>
      </c>
      <c r="V209" s="347">
        <f>R209*T209%</f>
        <v>291.33199999999999</v>
      </c>
      <c r="X209" s="176">
        <f t="shared" si="386"/>
        <v>759</v>
      </c>
      <c r="Y209" s="210">
        <f t="shared" si="387"/>
        <v>4.43</v>
      </c>
      <c r="Z209" s="210">
        <f t="shared" si="388"/>
        <v>8.48</v>
      </c>
    </row>
    <row r="210" spans="1:31" x14ac:dyDescent="0.25">
      <c r="A210" s="220">
        <v>70498</v>
      </c>
      <c r="B210" s="221">
        <v>1023</v>
      </c>
      <c r="C210" s="109" t="s">
        <v>77</v>
      </c>
      <c r="D210" s="229">
        <v>45896</v>
      </c>
      <c r="E210" s="65"/>
      <c r="F210" s="227" t="s">
        <v>14</v>
      </c>
      <c r="G210" s="65" t="str">
        <f t="shared" si="362"/>
        <v>Piragutu</v>
      </c>
      <c r="H210" s="65">
        <v>1341</v>
      </c>
      <c r="I210" s="65">
        <v>4.45</v>
      </c>
      <c r="J210" s="65">
        <v>8.5500000000000007</v>
      </c>
      <c r="K210" s="176">
        <f t="shared" si="382"/>
        <v>59.674500000000009</v>
      </c>
      <c r="L210" s="177">
        <f t="shared" si="383"/>
        <v>114.6555</v>
      </c>
      <c r="M210" s="209">
        <f t="shared" ref="M210:M211" si="410">$R$209*H210/SUM($H$209:$H$211)</f>
        <v>1313.6636466591167</v>
      </c>
      <c r="N210" s="211">
        <f t="shared" ref="N210:N211" si="411">P210/M210*100</f>
        <v>4.5336204829039062</v>
      </c>
      <c r="O210" s="211">
        <f t="shared" ref="O210:O211" si="412">Q210/M210*100</f>
        <v>8.7514730617567693</v>
      </c>
      <c r="P210" s="176">
        <f t="shared" ref="P210:P211" si="413">$U$209*K210/SUM($K$209:$K$211)</f>
        <v>59.556524161400112</v>
      </c>
      <c r="Q210" s="212">
        <f t="shared" ref="Q210:Q211" si="414">$V$209*L210/SUM($L$209:$L$211)</f>
        <v>114.96492015946423</v>
      </c>
      <c r="R210" s="399"/>
      <c r="S210" s="399"/>
      <c r="T210" s="399"/>
      <c r="U210" s="349"/>
      <c r="V210" s="349"/>
      <c r="X210" s="176">
        <f t="shared" si="386"/>
        <v>1314</v>
      </c>
      <c r="Y210" s="210">
        <f t="shared" si="387"/>
        <v>4.53</v>
      </c>
      <c r="Z210" s="210">
        <f t="shared" si="388"/>
        <v>8.75</v>
      </c>
    </row>
    <row r="211" spans="1:31" x14ac:dyDescent="0.25">
      <c r="A211" s="220">
        <v>70498</v>
      </c>
      <c r="B211" s="221">
        <v>1023</v>
      </c>
      <c r="C211" s="109" t="s">
        <v>77</v>
      </c>
      <c r="D211" s="229">
        <v>45896</v>
      </c>
      <c r="E211" s="65"/>
      <c r="F211" s="227" t="s">
        <v>6</v>
      </c>
      <c r="G211" s="65" t="str">
        <f t="shared" si="362"/>
        <v>Hisri</v>
      </c>
      <c r="H211" s="65">
        <v>1416</v>
      </c>
      <c r="I211" s="65">
        <v>4.3</v>
      </c>
      <c r="J211" s="65">
        <v>7.89</v>
      </c>
      <c r="K211" s="176">
        <f t="shared" si="382"/>
        <v>60.887999999999998</v>
      </c>
      <c r="L211" s="177">
        <f t="shared" si="383"/>
        <v>111.72239999999999</v>
      </c>
      <c r="M211" s="209">
        <f t="shared" si="410"/>
        <v>1387.1347678369195</v>
      </c>
      <c r="N211" s="211">
        <f t="shared" si="411"/>
        <v>4.3808018149408534</v>
      </c>
      <c r="O211" s="211">
        <f t="shared" si="412"/>
        <v>8.0759207552351935</v>
      </c>
      <c r="P211" s="176">
        <f t="shared" si="413"/>
        <v>60.767625085075359</v>
      </c>
      <c r="Q211" s="212">
        <f t="shared" si="414"/>
        <v>112.02390461882531</v>
      </c>
      <c r="R211" s="399"/>
      <c r="S211" s="399"/>
      <c r="T211" s="399"/>
      <c r="U211" s="348"/>
      <c r="V211" s="348"/>
      <c r="X211" s="176">
        <f t="shared" si="386"/>
        <v>1387</v>
      </c>
      <c r="Y211" s="210">
        <f t="shared" si="387"/>
        <v>4.38</v>
      </c>
      <c r="Z211" s="210">
        <f t="shared" si="388"/>
        <v>8.08</v>
      </c>
    </row>
    <row r="212" spans="1:31" x14ac:dyDescent="0.25">
      <c r="A212" s="220">
        <v>70522</v>
      </c>
      <c r="B212" s="228" t="s">
        <v>90</v>
      </c>
      <c r="C212" s="109" t="s">
        <v>73</v>
      </c>
      <c r="D212" s="229">
        <v>45896</v>
      </c>
      <c r="E212" s="65"/>
      <c r="F212" s="227" t="s">
        <v>89</v>
      </c>
      <c r="G212" s="65" t="str">
        <f t="shared" si="362"/>
        <v>Chanho</v>
      </c>
      <c r="H212" s="65">
        <v>1137</v>
      </c>
      <c r="I212" s="65">
        <v>4.3499999999999996</v>
      </c>
      <c r="J212" s="65">
        <v>8.4</v>
      </c>
      <c r="K212" s="176">
        <f t="shared" si="382"/>
        <v>49.459499999999998</v>
      </c>
      <c r="L212" s="177">
        <f t="shared" si="383"/>
        <v>95.50800000000001</v>
      </c>
      <c r="M212" s="209">
        <f>$R$212*H212/SUM($H$212:$H$214)</f>
        <v>1142.7662517289073</v>
      </c>
      <c r="N212" s="211">
        <f t="shared" ref="N212" si="415">P212/M212*100</f>
        <v>4.3788668089107468</v>
      </c>
      <c r="O212" s="211">
        <f t="shared" ref="O212" si="416">Q212/M212*100</f>
        <v>8.4307394857351206</v>
      </c>
      <c r="P212" s="176">
        <f>$U$212*K212/SUM($K$212:$K$214)</f>
        <v>50.040212100390555</v>
      </c>
      <c r="Q212" s="212">
        <f>$V$212*L212/SUM($L$212:$L$214)</f>
        <v>96.343645614164203</v>
      </c>
      <c r="R212" s="347">
        <v>4360</v>
      </c>
      <c r="S212" s="347">
        <v>3.85</v>
      </c>
      <c r="T212" s="347">
        <v>8.3000000000000007</v>
      </c>
      <c r="U212" s="347">
        <f>R212*S212%</f>
        <v>167.85999999999999</v>
      </c>
      <c r="V212" s="347">
        <f>R212*T212%</f>
        <v>361.88</v>
      </c>
      <c r="X212" s="176">
        <f t="shared" si="386"/>
        <v>1143</v>
      </c>
      <c r="Y212" s="210">
        <f t="shared" si="387"/>
        <v>4.38</v>
      </c>
      <c r="Z212" s="210">
        <f t="shared" si="388"/>
        <v>8.43</v>
      </c>
    </row>
    <row r="213" spans="1:31" x14ac:dyDescent="0.25">
      <c r="A213" s="220">
        <v>70522</v>
      </c>
      <c r="B213" s="228" t="s">
        <v>90</v>
      </c>
      <c r="C213" s="109" t="s">
        <v>73</v>
      </c>
      <c r="D213" s="229">
        <v>45896</v>
      </c>
      <c r="E213" s="65"/>
      <c r="F213" s="227" t="s">
        <v>8</v>
      </c>
      <c r="G213" s="65" t="str">
        <f t="shared" si="362"/>
        <v>Choria</v>
      </c>
      <c r="H213" s="65">
        <v>1214</v>
      </c>
      <c r="I213" s="65">
        <v>2.8</v>
      </c>
      <c r="J213" s="65">
        <v>8</v>
      </c>
      <c r="K213" s="176">
        <f t="shared" si="382"/>
        <v>33.991999999999997</v>
      </c>
      <c r="L213" s="177">
        <f t="shared" si="383"/>
        <v>97.12</v>
      </c>
      <c r="M213" s="209">
        <f t="shared" ref="M213:M214" si="417">$R$212*H213/SUM($H$212:$H$214)</f>
        <v>1220.156754264638</v>
      </c>
      <c r="N213" s="211">
        <f t="shared" ref="N213:N214" si="418">P213/M213*100</f>
        <v>2.8185809344712855</v>
      </c>
      <c r="O213" s="211">
        <f t="shared" ref="O213:O214" si="419">Q213/M213*100</f>
        <v>8.029275700700115</v>
      </c>
      <c r="P213" s="176">
        <f t="shared" ref="P213:P214" si="420">$U$212*K213/SUM($K$212:$K$214)</f>
        <v>34.391105646366739</v>
      </c>
      <c r="Q213" s="212">
        <f t="shared" ref="Q213" si="421">$V$212*L213/SUM($L$212:$L$214)</f>
        <v>97.969749780621811</v>
      </c>
      <c r="R213" s="349"/>
      <c r="S213" s="349"/>
      <c r="T213" s="349"/>
      <c r="U213" s="349"/>
      <c r="V213" s="349"/>
      <c r="X213" s="176">
        <f t="shared" si="386"/>
        <v>1220</v>
      </c>
      <c r="Y213" s="210">
        <f t="shared" si="387"/>
        <v>2.82</v>
      </c>
      <c r="Z213" s="210">
        <f t="shared" si="388"/>
        <v>8.0299999999999994</v>
      </c>
    </row>
    <row r="214" spans="1:31" x14ac:dyDescent="0.25">
      <c r="A214" s="220">
        <v>70522</v>
      </c>
      <c r="B214" s="228" t="s">
        <v>90</v>
      </c>
      <c r="C214" s="109" t="s">
        <v>73</v>
      </c>
      <c r="D214" s="229">
        <v>45896</v>
      </c>
      <c r="E214" s="65"/>
      <c r="F214" s="227" t="s">
        <v>12</v>
      </c>
      <c r="G214" s="65" t="str">
        <f t="shared" si="362"/>
        <v>Ormanjhi</v>
      </c>
      <c r="H214" s="65">
        <v>1987</v>
      </c>
      <c r="I214" s="65">
        <v>4.1500000000000004</v>
      </c>
      <c r="J214" s="65">
        <v>8.36</v>
      </c>
      <c r="K214" s="176">
        <f t="shared" si="382"/>
        <v>82.46050000000001</v>
      </c>
      <c r="L214" s="177">
        <f t="shared" si="383"/>
        <v>166.11319999999998</v>
      </c>
      <c r="M214" s="209">
        <f t="shared" si="417"/>
        <v>1997.0769940064547</v>
      </c>
      <c r="N214" s="211">
        <f t="shared" si="418"/>
        <v>4.1775395993056561</v>
      </c>
      <c r="O214" s="211">
        <f t="shared" si="419"/>
        <v>8.3905931072316182</v>
      </c>
      <c r="P214" s="176">
        <f t="shared" si="420"/>
        <v>83.428682253242684</v>
      </c>
      <c r="Q214" s="212">
        <f>$V$212*L214/SUM($L$212:$L$214)</f>
        <v>167.566604605214</v>
      </c>
      <c r="R214" s="348"/>
      <c r="S214" s="348"/>
      <c r="T214" s="348"/>
      <c r="U214" s="348"/>
      <c r="V214" s="348"/>
      <c r="X214" s="176">
        <f t="shared" si="386"/>
        <v>1997</v>
      </c>
      <c r="Y214" s="210">
        <f t="shared" si="387"/>
        <v>4.18</v>
      </c>
      <c r="Z214" s="210">
        <f t="shared" si="388"/>
        <v>8.39</v>
      </c>
    </row>
    <row r="215" spans="1:31" x14ac:dyDescent="0.25">
      <c r="A215" s="220">
        <v>71509</v>
      </c>
      <c r="B215" s="221">
        <v>9944</v>
      </c>
      <c r="C215" s="109" t="s">
        <v>73</v>
      </c>
      <c r="D215" s="229">
        <v>45895</v>
      </c>
      <c r="E215" s="65"/>
      <c r="F215" s="227" t="s">
        <v>89</v>
      </c>
      <c r="G215" s="65" t="str">
        <f t="shared" si="362"/>
        <v>Chanho</v>
      </c>
      <c r="H215" s="65">
        <v>1240</v>
      </c>
      <c r="I215" s="65">
        <v>4.3499999999999996</v>
      </c>
      <c r="J215" s="65">
        <v>8.4</v>
      </c>
      <c r="K215" s="176">
        <f t="shared" ref="K215:K240" si="422">H215*I215%</f>
        <v>53.94</v>
      </c>
      <c r="L215" s="177">
        <f t="shared" ref="L215:L240" si="423">H215*J215%</f>
        <v>104.16000000000001</v>
      </c>
      <c r="M215" s="209">
        <f>$R$215*H215/SUM($H$215:$H$217)</f>
        <v>1245.2173913043478</v>
      </c>
      <c r="N215" s="211">
        <f t="shared" ref="N215" si="424">P215/M215*100</f>
        <v>4.3468415453716531</v>
      </c>
      <c r="O215" s="211">
        <f t="shared" ref="O215" si="425">Q215/M215*100</f>
        <v>8.3719420982186037</v>
      </c>
      <c r="P215" s="176">
        <f>$U$215*K215/SUM($K$215:$K$217)</f>
        <v>54.127626895410494</v>
      </c>
      <c r="Q215" s="212">
        <f>$V$215*L215/SUM($L$215:$L$217)</f>
        <v>104.24887899694818</v>
      </c>
      <c r="R215" s="347">
        <v>7160</v>
      </c>
      <c r="S215" s="347">
        <v>4.1500000000000004</v>
      </c>
      <c r="T215" s="347">
        <v>8.24</v>
      </c>
      <c r="U215" s="347">
        <f>R215*S215%</f>
        <v>297.14000000000004</v>
      </c>
      <c r="V215" s="347">
        <f>R215*T215%</f>
        <v>589.98400000000004</v>
      </c>
      <c r="X215" s="176">
        <f t="shared" ref="X215:X238" si="426">ROUND(M215,0)</f>
        <v>1245</v>
      </c>
      <c r="Y215" s="210">
        <f t="shared" ref="Y215:Y238" si="427">ROUND(N215,2)</f>
        <v>4.3499999999999996</v>
      </c>
      <c r="Z215" s="210">
        <f t="shared" ref="Z215:Z238" si="428">ROUND(O215,2)</f>
        <v>8.3699999999999992</v>
      </c>
    </row>
    <row r="216" spans="1:31" x14ac:dyDescent="0.25">
      <c r="A216" s="220">
        <v>71509</v>
      </c>
      <c r="B216" s="221">
        <v>9944</v>
      </c>
      <c r="C216" s="109" t="s">
        <v>73</v>
      </c>
      <c r="D216" s="229">
        <v>45895</v>
      </c>
      <c r="E216" s="65"/>
      <c r="F216" s="243"/>
      <c r="G216" s="244" t="s">
        <v>114</v>
      </c>
      <c r="H216" s="65">
        <v>1510</v>
      </c>
      <c r="I216" s="65">
        <v>4</v>
      </c>
      <c r="J216" s="65">
        <v>8.2100000000000009</v>
      </c>
      <c r="K216" s="176">
        <f t="shared" si="422"/>
        <v>60.4</v>
      </c>
      <c r="L216" s="177">
        <f t="shared" si="423"/>
        <v>123.971</v>
      </c>
      <c r="M216" s="209">
        <f t="shared" ref="M216:M217" si="429">$R$215*H216/SUM($H$215:$H$217)</f>
        <v>1516.3534361851332</v>
      </c>
      <c r="N216" s="211">
        <f t="shared" ref="N216:N217" si="430">P216/M216*100</f>
        <v>3.9970956739049677</v>
      </c>
      <c r="O216" s="211">
        <f t="shared" ref="O216:O217" si="431">Q216/M216*100</f>
        <v>8.1825767412350867</v>
      </c>
      <c r="P216" s="176">
        <f t="shared" ref="P216:P217" si="432">$U$215*K216/SUM($K$215:$K$217)</f>
        <v>60.610097598865288</v>
      </c>
      <c r="Q216" s="212">
        <f t="shared" ref="Q216:Q217" si="433">$V$215*L216/SUM($L$215:$L$217)</f>
        <v>124.07678358420374</v>
      </c>
      <c r="R216" s="349"/>
      <c r="S216" s="349"/>
      <c r="T216" s="349"/>
      <c r="U216" s="349"/>
      <c r="V216" s="349"/>
      <c r="X216" s="176">
        <f t="shared" si="426"/>
        <v>1516</v>
      </c>
      <c r="Y216" s="210">
        <f t="shared" si="427"/>
        <v>4</v>
      </c>
      <c r="Z216" s="210">
        <f t="shared" si="428"/>
        <v>8.18</v>
      </c>
    </row>
    <row r="217" spans="1:31" x14ac:dyDescent="0.25">
      <c r="A217" s="220">
        <v>71509</v>
      </c>
      <c r="B217" s="221">
        <v>9944</v>
      </c>
      <c r="C217" s="109" t="s">
        <v>73</v>
      </c>
      <c r="D217" s="229">
        <v>45895</v>
      </c>
      <c r="E217" s="65"/>
      <c r="F217" s="227" t="s">
        <v>78</v>
      </c>
      <c r="G217" s="65" t="str">
        <f t="shared" si="362"/>
        <v>Bhandra</v>
      </c>
      <c r="H217" s="65">
        <v>4380</v>
      </c>
      <c r="I217" s="65">
        <v>4.1500000000000004</v>
      </c>
      <c r="J217" s="65">
        <v>8.25</v>
      </c>
      <c r="K217" s="176">
        <f t="shared" si="422"/>
        <v>181.77</v>
      </c>
      <c r="L217" s="177">
        <f t="shared" si="423"/>
        <v>361.35</v>
      </c>
      <c r="M217" s="209">
        <f t="shared" si="429"/>
        <v>4398.4291725105186</v>
      </c>
      <c r="N217" s="211">
        <f t="shared" si="430"/>
        <v>4.1469867616764047</v>
      </c>
      <c r="O217" s="211">
        <f t="shared" si="431"/>
        <v>8.2224431321789861</v>
      </c>
      <c r="P217" s="176">
        <f t="shared" si="432"/>
        <v>182.40227550572425</v>
      </c>
      <c r="Q217" s="212">
        <f t="shared" si="433"/>
        <v>361.65833741884813</v>
      </c>
      <c r="R217" s="348"/>
      <c r="S217" s="348"/>
      <c r="T217" s="348"/>
      <c r="U217" s="348"/>
      <c r="V217" s="348"/>
      <c r="X217" s="176">
        <f t="shared" si="426"/>
        <v>4398</v>
      </c>
      <c r="Y217" s="210">
        <f t="shared" si="427"/>
        <v>4.1500000000000004</v>
      </c>
      <c r="Z217" s="210">
        <f t="shared" si="428"/>
        <v>8.2200000000000006</v>
      </c>
    </row>
    <row r="218" spans="1:31" x14ac:dyDescent="0.25">
      <c r="A218" s="220">
        <v>70519</v>
      </c>
      <c r="B218" s="228" t="s">
        <v>90</v>
      </c>
      <c r="C218" s="109" t="s">
        <v>73</v>
      </c>
      <c r="D218" s="229">
        <v>45895</v>
      </c>
      <c r="E218" s="65"/>
      <c r="F218" s="227" t="s">
        <v>4</v>
      </c>
      <c r="G218" s="65" t="str">
        <f t="shared" si="362"/>
        <v>Pali</v>
      </c>
      <c r="H218" s="65">
        <v>1198</v>
      </c>
      <c r="I218" s="65">
        <v>4.25</v>
      </c>
      <c r="J218" s="65">
        <v>8.42</v>
      </c>
      <c r="K218" s="176">
        <f t="shared" si="422"/>
        <v>50.915000000000006</v>
      </c>
      <c r="L218" s="177">
        <f t="shared" si="423"/>
        <v>100.8716</v>
      </c>
      <c r="M218" s="209">
        <f>$R$218*H218/SUM($H$218:$H$221)</f>
        <v>1200.4728842184275</v>
      </c>
      <c r="N218" s="211">
        <f t="shared" ref="N218" si="434">P218/M218*100</f>
        <v>4.3034408950686283</v>
      </c>
      <c r="O218" s="211">
        <f t="shared" ref="O218" si="435">Q218/M218*100</f>
        <v>8.4598887830436897</v>
      </c>
      <c r="P218" s="176">
        <f>$U$218*K218/SUM($K$218:$K$221)</f>
        <v>51.661641033665674</v>
      </c>
      <c r="Q218" s="212">
        <f>$V$218*L218/SUM($L$218:$L$221)</f>
        <v>101.55867087547581</v>
      </c>
      <c r="R218" s="347">
        <v>5340</v>
      </c>
      <c r="S218" s="347">
        <v>4.25</v>
      </c>
      <c r="T218" s="347">
        <v>8.3800000000000008</v>
      </c>
      <c r="U218" s="347">
        <f>R218*S218%</f>
        <v>226.95000000000002</v>
      </c>
      <c r="V218" s="347">
        <f>R218*T218%</f>
        <v>447.49200000000008</v>
      </c>
      <c r="X218" s="176">
        <f t="shared" si="426"/>
        <v>1200</v>
      </c>
      <c r="Y218" s="210">
        <f t="shared" si="427"/>
        <v>4.3</v>
      </c>
      <c r="Z218" s="210">
        <f t="shared" si="428"/>
        <v>8.4600000000000009</v>
      </c>
      <c r="AE218">
        <v>97903</v>
      </c>
    </row>
    <row r="219" spans="1:31" x14ac:dyDescent="0.25">
      <c r="A219" s="220">
        <v>70519</v>
      </c>
      <c r="B219" s="228" t="s">
        <v>90</v>
      </c>
      <c r="C219" s="109" t="s">
        <v>73</v>
      </c>
      <c r="D219" s="229">
        <v>45895</v>
      </c>
      <c r="E219" s="65"/>
      <c r="F219" s="227" t="s">
        <v>14</v>
      </c>
      <c r="G219" s="65" t="str">
        <f t="shared" si="362"/>
        <v>Piragutu</v>
      </c>
      <c r="H219" s="65">
        <v>1278</v>
      </c>
      <c r="I219" s="65">
        <v>4.25</v>
      </c>
      <c r="J219" s="65">
        <v>8.26</v>
      </c>
      <c r="K219" s="176">
        <f t="shared" si="422"/>
        <v>54.315000000000005</v>
      </c>
      <c r="L219" s="177">
        <f t="shared" si="423"/>
        <v>105.5628</v>
      </c>
      <c r="M219" s="209">
        <f t="shared" ref="M219:M221" si="436">$R$218*H219/SUM($H$218:$H$221)</f>
        <v>1280.6380183899419</v>
      </c>
      <c r="N219" s="211">
        <f t="shared" ref="N219:N221" si="437">P219/M219*100</f>
        <v>4.3034408950686283</v>
      </c>
      <c r="O219" s="211">
        <f t="shared" ref="O219:O221" si="438">Q219/M219*100</f>
        <v>8.2991308014181566</v>
      </c>
      <c r="P219" s="176">
        <f t="shared" ref="P219:P221" si="439">$U$218*K219/SUM($K$218:$K$221)</f>
        <v>55.111500201189259</v>
      </c>
      <c r="Q219" s="212">
        <f t="shared" ref="Q219:Q221" si="440">$V$218*L219/SUM($L$218:$L$221)</f>
        <v>106.28182423887078</v>
      </c>
      <c r="R219" s="349"/>
      <c r="S219" s="349"/>
      <c r="T219" s="349"/>
      <c r="U219" s="349"/>
      <c r="V219" s="349"/>
      <c r="X219" s="176">
        <f t="shared" si="426"/>
        <v>1281</v>
      </c>
      <c r="Y219" s="210">
        <f t="shared" si="427"/>
        <v>4.3</v>
      </c>
      <c r="Z219" s="210">
        <f t="shared" si="428"/>
        <v>8.3000000000000007</v>
      </c>
    </row>
    <row r="220" spans="1:31" x14ac:dyDescent="0.25">
      <c r="A220" s="220">
        <v>70519</v>
      </c>
      <c r="B220" s="228" t="s">
        <v>90</v>
      </c>
      <c r="C220" s="109" t="s">
        <v>73</v>
      </c>
      <c r="D220" s="229">
        <v>45895</v>
      </c>
      <c r="E220" s="65"/>
      <c r="F220" s="227" t="s">
        <v>6</v>
      </c>
      <c r="G220" s="65" t="str">
        <f t="shared" si="362"/>
        <v>Hisri</v>
      </c>
      <c r="H220" s="65">
        <v>1467</v>
      </c>
      <c r="I220" s="65">
        <v>4.2</v>
      </c>
      <c r="J220" s="65">
        <v>8.2799999999999994</v>
      </c>
      <c r="K220" s="176">
        <f t="shared" si="422"/>
        <v>61.614000000000004</v>
      </c>
      <c r="L220" s="177">
        <f t="shared" si="423"/>
        <v>121.4676</v>
      </c>
      <c r="M220" s="209">
        <f t="shared" si="436"/>
        <v>1470.0281478701445</v>
      </c>
      <c r="N220" s="211">
        <f t="shared" si="437"/>
        <v>4.2528121786560558</v>
      </c>
      <c r="O220" s="211">
        <f t="shared" si="438"/>
        <v>8.3192255491213487</v>
      </c>
      <c r="P220" s="176">
        <f t="shared" si="439"/>
        <v>62.517536102293562</v>
      </c>
      <c r="Q220" s="212">
        <f t="shared" si="440"/>
        <v>122.29495725688842</v>
      </c>
      <c r="R220" s="349"/>
      <c r="S220" s="349"/>
      <c r="T220" s="349"/>
      <c r="U220" s="349"/>
      <c r="V220" s="349"/>
      <c r="X220" s="176">
        <f t="shared" si="426"/>
        <v>1470</v>
      </c>
      <c r="Y220" s="210">
        <f t="shared" si="427"/>
        <v>4.25</v>
      </c>
      <c r="Z220" s="210">
        <f t="shared" si="428"/>
        <v>8.32</v>
      </c>
    </row>
    <row r="221" spans="1:31" x14ac:dyDescent="0.25">
      <c r="A221" s="220">
        <v>70519</v>
      </c>
      <c r="B221" s="228" t="s">
        <v>90</v>
      </c>
      <c r="C221" s="109" t="s">
        <v>73</v>
      </c>
      <c r="D221" s="229">
        <v>45895</v>
      </c>
      <c r="E221" s="65"/>
      <c r="F221" s="227" t="s">
        <v>12</v>
      </c>
      <c r="G221" s="65" t="str">
        <f t="shared" si="362"/>
        <v>Ormanjhi</v>
      </c>
      <c r="H221" s="65">
        <v>1386</v>
      </c>
      <c r="I221" s="65">
        <v>4.0999999999999996</v>
      </c>
      <c r="J221" s="65">
        <v>8.41</v>
      </c>
      <c r="K221" s="176">
        <f t="shared" si="422"/>
        <v>56.825999999999993</v>
      </c>
      <c r="L221" s="177">
        <f t="shared" si="423"/>
        <v>116.56260000000002</v>
      </c>
      <c r="M221" s="209">
        <f t="shared" si="436"/>
        <v>1388.8609495214862</v>
      </c>
      <c r="N221" s="211">
        <f t="shared" si="437"/>
        <v>4.1515547458309117</v>
      </c>
      <c r="O221" s="211">
        <f t="shared" si="438"/>
        <v>8.4498414091920946</v>
      </c>
      <c r="P221" s="176">
        <f t="shared" si="439"/>
        <v>57.659322662851523</v>
      </c>
      <c r="Q221" s="212">
        <f t="shared" si="440"/>
        <v>117.35654762876506</v>
      </c>
      <c r="R221" s="348"/>
      <c r="S221" s="348"/>
      <c r="T221" s="348"/>
      <c r="U221" s="348"/>
      <c r="V221" s="348"/>
      <c r="X221" s="176">
        <f t="shared" si="426"/>
        <v>1389</v>
      </c>
      <c r="Y221" s="210">
        <f t="shared" si="427"/>
        <v>4.1500000000000004</v>
      </c>
      <c r="Z221" s="210">
        <f t="shared" si="428"/>
        <v>8.4499999999999993</v>
      </c>
    </row>
    <row r="222" spans="1:31" x14ac:dyDescent="0.25">
      <c r="A222" s="220">
        <v>71507</v>
      </c>
      <c r="B222" s="221">
        <v>9944</v>
      </c>
      <c r="C222" s="109" t="s">
        <v>73</v>
      </c>
      <c r="D222" s="229">
        <v>45894</v>
      </c>
      <c r="E222" s="65"/>
      <c r="F222" s="243"/>
      <c r="G222" s="244" t="s">
        <v>114</v>
      </c>
      <c r="H222" s="65">
        <v>2490</v>
      </c>
      <c r="I222" s="65">
        <v>4.05</v>
      </c>
      <c r="J222" s="65">
        <v>8.2200000000000006</v>
      </c>
      <c r="K222" s="176">
        <f t="shared" si="422"/>
        <v>100.845</v>
      </c>
      <c r="L222" s="177">
        <f t="shared" si="423"/>
        <v>204.67800000000003</v>
      </c>
      <c r="M222" s="209">
        <f>$R$222*H222/SUM($H$222:$H$223)</f>
        <v>2492.0096852300244</v>
      </c>
      <c r="N222" s="211">
        <f t="shared" ref="N222" si="441">P222/M222*100</f>
        <v>4.0919568636261507</v>
      </c>
      <c r="O222" s="211">
        <f t="shared" ref="O222" si="442">Q222/M222*100</f>
        <v>8.2285905854355654</v>
      </c>
      <c r="P222" s="176">
        <f>$U$222*K222/SUM($K$222:$K$223)</f>
        <v>101.97196135699842</v>
      </c>
      <c r="Q222" s="212">
        <f>$V$222*L222/SUM($L$222:$L$223)</f>
        <v>205.05727434698028</v>
      </c>
      <c r="R222" s="347">
        <v>8680</v>
      </c>
      <c r="S222" s="347">
        <v>4.2</v>
      </c>
      <c r="T222" s="347">
        <v>8.25</v>
      </c>
      <c r="U222" s="347">
        <f>R222*S222%</f>
        <v>364.56</v>
      </c>
      <c r="V222" s="347">
        <f>R222*T222%</f>
        <v>716.1</v>
      </c>
      <c r="X222" s="176">
        <f t="shared" si="426"/>
        <v>2492</v>
      </c>
      <c r="Y222" s="210">
        <f t="shared" si="427"/>
        <v>4.09</v>
      </c>
      <c r="Z222" s="210">
        <f t="shared" si="428"/>
        <v>8.23</v>
      </c>
    </row>
    <row r="223" spans="1:31" x14ac:dyDescent="0.25">
      <c r="A223" s="220">
        <v>71507</v>
      </c>
      <c r="B223" s="221">
        <v>9944</v>
      </c>
      <c r="C223" s="109" t="s">
        <v>73</v>
      </c>
      <c r="D223" s="229">
        <v>45894</v>
      </c>
      <c r="E223" s="65"/>
      <c r="F223" s="227" t="s">
        <v>78</v>
      </c>
      <c r="G223" s="65" t="str">
        <f t="shared" ref="G223:G230" si="443">VLOOKUP(F223,$AC$11:$AD$19,2,0)</f>
        <v>Bhandra</v>
      </c>
      <c r="H223" s="65">
        <v>6183</v>
      </c>
      <c r="I223" s="65">
        <v>4.2</v>
      </c>
      <c r="J223" s="65">
        <v>8.25</v>
      </c>
      <c r="K223" s="176">
        <f t="shared" si="422"/>
        <v>259.68600000000004</v>
      </c>
      <c r="L223" s="177">
        <f t="shared" si="423"/>
        <v>510.09750000000003</v>
      </c>
      <c r="M223" s="209">
        <f>$R$222*H223/SUM($H$222:$H$223)</f>
        <v>6187.9903147699761</v>
      </c>
      <c r="N223" s="211">
        <f t="shared" ref="N223" si="444">P223/M223*100</f>
        <v>4.24351082153823</v>
      </c>
      <c r="O223" s="211">
        <f t="shared" ref="O223" si="445">Q223/M223*100</f>
        <v>8.258621937937157</v>
      </c>
      <c r="P223" s="176">
        <f>$U$222*K223/SUM($K$222:$K$223)</f>
        <v>262.58803864300154</v>
      </c>
      <c r="Q223" s="212">
        <f>$V$222*L223/SUM($L$222:$L$223)</f>
        <v>511.04272565301972</v>
      </c>
      <c r="R223" s="348"/>
      <c r="S223" s="348"/>
      <c r="T223" s="348"/>
      <c r="U223" s="348"/>
      <c r="V223" s="348"/>
      <c r="X223" s="176">
        <f t="shared" si="426"/>
        <v>6188</v>
      </c>
      <c r="Y223" s="210">
        <f t="shared" si="427"/>
        <v>4.24</v>
      </c>
      <c r="Z223" s="210">
        <f t="shared" si="428"/>
        <v>8.26</v>
      </c>
    </row>
    <row r="224" spans="1:31" x14ac:dyDescent="0.25">
      <c r="A224" s="220">
        <v>71508</v>
      </c>
      <c r="B224" s="221">
        <v>8504</v>
      </c>
      <c r="C224" s="109" t="s">
        <v>73</v>
      </c>
      <c r="D224" s="229">
        <v>45895</v>
      </c>
      <c r="E224" s="65"/>
      <c r="F224" s="227" t="s">
        <v>2</v>
      </c>
      <c r="G224" s="65" t="str">
        <f t="shared" si="443"/>
        <v>Itki</v>
      </c>
      <c r="H224" s="65">
        <v>6740</v>
      </c>
      <c r="I224" s="65">
        <v>4.3</v>
      </c>
      <c r="J224" s="65">
        <v>8.4499999999999993</v>
      </c>
      <c r="K224" s="176">
        <f t="shared" si="422"/>
        <v>289.82</v>
      </c>
      <c r="L224" s="177">
        <f t="shared" si="423"/>
        <v>569.53</v>
      </c>
      <c r="M224" s="209">
        <f>$R$224*H224/SUM($H$224)</f>
        <v>6740</v>
      </c>
      <c r="N224" s="211">
        <f t="shared" ref="N224:N225" si="446">P224/M224*100</f>
        <v>4.3499999999999996</v>
      </c>
      <c r="O224" s="211">
        <f t="shared" ref="O224:O225" si="447">Q224/M224*100</f>
        <v>8.4600000000000009</v>
      </c>
      <c r="P224" s="176">
        <f>$U$224*K224/SUM($K$224)</f>
        <v>293.19</v>
      </c>
      <c r="Q224" s="212">
        <f>$V$224*L224/SUM($L$224)</f>
        <v>570.20400000000006</v>
      </c>
      <c r="R224" s="65">
        <v>6740</v>
      </c>
      <c r="S224" s="65">
        <v>4.3499999999999996</v>
      </c>
      <c r="T224" s="65">
        <v>8.4600000000000009</v>
      </c>
      <c r="U224" s="245">
        <f>R224*S224%</f>
        <v>293.19</v>
      </c>
      <c r="V224" s="245">
        <f>R224*T224%</f>
        <v>570.20400000000006</v>
      </c>
      <c r="X224" s="176">
        <f t="shared" si="426"/>
        <v>6740</v>
      </c>
      <c r="Y224" s="210">
        <f t="shared" si="427"/>
        <v>4.3499999999999996</v>
      </c>
      <c r="Z224" s="210">
        <f t="shared" si="428"/>
        <v>8.4600000000000009</v>
      </c>
    </row>
    <row r="225" spans="1:31" x14ac:dyDescent="0.25">
      <c r="A225" s="220">
        <v>70518</v>
      </c>
      <c r="B225" s="228" t="s">
        <v>90</v>
      </c>
      <c r="C225" s="109" t="s">
        <v>73</v>
      </c>
      <c r="D225" s="229">
        <v>45894</v>
      </c>
      <c r="E225" s="65"/>
      <c r="F225" s="227" t="s">
        <v>4</v>
      </c>
      <c r="G225" s="65" t="str">
        <f t="shared" si="443"/>
        <v>Pali</v>
      </c>
      <c r="H225" s="65">
        <v>1227</v>
      </c>
      <c r="I225" s="65">
        <v>4.25</v>
      </c>
      <c r="J225" s="65">
        <v>8.3800000000000008</v>
      </c>
      <c r="K225" s="176">
        <f t="shared" si="422"/>
        <v>52.147500000000001</v>
      </c>
      <c r="L225" s="177">
        <f t="shared" si="423"/>
        <v>102.82260000000002</v>
      </c>
      <c r="M225" s="209">
        <f>$R$225*H225/SUM($H$225:$H$229)</f>
        <v>1228.0032706459526</v>
      </c>
      <c r="N225" s="211">
        <f t="shared" si="446"/>
        <v>4.2927003719503736</v>
      </c>
      <c r="O225" s="211">
        <f t="shared" si="447"/>
        <v>8.3740426642183223</v>
      </c>
      <c r="P225" s="176">
        <f>$U$225*K225/SUM($K$225:$K$229)</f>
        <v>52.714500966581568</v>
      </c>
      <c r="Q225" s="212">
        <f>$V$225*L225/SUM($L$225:$L$229)</f>
        <v>102.83351780188846</v>
      </c>
      <c r="R225" s="347">
        <v>6120</v>
      </c>
      <c r="S225" s="347">
        <v>4.05</v>
      </c>
      <c r="T225" s="347">
        <v>8.2799999999999994</v>
      </c>
      <c r="U225" s="347">
        <f>R225*S225%</f>
        <v>247.86</v>
      </c>
      <c r="V225" s="347">
        <f>R225*T225%</f>
        <v>506.73599999999999</v>
      </c>
      <c r="X225" s="176">
        <f t="shared" si="426"/>
        <v>1228</v>
      </c>
      <c r="Y225" s="210">
        <f t="shared" si="427"/>
        <v>4.29</v>
      </c>
      <c r="Z225" s="210">
        <f t="shared" si="428"/>
        <v>8.3699999999999992</v>
      </c>
      <c r="AE225">
        <v>72343</v>
      </c>
    </row>
    <row r="226" spans="1:31" x14ac:dyDescent="0.25">
      <c r="A226" s="220">
        <v>70518</v>
      </c>
      <c r="B226" s="228" t="s">
        <v>90</v>
      </c>
      <c r="C226" s="109" t="s">
        <v>73</v>
      </c>
      <c r="D226" s="229">
        <v>45894</v>
      </c>
      <c r="E226" s="65"/>
      <c r="F226" s="227" t="s">
        <v>8</v>
      </c>
      <c r="G226" s="65" t="str">
        <f t="shared" si="443"/>
        <v>Choria</v>
      </c>
      <c r="H226" s="65">
        <v>1273</v>
      </c>
      <c r="I226" s="65">
        <v>2.9</v>
      </c>
      <c r="J226" s="65">
        <v>7.8</v>
      </c>
      <c r="K226" s="176">
        <f t="shared" si="422"/>
        <v>36.916999999999994</v>
      </c>
      <c r="L226" s="177">
        <f t="shared" si="423"/>
        <v>99.293999999999997</v>
      </c>
      <c r="M226" s="209">
        <f t="shared" ref="M226:M229" si="448">$R$225*H226/SUM($H$225:$H$229)</f>
        <v>1274.0408830744072</v>
      </c>
      <c r="N226" s="211">
        <f t="shared" ref="N226:N229" si="449">P226/M226*100</f>
        <v>2.9291367243896662</v>
      </c>
      <c r="O226" s="211">
        <f t="shared" ref="O226:O229" si="450">Q226/M226*100</f>
        <v>7.7944549857879348</v>
      </c>
      <c r="P226" s="176">
        <f t="shared" ref="P226:P229" si="451">$U$225*K226/SUM($K$225:$K$229)</f>
        <v>37.318399389870869</v>
      </c>
      <c r="Q226" s="212">
        <f t="shared" ref="Q226:Q229" si="452">$V$225*L226/SUM($L$225:$L$229)</f>
        <v>99.304543131769776</v>
      </c>
      <c r="R226" s="349"/>
      <c r="S226" s="349"/>
      <c r="T226" s="349"/>
      <c r="U226" s="349"/>
      <c r="V226" s="349"/>
      <c r="X226" s="176">
        <f t="shared" si="426"/>
        <v>1274</v>
      </c>
      <c r="Y226" s="210">
        <f t="shared" si="427"/>
        <v>2.93</v>
      </c>
      <c r="Z226" s="210">
        <f t="shared" si="428"/>
        <v>7.79</v>
      </c>
    </row>
    <row r="227" spans="1:31" x14ac:dyDescent="0.25">
      <c r="A227" s="220">
        <v>70518</v>
      </c>
      <c r="B227" s="228" t="s">
        <v>90</v>
      </c>
      <c r="C227" s="109" t="s">
        <v>73</v>
      </c>
      <c r="D227" s="229">
        <v>45894</v>
      </c>
      <c r="E227" s="65"/>
      <c r="F227" s="227" t="s">
        <v>89</v>
      </c>
      <c r="G227" s="65" t="str">
        <f t="shared" si="443"/>
        <v>Chanho</v>
      </c>
      <c r="H227" s="65">
        <v>1275</v>
      </c>
      <c r="I227" s="65">
        <v>4.3</v>
      </c>
      <c r="J227" s="65">
        <v>8.39</v>
      </c>
      <c r="K227" s="176">
        <f t="shared" si="422"/>
        <v>54.824999999999996</v>
      </c>
      <c r="L227" s="177">
        <f t="shared" si="423"/>
        <v>106.9725</v>
      </c>
      <c r="M227" s="209">
        <f t="shared" si="448"/>
        <v>1276.0425183973834</v>
      </c>
      <c r="N227" s="211">
        <f t="shared" si="449"/>
        <v>4.3432027292674373</v>
      </c>
      <c r="O227" s="211">
        <f t="shared" si="450"/>
        <v>8.3840355552257417</v>
      </c>
      <c r="P227" s="176">
        <f t="shared" si="451"/>
        <v>55.4211134856481</v>
      </c>
      <c r="Q227" s="212">
        <f t="shared" si="452"/>
        <v>106.98385844223459</v>
      </c>
      <c r="R227" s="349"/>
      <c r="S227" s="349"/>
      <c r="T227" s="349"/>
      <c r="U227" s="349"/>
      <c r="V227" s="349"/>
      <c r="X227" s="176">
        <f t="shared" si="426"/>
        <v>1276</v>
      </c>
      <c r="Y227" s="210">
        <f t="shared" si="427"/>
        <v>4.34</v>
      </c>
      <c r="Z227" s="210">
        <f t="shared" si="428"/>
        <v>8.3800000000000008</v>
      </c>
    </row>
    <row r="228" spans="1:31" x14ac:dyDescent="0.25">
      <c r="A228" s="220">
        <v>70518</v>
      </c>
      <c r="B228" s="228" t="s">
        <v>90</v>
      </c>
      <c r="C228" s="109" t="s">
        <v>73</v>
      </c>
      <c r="D228" s="229">
        <v>45894</v>
      </c>
      <c r="E228" s="65"/>
      <c r="F228" s="227" t="s">
        <v>4</v>
      </c>
      <c r="G228" s="65" t="str">
        <f t="shared" si="443"/>
        <v>Pali</v>
      </c>
      <c r="H228" s="65">
        <v>971</v>
      </c>
      <c r="I228" s="65">
        <v>4.3</v>
      </c>
      <c r="J228" s="65">
        <v>8.4499999999999993</v>
      </c>
      <c r="K228" s="176">
        <f t="shared" si="422"/>
        <v>41.753</v>
      </c>
      <c r="L228" s="177">
        <f t="shared" si="423"/>
        <v>82.049499999999995</v>
      </c>
      <c r="M228" s="209">
        <f t="shared" si="448"/>
        <v>971.79394930498779</v>
      </c>
      <c r="N228" s="211">
        <f t="shared" si="449"/>
        <v>4.3432027292674373</v>
      </c>
      <c r="O228" s="211">
        <f t="shared" si="450"/>
        <v>8.4439929012702635</v>
      </c>
      <c r="P228" s="176">
        <f t="shared" si="451"/>
        <v>42.206981329070047</v>
      </c>
      <c r="Q228" s="212">
        <f t="shared" si="452"/>
        <v>82.058212094287114</v>
      </c>
      <c r="R228" s="349"/>
      <c r="S228" s="349"/>
      <c r="T228" s="349"/>
      <c r="U228" s="349"/>
      <c r="V228" s="349"/>
      <c r="X228" s="176">
        <f t="shared" si="426"/>
        <v>972</v>
      </c>
      <c r="Y228" s="210">
        <f t="shared" si="427"/>
        <v>4.34</v>
      </c>
      <c r="Z228" s="210">
        <f t="shared" si="428"/>
        <v>8.44</v>
      </c>
      <c r="AE228">
        <v>18598</v>
      </c>
    </row>
    <row r="229" spans="1:31" x14ac:dyDescent="0.25">
      <c r="A229" s="220">
        <v>70518</v>
      </c>
      <c r="B229" s="228" t="s">
        <v>90</v>
      </c>
      <c r="C229" s="109" t="s">
        <v>73</v>
      </c>
      <c r="D229" s="229">
        <v>45894</v>
      </c>
      <c r="E229" s="65"/>
      <c r="F229" s="227" t="s">
        <v>12</v>
      </c>
      <c r="G229" s="65" t="str">
        <f t="shared" si="443"/>
        <v>Ormanjhi</v>
      </c>
      <c r="H229" s="65">
        <v>1369</v>
      </c>
      <c r="I229" s="65">
        <v>4.3499999999999996</v>
      </c>
      <c r="J229" s="65">
        <v>8.44</v>
      </c>
      <c r="K229" s="176">
        <f t="shared" si="422"/>
        <v>59.551499999999997</v>
      </c>
      <c r="L229" s="177">
        <f t="shared" si="423"/>
        <v>115.54359999999998</v>
      </c>
      <c r="M229" s="209">
        <f t="shared" si="448"/>
        <v>1370.1193785772691</v>
      </c>
      <c r="N229" s="211">
        <f t="shared" si="449"/>
        <v>4.3937050865845002</v>
      </c>
      <c r="O229" s="211">
        <f t="shared" si="450"/>
        <v>8.4340000102628423</v>
      </c>
      <c r="P229" s="176">
        <f t="shared" si="451"/>
        <v>60.199004828829416</v>
      </c>
      <c r="Q229" s="212">
        <f t="shared" si="452"/>
        <v>115.55586852982006</v>
      </c>
      <c r="R229" s="348"/>
      <c r="S229" s="348"/>
      <c r="T229" s="348"/>
      <c r="U229" s="348"/>
      <c r="V229" s="348"/>
      <c r="X229" s="176">
        <f t="shared" si="426"/>
        <v>1370</v>
      </c>
      <c r="Y229" s="210">
        <f t="shared" si="427"/>
        <v>4.3899999999999997</v>
      </c>
      <c r="Z229" s="210">
        <f t="shared" si="428"/>
        <v>8.43</v>
      </c>
    </row>
    <row r="230" spans="1:31" x14ac:dyDescent="0.25">
      <c r="A230" s="220">
        <v>71506</v>
      </c>
      <c r="B230" s="221">
        <v>8504</v>
      </c>
      <c r="C230" s="109" t="s">
        <v>73</v>
      </c>
      <c r="D230" s="229">
        <v>45893</v>
      </c>
      <c r="E230" s="65"/>
      <c r="F230" s="227" t="s">
        <v>89</v>
      </c>
      <c r="G230" s="65" t="str">
        <f t="shared" si="443"/>
        <v>Chanho</v>
      </c>
      <c r="H230" s="65">
        <v>1260</v>
      </c>
      <c r="I230" s="65">
        <v>4.2</v>
      </c>
      <c r="J230" s="65">
        <v>8.31</v>
      </c>
      <c r="K230" s="176">
        <f t="shared" si="422"/>
        <v>52.92</v>
      </c>
      <c r="L230" s="177">
        <f t="shared" si="423"/>
        <v>104.706</v>
      </c>
      <c r="M230" s="209">
        <f>$R$230*H230/SUM($H$230:$H$232)</f>
        <v>1271.2835820895523</v>
      </c>
      <c r="N230" s="211">
        <f t="shared" ref="N230" si="453">P230/M230*100</f>
        <v>4.2035851472471197</v>
      </c>
      <c r="O230" s="211">
        <f t="shared" ref="O230" si="454">Q230/M230*100</f>
        <v>8.2993695998612385</v>
      </c>
      <c r="P230" s="176">
        <f>$U$230*K230/SUM($K$230:$K$232)</f>
        <v>53.439487836107567</v>
      </c>
      <c r="Q230" s="212">
        <f>$V$230*L230/SUM($L$230:$L$232)</f>
        <v>105.50852313996728</v>
      </c>
      <c r="R230" s="347">
        <v>6760</v>
      </c>
      <c r="S230" s="347">
        <v>4.2</v>
      </c>
      <c r="T230" s="347">
        <v>8.25</v>
      </c>
      <c r="U230" s="347">
        <f>R230*S230%</f>
        <v>283.92</v>
      </c>
      <c r="V230" s="347">
        <f>R230*T230%</f>
        <v>557.70000000000005</v>
      </c>
      <c r="X230" s="176">
        <f t="shared" si="426"/>
        <v>1271</v>
      </c>
      <c r="Y230" s="210">
        <f t="shared" si="427"/>
        <v>4.2</v>
      </c>
      <c r="Z230" s="210">
        <f t="shared" si="428"/>
        <v>8.3000000000000007</v>
      </c>
    </row>
    <row r="231" spans="1:31" x14ac:dyDescent="0.25">
      <c r="A231" s="220">
        <v>71506</v>
      </c>
      <c r="B231" s="221">
        <v>8504</v>
      </c>
      <c r="C231" s="109" t="s">
        <v>73</v>
      </c>
      <c r="D231" s="229">
        <v>45893</v>
      </c>
      <c r="E231" s="65"/>
      <c r="F231" s="243"/>
      <c r="G231" s="244" t="s">
        <v>114</v>
      </c>
      <c r="H231" s="65">
        <v>2840</v>
      </c>
      <c r="I231" s="65">
        <v>4.0999999999999996</v>
      </c>
      <c r="J231" s="65">
        <v>8.23</v>
      </c>
      <c r="K231" s="176">
        <f t="shared" si="422"/>
        <v>116.43999999999998</v>
      </c>
      <c r="L231" s="177">
        <f t="shared" si="423"/>
        <v>233.732</v>
      </c>
      <c r="M231" s="209">
        <f t="shared" ref="M231:M232" si="455">$R$230*H231/SUM($H$230:$H$232)</f>
        <v>2865.4328358208954</v>
      </c>
      <c r="N231" s="211">
        <f t="shared" ref="N231:N232" si="456">P231/M231*100</f>
        <v>4.1034997865983778</v>
      </c>
      <c r="O231" s="211">
        <f t="shared" ref="O231:O232" si="457">Q231/M231*100</f>
        <v>8.2194719382500594</v>
      </c>
      <c r="P231" s="176">
        <f t="shared" ref="P231:P232" si="458">$U$230*K231/SUM($K$230:$K$232)</f>
        <v>117.5830303030303</v>
      </c>
      <c r="Q231" s="212">
        <f t="shared" ref="Q231:Q232" si="459">$V$230*L231/SUM($L$230:$L$232)</f>
        <v>235.52344784970137</v>
      </c>
      <c r="R231" s="349"/>
      <c r="S231" s="349"/>
      <c r="T231" s="349"/>
      <c r="U231" s="349"/>
      <c r="V231" s="349"/>
      <c r="X231" s="176">
        <f t="shared" si="426"/>
        <v>2865</v>
      </c>
      <c r="Y231" s="210">
        <f t="shared" si="427"/>
        <v>4.0999999999999996</v>
      </c>
      <c r="Z231" s="210">
        <f t="shared" si="428"/>
        <v>8.2200000000000006</v>
      </c>
    </row>
    <row r="232" spans="1:31" x14ac:dyDescent="0.25">
      <c r="A232" s="220">
        <v>71506</v>
      </c>
      <c r="B232" s="221">
        <v>8504</v>
      </c>
      <c r="C232" s="109" t="s">
        <v>73</v>
      </c>
      <c r="D232" s="229">
        <v>45893</v>
      </c>
      <c r="E232" s="65"/>
      <c r="F232" s="227" t="s">
        <v>78</v>
      </c>
      <c r="G232" s="65" t="str">
        <f t="shared" ref="G232:G236" si="460">VLOOKUP(F232,$AC$11:$AD$19,2,0)</f>
        <v>Bhandra</v>
      </c>
      <c r="H232" s="65">
        <v>2600</v>
      </c>
      <c r="I232" s="65">
        <v>4.3</v>
      </c>
      <c r="J232" s="65">
        <v>8.27</v>
      </c>
      <c r="K232" s="176">
        <f t="shared" si="422"/>
        <v>111.8</v>
      </c>
      <c r="L232" s="177">
        <f t="shared" si="423"/>
        <v>215.01999999999998</v>
      </c>
      <c r="M232" s="209">
        <f t="shared" si="455"/>
        <v>2623.2835820895521</v>
      </c>
      <c r="N232" s="211">
        <f t="shared" si="456"/>
        <v>4.3036705078958608</v>
      </c>
      <c r="O232" s="211">
        <f t="shared" si="457"/>
        <v>8.259420769055648</v>
      </c>
      <c r="P232" s="176">
        <f t="shared" si="458"/>
        <v>112.89748186086216</v>
      </c>
      <c r="Q232" s="212">
        <f t="shared" si="459"/>
        <v>216.66802901033142</v>
      </c>
      <c r="R232" s="348"/>
      <c r="S232" s="348"/>
      <c r="T232" s="348"/>
      <c r="U232" s="348"/>
      <c r="V232" s="348"/>
      <c r="X232" s="176">
        <f t="shared" si="426"/>
        <v>2623</v>
      </c>
      <c r="Y232" s="210">
        <f t="shared" si="427"/>
        <v>4.3</v>
      </c>
      <c r="Z232" s="210">
        <f t="shared" si="428"/>
        <v>8.26</v>
      </c>
    </row>
    <row r="233" spans="1:31" x14ac:dyDescent="0.25">
      <c r="A233" s="220">
        <v>70517</v>
      </c>
      <c r="B233" s="228" t="s">
        <v>90</v>
      </c>
      <c r="C233" s="109" t="s">
        <v>73</v>
      </c>
      <c r="D233" s="229">
        <v>45893</v>
      </c>
      <c r="E233" s="65"/>
      <c r="F233" s="227" t="s">
        <v>4</v>
      </c>
      <c r="G233" s="65" t="str">
        <f t="shared" si="460"/>
        <v>Pali</v>
      </c>
      <c r="H233" s="65">
        <v>1234</v>
      </c>
      <c r="I233" s="65">
        <v>4.25</v>
      </c>
      <c r="J233" s="65">
        <v>8.44</v>
      </c>
      <c r="K233" s="176">
        <f t="shared" si="422"/>
        <v>52.445</v>
      </c>
      <c r="L233" s="177">
        <f t="shared" si="423"/>
        <v>104.14959999999999</v>
      </c>
      <c r="M233" s="209">
        <f>$R$233*H233/SUM($H$233:$H$235)</f>
        <v>1237.9737428783751</v>
      </c>
      <c r="N233" s="211">
        <f t="shared" ref="N233" si="461">P233/M233*100</f>
        <v>4.2541147647440809</v>
      </c>
      <c r="O233" s="211">
        <f t="shared" ref="O233" si="462">Q233/M233*100</f>
        <v>8.4223624789392915</v>
      </c>
      <c r="P233" s="176">
        <f>$U$233*K233/SUM($K$233:$K$235)</f>
        <v>52.664823779443886</v>
      </c>
      <c r="Q233" s="212">
        <f>$V$233*L233/SUM($L$233:$L$235)</f>
        <v>104.26663601930865</v>
      </c>
      <c r="R233" s="347">
        <v>4050</v>
      </c>
      <c r="S233" s="347">
        <v>4.2</v>
      </c>
      <c r="T233" s="347">
        <v>8.3699999999999992</v>
      </c>
      <c r="U233" s="347">
        <f>R233*S233%</f>
        <v>170.10000000000002</v>
      </c>
      <c r="V233" s="347">
        <f>R233*T233%</f>
        <v>338.98500000000001</v>
      </c>
      <c r="X233" s="176">
        <f t="shared" si="426"/>
        <v>1238</v>
      </c>
      <c r="Y233" s="210">
        <f t="shared" si="427"/>
        <v>4.25</v>
      </c>
      <c r="Z233" s="210">
        <f t="shared" si="428"/>
        <v>8.42</v>
      </c>
      <c r="AE233">
        <v>8296</v>
      </c>
    </row>
    <row r="234" spans="1:31" x14ac:dyDescent="0.25">
      <c r="A234" s="220">
        <v>70517</v>
      </c>
      <c r="B234" s="228" t="s">
        <v>90</v>
      </c>
      <c r="C234" s="109" t="s">
        <v>73</v>
      </c>
      <c r="D234" s="229">
        <v>45893</v>
      </c>
      <c r="E234" s="65"/>
      <c r="F234" s="227" t="s">
        <v>14</v>
      </c>
      <c r="G234" s="65" t="str">
        <f t="shared" si="460"/>
        <v>Piragutu</v>
      </c>
      <c r="H234" s="65">
        <v>1348</v>
      </c>
      <c r="I234" s="65">
        <v>4.25</v>
      </c>
      <c r="J234" s="65">
        <v>8.3800000000000008</v>
      </c>
      <c r="K234" s="176">
        <f t="shared" si="422"/>
        <v>57.290000000000006</v>
      </c>
      <c r="L234" s="177">
        <f t="shared" si="423"/>
        <v>112.96240000000002</v>
      </c>
      <c r="M234" s="209">
        <f t="shared" ref="M234:M235" si="463">$R$233*H234/SUM($H$233:$H$235)</f>
        <v>1352.3408471637354</v>
      </c>
      <c r="N234" s="211">
        <f t="shared" ref="N234:N235" si="464">P234/M234*100</f>
        <v>4.2541147647440827</v>
      </c>
      <c r="O234" s="211">
        <f t="shared" ref="O234:O235" si="465">Q234/M234*100</f>
        <v>8.362487864160105</v>
      </c>
      <c r="P234" s="176">
        <f t="shared" ref="P234:P235" si="466">$U$233*K234/SUM($K$233:$K$235)</f>
        <v>57.530131648857676</v>
      </c>
      <c r="Q234" s="212">
        <f t="shared" ref="Q234:Q235" si="467">$V$233*L234/SUM($L$233:$L$235)</f>
        <v>113.08933922614733</v>
      </c>
      <c r="R234" s="349"/>
      <c r="S234" s="349"/>
      <c r="T234" s="349"/>
      <c r="U234" s="349"/>
      <c r="V234" s="349"/>
      <c r="X234" s="176">
        <f t="shared" si="426"/>
        <v>1352</v>
      </c>
      <c r="Y234" s="210">
        <f t="shared" si="427"/>
        <v>4.25</v>
      </c>
      <c r="Z234" s="210">
        <f t="shared" si="428"/>
        <v>8.36</v>
      </c>
    </row>
    <row r="235" spans="1:31" x14ac:dyDescent="0.25">
      <c r="A235" s="220">
        <v>70517</v>
      </c>
      <c r="B235" s="228" t="s">
        <v>90</v>
      </c>
      <c r="C235" s="109" t="s">
        <v>73</v>
      </c>
      <c r="D235" s="229">
        <v>45893</v>
      </c>
      <c r="E235" s="65"/>
      <c r="F235" s="227" t="s">
        <v>12</v>
      </c>
      <c r="G235" s="65" t="str">
        <f t="shared" si="460"/>
        <v>Ormanjhi</v>
      </c>
      <c r="H235" s="65">
        <v>1455</v>
      </c>
      <c r="I235" s="65">
        <v>4.0999999999999996</v>
      </c>
      <c r="J235" s="65">
        <v>8.35</v>
      </c>
      <c r="K235" s="176">
        <f t="shared" si="422"/>
        <v>59.654999999999994</v>
      </c>
      <c r="L235" s="177">
        <f t="shared" si="423"/>
        <v>121.49249999999999</v>
      </c>
      <c r="M235" s="209">
        <f t="shared" si="463"/>
        <v>1459.6854099578895</v>
      </c>
      <c r="N235" s="211">
        <f t="shared" si="464"/>
        <v>4.1039695377531142</v>
      </c>
      <c r="O235" s="211">
        <f t="shared" si="465"/>
        <v>8.3325505567705083</v>
      </c>
      <c r="P235" s="176">
        <f t="shared" si="466"/>
        <v>59.905044571698447</v>
      </c>
      <c r="Q235" s="212">
        <f t="shared" si="467"/>
        <v>121.62902475454401</v>
      </c>
      <c r="R235" s="348"/>
      <c r="S235" s="348"/>
      <c r="T235" s="348"/>
      <c r="U235" s="348"/>
      <c r="V235" s="348"/>
      <c r="X235" s="176">
        <f t="shared" si="426"/>
        <v>1460</v>
      </c>
      <c r="Y235" s="210">
        <f t="shared" si="427"/>
        <v>4.0999999999999996</v>
      </c>
      <c r="Z235" s="210">
        <f t="shared" si="428"/>
        <v>8.33</v>
      </c>
    </row>
    <row r="236" spans="1:31" x14ac:dyDescent="0.25">
      <c r="A236" s="220">
        <v>71505</v>
      </c>
      <c r="B236" s="221">
        <v>9944</v>
      </c>
      <c r="C236" s="109" t="s">
        <v>73</v>
      </c>
      <c r="D236" s="229">
        <v>45892</v>
      </c>
      <c r="E236" s="65"/>
      <c r="F236" s="227" t="s">
        <v>2</v>
      </c>
      <c r="G236" s="65" t="str">
        <f t="shared" si="460"/>
        <v>Itki</v>
      </c>
      <c r="H236" s="65">
        <v>3112</v>
      </c>
      <c r="I236" s="65">
        <v>4.1500000000000004</v>
      </c>
      <c r="J236" s="65">
        <v>8.36</v>
      </c>
      <c r="K236" s="176">
        <f t="shared" si="422"/>
        <v>129.148</v>
      </c>
      <c r="L236" s="177">
        <f t="shared" si="423"/>
        <v>260.16319999999996</v>
      </c>
      <c r="M236" s="209">
        <f>$R$236*H236/SUM($H$236:$H$238)</f>
        <v>3109.828332170272</v>
      </c>
      <c r="N236" s="211">
        <f t="shared" ref="N236" si="468">P236/M236*100</f>
        <v>4.163104754707561</v>
      </c>
      <c r="O236" s="211">
        <f t="shared" ref="O236" si="469">Q236/M236*100</f>
        <v>8.3268742479827846</v>
      </c>
      <c r="P236" s="176">
        <f>$U$236*K236/SUM($K$236:$K$238)</f>
        <v>129.46541115982345</v>
      </c>
      <c r="Q236" s="212">
        <f>$V$236*L236/SUM($L$236:$L$238)</f>
        <v>258.95149454795893</v>
      </c>
      <c r="R236" s="347">
        <v>7160</v>
      </c>
      <c r="S236" s="347">
        <v>4.1500000000000004</v>
      </c>
      <c r="T236" s="347">
        <v>8.3000000000000007</v>
      </c>
      <c r="U236" s="347">
        <f>R236*S236%</f>
        <v>297.14000000000004</v>
      </c>
      <c r="V236" s="347">
        <f>R236*T236%</f>
        <v>594.28000000000009</v>
      </c>
      <c r="X236" s="176">
        <f t="shared" si="426"/>
        <v>3110</v>
      </c>
      <c r="Y236" s="210">
        <f t="shared" si="427"/>
        <v>4.16</v>
      </c>
      <c r="Z236" s="210">
        <f t="shared" si="428"/>
        <v>8.33</v>
      </c>
    </row>
    <row r="237" spans="1:31" x14ac:dyDescent="0.25">
      <c r="A237" s="220">
        <v>71505</v>
      </c>
      <c r="B237" s="221">
        <v>9944</v>
      </c>
      <c r="C237" s="109" t="s">
        <v>73</v>
      </c>
      <c r="D237" s="229">
        <v>45892</v>
      </c>
      <c r="E237" s="65"/>
      <c r="F237" s="243"/>
      <c r="G237" s="244" t="s">
        <v>114</v>
      </c>
      <c r="H237" s="65">
        <v>2910</v>
      </c>
      <c r="I237" s="65">
        <v>4</v>
      </c>
      <c r="J237" s="65">
        <v>8.27</v>
      </c>
      <c r="K237" s="176">
        <f t="shared" si="422"/>
        <v>116.4</v>
      </c>
      <c r="L237" s="177">
        <f t="shared" si="423"/>
        <v>240.65699999999998</v>
      </c>
      <c r="M237" s="209">
        <f t="shared" ref="M237:M238" si="470">$R$236*H237/SUM($H$236:$H$238)</f>
        <v>2907.9692951849265</v>
      </c>
      <c r="N237" s="211">
        <f t="shared" ref="N237:N238" si="471">P237/M237*100</f>
        <v>4.0126310888747581</v>
      </c>
      <c r="O237" s="211">
        <f t="shared" ref="O237:O238" si="472">Q237/M237*100</f>
        <v>8.237230864930341</v>
      </c>
      <c r="P237" s="176">
        <f t="shared" ref="P237:P238" si="473">$U$236*K237/SUM($K$236:$K$238)</f>
        <v>116.68607999352254</v>
      </c>
      <c r="Q237" s="212">
        <f t="shared" ref="Q237:Q238" si="474">$V$236*L237/SUM($L$236:$L$238)</f>
        <v>239.53614432567005</v>
      </c>
      <c r="R237" s="349"/>
      <c r="S237" s="349"/>
      <c r="T237" s="349"/>
      <c r="U237" s="349"/>
      <c r="V237" s="349"/>
      <c r="X237" s="176">
        <f t="shared" si="426"/>
        <v>2908</v>
      </c>
      <c r="Y237" s="210">
        <f t="shared" si="427"/>
        <v>4.01</v>
      </c>
      <c r="Z237" s="210">
        <f t="shared" si="428"/>
        <v>8.24</v>
      </c>
    </row>
    <row r="238" spans="1:31" x14ac:dyDescent="0.25">
      <c r="A238" s="220">
        <v>71505</v>
      </c>
      <c r="B238" s="221">
        <v>9944</v>
      </c>
      <c r="C238" s="109" t="s">
        <v>73</v>
      </c>
      <c r="D238" s="229">
        <v>45892</v>
      </c>
      <c r="E238" s="65"/>
      <c r="F238" s="227" t="s">
        <v>89</v>
      </c>
      <c r="G238" s="65" t="str">
        <f t="shared" ref="G238" si="475">VLOOKUP(F238,$AC$11:$AD$19,2,0)</f>
        <v>Chanho</v>
      </c>
      <c r="H238" s="65">
        <v>1143</v>
      </c>
      <c r="I238" s="65">
        <v>4.45</v>
      </c>
      <c r="J238" s="65">
        <v>8.42</v>
      </c>
      <c r="K238" s="176">
        <f t="shared" si="422"/>
        <v>50.863500000000009</v>
      </c>
      <c r="L238" s="177">
        <f t="shared" si="423"/>
        <v>96.240600000000001</v>
      </c>
      <c r="M238" s="209">
        <f t="shared" si="470"/>
        <v>1142.202372644801</v>
      </c>
      <c r="N238" s="211">
        <f t="shared" si="471"/>
        <v>4.4640520863731687</v>
      </c>
      <c r="O238" s="211">
        <f t="shared" si="472"/>
        <v>8.3866365033510863</v>
      </c>
      <c r="P238" s="176">
        <f t="shared" si="473"/>
        <v>50.988508846654078</v>
      </c>
      <c r="Q238" s="212">
        <f t="shared" si="474"/>
        <v>95.792361126371077</v>
      </c>
      <c r="R238" s="348"/>
      <c r="S238" s="348"/>
      <c r="T238" s="348"/>
      <c r="U238" s="348"/>
      <c r="V238" s="348"/>
      <c r="X238" s="176">
        <f t="shared" si="426"/>
        <v>1142</v>
      </c>
      <c r="Y238" s="210">
        <f t="shared" si="427"/>
        <v>4.46</v>
      </c>
      <c r="Z238" s="210">
        <f t="shared" si="428"/>
        <v>8.39</v>
      </c>
    </row>
    <row r="239" spans="1:31" x14ac:dyDescent="0.25">
      <c r="A239" s="220">
        <v>71510</v>
      </c>
      <c r="B239" s="221">
        <v>9944</v>
      </c>
      <c r="C239" s="109" t="s">
        <v>73</v>
      </c>
      <c r="D239" s="229">
        <v>45896</v>
      </c>
      <c r="E239" s="65"/>
      <c r="F239" s="243"/>
      <c r="G239" s="244" t="s">
        <v>114</v>
      </c>
      <c r="H239" s="65">
        <v>1380</v>
      </c>
      <c r="I239" s="65">
        <v>3.9</v>
      </c>
      <c r="J239" s="65">
        <v>8.25</v>
      </c>
      <c r="K239" s="176">
        <f t="shared" si="422"/>
        <v>53.82</v>
      </c>
      <c r="L239" s="177">
        <f t="shared" si="423"/>
        <v>113.85000000000001</v>
      </c>
      <c r="M239" s="209">
        <f>$R$239*H239/SUM($H$239:$H$240)</f>
        <v>1364.5971398674574</v>
      </c>
      <c r="N239" s="211">
        <f t="shared" ref="N239" si="476">P239/M239*100</f>
        <v>3.920975714865139</v>
      </c>
      <c r="O239" s="211">
        <f t="shared" ref="O239" si="477">Q239/M239*100</f>
        <v>8.24</v>
      </c>
      <c r="P239" s="176">
        <f>$U$239*K239/SUM($K$239:$K$240)</f>
        <v>53.505522459947272</v>
      </c>
      <c r="Q239" s="212">
        <f>$V$239*L239/SUM($L$239:$L$240)</f>
        <v>112.44280432507848</v>
      </c>
      <c r="R239" s="347">
        <v>5670</v>
      </c>
      <c r="S239" s="347">
        <v>4.1500000000000004</v>
      </c>
      <c r="T239" s="347">
        <v>8.24</v>
      </c>
      <c r="U239" s="347">
        <f>R239*S239%</f>
        <v>235.30500000000001</v>
      </c>
      <c r="V239" s="347">
        <f>R239*T239%</f>
        <v>467.20800000000003</v>
      </c>
      <c r="X239" s="176">
        <f t="shared" ref="X239:X272" si="478">ROUND(M239,0)</f>
        <v>1365</v>
      </c>
      <c r="Y239" s="210">
        <f t="shared" ref="Y239:Y272" si="479">ROUND(N239,2)</f>
        <v>3.92</v>
      </c>
      <c r="Z239" s="210">
        <f t="shared" ref="Z239:Z272" si="480">ROUND(O239,2)</f>
        <v>8.24</v>
      </c>
    </row>
    <row r="240" spans="1:31" x14ac:dyDescent="0.25">
      <c r="A240" s="220">
        <v>71510</v>
      </c>
      <c r="B240" s="221">
        <v>9944</v>
      </c>
      <c r="C240" s="109" t="s">
        <v>73</v>
      </c>
      <c r="D240" s="229">
        <v>45896</v>
      </c>
      <c r="E240" s="65"/>
      <c r="F240" s="227" t="s">
        <v>78</v>
      </c>
      <c r="G240" s="65" t="str">
        <f t="shared" ref="G240" si="481">VLOOKUP(F240,$AC$11:$AD$19,2,0)</f>
        <v>Bhandra</v>
      </c>
      <c r="H240" s="65">
        <v>4354</v>
      </c>
      <c r="I240" s="65">
        <v>4.2</v>
      </c>
      <c r="J240" s="65">
        <v>8.25</v>
      </c>
      <c r="K240" s="176">
        <f t="shared" si="422"/>
        <v>182.86800000000002</v>
      </c>
      <c r="L240" s="177">
        <f t="shared" si="423"/>
        <v>359.20500000000004</v>
      </c>
      <c r="M240" s="209">
        <f>$R$239*H240/SUM($H$239:$H$240)</f>
        <v>4305.4028601325426</v>
      </c>
      <c r="N240" s="211">
        <f t="shared" ref="N240" si="482">P240/M240*100</f>
        <v>4.2225892313932265</v>
      </c>
      <c r="O240" s="211">
        <f t="shared" ref="O240" si="483">Q240/M240*100</f>
        <v>8.24</v>
      </c>
      <c r="P240" s="176">
        <f>$U$239*K240/SUM($K$239:$K$240)</f>
        <v>181.79947754005272</v>
      </c>
      <c r="Q240" s="212">
        <f>$V$239*L240/SUM($L$239:$L$240)</f>
        <v>354.76519567492153</v>
      </c>
      <c r="R240" s="348"/>
      <c r="S240" s="348"/>
      <c r="T240" s="348"/>
      <c r="U240" s="348"/>
      <c r="V240" s="348"/>
      <c r="X240" s="176">
        <f t="shared" si="478"/>
        <v>4305</v>
      </c>
      <c r="Y240" s="210">
        <f t="shared" si="479"/>
        <v>4.22</v>
      </c>
      <c r="Z240" s="210">
        <f t="shared" si="480"/>
        <v>8.24</v>
      </c>
    </row>
    <row r="241" spans="1:31" x14ac:dyDescent="0.25">
      <c r="A241" s="220">
        <v>71511</v>
      </c>
      <c r="B241" s="228" t="s">
        <v>90</v>
      </c>
      <c r="C241" s="109" t="s">
        <v>73</v>
      </c>
      <c r="D241" s="229">
        <v>45897</v>
      </c>
      <c r="E241" s="65"/>
      <c r="F241" s="243"/>
      <c r="G241" s="244" t="s">
        <v>114</v>
      </c>
      <c r="H241" s="65">
        <v>1750</v>
      </c>
      <c r="I241" s="65">
        <v>3.95</v>
      </c>
      <c r="J241" s="65">
        <v>8.1999999999999993</v>
      </c>
      <c r="K241" s="176">
        <f t="shared" ref="K241:K272" si="484">H241*I241%</f>
        <v>69.125</v>
      </c>
      <c r="L241" s="177">
        <f t="shared" ref="L241:L272" si="485">H241*J241%</f>
        <v>143.49999999999997</v>
      </c>
      <c r="M241" s="209">
        <f>$R$241*H241/SUM($H$241:$H$242)</f>
        <v>1755.6910569105692</v>
      </c>
      <c r="N241" s="211">
        <f t="shared" ref="N241" si="486">P241/M241*100</f>
        <v>3.9702225066456633</v>
      </c>
      <c r="O241" s="211">
        <f t="shared" ref="O241" si="487">Q241/M241*100</f>
        <v>8.2042092793682109</v>
      </c>
      <c r="P241" s="176">
        <f>$U$241*K241/SUM($K$241:$K$242)</f>
        <v>69.704841488628531</v>
      </c>
      <c r="Q241" s="212">
        <f>$V$241*L241/SUM($L$241:$L$242)</f>
        <v>144.04056860809473</v>
      </c>
      <c r="R241" s="347">
        <v>6170</v>
      </c>
      <c r="S241" s="347">
        <v>4.1500000000000004</v>
      </c>
      <c r="T241" s="347">
        <v>8.24</v>
      </c>
      <c r="U241" s="347">
        <f>R241*S241%</f>
        <v>256.05500000000001</v>
      </c>
      <c r="V241" s="347">
        <f>R241*T241%</f>
        <v>508.40800000000002</v>
      </c>
      <c r="X241" s="176">
        <f t="shared" si="478"/>
        <v>1756</v>
      </c>
      <c r="Y241" s="210">
        <f t="shared" si="479"/>
        <v>3.97</v>
      </c>
      <c r="Z241" s="210">
        <f t="shared" si="480"/>
        <v>8.1999999999999993</v>
      </c>
    </row>
    <row r="242" spans="1:31" x14ac:dyDescent="0.25">
      <c r="A242" s="220">
        <v>71511</v>
      </c>
      <c r="B242" s="228" t="s">
        <v>90</v>
      </c>
      <c r="C242" s="109" t="s">
        <v>73</v>
      </c>
      <c r="D242" s="229">
        <v>45897</v>
      </c>
      <c r="E242" s="65"/>
      <c r="F242" s="227" t="s">
        <v>78</v>
      </c>
      <c r="G242" s="65" t="str">
        <f t="shared" ref="G242:G265" si="488">VLOOKUP(F242,$AC$11:$AD$19,2,0)</f>
        <v>Bhandra</v>
      </c>
      <c r="H242" s="65">
        <v>4400</v>
      </c>
      <c r="I242" s="65">
        <v>4.2</v>
      </c>
      <c r="J242" s="65">
        <v>8.25</v>
      </c>
      <c r="K242" s="176">
        <f t="shared" si="484"/>
        <v>184.8</v>
      </c>
      <c r="L242" s="177">
        <f t="shared" si="485"/>
        <v>363</v>
      </c>
      <c r="M242" s="209">
        <f>$R$241*H242/SUM($H$241:$H$242)</f>
        <v>4414.3089430894306</v>
      </c>
      <c r="N242" s="211">
        <f t="shared" ref="N242" si="489">P242/M242*100</f>
        <v>4.2215024121295661</v>
      </c>
      <c r="O242" s="211">
        <f t="shared" ref="O242" si="490">Q242/M242*100</f>
        <v>8.2542349457058233</v>
      </c>
      <c r="P242" s="176">
        <f>$U$241*K242/SUM($K$241:$K$242)</f>
        <v>186.35015851137149</v>
      </c>
      <c r="Q242" s="212">
        <f>$V$241*L242/SUM($L$241:$L$242)</f>
        <v>364.3674313919052</v>
      </c>
      <c r="R242" s="348"/>
      <c r="S242" s="348"/>
      <c r="T242" s="348"/>
      <c r="U242" s="348"/>
      <c r="V242" s="348"/>
      <c r="X242" s="176">
        <f t="shared" si="478"/>
        <v>4414</v>
      </c>
      <c r="Y242" s="210">
        <f t="shared" si="479"/>
        <v>4.22</v>
      </c>
      <c r="Z242" s="210">
        <f t="shared" si="480"/>
        <v>8.25</v>
      </c>
    </row>
    <row r="243" spans="1:31" x14ac:dyDescent="0.25">
      <c r="A243" s="220">
        <v>70499</v>
      </c>
      <c r="B243" s="221">
        <v>9944</v>
      </c>
      <c r="C243" s="109" t="s">
        <v>73</v>
      </c>
      <c r="D243" s="229">
        <v>45893</v>
      </c>
      <c r="E243" s="65"/>
      <c r="F243" s="227" t="s">
        <v>6</v>
      </c>
      <c r="G243" s="65" t="str">
        <f t="shared" si="488"/>
        <v>Hisri</v>
      </c>
      <c r="H243" s="65">
        <v>1367</v>
      </c>
      <c r="I243" s="65">
        <v>4.0999999999999996</v>
      </c>
      <c r="J243" s="65">
        <v>8.23</v>
      </c>
      <c r="K243" s="176">
        <f t="shared" si="484"/>
        <v>56.04699999999999</v>
      </c>
      <c r="L243" s="177">
        <f t="shared" si="485"/>
        <v>112.50409999999999</v>
      </c>
      <c r="M243" s="209">
        <f>$R$243*H243/SUM($H$243:$H$245)</f>
        <v>1367</v>
      </c>
      <c r="N243" s="211">
        <f t="shared" ref="N243" si="491">P243/M243*100</f>
        <v>4.0952912342602072</v>
      </c>
      <c r="O243" s="211">
        <f t="shared" ref="O243" si="492">Q243/M243*100</f>
        <v>8.0118862417778605</v>
      </c>
      <c r="P243" s="176">
        <f>$U$243*K243/SUM($K$243:$K$245)</f>
        <v>55.982631172337037</v>
      </c>
      <c r="Q243" s="212">
        <f>$V$243*L243/SUM($L$243:$L$245)</f>
        <v>109.52248492510334</v>
      </c>
      <c r="R243" s="347">
        <v>7940</v>
      </c>
      <c r="S243" s="347">
        <v>4.25</v>
      </c>
      <c r="T243" s="347">
        <v>8.23</v>
      </c>
      <c r="U243" s="347">
        <f>R243*S243%</f>
        <v>337.45000000000005</v>
      </c>
      <c r="V243" s="347">
        <f>R243*T243%</f>
        <v>653.46199999999999</v>
      </c>
      <c r="X243" s="176">
        <f t="shared" si="478"/>
        <v>1367</v>
      </c>
      <c r="Y243" s="210">
        <f t="shared" si="479"/>
        <v>4.0999999999999996</v>
      </c>
      <c r="Z243" s="210">
        <f t="shared" si="480"/>
        <v>8.01</v>
      </c>
    </row>
    <row r="244" spans="1:31" x14ac:dyDescent="0.25">
      <c r="A244" s="220">
        <v>70499</v>
      </c>
      <c r="B244" s="221">
        <v>9944</v>
      </c>
      <c r="C244" s="109" t="s">
        <v>73</v>
      </c>
      <c r="D244" s="229">
        <v>45893</v>
      </c>
      <c r="E244" s="65"/>
      <c r="F244" s="227" t="s">
        <v>4</v>
      </c>
      <c r="G244" s="65" t="str">
        <f t="shared" si="488"/>
        <v>Pali</v>
      </c>
      <c r="H244" s="65">
        <v>848</v>
      </c>
      <c r="I244" s="65">
        <v>4.2</v>
      </c>
      <c r="J244" s="65">
        <v>8.3699999999999992</v>
      </c>
      <c r="K244" s="176">
        <f t="shared" si="484"/>
        <v>35.616</v>
      </c>
      <c r="L244" s="177">
        <f t="shared" si="485"/>
        <v>70.977599999999995</v>
      </c>
      <c r="M244" s="209">
        <f>$R$243*H244/SUM($H$243:$H$245)</f>
        <v>848</v>
      </c>
      <c r="N244" s="211">
        <f t="shared" ref="N244" si="493">P244/M244*100</f>
        <v>4.1951763863153353</v>
      </c>
      <c r="O244" s="211">
        <f t="shared" ref="O244" si="494">Q244/M244*100</f>
        <v>8.1481759226829507</v>
      </c>
      <c r="P244" s="176">
        <f>$U$243*K244/SUM($K$243:$K$245)</f>
        <v>35.575095755954045</v>
      </c>
      <c r="Q244" s="212">
        <f>$V$243*L244/SUM($L$243:$L$245)</f>
        <v>69.09653182435143</v>
      </c>
      <c r="R244" s="349"/>
      <c r="S244" s="349"/>
      <c r="T244" s="349"/>
      <c r="U244" s="349"/>
      <c r="V244" s="349"/>
      <c r="X244" s="176">
        <f t="shared" si="478"/>
        <v>848</v>
      </c>
      <c r="Y244" s="210">
        <f t="shared" si="479"/>
        <v>4.2</v>
      </c>
      <c r="Z244" s="210">
        <f t="shared" si="480"/>
        <v>8.15</v>
      </c>
      <c r="AE244">
        <v>119</v>
      </c>
    </row>
    <row r="245" spans="1:31" x14ac:dyDescent="0.25">
      <c r="A245" s="220">
        <v>70499</v>
      </c>
      <c r="B245" s="221">
        <v>9944</v>
      </c>
      <c r="C245" s="109" t="s">
        <v>73</v>
      </c>
      <c r="D245" s="229">
        <v>45893</v>
      </c>
      <c r="E245" s="65"/>
      <c r="F245" s="227" t="s">
        <v>2</v>
      </c>
      <c r="G245" s="65" t="str">
        <f t="shared" si="488"/>
        <v>Itki</v>
      </c>
      <c r="H245" s="65">
        <v>5725</v>
      </c>
      <c r="I245" s="65">
        <v>4.3</v>
      </c>
      <c r="J245" s="65">
        <v>8.52</v>
      </c>
      <c r="K245" s="176">
        <f t="shared" si="484"/>
        <v>246.17499999999998</v>
      </c>
      <c r="L245" s="177">
        <f t="shared" si="485"/>
        <v>487.77</v>
      </c>
      <c r="M245" s="209">
        <f>$R$243*H245/SUM($H$243:$H$245)</f>
        <v>5725</v>
      </c>
      <c r="N245" s="211">
        <f t="shared" ref="N245" si="495">P245/M245*100</f>
        <v>4.2950615383704625</v>
      </c>
      <c r="O245" s="211">
        <f t="shared" ref="O245" si="496">Q245/M245*100</f>
        <v>8.2942005807955486</v>
      </c>
      <c r="P245" s="176">
        <f>$U$243*K245/SUM($K$243:$K$245)</f>
        <v>245.89227307170896</v>
      </c>
      <c r="Q245" s="212">
        <f>$V$243*L245/SUM($L$243:$L$245)</f>
        <v>474.84298325054516</v>
      </c>
      <c r="R245" s="348"/>
      <c r="S245" s="348"/>
      <c r="T245" s="348"/>
      <c r="U245" s="348"/>
      <c r="V245" s="348"/>
      <c r="X245" s="176">
        <f t="shared" si="478"/>
        <v>5725</v>
      </c>
      <c r="Y245" s="210">
        <f t="shared" si="479"/>
        <v>4.3</v>
      </c>
      <c r="Z245" s="210">
        <f t="shared" si="480"/>
        <v>8.2899999999999991</v>
      </c>
    </row>
    <row r="246" spans="1:31" x14ac:dyDescent="0.25">
      <c r="A246" s="220">
        <v>70524</v>
      </c>
      <c r="B246" s="221">
        <v>9944</v>
      </c>
      <c r="C246" s="109" t="s">
        <v>73</v>
      </c>
      <c r="D246" s="229">
        <v>45897</v>
      </c>
      <c r="E246" s="65"/>
      <c r="F246" s="227" t="s">
        <v>89</v>
      </c>
      <c r="G246" s="65" t="str">
        <f t="shared" si="488"/>
        <v>Chanho</v>
      </c>
      <c r="H246" s="65">
        <v>1186</v>
      </c>
      <c r="I246" s="65">
        <v>4.1500000000000004</v>
      </c>
      <c r="J246" s="65">
        <v>8.11</v>
      </c>
      <c r="K246" s="176">
        <f t="shared" si="484"/>
        <v>49.219000000000001</v>
      </c>
      <c r="L246" s="177">
        <f t="shared" si="485"/>
        <v>96.184599999999989</v>
      </c>
      <c r="M246" s="209">
        <f>$R$246*H246/SUM($H$246:$H$248)</f>
        <v>1179.0245301965285</v>
      </c>
      <c r="N246" s="211">
        <f t="shared" ref="N246" si="497">P246/M246*100</f>
        <v>4.057810973775557</v>
      </c>
      <c r="O246" s="211">
        <f t="shared" ref="O246" si="498">Q246/M246*100</f>
        <v>8.0170229202193664</v>
      </c>
      <c r="P246" s="176">
        <f>$U$246*K246/SUM($K$246:$K$248)</f>
        <v>47.842586769820443</v>
      </c>
      <c r="Q246" s="212">
        <f>$V$246*L246/SUM($L$246:$L$248)</f>
        <v>94.522666820864387</v>
      </c>
      <c r="R246" s="347">
        <v>6930</v>
      </c>
      <c r="S246" s="347">
        <v>4.1500000000000004</v>
      </c>
      <c r="T246" s="347">
        <v>8.24</v>
      </c>
      <c r="U246" s="347">
        <f>R246*S246%</f>
        <v>287.59500000000003</v>
      </c>
      <c r="V246" s="347">
        <f>R246*T246%</f>
        <v>571.03200000000004</v>
      </c>
      <c r="X246" s="176">
        <f t="shared" si="478"/>
        <v>1179</v>
      </c>
      <c r="Y246" s="210">
        <f t="shared" si="479"/>
        <v>4.0599999999999996</v>
      </c>
      <c r="Z246" s="210">
        <f t="shared" si="480"/>
        <v>8.02</v>
      </c>
    </row>
    <row r="247" spans="1:31" x14ac:dyDescent="0.25">
      <c r="A247" s="220">
        <v>70524</v>
      </c>
      <c r="B247" s="221">
        <v>9944</v>
      </c>
      <c r="C247" s="109" t="s">
        <v>73</v>
      </c>
      <c r="D247" s="229">
        <v>45897</v>
      </c>
      <c r="E247" s="65"/>
      <c r="F247" s="227" t="s">
        <v>4</v>
      </c>
      <c r="G247" s="65" t="str">
        <f t="shared" si="488"/>
        <v>Pali</v>
      </c>
      <c r="H247" s="65">
        <v>3680</v>
      </c>
      <c r="I247" s="65">
        <v>4.3</v>
      </c>
      <c r="J247" s="65">
        <v>8.4</v>
      </c>
      <c r="K247" s="176">
        <f t="shared" si="484"/>
        <v>158.23999999999998</v>
      </c>
      <c r="L247" s="177">
        <f t="shared" si="485"/>
        <v>309.12</v>
      </c>
      <c r="M247" s="209">
        <f t="shared" ref="M247:M248" si="499">$R$246*H247/SUM($H$246:$H$248)</f>
        <v>3658.3560464782672</v>
      </c>
      <c r="N247" s="211">
        <f t="shared" ref="N247:N248" si="500">P247/M247*100</f>
        <v>4.2044788402975648</v>
      </c>
      <c r="O247" s="211">
        <f t="shared" ref="O247:O248" si="501">Q247/M247*100</f>
        <v>8.3036982157635872</v>
      </c>
      <c r="P247" s="176">
        <f t="shared" ref="P247:P248" si="502">$U$246*K247/SUM($K$246:$K$248)</f>
        <v>153.81480587692528</v>
      </c>
      <c r="Q247" s="212">
        <f t="shared" ref="Q247:Q248" si="503">$V$246*L247/SUM($L$246:$L$248)</f>
        <v>303.77884575769519</v>
      </c>
      <c r="R247" s="349"/>
      <c r="S247" s="349"/>
      <c r="T247" s="349"/>
      <c r="U247" s="349"/>
      <c r="V247" s="349"/>
      <c r="X247" s="176">
        <f t="shared" si="478"/>
        <v>3658</v>
      </c>
      <c r="Y247" s="210">
        <f t="shared" si="479"/>
        <v>4.2</v>
      </c>
      <c r="Z247" s="210">
        <f t="shared" si="480"/>
        <v>8.3000000000000007</v>
      </c>
    </row>
    <row r="248" spans="1:31" x14ac:dyDescent="0.25">
      <c r="A248" s="220">
        <v>70524</v>
      </c>
      <c r="B248" s="221">
        <v>9944</v>
      </c>
      <c r="C248" s="109" t="s">
        <v>73</v>
      </c>
      <c r="D248" s="229">
        <v>45897</v>
      </c>
      <c r="E248" s="65"/>
      <c r="F248" s="227" t="s">
        <v>12</v>
      </c>
      <c r="G248" s="65" t="str">
        <f t="shared" si="488"/>
        <v>Ormanjhi</v>
      </c>
      <c r="H248" s="65">
        <v>2105</v>
      </c>
      <c r="I248" s="65">
        <v>4.2</v>
      </c>
      <c r="J248" s="65">
        <v>8.35</v>
      </c>
      <c r="K248" s="176">
        <f t="shared" si="484"/>
        <v>88.410000000000011</v>
      </c>
      <c r="L248" s="177">
        <f t="shared" si="485"/>
        <v>175.76749999999998</v>
      </c>
      <c r="M248" s="209">
        <f t="shared" si="499"/>
        <v>2092.6194233252045</v>
      </c>
      <c r="N248" s="211">
        <f t="shared" si="500"/>
        <v>4.1067002626162266</v>
      </c>
      <c r="O248" s="211">
        <f t="shared" si="501"/>
        <v>8.2542714406697559</v>
      </c>
      <c r="P248" s="176">
        <f t="shared" si="502"/>
        <v>85.937607353254336</v>
      </c>
      <c r="Q248" s="212">
        <f t="shared" si="503"/>
        <v>172.73048742144047</v>
      </c>
      <c r="R248" s="348"/>
      <c r="S248" s="348"/>
      <c r="T248" s="348"/>
      <c r="U248" s="348"/>
      <c r="V248" s="348"/>
      <c r="X248" s="176">
        <f t="shared" si="478"/>
        <v>2093</v>
      </c>
      <c r="Y248" s="210">
        <f t="shared" si="479"/>
        <v>4.1100000000000003</v>
      </c>
      <c r="Z248" s="210">
        <f t="shared" si="480"/>
        <v>8.25</v>
      </c>
    </row>
    <row r="249" spans="1:31" x14ac:dyDescent="0.25">
      <c r="A249" s="220">
        <v>70500</v>
      </c>
      <c r="B249" s="221">
        <v>1023</v>
      </c>
      <c r="C249" s="109" t="s">
        <v>109</v>
      </c>
      <c r="D249" s="229">
        <v>45897</v>
      </c>
      <c r="E249" s="65"/>
      <c r="F249" s="227" t="s">
        <v>6</v>
      </c>
      <c r="G249" s="65" t="str">
        <f t="shared" si="488"/>
        <v>Hisri</v>
      </c>
      <c r="H249" s="65">
        <v>1538</v>
      </c>
      <c r="I249" s="65">
        <v>4.25</v>
      </c>
      <c r="J249" s="65">
        <v>7.88</v>
      </c>
      <c r="K249" s="176">
        <f t="shared" si="484"/>
        <v>65.365000000000009</v>
      </c>
      <c r="L249" s="177">
        <f t="shared" si="485"/>
        <v>121.19439999999999</v>
      </c>
      <c r="M249" s="209">
        <f>$R$249*H249/SUM($H$249:$H$250)</f>
        <v>1544.9016223679669</v>
      </c>
      <c r="N249" s="211">
        <f t="shared" ref="N249" si="504">P249/M249*100</f>
        <v>4.2233079882067575</v>
      </c>
      <c r="O249" s="211">
        <f t="shared" ref="O249" si="505">Q249/M249*100</f>
        <v>7.8596319685867568</v>
      </c>
      <c r="P249" s="176">
        <f>$U$249*K249/SUM($K$249:$K$250)</f>
        <v>65.245953627402145</v>
      </c>
      <c r="Q249" s="212">
        <f>$V$249*L249/SUM($L$249:$L$250)</f>
        <v>121.42358179484819</v>
      </c>
      <c r="R249" s="347">
        <v>2910</v>
      </c>
      <c r="S249" s="347">
        <v>4.2</v>
      </c>
      <c r="T249" s="347">
        <v>8</v>
      </c>
      <c r="U249" s="347">
        <f>R249*S249%</f>
        <v>122.22000000000001</v>
      </c>
      <c r="V249" s="347">
        <f>R249*T249%</f>
        <v>232.8</v>
      </c>
      <c r="X249" s="176">
        <f t="shared" si="478"/>
        <v>1545</v>
      </c>
      <c r="Y249" s="210">
        <f t="shared" si="479"/>
        <v>4.22</v>
      </c>
      <c r="Z249" s="210">
        <f t="shared" si="480"/>
        <v>7.86</v>
      </c>
    </row>
    <row r="250" spans="1:31" x14ac:dyDescent="0.25">
      <c r="A250" s="220">
        <v>70500</v>
      </c>
      <c r="B250" s="221">
        <v>1023</v>
      </c>
      <c r="C250" s="109" t="s">
        <v>109</v>
      </c>
      <c r="D250" s="229">
        <v>45897</v>
      </c>
      <c r="E250" s="65"/>
      <c r="F250" s="227" t="s">
        <v>14</v>
      </c>
      <c r="G250" s="65" t="str">
        <f t="shared" si="488"/>
        <v>Piragutu</v>
      </c>
      <c r="H250" s="65">
        <v>1359</v>
      </c>
      <c r="I250" s="65">
        <v>4.2</v>
      </c>
      <c r="J250" s="65">
        <v>8.18</v>
      </c>
      <c r="K250" s="176">
        <f t="shared" si="484"/>
        <v>57.078000000000003</v>
      </c>
      <c r="L250" s="177">
        <f t="shared" si="485"/>
        <v>111.1662</v>
      </c>
      <c r="M250" s="209">
        <f>$R$249*H250/SUM($H$249:$H$250)</f>
        <v>1365.0983776320331</v>
      </c>
      <c r="N250" s="211">
        <f t="shared" ref="N250" si="506">P250/M250*100</f>
        <v>4.1736220118749134</v>
      </c>
      <c r="O250" s="211">
        <f t="shared" ref="O250" si="507">Q250/M250*100</f>
        <v>8.1588565359187424</v>
      </c>
      <c r="P250" s="176">
        <f>$U$249*K250/SUM($K$249:$K$250)</f>
        <v>56.974046372597861</v>
      </c>
      <c r="Q250" s="212">
        <f>$V$249*L250/SUM($L$249:$L$250)</f>
        <v>111.37641820515185</v>
      </c>
      <c r="R250" s="348"/>
      <c r="S250" s="348"/>
      <c r="T250" s="348"/>
      <c r="U250" s="348"/>
      <c r="V250" s="348"/>
      <c r="X250" s="176">
        <f t="shared" si="478"/>
        <v>1365</v>
      </c>
      <c r="Y250" s="210">
        <f t="shared" si="479"/>
        <v>4.17</v>
      </c>
      <c r="Z250" s="210">
        <f t="shared" si="480"/>
        <v>8.16</v>
      </c>
    </row>
    <row r="251" spans="1:31" x14ac:dyDescent="0.25">
      <c r="A251" s="220">
        <v>70495</v>
      </c>
      <c r="B251" s="221">
        <v>1023</v>
      </c>
      <c r="C251" s="109" t="s">
        <v>109</v>
      </c>
      <c r="D251" s="229">
        <v>45894</v>
      </c>
      <c r="E251" s="65"/>
      <c r="F251" s="227" t="s">
        <v>6</v>
      </c>
      <c r="G251" s="65" t="str">
        <f t="shared" si="488"/>
        <v>Hisri</v>
      </c>
      <c r="H251" s="65">
        <v>1248</v>
      </c>
      <c r="I251" s="65">
        <v>4.3</v>
      </c>
      <c r="J251" s="65">
        <v>7.89</v>
      </c>
      <c r="K251" s="176">
        <f t="shared" si="484"/>
        <v>53.663999999999994</v>
      </c>
      <c r="L251" s="177">
        <f t="shared" si="485"/>
        <v>98.467199999999991</v>
      </c>
      <c r="M251" s="209">
        <f>$R$251*H251/SUM($H$251:$H$252)</f>
        <v>1240.9661835748793</v>
      </c>
      <c r="N251" s="211">
        <f t="shared" ref="N251" si="508">P251/M251*100</f>
        <v>4.3004721642692427</v>
      </c>
      <c r="O251" s="211">
        <f t="shared" ref="O251" si="509">Q251/M251*100</f>
        <v>7.8582260802378805</v>
      </c>
      <c r="P251" s="176">
        <f>$U$251*K251/SUM($K$251:$K$252)</f>
        <v>53.367405292632043</v>
      </c>
      <c r="Q251" s="212">
        <f>$V$251*L251/SUM($L$251:$L$252)</f>
        <v>97.517928284613859</v>
      </c>
      <c r="R251" s="347">
        <v>2470</v>
      </c>
      <c r="S251" s="347">
        <v>4.4000000000000004</v>
      </c>
      <c r="T251" s="347">
        <v>8.2200000000000006</v>
      </c>
      <c r="U251" s="347">
        <f>R251*S251%</f>
        <v>108.68</v>
      </c>
      <c r="V251" s="347">
        <f>R251*T251%</f>
        <v>203.03400000000002</v>
      </c>
      <c r="X251" s="176">
        <f t="shared" si="478"/>
        <v>1241</v>
      </c>
      <c r="Y251" s="210">
        <f t="shared" si="479"/>
        <v>4.3</v>
      </c>
      <c r="Z251" s="210">
        <f t="shared" si="480"/>
        <v>7.86</v>
      </c>
    </row>
    <row r="252" spans="1:31" x14ac:dyDescent="0.25">
      <c r="A252" s="220">
        <v>70495</v>
      </c>
      <c r="B252" s="221">
        <v>1023</v>
      </c>
      <c r="C252" s="109" t="s">
        <v>109</v>
      </c>
      <c r="D252" s="229">
        <v>45894</v>
      </c>
      <c r="E252" s="65"/>
      <c r="F252" s="227" t="s">
        <v>14</v>
      </c>
      <c r="G252" s="65" t="str">
        <f t="shared" si="488"/>
        <v>Piragutu</v>
      </c>
      <c r="H252" s="65">
        <v>1236</v>
      </c>
      <c r="I252" s="65">
        <v>4.5</v>
      </c>
      <c r="J252" s="65">
        <v>8.6199999999999992</v>
      </c>
      <c r="K252" s="176">
        <f t="shared" si="484"/>
        <v>55.62</v>
      </c>
      <c r="L252" s="177">
        <f t="shared" si="485"/>
        <v>106.5432</v>
      </c>
      <c r="M252" s="209">
        <f>$R$251*H252/SUM($H$251:$H$252)</f>
        <v>1229.0338164251207</v>
      </c>
      <c r="N252" s="211">
        <f t="shared" ref="N252" si="510">P252/M252*100</f>
        <v>4.5004941253980464</v>
      </c>
      <c r="O252" s="211">
        <f t="shared" ref="O252" si="511">Q252/M252*100</f>
        <v>8.5852862879151512</v>
      </c>
      <c r="P252" s="176">
        <f>$U$251*K252/SUM($K$251:$K$252)</f>
        <v>55.312594707367964</v>
      </c>
      <c r="Q252" s="212">
        <f>$V$251*L252/SUM($L$251:$L$252)</f>
        <v>105.51607171538616</v>
      </c>
      <c r="R252" s="348"/>
      <c r="S252" s="348"/>
      <c r="T252" s="348"/>
      <c r="U252" s="348"/>
      <c r="V252" s="348"/>
      <c r="X252" s="176">
        <f t="shared" si="478"/>
        <v>1229</v>
      </c>
      <c r="Y252" s="210">
        <f t="shared" si="479"/>
        <v>4.5</v>
      </c>
      <c r="Z252" s="210">
        <f t="shared" si="480"/>
        <v>8.59</v>
      </c>
    </row>
    <row r="253" spans="1:31" x14ac:dyDescent="0.25">
      <c r="A253" s="220">
        <v>70525</v>
      </c>
      <c r="B253" s="221">
        <v>9944</v>
      </c>
      <c r="C253" s="109" t="s">
        <v>73</v>
      </c>
      <c r="D253" s="229">
        <v>45898</v>
      </c>
      <c r="E253" s="65"/>
      <c r="F253" s="227" t="s">
        <v>8</v>
      </c>
      <c r="G253" s="65" t="str">
        <f t="shared" si="488"/>
        <v>Choria</v>
      </c>
      <c r="H253" s="65">
        <v>1145</v>
      </c>
      <c r="I253" s="65">
        <v>3</v>
      </c>
      <c r="J253" s="65">
        <v>7.51</v>
      </c>
      <c r="K253" s="176">
        <f t="shared" si="484"/>
        <v>34.35</v>
      </c>
      <c r="L253" s="177">
        <f t="shared" si="485"/>
        <v>85.989500000000007</v>
      </c>
      <c r="M253" s="209">
        <f>$R$253*H253/SUM($H$253:$H$255)</f>
        <v>1149.123649459784</v>
      </c>
      <c r="N253" s="211">
        <f t="shared" ref="N253" si="512">P253/M253*100</f>
        <v>3.0112674293047057</v>
      </c>
      <c r="O253" s="211">
        <f t="shared" ref="O253" si="513">Q253/M253*100</f>
        <v>7.4912862830981597</v>
      </c>
      <c r="P253" s="176">
        <f>$U$253*K253/SUM($K$253:$K$255)</f>
        <v>34.603186178620057</v>
      </c>
      <c r="Q253" s="212">
        <f>$V$253*L253/SUM($L$253:$L$255)</f>
        <v>86.084142327817787</v>
      </c>
      <c r="R253" s="347">
        <v>4180</v>
      </c>
      <c r="S253" s="347">
        <v>3.85</v>
      </c>
      <c r="T253" s="347">
        <v>8.11</v>
      </c>
      <c r="U253" s="347">
        <f>R253*S253%</f>
        <v>160.93</v>
      </c>
      <c r="V253" s="347">
        <f>R253*T253%</f>
        <v>338.99799999999999</v>
      </c>
      <c r="X253" s="176">
        <f t="shared" si="478"/>
        <v>1149</v>
      </c>
      <c r="Y253" s="210">
        <f t="shared" si="479"/>
        <v>3.01</v>
      </c>
      <c r="Z253" s="210">
        <f t="shared" si="480"/>
        <v>7.49</v>
      </c>
    </row>
    <row r="254" spans="1:31" x14ac:dyDescent="0.25">
      <c r="A254" s="220">
        <v>70525</v>
      </c>
      <c r="B254" s="221">
        <v>9944</v>
      </c>
      <c r="C254" s="109" t="s">
        <v>73</v>
      </c>
      <c r="D254" s="229">
        <v>45898</v>
      </c>
      <c r="E254" s="65"/>
      <c r="F254" s="227" t="s">
        <v>89</v>
      </c>
      <c r="G254" s="65" t="str">
        <f t="shared" si="488"/>
        <v>Chanho</v>
      </c>
      <c r="H254" s="65">
        <v>1237</v>
      </c>
      <c r="I254" s="65">
        <v>4.3</v>
      </c>
      <c r="J254" s="65">
        <v>8.33</v>
      </c>
      <c r="K254" s="176">
        <f t="shared" si="484"/>
        <v>53.190999999999995</v>
      </c>
      <c r="L254" s="177">
        <f t="shared" si="485"/>
        <v>103.0421</v>
      </c>
      <c r="M254" s="209">
        <f t="shared" ref="M254:M255" si="514">$R$253*H254/SUM($H$253:$H$255)</f>
        <v>1241.4549819927972</v>
      </c>
      <c r="N254" s="211">
        <f t="shared" ref="N254:N256" si="515">P254/M254*100</f>
        <v>4.3161499820034113</v>
      </c>
      <c r="O254" s="211">
        <f t="shared" ref="O254:O256" si="516">Q254/M254*100</f>
        <v>8.3092429744617426</v>
      </c>
      <c r="P254" s="176">
        <f t="shared" ref="P254:P255" si="517">$U$253*K254/SUM($K$253:$K$255)</f>
        <v>53.583058981862571</v>
      </c>
      <c r="Q254" s="212">
        <f t="shared" ref="Q254:Q255" si="518">$V$253*L254/SUM($L$253:$L$255)</f>
        <v>103.15551087234178</v>
      </c>
      <c r="R254" s="349"/>
      <c r="S254" s="349"/>
      <c r="T254" s="349"/>
      <c r="U254" s="349"/>
      <c r="V254" s="349"/>
      <c r="X254" s="176">
        <f t="shared" si="478"/>
        <v>1241</v>
      </c>
      <c r="Y254" s="210">
        <f t="shared" si="479"/>
        <v>4.32</v>
      </c>
      <c r="Z254" s="210">
        <f t="shared" si="480"/>
        <v>8.31</v>
      </c>
    </row>
    <row r="255" spans="1:31" x14ac:dyDescent="0.25">
      <c r="A255" s="220">
        <v>70525</v>
      </c>
      <c r="B255" s="221">
        <v>9944</v>
      </c>
      <c r="C255" s="109" t="s">
        <v>73</v>
      </c>
      <c r="D255" s="229">
        <v>45898</v>
      </c>
      <c r="E255" s="65"/>
      <c r="F255" s="227" t="s">
        <v>12</v>
      </c>
      <c r="G255" s="65" t="str">
        <f t="shared" si="488"/>
        <v>Ormanjhi</v>
      </c>
      <c r="H255" s="65">
        <v>1783</v>
      </c>
      <c r="I255" s="65">
        <v>4.05</v>
      </c>
      <c r="J255" s="65">
        <v>8.39</v>
      </c>
      <c r="K255" s="176">
        <f t="shared" si="484"/>
        <v>72.211500000000001</v>
      </c>
      <c r="L255" s="177">
        <f t="shared" si="485"/>
        <v>149.59370000000001</v>
      </c>
      <c r="M255" s="209">
        <f t="shared" si="514"/>
        <v>1789.421368547419</v>
      </c>
      <c r="N255" s="211">
        <f t="shared" si="515"/>
        <v>4.0652110295613522</v>
      </c>
      <c r="O255" s="211">
        <f t="shared" si="516"/>
        <v>8.3690934640737122</v>
      </c>
      <c r="P255" s="176">
        <f t="shared" si="517"/>
        <v>72.743754839517379</v>
      </c>
      <c r="Q255" s="212">
        <f t="shared" si="518"/>
        <v>149.75834679984041</v>
      </c>
      <c r="R255" s="348"/>
      <c r="S255" s="348"/>
      <c r="T255" s="348"/>
      <c r="U255" s="348"/>
      <c r="V255" s="348"/>
      <c r="X255" s="176">
        <f t="shared" si="478"/>
        <v>1789</v>
      </c>
      <c r="Y255" s="210">
        <f t="shared" si="479"/>
        <v>4.07</v>
      </c>
      <c r="Z255" s="210">
        <f t="shared" si="480"/>
        <v>8.3699999999999992</v>
      </c>
    </row>
    <row r="256" spans="1:31" x14ac:dyDescent="0.25">
      <c r="A256" s="220">
        <v>71513</v>
      </c>
      <c r="B256" s="221">
        <v>1023</v>
      </c>
      <c r="C256" s="109" t="s">
        <v>77</v>
      </c>
      <c r="D256" s="229">
        <v>45898</v>
      </c>
      <c r="E256" s="65"/>
      <c r="F256" s="227" t="s">
        <v>78</v>
      </c>
      <c r="G256" s="65" t="str">
        <f t="shared" si="488"/>
        <v>Bhandra</v>
      </c>
      <c r="H256" s="65">
        <v>4330</v>
      </c>
      <c r="I256" s="65">
        <v>4.05</v>
      </c>
      <c r="J256" s="65">
        <v>8.2200000000000006</v>
      </c>
      <c r="K256" s="176">
        <f t="shared" si="484"/>
        <v>175.36500000000001</v>
      </c>
      <c r="L256" s="177">
        <f t="shared" si="485"/>
        <v>355.92600000000004</v>
      </c>
      <c r="M256" s="209">
        <f>$R$256*H256/SUM($H$256)</f>
        <v>4330</v>
      </c>
      <c r="N256" s="211">
        <f t="shared" si="515"/>
        <v>4.0999999999999996</v>
      </c>
      <c r="O256" s="211">
        <f t="shared" si="516"/>
        <v>8.23</v>
      </c>
      <c r="P256" s="176">
        <f>$U$256*K256/SUM($K$256)</f>
        <v>177.52999999999997</v>
      </c>
      <c r="Q256" s="212">
        <f>$V$256*L256/SUM($L$256)</f>
        <v>356.35899999999998</v>
      </c>
      <c r="R256" s="249">
        <v>4330</v>
      </c>
      <c r="S256" s="249">
        <v>4.0999999999999996</v>
      </c>
      <c r="T256" s="249">
        <v>8.23</v>
      </c>
      <c r="U256" s="245">
        <f>R256*S256%</f>
        <v>177.52999999999997</v>
      </c>
      <c r="V256" s="245">
        <f>R256*T256%</f>
        <v>356.35899999999998</v>
      </c>
      <c r="X256" s="176">
        <f t="shared" si="478"/>
        <v>4330</v>
      </c>
      <c r="Y256" s="210">
        <f t="shared" si="479"/>
        <v>4.0999999999999996</v>
      </c>
      <c r="Z256" s="210">
        <f t="shared" si="480"/>
        <v>8.23</v>
      </c>
    </row>
    <row r="257" spans="1:26" x14ac:dyDescent="0.25">
      <c r="A257" s="220">
        <v>70525</v>
      </c>
      <c r="B257" s="221">
        <v>9944</v>
      </c>
      <c r="C257" s="109" t="s">
        <v>73</v>
      </c>
      <c r="D257" s="229">
        <v>45898</v>
      </c>
      <c r="E257" s="65"/>
      <c r="F257" s="227" t="s">
        <v>8</v>
      </c>
      <c r="G257" s="65" t="str">
        <f t="shared" si="488"/>
        <v>Choria</v>
      </c>
      <c r="H257" s="65">
        <v>1145</v>
      </c>
      <c r="I257" s="65">
        <v>3</v>
      </c>
      <c r="J257" s="65">
        <v>7.51</v>
      </c>
      <c r="K257" s="176">
        <f t="shared" si="484"/>
        <v>34.35</v>
      </c>
      <c r="L257" s="177">
        <f t="shared" si="485"/>
        <v>85.989500000000007</v>
      </c>
      <c r="M257" s="209">
        <f>$R$257*H257/SUM($H$257:$H$259)</f>
        <v>1149.123649459784</v>
      </c>
      <c r="N257" s="211">
        <f t="shared" ref="N257" si="519">P257/M257*100</f>
        <v>3.0112674293047057</v>
      </c>
      <c r="O257" s="211">
        <f t="shared" ref="O257" si="520">Q257/M257*100</f>
        <v>7.4912862830981597</v>
      </c>
      <c r="P257" s="176">
        <f>$U$257*K257/SUM($K$257:$K$259)</f>
        <v>34.603186178620057</v>
      </c>
      <c r="Q257" s="212">
        <f>$V$257*L257/SUM($L$257:$L$259)</f>
        <v>86.084142327817787</v>
      </c>
      <c r="R257" s="347">
        <v>4180</v>
      </c>
      <c r="S257" s="347">
        <v>3.85</v>
      </c>
      <c r="T257" s="347">
        <v>8.11</v>
      </c>
      <c r="U257" s="347">
        <f>R257*S257%</f>
        <v>160.93</v>
      </c>
      <c r="V257" s="347">
        <f>R257*T257%</f>
        <v>338.99799999999999</v>
      </c>
      <c r="X257" s="176">
        <f t="shared" si="478"/>
        <v>1149</v>
      </c>
      <c r="Y257" s="210">
        <f t="shared" si="479"/>
        <v>3.01</v>
      </c>
      <c r="Z257" s="210">
        <f t="shared" si="480"/>
        <v>7.49</v>
      </c>
    </row>
    <row r="258" spans="1:26" x14ac:dyDescent="0.25">
      <c r="A258" s="220">
        <v>70525</v>
      </c>
      <c r="B258" s="221">
        <v>9944</v>
      </c>
      <c r="C258" s="109" t="s">
        <v>73</v>
      </c>
      <c r="D258" s="229">
        <v>45898</v>
      </c>
      <c r="E258" s="65"/>
      <c r="F258" s="227" t="s">
        <v>89</v>
      </c>
      <c r="G258" s="65" t="str">
        <f t="shared" si="488"/>
        <v>Chanho</v>
      </c>
      <c r="H258" s="65">
        <v>1237</v>
      </c>
      <c r="I258" s="65">
        <v>4.3</v>
      </c>
      <c r="J258" s="65">
        <v>8.33</v>
      </c>
      <c r="K258" s="176">
        <f t="shared" si="484"/>
        <v>53.190999999999995</v>
      </c>
      <c r="L258" s="177">
        <f t="shared" si="485"/>
        <v>103.0421</v>
      </c>
      <c r="M258" s="209">
        <f t="shared" ref="M258:M259" si="521">$R$257*H258/SUM($H$257:$H$259)</f>
        <v>1241.4549819927972</v>
      </c>
      <c r="N258" s="211">
        <f t="shared" ref="N258:N259" si="522">P258/M258*100</f>
        <v>4.3161499820034113</v>
      </c>
      <c r="O258" s="211">
        <f t="shared" ref="O258:O259" si="523">Q258/M258*100</f>
        <v>8.3092429744617426</v>
      </c>
      <c r="P258" s="176">
        <f t="shared" ref="P258:P259" si="524">$U$257*K258/SUM($K$257:$K$259)</f>
        <v>53.583058981862571</v>
      </c>
      <c r="Q258" s="212">
        <f t="shared" ref="Q258:Q259" si="525">$V$257*L258/SUM($L$257:$L$259)</f>
        <v>103.15551087234178</v>
      </c>
      <c r="R258" s="349"/>
      <c r="S258" s="349"/>
      <c r="T258" s="349"/>
      <c r="U258" s="349"/>
      <c r="V258" s="349"/>
      <c r="X258" s="176">
        <f t="shared" si="478"/>
        <v>1241</v>
      </c>
      <c r="Y258" s="210">
        <f t="shared" si="479"/>
        <v>4.32</v>
      </c>
      <c r="Z258" s="210">
        <f t="shared" si="480"/>
        <v>8.31</v>
      </c>
    </row>
    <row r="259" spans="1:26" x14ac:dyDescent="0.25">
      <c r="A259" s="220">
        <v>70525</v>
      </c>
      <c r="B259" s="221">
        <v>9944</v>
      </c>
      <c r="C259" s="109" t="s">
        <v>73</v>
      </c>
      <c r="D259" s="229">
        <v>45898</v>
      </c>
      <c r="E259" s="65"/>
      <c r="F259" s="227" t="s">
        <v>12</v>
      </c>
      <c r="G259" s="65" t="str">
        <f t="shared" si="488"/>
        <v>Ormanjhi</v>
      </c>
      <c r="H259" s="65">
        <v>1783</v>
      </c>
      <c r="I259" s="65">
        <v>4.05</v>
      </c>
      <c r="J259" s="65">
        <v>8.39</v>
      </c>
      <c r="K259" s="176">
        <f t="shared" si="484"/>
        <v>72.211500000000001</v>
      </c>
      <c r="L259" s="177">
        <f t="shared" si="485"/>
        <v>149.59370000000001</v>
      </c>
      <c r="M259" s="209">
        <f t="shared" si="521"/>
        <v>1789.421368547419</v>
      </c>
      <c r="N259" s="211">
        <f t="shared" si="522"/>
        <v>4.0652110295613522</v>
      </c>
      <c r="O259" s="211">
        <f t="shared" si="523"/>
        <v>8.3690934640737122</v>
      </c>
      <c r="P259" s="176">
        <f t="shared" si="524"/>
        <v>72.743754839517379</v>
      </c>
      <c r="Q259" s="212">
        <f t="shared" si="525"/>
        <v>149.75834679984041</v>
      </c>
      <c r="R259" s="348"/>
      <c r="S259" s="348"/>
      <c r="T259" s="348"/>
      <c r="U259" s="348"/>
      <c r="V259" s="348"/>
      <c r="X259" s="176">
        <f t="shared" si="478"/>
        <v>1789</v>
      </c>
      <c r="Y259" s="210">
        <f t="shared" si="479"/>
        <v>4.07</v>
      </c>
      <c r="Z259" s="210">
        <f t="shared" si="480"/>
        <v>8.3699999999999992</v>
      </c>
    </row>
    <row r="260" spans="1:26" x14ac:dyDescent="0.25">
      <c r="A260" s="220">
        <v>71514</v>
      </c>
      <c r="B260" s="221">
        <v>1023</v>
      </c>
      <c r="C260" s="109" t="s">
        <v>109</v>
      </c>
      <c r="D260" s="229">
        <v>45899</v>
      </c>
      <c r="E260" s="65"/>
      <c r="F260" s="227" t="s">
        <v>14</v>
      </c>
      <c r="G260" s="65" t="str">
        <f t="shared" si="488"/>
        <v>Piragutu</v>
      </c>
      <c r="H260" s="65">
        <v>1475</v>
      </c>
      <c r="I260" s="65">
        <v>4.5</v>
      </c>
      <c r="J260" s="65">
        <v>8.5</v>
      </c>
      <c r="K260" s="176">
        <f t="shared" si="484"/>
        <v>66.375</v>
      </c>
      <c r="L260" s="177">
        <f t="shared" si="485"/>
        <v>125.37500000000001</v>
      </c>
      <c r="M260" s="209">
        <f>$R$260*H260/SUM($H$260:$H$261)</f>
        <v>1469.8784722222222</v>
      </c>
      <c r="N260" s="211">
        <f t="shared" ref="N260" si="526">P260/M260*100</f>
        <v>4.3952993138260119</v>
      </c>
      <c r="O260" s="211">
        <f t="shared" ref="O260" si="527">Q260/M260*100</f>
        <v>8.282611135357568</v>
      </c>
      <c r="P260" s="176">
        <f>$U$260*K260/SUM($K$260:$K$261)</f>
        <v>64.6055584036596</v>
      </c>
      <c r="Q260" s="212">
        <f>$V$260*L260/SUM($L$260:$L$261)</f>
        <v>121.74431801650147</v>
      </c>
      <c r="R260" s="347">
        <v>2870</v>
      </c>
      <c r="S260" s="347">
        <v>4.3</v>
      </c>
      <c r="T260" s="347">
        <v>8.14</v>
      </c>
      <c r="U260" s="347">
        <f>R260*S260%</f>
        <v>123.41</v>
      </c>
      <c r="V260" s="347">
        <f>R260*T260%</f>
        <v>233.61799999999999</v>
      </c>
      <c r="X260" s="176">
        <f t="shared" si="478"/>
        <v>1470</v>
      </c>
      <c r="Y260" s="210">
        <f t="shared" si="479"/>
        <v>4.4000000000000004</v>
      </c>
      <c r="Z260" s="210">
        <f t="shared" si="480"/>
        <v>8.2799999999999994</v>
      </c>
    </row>
    <row r="261" spans="1:26" x14ac:dyDescent="0.25">
      <c r="A261" s="220">
        <v>71514</v>
      </c>
      <c r="B261" s="221">
        <v>1023</v>
      </c>
      <c r="C261" s="109" t="s">
        <v>109</v>
      </c>
      <c r="D261" s="229">
        <v>45899</v>
      </c>
      <c r="E261" s="65"/>
      <c r="F261" s="227" t="s">
        <v>6</v>
      </c>
      <c r="G261" s="65" t="str">
        <f t="shared" si="488"/>
        <v>Hisri</v>
      </c>
      <c r="H261" s="65">
        <v>1405</v>
      </c>
      <c r="I261" s="65">
        <v>4.3</v>
      </c>
      <c r="J261" s="65">
        <v>8.1999999999999993</v>
      </c>
      <c r="K261" s="176">
        <f t="shared" si="484"/>
        <v>60.414999999999992</v>
      </c>
      <c r="L261" s="177">
        <f t="shared" si="485"/>
        <v>115.20999999999998</v>
      </c>
      <c r="M261" s="209">
        <f>$R$260*H261/SUM($H$260:$H$261)</f>
        <v>1400.1215277777778</v>
      </c>
      <c r="N261" s="211">
        <f t="shared" ref="N261:N263" si="528">P261/M261*100</f>
        <v>4.1999526776559657</v>
      </c>
      <c r="O261" s="211">
        <f t="shared" ref="O261:O263" si="529">Q261/M261*100</f>
        <v>7.9902836835214153</v>
      </c>
      <c r="P261" s="176">
        <f>$U$260*K261/SUM($K$260:$K$261)</f>
        <v>58.804441596340396</v>
      </c>
      <c r="Q261" s="212">
        <f>$V$260*L261/SUM($L$260:$L$261)</f>
        <v>111.87368198349854</v>
      </c>
      <c r="R261" s="348"/>
      <c r="S261" s="348"/>
      <c r="T261" s="348"/>
      <c r="U261" s="348"/>
      <c r="V261" s="348"/>
      <c r="X261" s="176">
        <f t="shared" si="478"/>
        <v>1400</v>
      </c>
      <c r="Y261" s="210">
        <f t="shared" si="479"/>
        <v>4.2</v>
      </c>
      <c r="Z261" s="210">
        <f t="shared" si="480"/>
        <v>7.99</v>
      </c>
    </row>
    <row r="262" spans="1:26" x14ac:dyDescent="0.25">
      <c r="A262" s="220">
        <v>70526</v>
      </c>
      <c r="B262" s="228" t="s">
        <v>90</v>
      </c>
      <c r="C262" s="109" t="s">
        <v>73</v>
      </c>
      <c r="D262" s="229">
        <v>45899</v>
      </c>
      <c r="E262" s="65"/>
      <c r="F262" s="227" t="s">
        <v>2</v>
      </c>
      <c r="G262" s="65" t="str">
        <f t="shared" si="488"/>
        <v>Itki</v>
      </c>
      <c r="H262" s="65">
        <v>5693</v>
      </c>
      <c r="I262" s="65">
        <v>4.1500000000000004</v>
      </c>
      <c r="J262" s="65">
        <v>8.42</v>
      </c>
      <c r="K262" s="176">
        <f t="shared" si="484"/>
        <v>236.2595</v>
      </c>
      <c r="L262" s="177">
        <f t="shared" si="485"/>
        <v>479.35059999999999</v>
      </c>
      <c r="M262" s="209">
        <f>$R$262*H262/SUM($H$262)</f>
        <v>5690</v>
      </c>
      <c r="N262" s="211">
        <f t="shared" si="528"/>
        <v>4.1999999999999993</v>
      </c>
      <c r="O262" s="211">
        <f t="shared" si="529"/>
        <v>8.3699999999999992</v>
      </c>
      <c r="P262" s="176">
        <f>$U$262*K262/SUM($K$262)</f>
        <v>238.98</v>
      </c>
      <c r="Q262" s="212">
        <f>$V$262*L262/SUM($L$262)</f>
        <v>476.25299999999999</v>
      </c>
      <c r="R262" s="249">
        <v>5690</v>
      </c>
      <c r="S262" s="249">
        <v>4.2</v>
      </c>
      <c r="T262" s="249">
        <v>8.3699999999999992</v>
      </c>
      <c r="U262" s="245">
        <f>R262*S262%</f>
        <v>238.98000000000002</v>
      </c>
      <c r="V262" s="245">
        <f>R262*T262%</f>
        <v>476.25299999999999</v>
      </c>
      <c r="X262" s="176">
        <f t="shared" si="478"/>
        <v>5690</v>
      </c>
      <c r="Y262" s="210">
        <f t="shared" si="479"/>
        <v>4.2</v>
      </c>
      <c r="Z262" s="210">
        <f t="shared" si="480"/>
        <v>8.3699999999999992</v>
      </c>
    </row>
    <row r="263" spans="1:26" x14ac:dyDescent="0.25">
      <c r="A263" s="220">
        <v>70527</v>
      </c>
      <c r="B263" s="221">
        <v>9944</v>
      </c>
      <c r="C263" s="109" t="s">
        <v>73</v>
      </c>
      <c r="D263" s="229">
        <v>45899</v>
      </c>
      <c r="E263" s="65"/>
      <c r="F263" s="227" t="s">
        <v>89</v>
      </c>
      <c r="G263" s="65" t="str">
        <f t="shared" si="488"/>
        <v>Chanho</v>
      </c>
      <c r="H263" s="65">
        <v>1278</v>
      </c>
      <c r="I263" s="65">
        <v>4.1500000000000004</v>
      </c>
      <c r="J263" s="65">
        <v>8.3000000000000007</v>
      </c>
      <c r="K263" s="176">
        <f t="shared" si="484"/>
        <v>53.037000000000006</v>
      </c>
      <c r="L263" s="177">
        <f t="shared" si="485"/>
        <v>106.07400000000001</v>
      </c>
      <c r="M263" s="209">
        <f>$R$263*H263/SUM($H$263:$H$265)</f>
        <v>1273.3307001086205</v>
      </c>
      <c r="N263" s="211">
        <f t="shared" si="528"/>
        <v>4.1120442156268942</v>
      </c>
      <c r="O263" s="211">
        <f t="shared" si="529"/>
        <v>8.2039916392031476</v>
      </c>
      <c r="P263" s="176">
        <f>$U$263*K263/SUM($K$263:$K$265)</f>
        <v>52.35992139961796</v>
      </c>
      <c r="Q263" s="212">
        <f>$V$263*L263/SUM($L$263:$L$265)</f>
        <v>104.46394417631814</v>
      </c>
      <c r="R263" s="347">
        <v>10090</v>
      </c>
      <c r="S263" s="347">
        <v>4.2</v>
      </c>
      <c r="T263" s="347">
        <v>8.31</v>
      </c>
      <c r="U263" s="347">
        <f>R263*S263%</f>
        <v>423.78000000000003</v>
      </c>
      <c r="V263" s="347">
        <f>R263*T263%</f>
        <v>838.47900000000004</v>
      </c>
      <c r="X263" s="176">
        <f t="shared" si="478"/>
        <v>1273</v>
      </c>
      <c r="Y263" s="210">
        <f t="shared" si="479"/>
        <v>4.1100000000000003</v>
      </c>
      <c r="Z263" s="210">
        <f t="shared" si="480"/>
        <v>8.1999999999999993</v>
      </c>
    </row>
    <row r="264" spans="1:26" x14ac:dyDescent="0.25">
      <c r="A264" s="220">
        <v>70527</v>
      </c>
      <c r="B264" s="221">
        <v>9944</v>
      </c>
      <c r="C264" s="109" t="s">
        <v>73</v>
      </c>
      <c r="D264" s="229">
        <v>45899</v>
      </c>
      <c r="E264" s="65"/>
      <c r="F264" s="227" t="s">
        <v>4</v>
      </c>
      <c r="G264" s="65" t="str">
        <f t="shared" si="488"/>
        <v>Pali</v>
      </c>
      <c r="H264" s="65">
        <v>6707</v>
      </c>
      <c r="I264" s="65">
        <v>4.3</v>
      </c>
      <c r="J264" s="65">
        <v>8.43</v>
      </c>
      <c r="K264" s="176">
        <f t="shared" si="484"/>
        <v>288.40099999999995</v>
      </c>
      <c r="L264" s="177">
        <f t="shared" si="485"/>
        <v>565.40009999999995</v>
      </c>
      <c r="M264" s="209">
        <f t="shared" ref="M264:M265" si="530">$R$263*H264/SUM($H$263:$H$265)</f>
        <v>6682.4953095684805</v>
      </c>
      <c r="N264" s="211">
        <f t="shared" ref="N264:N265" si="531">P264/M264*100</f>
        <v>4.2606723198061776</v>
      </c>
      <c r="O264" s="211">
        <f t="shared" ref="O264:O265" si="532">Q264/M264*100</f>
        <v>8.3324878937930738</v>
      </c>
      <c r="P264" s="176">
        <f t="shared" ref="P264:P265" si="533">$U$263*K264/SUM($K$263:$K$265)</f>
        <v>284.71922792713036</v>
      </c>
      <c r="Q264" s="212">
        <f t="shared" ref="Q264:Q265" si="534">$V$263*L264/SUM($L$263:$L$265)</f>
        <v>556.81811267308365</v>
      </c>
      <c r="R264" s="349"/>
      <c r="S264" s="349"/>
      <c r="T264" s="349"/>
      <c r="U264" s="349"/>
      <c r="V264" s="349"/>
      <c r="X264" s="176">
        <f t="shared" si="478"/>
        <v>6682</v>
      </c>
      <c r="Y264" s="210">
        <f t="shared" si="479"/>
        <v>4.26</v>
      </c>
      <c r="Z264" s="210">
        <f t="shared" si="480"/>
        <v>8.33</v>
      </c>
    </row>
    <row r="265" spans="1:26" x14ac:dyDescent="0.25">
      <c r="A265" s="220">
        <v>70527</v>
      </c>
      <c r="B265" s="221">
        <v>9944</v>
      </c>
      <c r="C265" s="109" t="s">
        <v>73</v>
      </c>
      <c r="D265" s="229">
        <v>45899</v>
      </c>
      <c r="E265" s="65"/>
      <c r="F265" s="227" t="s">
        <v>12</v>
      </c>
      <c r="G265" s="65" t="str">
        <f t="shared" si="488"/>
        <v>Ormanjhi</v>
      </c>
      <c r="H265" s="65">
        <v>2142</v>
      </c>
      <c r="I265" s="65">
        <v>4.0999999999999996</v>
      </c>
      <c r="J265" s="65">
        <v>8.4</v>
      </c>
      <c r="K265" s="176">
        <f t="shared" si="484"/>
        <v>87.821999999999989</v>
      </c>
      <c r="L265" s="177">
        <f t="shared" si="485"/>
        <v>179.928</v>
      </c>
      <c r="M265" s="209">
        <f t="shared" si="530"/>
        <v>2134.173990322899</v>
      </c>
      <c r="N265" s="211">
        <f t="shared" si="531"/>
        <v>4.0625015142337979</v>
      </c>
      <c r="O265" s="211">
        <f t="shared" si="532"/>
        <v>8.3028349119646307</v>
      </c>
      <c r="P265" s="176">
        <f t="shared" si="533"/>
        <v>86.700850673251637</v>
      </c>
      <c r="Q265" s="212">
        <f t="shared" si="534"/>
        <v>177.19694315059832</v>
      </c>
      <c r="R265" s="348"/>
      <c r="S265" s="348"/>
      <c r="T265" s="348"/>
      <c r="U265" s="348"/>
      <c r="V265" s="348"/>
      <c r="X265" s="176">
        <f t="shared" si="478"/>
        <v>2134</v>
      </c>
      <c r="Y265" s="210">
        <f t="shared" si="479"/>
        <v>4.0599999999999996</v>
      </c>
      <c r="Z265" s="210">
        <f t="shared" si="480"/>
        <v>8.3000000000000007</v>
      </c>
    </row>
    <row r="266" spans="1:26" x14ac:dyDescent="0.25">
      <c r="A266" s="220">
        <v>70502</v>
      </c>
      <c r="B266" s="221">
        <v>8504</v>
      </c>
      <c r="C266" s="109" t="s">
        <v>73</v>
      </c>
      <c r="D266" s="229">
        <v>45900</v>
      </c>
      <c r="E266" s="65"/>
      <c r="F266" s="243"/>
      <c r="G266" s="244" t="s">
        <v>114</v>
      </c>
      <c r="H266" s="65">
        <v>2760</v>
      </c>
      <c r="I266" s="65">
        <v>3.6</v>
      </c>
      <c r="J266" s="65">
        <v>7.75</v>
      </c>
      <c r="K266" s="176">
        <f t="shared" si="484"/>
        <v>99.360000000000014</v>
      </c>
      <c r="L266" s="177">
        <f t="shared" si="485"/>
        <v>213.9</v>
      </c>
      <c r="M266" s="209">
        <f>$R$266*H266/SUM($H$266:$H$267)</f>
        <v>2764.088888888889</v>
      </c>
      <c r="N266" s="211">
        <f t="shared" ref="N266" si="535">P266/M266*100</f>
        <v>3.6681580096027933</v>
      </c>
      <c r="O266" s="211">
        <f t="shared" ref="O266" si="536">Q266/M266*100</f>
        <v>7.7717138499150806</v>
      </c>
      <c r="P266" s="176">
        <f>$U$266*K266/SUM($K$266:$K$267)</f>
        <v>101.39114797031863</v>
      </c>
      <c r="Q266" s="212">
        <f>$V$266*L266/SUM($L$266:$L$267)</f>
        <v>214.81707900174166</v>
      </c>
      <c r="R266" s="347">
        <v>6760</v>
      </c>
      <c r="S266" s="347">
        <v>4.1500000000000004</v>
      </c>
      <c r="T266" s="347">
        <v>8.24</v>
      </c>
      <c r="U266" s="347">
        <f>R266*S266%</f>
        <v>280.54000000000002</v>
      </c>
      <c r="V266" s="347">
        <f>R266*T266%</f>
        <v>557.024</v>
      </c>
      <c r="X266" s="176">
        <f t="shared" si="478"/>
        <v>2764</v>
      </c>
      <c r="Y266" s="210">
        <f t="shared" si="479"/>
        <v>3.67</v>
      </c>
      <c r="Z266" s="210">
        <f t="shared" si="480"/>
        <v>7.77</v>
      </c>
    </row>
    <row r="267" spans="1:26" x14ac:dyDescent="0.25">
      <c r="A267" s="220">
        <v>70502</v>
      </c>
      <c r="B267" s="221">
        <v>8504</v>
      </c>
      <c r="C267" s="109" t="s">
        <v>73</v>
      </c>
      <c r="D267" s="229">
        <v>45900</v>
      </c>
      <c r="E267" s="65"/>
      <c r="F267" s="227" t="s">
        <v>78</v>
      </c>
      <c r="G267" s="65" t="str">
        <f t="shared" ref="G267" si="537">VLOOKUP(F267,$AC$11:$AD$19,2,0)</f>
        <v>Bhandra</v>
      </c>
      <c r="H267" s="65">
        <v>3990</v>
      </c>
      <c r="I267" s="65">
        <v>4.4000000000000004</v>
      </c>
      <c r="J267" s="65">
        <v>8.5399999999999991</v>
      </c>
      <c r="K267" s="176">
        <f t="shared" si="484"/>
        <v>175.56000000000003</v>
      </c>
      <c r="L267" s="177">
        <f t="shared" si="485"/>
        <v>340.74599999999998</v>
      </c>
      <c r="M267" s="209">
        <f>$R$266*H267/SUM($H$266:$H$267)</f>
        <v>3995.911111111111</v>
      </c>
      <c r="N267" s="211">
        <f t="shared" ref="N267" si="538">P267/M267*100</f>
        <v>4.4833042339589699</v>
      </c>
      <c r="O267" s="211">
        <f t="shared" ref="O267" si="539">Q267/M267*100</f>
        <v>8.5639272617128768</v>
      </c>
      <c r="P267" s="176">
        <f>$U$266*K267/SUM($K$266:$K$267)</f>
        <v>179.14885202968136</v>
      </c>
      <c r="Q267" s="212">
        <f>$V$266*L267/SUM($L$266:$L$267)</f>
        <v>342.20692099825834</v>
      </c>
      <c r="R267" s="348"/>
      <c r="S267" s="348"/>
      <c r="T267" s="348"/>
      <c r="U267" s="348"/>
      <c r="V267" s="348"/>
      <c r="X267" s="176">
        <f t="shared" si="478"/>
        <v>3996</v>
      </c>
      <c r="Y267" s="210">
        <f t="shared" si="479"/>
        <v>4.4800000000000004</v>
      </c>
      <c r="Z267" s="210">
        <f t="shared" si="480"/>
        <v>8.56</v>
      </c>
    </row>
    <row r="268" spans="1:26" x14ac:dyDescent="0.25">
      <c r="A268" s="220">
        <v>70503</v>
      </c>
      <c r="B268" s="221">
        <v>9944</v>
      </c>
      <c r="C268" s="109" t="s">
        <v>73</v>
      </c>
      <c r="D268" s="229">
        <v>45900</v>
      </c>
      <c r="E268" s="65"/>
      <c r="F268" s="243"/>
      <c r="G268" s="244" t="s">
        <v>114</v>
      </c>
      <c r="H268" s="65">
        <v>1320</v>
      </c>
      <c r="I268" s="65">
        <v>3.8</v>
      </c>
      <c r="J268" s="65">
        <v>7.92</v>
      </c>
      <c r="K268" s="176">
        <f t="shared" si="484"/>
        <v>50.16</v>
      </c>
      <c r="L268" s="177">
        <f t="shared" si="485"/>
        <v>104.544</v>
      </c>
      <c r="M268" s="209">
        <f>$R$268*H268/SUM($H$268:$H$269)</f>
        <v>1341.9004524886877</v>
      </c>
      <c r="N268" s="211">
        <f t="shared" ref="N268" si="540">P268/M268*100</f>
        <v>3.8183310230108116</v>
      </c>
      <c r="O268" s="211">
        <f t="shared" ref="O268" si="541">Q268/M268*100</f>
        <v>7.838423645320197</v>
      </c>
      <c r="P268" s="176">
        <f>$U$268*K268/SUM($K$268:$K$269)</f>
        <v>51.238201275298024</v>
      </c>
      <c r="Q268" s="212">
        <f>$V$268*L268/SUM($L$268:$L$269)</f>
        <v>105.18384236453201</v>
      </c>
      <c r="R268" s="347">
        <v>6740</v>
      </c>
      <c r="S268" s="347">
        <v>4.0999999999999996</v>
      </c>
      <c r="T268" s="347">
        <v>8.1</v>
      </c>
      <c r="U268" s="347">
        <f>R268*S268%</f>
        <v>276.33999999999997</v>
      </c>
      <c r="V268" s="347">
        <f>R268*T268%</f>
        <v>545.94000000000005</v>
      </c>
      <c r="X268" s="176">
        <f t="shared" si="478"/>
        <v>1342</v>
      </c>
      <c r="Y268" s="210">
        <f t="shared" si="479"/>
        <v>3.82</v>
      </c>
      <c r="Z268" s="210">
        <f t="shared" si="480"/>
        <v>7.84</v>
      </c>
    </row>
    <row r="269" spans="1:26" x14ac:dyDescent="0.25">
      <c r="A269" s="220">
        <v>70503</v>
      </c>
      <c r="B269" s="221">
        <v>9944</v>
      </c>
      <c r="C269" s="109" t="s">
        <v>73</v>
      </c>
      <c r="D269" s="229">
        <v>45900</v>
      </c>
      <c r="E269" s="65"/>
      <c r="F269" s="227" t="s">
        <v>78</v>
      </c>
      <c r="G269" s="65" t="str">
        <f t="shared" ref="G269:G284" si="542">VLOOKUP(F269,$AC$11:$AD$19,2,0)</f>
        <v>Bhandra</v>
      </c>
      <c r="H269" s="65">
        <v>5310</v>
      </c>
      <c r="I269" s="65">
        <v>4.1500000000000004</v>
      </c>
      <c r="J269" s="65">
        <v>8.25</v>
      </c>
      <c r="K269" s="176">
        <f t="shared" si="484"/>
        <v>220.36500000000001</v>
      </c>
      <c r="L269" s="177">
        <f t="shared" si="485"/>
        <v>438.07500000000005</v>
      </c>
      <c r="M269" s="209">
        <f>$R$268*H269/SUM($H$268:$H$269)</f>
        <v>5398.0995475113123</v>
      </c>
      <c r="N269" s="211">
        <f t="shared" ref="N269" si="543">P269/M269*100</f>
        <v>4.1700194067091765</v>
      </c>
      <c r="O269" s="211">
        <f t="shared" ref="O269" si="544">Q269/M269*100</f>
        <v>8.1650246305418737</v>
      </c>
      <c r="P269" s="176">
        <f>$U$268*K269/SUM($K$268:$K$269)</f>
        <v>225.10179872470198</v>
      </c>
      <c r="Q269" s="212">
        <f>$V$268*L269/SUM($L$268:$L$269)</f>
        <v>440.75615763546807</v>
      </c>
      <c r="R269" s="348"/>
      <c r="S269" s="348"/>
      <c r="T269" s="348"/>
      <c r="U269" s="348"/>
      <c r="V269" s="348"/>
      <c r="X269" s="176">
        <f t="shared" si="478"/>
        <v>5398</v>
      </c>
      <c r="Y269" s="210">
        <f t="shared" si="479"/>
        <v>4.17</v>
      </c>
      <c r="Z269" s="210">
        <f t="shared" si="480"/>
        <v>8.17</v>
      </c>
    </row>
    <row r="270" spans="1:26" x14ac:dyDescent="0.25">
      <c r="A270" s="220">
        <v>70528</v>
      </c>
      <c r="B270" s="221">
        <v>8504</v>
      </c>
      <c r="C270" s="109" t="s">
        <v>73</v>
      </c>
      <c r="D270" s="229">
        <v>45900</v>
      </c>
      <c r="E270" s="65"/>
      <c r="F270" s="227" t="s">
        <v>89</v>
      </c>
      <c r="G270" s="65" t="str">
        <f t="shared" si="542"/>
        <v>Chanho</v>
      </c>
      <c r="H270" s="65">
        <v>1317</v>
      </c>
      <c r="I270" s="65">
        <v>4.0999999999999996</v>
      </c>
      <c r="J270" s="65">
        <v>8.1</v>
      </c>
      <c r="K270" s="176">
        <f t="shared" si="484"/>
        <v>53.996999999999993</v>
      </c>
      <c r="L270" s="177">
        <f t="shared" si="485"/>
        <v>106.67700000000001</v>
      </c>
      <c r="M270" s="209">
        <f>$R$270*H270/SUM($H$270:$H$272)</f>
        <v>1326.5344664778092</v>
      </c>
      <c r="N270" s="211">
        <f t="shared" ref="N270" si="545">P270/M270*100</f>
        <v>4.0786795048143052</v>
      </c>
      <c r="O270" s="211">
        <f t="shared" ref="O270" si="546">Q270/M270*100</f>
        <v>8.0558908738511441</v>
      </c>
      <c r="P270" s="176">
        <f>$U$270*K270/SUM($K$270:$K$272)</f>
        <v>54.105089408528201</v>
      </c>
      <c r="Q270" s="212">
        <f>$V$270*L270/SUM($L$270:$L$272)</f>
        <v>106.86416902347581</v>
      </c>
      <c r="R270" s="347">
        <v>6400</v>
      </c>
      <c r="S270" s="347">
        <v>4.2</v>
      </c>
      <c r="T270" s="347">
        <v>8.31</v>
      </c>
      <c r="U270" s="347">
        <f>R270*S270%</f>
        <v>268.8</v>
      </c>
      <c r="V270" s="347">
        <f>R270*T270%</f>
        <v>531.84</v>
      </c>
      <c r="X270" s="176">
        <f t="shared" si="478"/>
        <v>1327</v>
      </c>
      <c r="Y270" s="210">
        <f t="shared" si="479"/>
        <v>4.08</v>
      </c>
      <c r="Z270" s="210">
        <f t="shared" si="480"/>
        <v>8.06</v>
      </c>
    </row>
    <row r="271" spans="1:26" x14ac:dyDescent="0.25">
      <c r="A271" s="220">
        <v>70528</v>
      </c>
      <c r="B271" s="221">
        <v>8504</v>
      </c>
      <c r="C271" s="109" t="s">
        <v>73</v>
      </c>
      <c r="D271" s="229">
        <v>45900</v>
      </c>
      <c r="E271" s="65"/>
      <c r="F271" s="227" t="s">
        <v>4</v>
      </c>
      <c r="G271" s="65" t="str">
        <f t="shared" si="542"/>
        <v>Pali</v>
      </c>
      <c r="H271" s="65">
        <v>3487</v>
      </c>
      <c r="I271" s="65">
        <v>4.3</v>
      </c>
      <c r="J271" s="65">
        <v>8.4499999999999993</v>
      </c>
      <c r="K271" s="176">
        <f t="shared" si="484"/>
        <v>149.94099999999997</v>
      </c>
      <c r="L271" s="177">
        <f t="shared" si="485"/>
        <v>294.6515</v>
      </c>
      <c r="M271" s="209">
        <f t="shared" ref="M271:M272" si="547">$R$270*H271/SUM($H$270:$H$272)</f>
        <v>3512.2442555870316</v>
      </c>
      <c r="N271" s="211">
        <f t="shared" ref="N271:N272" si="548">P271/M271*100</f>
        <v>4.2776394806589053</v>
      </c>
      <c r="O271" s="211">
        <f t="shared" ref="O271:O272" si="549">Q271/M271*100</f>
        <v>8.4039849239558233</v>
      </c>
      <c r="P271" s="176">
        <f t="shared" ref="P271:P272" si="550">$U$270*K271/SUM($K$270:$K$272)</f>
        <v>150.24114693416533</v>
      </c>
      <c r="Q271" s="212">
        <f t="shared" ref="Q271:Q272" si="551">$V$270*L271/SUM($L$270:$L$272)</f>
        <v>295.16847773203858</v>
      </c>
      <c r="R271" s="349"/>
      <c r="S271" s="349"/>
      <c r="T271" s="349"/>
      <c r="U271" s="349"/>
      <c r="V271" s="349"/>
      <c r="X271" s="176">
        <f t="shared" si="478"/>
        <v>3512</v>
      </c>
      <c r="Y271" s="210">
        <f t="shared" si="479"/>
        <v>4.28</v>
      </c>
      <c r="Z271" s="210">
        <f t="shared" si="480"/>
        <v>8.4</v>
      </c>
    </row>
    <row r="272" spans="1:26" x14ac:dyDescent="0.25">
      <c r="A272" s="220">
        <v>70528</v>
      </c>
      <c r="B272" s="221">
        <v>8504</v>
      </c>
      <c r="C272" s="109" t="s">
        <v>73</v>
      </c>
      <c r="D272" s="229">
        <v>45900</v>
      </c>
      <c r="E272" s="65"/>
      <c r="F272" s="227" t="s">
        <v>12</v>
      </c>
      <c r="G272" s="65" t="str">
        <f t="shared" si="542"/>
        <v>Ormanjhi</v>
      </c>
      <c r="H272" s="65">
        <v>1550</v>
      </c>
      <c r="I272" s="65">
        <v>4.1500000000000004</v>
      </c>
      <c r="J272" s="65">
        <v>8.36</v>
      </c>
      <c r="K272" s="176">
        <f t="shared" si="484"/>
        <v>64.325000000000003</v>
      </c>
      <c r="L272" s="177">
        <f t="shared" si="485"/>
        <v>129.57999999999998</v>
      </c>
      <c r="M272" s="209">
        <f t="shared" si="547"/>
        <v>1561.2212779351589</v>
      </c>
      <c r="N272" s="211">
        <f t="shared" si="548"/>
        <v>4.1284194987754557</v>
      </c>
      <c r="O272" s="211">
        <f t="shared" si="549"/>
        <v>8.314475025357476</v>
      </c>
      <c r="P272" s="176">
        <f t="shared" si="550"/>
        <v>64.453763657306453</v>
      </c>
      <c r="Q272" s="212">
        <f t="shared" si="551"/>
        <v>129.80735324448563</v>
      </c>
      <c r="R272" s="348"/>
      <c r="S272" s="348"/>
      <c r="T272" s="348"/>
      <c r="U272" s="348"/>
      <c r="V272" s="348"/>
      <c r="X272" s="176">
        <f t="shared" si="478"/>
        <v>1561</v>
      </c>
      <c r="Y272" s="210">
        <f t="shared" si="479"/>
        <v>4.13</v>
      </c>
      <c r="Z272" s="210">
        <f t="shared" si="480"/>
        <v>8.31</v>
      </c>
    </row>
    <row r="273" spans="1:26" x14ac:dyDescent="0.25">
      <c r="A273" s="220">
        <v>70501</v>
      </c>
      <c r="B273" s="228" t="s">
        <v>90</v>
      </c>
      <c r="C273" s="109" t="s">
        <v>73</v>
      </c>
      <c r="D273" s="229">
        <v>45898</v>
      </c>
      <c r="E273" s="65"/>
      <c r="F273" s="227" t="s">
        <v>14</v>
      </c>
      <c r="G273" s="65" t="str">
        <f t="shared" si="542"/>
        <v>Piragutu</v>
      </c>
      <c r="H273" s="65">
        <v>1416</v>
      </c>
      <c r="I273" s="65">
        <v>4.45</v>
      </c>
      <c r="J273" s="65">
        <v>8.67</v>
      </c>
      <c r="K273" s="176">
        <f t="shared" ref="K273:K284" si="552">H273*I273%</f>
        <v>63.012000000000008</v>
      </c>
      <c r="L273" s="177">
        <f t="shared" ref="L273:L284" si="553">H273*J273%</f>
        <v>122.7672</v>
      </c>
      <c r="M273" s="209">
        <f>$R$273*H273/SUM($H$273:$H$274)</f>
        <v>1427.7348066298343</v>
      </c>
      <c r="N273" s="211">
        <f t="shared" ref="N273" si="554">P273/M273*100</f>
        <v>4.349911048986594</v>
      </c>
      <c r="O273" s="211">
        <f t="shared" ref="O273" si="555">Q273/M273*100</f>
        <v>8.5315603032935776</v>
      </c>
      <c r="P273" s="176">
        <f>$U$273*K273/SUM($K$273:$K$274)</f>
        <v>62.105194103818548</v>
      </c>
      <c r="Q273" s="212">
        <f>$V$273*L273/SUM($L$273:$L$274)</f>
        <v>121.80805599873626</v>
      </c>
      <c r="R273" s="347">
        <v>2920</v>
      </c>
      <c r="S273" s="347">
        <v>4.25</v>
      </c>
      <c r="T273" s="347">
        <v>8.26</v>
      </c>
      <c r="U273" s="347">
        <f>R273*S273%</f>
        <v>124.10000000000001</v>
      </c>
      <c r="V273" s="347">
        <f>R273*T273%</f>
        <v>241.19199999999998</v>
      </c>
      <c r="X273" s="176">
        <f t="shared" ref="X273:X284" si="556">ROUND(M273,0)</f>
        <v>1428</v>
      </c>
      <c r="Y273" s="210">
        <f t="shared" ref="Y273:Y284" si="557">ROUND(N273,2)</f>
        <v>4.3499999999999996</v>
      </c>
      <c r="Z273" s="210">
        <f t="shared" ref="Z273:Z284" si="558">ROUND(O273,2)</f>
        <v>8.5299999999999994</v>
      </c>
    </row>
    <row r="274" spans="1:26" x14ac:dyDescent="0.25">
      <c r="A274" s="220">
        <v>70501</v>
      </c>
      <c r="B274" s="228" t="s">
        <v>90</v>
      </c>
      <c r="C274" s="109" t="s">
        <v>73</v>
      </c>
      <c r="D274" s="229">
        <v>45898</v>
      </c>
      <c r="E274" s="65"/>
      <c r="F274" s="227" t="s">
        <v>6</v>
      </c>
      <c r="G274" s="65" t="str">
        <f t="shared" si="542"/>
        <v>Hisri</v>
      </c>
      <c r="H274" s="65">
        <v>1480</v>
      </c>
      <c r="I274" s="65">
        <v>4.25</v>
      </c>
      <c r="J274" s="65">
        <v>8.1300000000000008</v>
      </c>
      <c r="K274" s="176">
        <f t="shared" si="552"/>
        <v>62.900000000000006</v>
      </c>
      <c r="L274" s="177">
        <f t="shared" si="553"/>
        <v>120.32400000000001</v>
      </c>
      <c r="M274" s="209">
        <f>$R$273*H274/SUM($H$273:$H$274)</f>
        <v>1492.2651933701657</v>
      </c>
      <c r="N274" s="211">
        <f t="shared" ref="N274" si="559">P274/M274*100</f>
        <v>4.1544094288074218</v>
      </c>
      <c r="O274" s="211">
        <f t="shared" ref="O274" si="560">Q274/M274*100</f>
        <v>8.0001828449569548</v>
      </c>
      <c r="P274" s="176">
        <f>$U$273*K274/SUM($K$273:$K$274)</f>
        <v>61.994805896181468</v>
      </c>
      <c r="Q274" s="212">
        <f>$V$273*L274/SUM($L$273:$L$274)</f>
        <v>119.38394400126371</v>
      </c>
      <c r="R274" s="348"/>
      <c r="S274" s="348"/>
      <c r="T274" s="348"/>
      <c r="U274" s="348"/>
      <c r="V274" s="348"/>
      <c r="X274" s="176">
        <f t="shared" si="556"/>
        <v>1492</v>
      </c>
      <c r="Y274" s="210">
        <f t="shared" si="557"/>
        <v>4.1500000000000004</v>
      </c>
      <c r="Z274" s="210">
        <f t="shared" si="558"/>
        <v>8</v>
      </c>
    </row>
    <row r="275" spans="1:26" x14ac:dyDescent="0.25">
      <c r="A275" s="220">
        <v>71515</v>
      </c>
      <c r="B275" s="221">
        <v>1023</v>
      </c>
      <c r="C275" s="109" t="s">
        <v>77</v>
      </c>
      <c r="D275" s="229">
        <v>45900</v>
      </c>
      <c r="E275" s="65"/>
      <c r="F275" s="227" t="s">
        <v>8</v>
      </c>
      <c r="G275" s="65" t="str">
        <f t="shared" si="542"/>
        <v>Choria</v>
      </c>
      <c r="H275" s="65">
        <v>1137</v>
      </c>
      <c r="I275" s="65">
        <v>3.3</v>
      </c>
      <c r="J275" s="65">
        <v>8.25</v>
      </c>
      <c r="K275" s="176">
        <f t="shared" si="552"/>
        <v>37.521000000000001</v>
      </c>
      <c r="L275" s="177">
        <f t="shared" si="553"/>
        <v>93.802500000000009</v>
      </c>
      <c r="M275" s="209">
        <f>$R$275*H275/SUM($H$275:$H$277)</f>
        <v>1131.5156130997716</v>
      </c>
      <c r="N275" s="211">
        <f t="shared" ref="N275" si="561">P275/M275*100</f>
        <v>3.4529685217160315</v>
      </c>
      <c r="O275" s="211">
        <f t="shared" ref="O275" si="562">Q275/M275*100</f>
        <v>8.2029962740586004</v>
      </c>
      <c r="P275" s="176">
        <f>$U$275*K275/SUM($K$275:$K$277)</f>
        <v>39.070877938637274</v>
      </c>
      <c r="Q275" s="212">
        <f>$V$275*L275/SUM($L$275:$L$277)</f>
        <v>92.818183582965602</v>
      </c>
      <c r="R275" s="347">
        <v>3920</v>
      </c>
      <c r="S275" s="347">
        <v>4.2</v>
      </c>
      <c r="T275" s="347">
        <v>8.27</v>
      </c>
      <c r="U275" s="347">
        <f>R275*S275%</f>
        <v>164.64000000000001</v>
      </c>
      <c r="V275" s="347">
        <f>R275*T275%</f>
        <v>324.18399999999997</v>
      </c>
      <c r="X275" s="176">
        <f t="shared" si="556"/>
        <v>1132</v>
      </c>
      <c r="Y275" s="210">
        <f t="shared" si="557"/>
        <v>3.45</v>
      </c>
      <c r="Z275" s="210">
        <f t="shared" si="558"/>
        <v>8.1999999999999993</v>
      </c>
    </row>
    <row r="276" spans="1:26" x14ac:dyDescent="0.25">
      <c r="A276" s="220">
        <v>71515</v>
      </c>
      <c r="B276" s="221">
        <v>1023</v>
      </c>
      <c r="C276" s="109" t="s">
        <v>77</v>
      </c>
      <c r="D276" s="229">
        <v>45900</v>
      </c>
      <c r="E276" s="65"/>
      <c r="F276" s="227" t="s">
        <v>14</v>
      </c>
      <c r="G276" s="65" t="str">
        <f t="shared" si="542"/>
        <v>Piragutu</v>
      </c>
      <c r="H276" s="65">
        <v>1452</v>
      </c>
      <c r="I276" s="65">
        <v>4.4000000000000004</v>
      </c>
      <c r="J276" s="65">
        <v>8.4700000000000006</v>
      </c>
      <c r="K276" s="176">
        <f t="shared" si="552"/>
        <v>63.888000000000005</v>
      </c>
      <c r="L276" s="177">
        <f t="shared" si="553"/>
        <v>122.98440000000002</v>
      </c>
      <c r="M276" s="209">
        <f t="shared" ref="M276:M277" si="563">$R$275*H276/SUM($H$275:$H$277)</f>
        <v>1444.9961919268851</v>
      </c>
      <c r="N276" s="211">
        <f t="shared" ref="N276:N277" si="564">P276/M276*100</f>
        <v>4.6039580289547093</v>
      </c>
      <c r="O276" s="211">
        <f t="shared" ref="O276:O277" si="565">Q276/M276*100</f>
        <v>8.4217428413668323</v>
      </c>
      <c r="P276" s="176">
        <f t="shared" ref="P276:P277" si="566">$U$275*K276/SUM($K$275:$K$277)</f>
        <v>66.527018196307623</v>
      </c>
      <c r="Q276" s="212">
        <f t="shared" ref="Q276:Q277" si="567">$V$275*L276/SUM($L$275:$L$277)</f>
        <v>121.69386335162577</v>
      </c>
      <c r="R276" s="349"/>
      <c r="S276" s="349"/>
      <c r="T276" s="349"/>
      <c r="U276" s="349"/>
      <c r="V276" s="349"/>
      <c r="X276" s="176">
        <f t="shared" si="556"/>
        <v>1445</v>
      </c>
      <c r="Y276" s="210">
        <f t="shared" si="557"/>
        <v>4.5999999999999996</v>
      </c>
      <c r="Z276" s="210">
        <f t="shared" si="558"/>
        <v>8.42</v>
      </c>
    </row>
    <row r="277" spans="1:26" x14ac:dyDescent="0.25">
      <c r="A277" s="220">
        <v>71515</v>
      </c>
      <c r="B277" s="221">
        <v>1023</v>
      </c>
      <c r="C277" s="109" t="s">
        <v>77</v>
      </c>
      <c r="D277" s="229">
        <v>45900</v>
      </c>
      <c r="E277" s="65"/>
      <c r="F277" s="227" t="s">
        <v>6</v>
      </c>
      <c r="G277" s="65" t="str">
        <f t="shared" si="542"/>
        <v>Hisri</v>
      </c>
      <c r="H277" s="65">
        <v>1350</v>
      </c>
      <c r="I277" s="65">
        <v>4.2</v>
      </c>
      <c r="J277" s="65">
        <v>8.2100000000000009</v>
      </c>
      <c r="K277" s="176">
        <f t="shared" si="552"/>
        <v>56.7</v>
      </c>
      <c r="L277" s="177">
        <f t="shared" si="553"/>
        <v>110.83500000000001</v>
      </c>
      <c r="M277" s="209">
        <f t="shared" si="563"/>
        <v>1343.4881949733435</v>
      </c>
      <c r="N277" s="211">
        <f t="shared" si="564"/>
        <v>4.3946872094567668</v>
      </c>
      <c r="O277" s="211">
        <f t="shared" si="565"/>
        <v>8.1632241709116489</v>
      </c>
      <c r="P277" s="176">
        <f t="shared" si="566"/>
        <v>59.042103865055125</v>
      </c>
      <c r="Q277" s="212">
        <f t="shared" si="567"/>
        <v>109.6719530654086</v>
      </c>
      <c r="R277" s="348"/>
      <c r="S277" s="348"/>
      <c r="T277" s="348"/>
      <c r="U277" s="348"/>
      <c r="V277" s="348"/>
      <c r="X277" s="176">
        <f t="shared" si="556"/>
        <v>1343</v>
      </c>
      <c r="Y277" s="210">
        <f t="shared" si="557"/>
        <v>4.3899999999999997</v>
      </c>
      <c r="Z277" s="210">
        <f t="shared" si="558"/>
        <v>8.16</v>
      </c>
    </row>
    <row r="278" spans="1:26" x14ac:dyDescent="0.25">
      <c r="A278" s="220">
        <v>71517</v>
      </c>
      <c r="B278" s="221">
        <v>1023</v>
      </c>
      <c r="C278" s="109" t="s">
        <v>109</v>
      </c>
      <c r="D278" s="229">
        <v>45901</v>
      </c>
      <c r="E278" s="65"/>
      <c r="F278" s="227" t="s">
        <v>14</v>
      </c>
      <c r="G278" s="65" t="str">
        <f t="shared" si="542"/>
        <v>Piragutu</v>
      </c>
      <c r="H278" s="65">
        <v>1554</v>
      </c>
      <c r="I278" s="65">
        <v>4.5</v>
      </c>
      <c r="J278" s="65">
        <v>8.43</v>
      </c>
      <c r="K278" s="176">
        <f t="shared" si="552"/>
        <v>69.929999999999993</v>
      </c>
      <c r="L278" s="177">
        <f t="shared" si="553"/>
        <v>131.00219999999999</v>
      </c>
      <c r="M278" s="209">
        <f>$R$278*H278/SUM($H$278:$H$279)</f>
        <v>1538.6662129976182</v>
      </c>
      <c r="N278" s="211">
        <f t="shared" ref="N278" si="568">P278/M278*100</f>
        <v>4.4669468330842248</v>
      </c>
      <c r="O278" s="211">
        <f t="shared" ref="O278" si="569">Q278/M278*100</f>
        <v>8.4534138214166035</v>
      </c>
      <c r="P278" s="176">
        <f>$U$278*K278/SUM($K$278:$K$279)</f>
        <v>68.731401673234075</v>
      </c>
      <c r="Q278" s="212">
        <f>$V$278*L278/SUM($L$278:$L$279)</f>
        <v>130.06982231500811</v>
      </c>
      <c r="R278" s="347">
        <v>2910</v>
      </c>
      <c r="S278" s="347">
        <v>4.3499999999999996</v>
      </c>
      <c r="T278" s="347">
        <v>8.34</v>
      </c>
      <c r="U278" s="347">
        <f>R278*S278%</f>
        <v>126.58499999999999</v>
      </c>
      <c r="V278" s="347">
        <f>R278*T278%</f>
        <v>242.69400000000002</v>
      </c>
      <c r="X278" s="176">
        <f t="shared" si="556"/>
        <v>1539</v>
      </c>
      <c r="Y278" s="210">
        <f t="shared" si="557"/>
        <v>4.47</v>
      </c>
      <c r="Z278" s="210">
        <f t="shared" si="558"/>
        <v>8.4499999999999993</v>
      </c>
    </row>
    <row r="279" spans="1:26" x14ac:dyDescent="0.25">
      <c r="A279" s="220">
        <v>71517</v>
      </c>
      <c r="B279" s="221">
        <v>1023</v>
      </c>
      <c r="C279" s="109" t="s">
        <v>109</v>
      </c>
      <c r="D279" s="229">
        <v>45901</v>
      </c>
      <c r="E279" s="65"/>
      <c r="F279" s="227" t="s">
        <v>6</v>
      </c>
      <c r="G279" s="65" t="str">
        <f t="shared" si="542"/>
        <v>Hisri</v>
      </c>
      <c r="H279" s="65">
        <v>1385</v>
      </c>
      <c r="I279" s="65">
        <v>4.25</v>
      </c>
      <c r="J279" s="65">
        <v>8.19</v>
      </c>
      <c r="K279" s="176">
        <f t="shared" si="552"/>
        <v>58.862500000000004</v>
      </c>
      <c r="L279" s="177">
        <f t="shared" si="553"/>
        <v>113.4315</v>
      </c>
      <c r="M279" s="209">
        <f>$R$278*H279/SUM($H$278:$H$279)</f>
        <v>1371.3337870023818</v>
      </c>
      <c r="N279" s="211">
        <f t="shared" ref="N279:N280" si="570">P279/M279*100</f>
        <v>4.2187831201351012</v>
      </c>
      <c r="O279" s="211">
        <f t="shared" ref="O279:O280" si="571">Q279/M279*100</f>
        <v>8.2127472357535005</v>
      </c>
      <c r="P279" s="176">
        <f>$U$278*K279/SUM($K$278:$K$279)</f>
        <v>57.853598326765926</v>
      </c>
      <c r="Q279" s="212">
        <f>$V$278*L279/SUM($L$278:$L$279)</f>
        <v>112.62417768499191</v>
      </c>
      <c r="R279" s="348"/>
      <c r="S279" s="348"/>
      <c r="T279" s="348"/>
      <c r="U279" s="348"/>
      <c r="V279" s="348"/>
      <c r="X279" s="176">
        <f t="shared" si="556"/>
        <v>1371</v>
      </c>
      <c r="Y279" s="210">
        <f t="shared" si="557"/>
        <v>4.22</v>
      </c>
      <c r="Z279" s="210">
        <f t="shared" si="558"/>
        <v>8.2100000000000009</v>
      </c>
    </row>
    <row r="280" spans="1:26" x14ac:dyDescent="0.25">
      <c r="A280" s="220">
        <v>71512</v>
      </c>
      <c r="B280" s="221">
        <v>8504</v>
      </c>
      <c r="C280" s="109" t="s">
        <v>73</v>
      </c>
      <c r="D280" s="229">
        <v>45898</v>
      </c>
      <c r="E280" s="65"/>
      <c r="F280" s="227" t="s">
        <v>2</v>
      </c>
      <c r="G280" s="65" t="str">
        <f t="shared" si="542"/>
        <v>Itki</v>
      </c>
      <c r="H280" s="65">
        <v>3750</v>
      </c>
      <c r="I280" s="65">
        <v>4.4000000000000004</v>
      </c>
      <c r="J280" s="65">
        <v>8.6</v>
      </c>
      <c r="K280" s="176">
        <f t="shared" si="552"/>
        <v>165.00000000000003</v>
      </c>
      <c r="L280" s="177">
        <f t="shared" si="553"/>
        <v>322.5</v>
      </c>
      <c r="M280" s="209">
        <f>$R$280*H280/SUM($H$280)</f>
        <v>3740</v>
      </c>
      <c r="N280" s="211">
        <f t="shared" si="570"/>
        <v>4.25</v>
      </c>
      <c r="O280" s="211">
        <f t="shared" si="571"/>
        <v>8.3800000000000008</v>
      </c>
      <c r="P280" s="176">
        <f>$U$280*K280/SUM($K$280)</f>
        <v>158.95000000000002</v>
      </c>
      <c r="Q280" s="212">
        <f>$V$280*L280/SUM($L$280)</f>
        <v>313.41200000000003</v>
      </c>
      <c r="R280" s="65">
        <v>3740</v>
      </c>
      <c r="S280" s="65">
        <v>4.25</v>
      </c>
      <c r="T280" s="65">
        <v>8.3800000000000008</v>
      </c>
      <c r="U280" s="245">
        <f>R280*S280%</f>
        <v>158.95000000000002</v>
      </c>
      <c r="V280" s="245">
        <f>R280*T280%</f>
        <v>313.41200000000003</v>
      </c>
      <c r="X280" s="176">
        <f t="shared" si="556"/>
        <v>3740</v>
      </c>
      <c r="Y280" s="210">
        <f t="shared" si="557"/>
        <v>4.25</v>
      </c>
      <c r="Z280" s="210">
        <f t="shared" si="558"/>
        <v>8.3800000000000008</v>
      </c>
    </row>
    <row r="281" spans="1:26" x14ac:dyDescent="0.25">
      <c r="A281" s="220">
        <v>70523</v>
      </c>
      <c r="B281" s="221">
        <v>8504</v>
      </c>
      <c r="C281" s="109" t="s">
        <v>73</v>
      </c>
      <c r="D281" s="229">
        <v>45897</v>
      </c>
      <c r="E281" s="65"/>
      <c r="F281" s="227" t="s">
        <v>2</v>
      </c>
      <c r="G281" s="65" t="str">
        <f t="shared" si="542"/>
        <v>Itki</v>
      </c>
      <c r="H281" s="65">
        <v>5480</v>
      </c>
      <c r="I281" s="65">
        <v>4.45</v>
      </c>
      <c r="J281" s="65">
        <v>8.61</v>
      </c>
      <c r="K281" s="176">
        <f t="shared" si="552"/>
        <v>243.86</v>
      </c>
      <c r="L281" s="177">
        <f t="shared" si="553"/>
        <v>471.82799999999997</v>
      </c>
      <c r="M281" s="209">
        <f>$R$281*H281/SUM($H$281)</f>
        <v>5500</v>
      </c>
      <c r="N281" s="211">
        <f t="shared" ref="N281" si="572">P281/M281*100</f>
        <v>4.3499999999999996</v>
      </c>
      <c r="O281" s="211">
        <f t="shared" ref="O281" si="573">Q281/M281*100</f>
        <v>8.4600000000000009</v>
      </c>
      <c r="P281" s="176">
        <f>$U$281*K281/SUM($K$281)</f>
        <v>239.24999999999997</v>
      </c>
      <c r="Q281" s="212">
        <f>$V$281*L281/SUM($L$281)</f>
        <v>465.30000000000007</v>
      </c>
      <c r="R281" s="234">
        <v>5500</v>
      </c>
      <c r="S281" s="234">
        <v>4.3499999999999996</v>
      </c>
      <c r="T281" s="234">
        <v>8.4600000000000009</v>
      </c>
      <c r="U281" s="245">
        <f>R281*S281%</f>
        <v>239.24999999999997</v>
      </c>
      <c r="V281" s="245">
        <f>R281*T281%</f>
        <v>465.30000000000007</v>
      </c>
      <c r="X281" s="176">
        <f t="shared" si="556"/>
        <v>5500</v>
      </c>
      <c r="Y281" s="210">
        <f t="shared" si="557"/>
        <v>4.3499999999999996</v>
      </c>
      <c r="Z281" s="210">
        <f t="shared" si="558"/>
        <v>8.4600000000000009</v>
      </c>
    </row>
    <row r="282" spans="1:26" x14ac:dyDescent="0.25">
      <c r="A282" s="220">
        <v>70496</v>
      </c>
      <c r="B282" s="221">
        <v>8504</v>
      </c>
      <c r="C282" s="109" t="s">
        <v>73</v>
      </c>
      <c r="D282" s="229">
        <v>45896</v>
      </c>
      <c r="E282" s="65"/>
      <c r="F282" s="227" t="s">
        <v>2</v>
      </c>
      <c r="G282" s="65" t="str">
        <f t="shared" si="542"/>
        <v>Itki</v>
      </c>
      <c r="H282" s="65">
        <v>5530</v>
      </c>
      <c r="I282" s="65">
        <v>4.5</v>
      </c>
      <c r="J282" s="65">
        <v>8.5</v>
      </c>
      <c r="K282" s="176">
        <f t="shared" si="552"/>
        <v>248.85</v>
      </c>
      <c r="L282" s="177">
        <f t="shared" si="553"/>
        <v>470.05</v>
      </c>
      <c r="M282" s="209">
        <f>$R$282*H282/SUM($H$282)</f>
        <v>5540</v>
      </c>
      <c r="N282" s="211">
        <f t="shared" ref="N282" si="574">P282/M282*100</f>
        <v>4.3499999999999996</v>
      </c>
      <c r="O282" s="211">
        <f t="shared" ref="O282" si="575">Q282/M282*100</f>
        <v>8.34</v>
      </c>
      <c r="P282" s="176">
        <f>$U$282*K282/SUM($K$282)</f>
        <v>240.98999999999998</v>
      </c>
      <c r="Q282" s="212">
        <f>$V$282*L282/SUM($L$282)</f>
        <v>462.036</v>
      </c>
      <c r="R282" s="65">
        <v>5540</v>
      </c>
      <c r="S282" s="65">
        <v>4.3499999999999996</v>
      </c>
      <c r="T282" s="65">
        <v>8.34</v>
      </c>
      <c r="U282" s="245">
        <f>R282*S282%</f>
        <v>240.98999999999998</v>
      </c>
      <c r="V282" s="245">
        <f>R282*T282%</f>
        <v>462.036</v>
      </c>
      <c r="X282" s="176">
        <f t="shared" si="556"/>
        <v>5540</v>
      </c>
      <c r="Y282" s="210">
        <f t="shared" si="557"/>
        <v>4.3499999999999996</v>
      </c>
      <c r="Z282" s="210">
        <f t="shared" si="558"/>
        <v>8.34</v>
      </c>
    </row>
    <row r="283" spans="1:26" x14ac:dyDescent="0.25">
      <c r="A283" s="220">
        <v>70318</v>
      </c>
      <c r="B283" s="221">
        <v>1023</v>
      </c>
      <c r="C283" s="109" t="s">
        <v>109</v>
      </c>
      <c r="D283" s="229">
        <v>45875</v>
      </c>
      <c r="E283" s="65"/>
      <c r="F283" s="227" t="s">
        <v>78</v>
      </c>
      <c r="G283" s="65" t="str">
        <f t="shared" si="542"/>
        <v>Bhandra</v>
      </c>
      <c r="H283" s="65">
        <v>4330</v>
      </c>
      <c r="I283" s="65">
        <v>4.3</v>
      </c>
      <c r="J283" s="65">
        <v>8.4499999999999993</v>
      </c>
      <c r="K283" s="176">
        <f t="shared" si="552"/>
        <v>186.19</v>
      </c>
      <c r="L283" s="177">
        <f t="shared" si="553"/>
        <v>365.88499999999999</v>
      </c>
      <c r="M283" s="209">
        <f>$R$283*H283/SUM($H$283)</f>
        <v>4320</v>
      </c>
      <c r="N283" s="211">
        <f t="shared" ref="N283" si="576">P283/M283*100</f>
        <v>4.25</v>
      </c>
      <c r="O283" s="211">
        <f t="shared" ref="O283" si="577">Q283/M283*100</f>
        <v>8.19</v>
      </c>
      <c r="P283" s="176">
        <f>$U$283*K283/SUM($K$283)</f>
        <v>183.60000000000002</v>
      </c>
      <c r="Q283" s="212">
        <f>$V$283*L283/SUM($L$283)</f>
        <v>353.80799999999999</v>
      </c>
      <c r="R283" s="234">
        <v>4320</v>
      </c>
      <c r="S283" s="234">
        <v>4.25</v>
      </c>
      <c r="T283" s="234">
        <v>8.19</v>
      </c>
      <c r="U283" s="245">
        <f>R283*S283%</f>
        <v>183.60000000000002</v>
      </c>
      <c r="V283" s="245">
        <f>R283*T283%</f>
        <v>353.80799999999999</v>
      </c>
      <c r="X283" s="176">
        <f t="shared" si="556"/>
        <v>4320</v>
      </c>
      <c r="Y283" s="210">
        <f t="shared" si="557"/>
        <v>4.25</v>
      </c>
      <c r="Z283" s="210">
        <f t="shared" si="558"/>
        <v>8.19</v>
      </c>
    </row>
    <row r="284" spans="1:26" x14ac:dyDescent="0.25">
      <c r="A284" s="220">
        <v>70344</v>
      </c>
      <c r="B284" s="221">
        <v>9944</v>
      </c>
      <c r="C284" s="109" t="s">
        <v>73</v>
      </c>
      <c r="D284" s="229">
        <v>45871</v>
      </c>
      <c r="E284" s="65"/>
      <c r="F284" s="227" t="s">
        <v>78</v>
      </c>
      <c r="G284" s="65" t="str">
        <f t="shared" si="542"/>
        <v>Bhandra</v>
      </c>
      <c r="H284" s="65">
        <v>7060</v>
      </c>
      <c r="I284" s="65">
        <v>4.3499999999999996</v>
      </c>
      <c r="J284" s="65">
        <v>8.5299999999999994</v>
      </c>
      <c r="K284" s="176">
        <f t="shared" si="552"/>
        <v>307.10999999999996</v>
      </c>
      <c r="L284" s="177">
        <f t="shared" si="553"/>
        <v>602.21799999999996</v>
      </c>
      <c r="M284" s="209">
        <f>$R$284*H284/SUM($H$284)</f>
        <v>7020</v>
      </c>
      <c r="N284" s="211">
        <f t="shared" ref="N284" si="578">P284/M284*100</f>
        <v>4.25</v>
      </c>
      <c r="O284" s="211">
        <f t="shared" ref="O284" si="579">Q284/M284*100</f>
        <v>8.19</v>
      </c>
      <c r="P284" s="176">
        <f>$U$284*K284/SUM($K$284)</f>
        <v>298.35000000000002</v>
      </c>
      <c r="Q284" s="212">
        <f>$V$284*L284/SUM($L$284)</f>
        <v>574.93799999999999</v>
      </c>
      <c r="R284" s="65">
        <v>7020</v>
      </c>
      <c r="S284" s="65">
        <v>4.25</v>
      </c>
      <c r="T284" s="65">
        <v>8.19</v>
      </c>
      <c r="U284" s="245">
        <f>R284*S284%</f>
        <v>298.35000000000002</v>
      </c>
      <c r="V284" s="245">
        <f>R284*T284%</f>
        <v>574.93799999999999</v>
      </c>
      <c r="X284" s="176">
        <f t="shared" si="556"/>
        <v>7020</v>
      </c>
      <c r="Y284" s="210">
        <f t="shared" si="557"/>
        <v>4.25</v>
      </c>
      <c r="Z284" s="210">
        <f t="shared" si="558"/>
        <v>8.19</v>
      </c>
    </row>
    <row r="285" spans="1:26" x14ac:dyDescent="0.25">
      <c r="A285" s="220"/>
      <c r="B285" s="221"/>
      <c r="C285" s="109"/>
      <c r="D285" s="229"/>
      <c r="E285" s="65"/>
      <c r="F285" s="227"/>
      <c r="G285" s="65"/>
      <c r="H285" s="65"/>
      <c r="I285" s="65"/>
      <c r="J285" s="65"/>
      <c r="K285" s="176">
        <f t="shared" ref="K285:K298" si="580">H285*I285%</f>
        <v>0</v>
      </c>
      <c r="L285" s="177">
        <f t="shared" ref="L285:L298" si="581">H285*J285%</f>
        <v>0</v>
      </c>
      <c r="M285" s="209">
        <f t="shared" ref="M285:M298" si="582">$R$4*H285/SUM($H$4:$H$9)</f>
        <v>0</v>
      </c>
      <c r="N285" s="211" t="e">
        <f t="shared" ref="N285:N298" si="583">P285/M285*100</f>
        <v>#DIV/0!</v>
      </c>
      <c r="O285" s="211" t="e">
        <f t="shared" ref="O285:O298" si="584">Q285/M285*100</f>
        <v>#DIV/0!</v>
      </c>
      <c r="P285" s="176">
        <f t="shared" ref="P285:P298" si="585">$U$4*K285/SUM($K$4:$K$9)</f>
        <v>0</v>
      </c>
      <c r="Q285" s="212">
        <f t="shared" ref="Q285:Q298" si="586">$V$4*L285/SUM($L$4:$L$9)</f>
        <v>0</v>
      </c>
      <c r="R285" s="234"/>
      <c r="S285" s="234"/>
      <c r="T285" s="234"/>
      <c r="U285" s="234"/>
      <c r="V285" s="234"/>
      <c r="X285" s="176">
        <f t="shared" ref="X285:X298" si="587">ROUND(M285,0)</f>
        <v>0</v>
      </c>
      <c r="Y285" s="210" t="e">
        <f t="shared" ref="Y285:Y298" si="588">ROUND(N285,2)</f>
        <v>#DIV/0!</v>
      </c>
      <c r="Z285" s="210" t="e">
        <f t="shared" ref="Z285:Z298" si="589">ROUND(O285,2)</f>
        <v>#DIV/0!</v>
      </c>
    </row>
    <row r="286" spans="1:26" x14ac:dyDescent="0.25">
      <c r="A286" s="220"/>
      <c r="B286" s="221"/>
      <c r="C286" s="109"/>
      <c r="D286" s="65"/>
      <c r="E286" s="65"/>
      <c r="F286" s="109"/>
      <c r="G286" s="65"/>
      <c r="H286" s="65"/>
      <c r="I286" s="65"/>
      <c r="J286" s="65"/>
      <c r="K286" s="176">
        <f t="shared" si="580"/>
        <v>0</v>
      </c>
      <c r="L286" s="177">
        <f t="shared" si="581"/>
        <v>0</v>
      </c>
      <c r="M286" s="209">
        <f t="shared" si="582"/>
        <v>0</v>
      </c>
      <c r="N286" s="211" t="e">
        <f t="shared" si="583"/>
        <v>#DIV/0!</v>
      </c>
      <c r="O286" s="211" t="e">
        <f t="shared" si="584"/>
        <v>#DIV/0!</v>
      </c>
      <c r="P286" s="176">
        <f t="shared" si="585"/>
        <v>0</v>
      </c>
      <c r="Q286" s="212">
        <f t="shared" si="586"/>
        <v>0</v>
      </c>
      <c r="R286" s="65"/>
      <c r="S286" s="65"/>
      <c r="T286" s="65"/>
      <c r="U286" s="65"/>
      <c r="V286" s="65"/>
      <c r="X286" s="176">
        <f t="shared" si="587"/>
        <v>0</v>
      </c>
      <c r="Y286" s="210" t="e">
        <f t="shared" si="588"/>
        <v>#DIV/0!</v>
      </c>
      <c r="Z286" s="210" t="e">
        <f t="shared" si="589"/>
        <v>#DIV/0!</v>
      </c>
    </row>
    <row r="287" spans="1:26" x14ac:dyDescent="0.25">
      <c r="A287" s="220"/>
      <c r="B287" s="221"/>
      <c r="C287" s="109"/>
      <c r="D287" s="229"/>
      <c r="E287" s="65"/>
      <c r="F287" s="227"/>
      <c r="G287" s="65"/>
      <c r="H287" s="65"/>
      <c r="I287" s="65"/>
      <c r="J287" s="65"/>
      <c r="K287" s="176">
        <f t="shared" si="580"/>
        <v>0</v>
      </c>
      <c r="L287" s="177">
        <f t="shared" si="581"/>
        <v>0</v>
      </c>
      <c r="M287" s="209">
        <f t="shared" si="582"/>
        <v>0</v>
      </c>
      <c r="N287" s="211" t="e">
        <f t="shared" si="583"/>
        <v>#DIV/0!</v>
      </c>
      <c r="O287" s="211" t="e">
        <f t="shared" si="584"/>
        <v>#DIV/0!</v>
      </c>
      <c r="P287" s="176">
        <f t="shared" si="585"/>
        <v>0</v>
      </c>
      <c r="Q287" s="212">
        <f t="shared" si="586"/>
        <v>0</v>
      </c>
      <c r="R287" s="234"/>
      <c r="S287" s="234"/>
      <c r="T287" s="234"/>
      <c r="U287" s="234"/>
      <c r="V287" s="234"/>
      <c r="X287" s="176">
        <f t="shared" si="587"/>
        <v>0</v>
      </c>
      <c r="Y287" s="210" t="e">
        <f t="shared" si="588"/>
        <v>#DIV/0!</v>
      </c>
      <c r="Z287" s="210" t="e">
        <f t="shared" si="589"/>
        <v>#DIV/0!</v>
      </c>
    </row>
    <row r="288" spans="1:26" x14ac:dyDescent="0.25">
      <c r="A288" s="220"/>
      <c r="B288" s="221"/>
      <c r="C288" s="109"/>
      <c r="D288" s="65"/>
      <c r="E288" s="65"/>
      <c r="F288" s="109"/>
      <c r="G288" s="65"/>
      <c r="H288" s="65"/>
      <c r="I288" s="65"/>
      <c r="J288" s="65"/>
      <c r="K288" s="176">
        <f t="shared" si="580"/>
        <v>0</v>
      </c>
      <c r="L288" s="177">
        <f t="shared" si="581"/>
        <v>0</v>
      </c>
      <c r="M288" s="209">
        <f t="shared" si="582"/>
        <v>0</v>
      </c>
      <c r="N288" s="211" t="e">
        <f t="shared" si="583"/>
        <v>#DIV/0!</v>
      </c>
      <c r="O288" s="211" t="e">
        <f t="shared" si="584"/>
        <v>#DIV/0!</v>
      </c>
      <c r="P288" s="176">
        <f t="shared" si="585"/>
        <v>0</v>
      </c>
      <c r="Q288" s="212">
        <f t="shared" si="586"/>
        <v>0</v>
      </c>
      <c r="R288" s="65"/>
      <c r="S288" s="65"/>
      <c r="T288" s="65"/>
      <c r="U288" s="65"/>
      <c r="V288" s="65"/>
      <c r="X288" s="176">
        <f t="shared" si="587"/>
        <v>0</v>
      </c>
      <c r="Y288" s="210" t="e">
        <f t="shared" si="588"/>
        <v>#DIV/0!</v>
      </c>
      <c r="Z288" s="210" t="e">
        <f t="shared" si="589"/>
        <v>#DIV/0!</v>
      </c>
    </row>
    <row r="289" spans="1:26" x14ac:dyDescent="0.25">
      <c r="A289" s="220"/>
      <c r="B289" s="221"/>
      <c r="C289" s="109"/>
      <c r="D289" s="229"/>
      <c r="E289" s="65"/>
      <c r="F289" s="227"/>
      <c r="G289" s="65"/>
      <c r="H289" s="65"/>
      <c r="I289" s="65"/>
      <c r="J289" s="65"/>
      <c r="K289" s="176">
        <f t="shared" si="580"/>
        <v>0</v>
      </c>
      <c r="L289" s="177">
        <f t="shared" si="581"/>
        <v>0</v>
      </c>
      <c r="M289" s="209">
        <f t="shared" si="582"/>
        <v>0</v>
      </c>
      <c r="N289" s="211" t="e">
        <f t="shared" si="583"/>
        <v>#DIV/0!</v>
      </c>
      <c r="O289" s="211" t="e">
        <f t="shared" si="584"/>
        <v>#DIV/0!</v>
      </c>
      <c r="P289" s="176">
        <f t="shared" si="585"/>
        <v>0</v>
      </c>
      <c r="Q289" s="212">
        <f t="shared" si="586"/>
        <v>0</v>
      </c>
      <c r="R289" s="234"/>
      <c r="S289" s="234"/>
      <c r="T289" s="234"/>
      <c r="U289" s="234"/>
      <c r="V289" s="234"/>
      <c r="X289" s="176">
        <f t="shared" si="587"/>
        <v>0</v>
      </c>
      <c r="Y289" s="210" t="e">
        <f t="shared" si="588"/>
        <v>#DIV/0!</v>
      </c>
      <c r="Z289" s="210" t="e">
        <f t="shared" si="589"/>
        <v>#DIV/0!</v>
      </c>
    </row>
    <row r="290" spans="1:26" x14ac:dyDescent="0.25">
      <c r="A290" s="220"/>
      <c r="B290" s="221"/>
      <c r="C290" s="109"/>
      <c r="D290" s="65"/>
      <c r="E290" s="65"/>
      <c r="F290" s="109"/>
      <c r="G290" s="65"/>
      <c r="H290" s="65"/>
      <c r="I290" s="65"/>
      <c r="J290" s="65"/>
      <c r="K290" s="176">
        <f t="shared" si="580"/>
        <v>0</v>
      </c>
      <c r="L290" s="177">
        <f t="shared" si="581"/>
        <v>0</v>
      </c>
      <c r="M290" s="209">
        <f t="shared" si="582"/>
        <v>0</v>
      </c>
      <c r="N290" s="211" t="e">
        <f t="shared" si="583"/>
        <v>#DIV/0!</v>
      </c>
      <c r="O290" s="211" t="e">
        <f t="shared" si="584"/>
        <v>#DIV/0!</v>
      </c>
      <c r="P290" s="176">
        <f t="shared" si="585"/>
        <v>0</v>
      </c>
      <c r="Q290" s="212">
        <f t="shared" si="586"/>
        <v>0</v>
      </c>
      <c r="R290" s="65"/>
      <c r="S290" s="65"/>
      <c r="T290" s="65"/>
      <c r="U290" s="65"/>
      <c r="V290" s="65"/>
      <c r="X290" s="176">
        <f t="shared" si="587"/>
        <v>0</v>
      </c>
      <c r="Y290" s="210" t="e">
        <f t="shared" si="588"/>
        <v>#DIV/0!</v>
      </c>
      <c r="Z290" s="210" t="e">
        <f t="shared" si="589"/>
        <v>#DIV/0!</v>
      </c>
    </row>
    <row r="291" spans="1:26" x14ac:dyDescent="0.25">
      <c r="A291" s="220"/>
      <c r="B291" s="221"/>
      <c r="C291" s="109"/>
      <c r="D291" s="229"/>
      <c r="E291" s="65"/>
      <c r="F291" s="227"/>
      <c r="G291" s="65"/>
      <c r="H291" s="65"/>
      <c r="I291" s="65"/>
      <c r="J291" s="65"/>
      <c r="K291" s="176">
        <f t="shared" si="580"/>
        <v>0</v>
      </c>
      <c r="L291" s="177">
        <f t="shared" si="581"/>
        <v>0</v>
      </c>
      <c r="M291" s="209">
        <f t="shared" si="582"/>
        <v>0</v>
      </c>
      <c r="N291" s="211" t="e">
        <f t="shared" si="583"/>
        <v>#DIV/0!</v>
      </c>
      <c r="O291" s="211" t="e">
        <f t="shared" si="584"/>
        <v>#DIV/0!</v>
      </c>
      <c r="P291" s="176">
        <f t="shared" si="585"/>
        <v>0</v>
      </c>
      <c r="Q291" s="212">
        <f t="shared" si="586"/>
        <v>0</v>
      </c>
      <c r="R291" s="234"/>
      <c r="S291" s="234"/>
      <c r="T291" s="234"/>
      <c r="U291" s="234"/>
      <c r="V291" s="234"/>
      <c r="X291" s="176">
        <f t="shared" si="587"/>
        <v>0</v>
      </c>
      <c r="Y291" s="210" t="e">
        <f t="shared" si="588"/>
        <v>#DIV/0!</v>
      </c>
      <c r="Z291" s="210" t="e">
        <f t="shared" si="589"/>
        <v>#DIV/0!</v>
      </c>
    </row>
    <row r="292" spans="1:26" x14ac:dyDescent="0.25">
      <c r="A292" s="220"/>
      <c r="B292" s="221"/>
      <c r="C292" s="109"/>
      <c r="D292" s="65"/>
      <c r="E292" s="65"/>
      <c r="F292" s="109"/>
      <c r="G292" s="65"/>
      <c r="H292" s="65"/>
      <c r="I292" s="65"/>
      <c r="J292" s="65"/>
      <c r="K292" s="176">
        <f t="shared" si="580"/>
        <v>0</v>
      </c>
      <c r="L292" s="177">
        <f t="shared" si="581"/>
        <v>0</v>
      </c>
      <c r="M292" s="209">
        <f t="shared" si="582"/>
        <v>0</v>
      </c>
      <c r="N292" s="211" t="e">
        <f t="shared" si="583"/>
        <v>#DIV/0!</v>
      </c>
      <c r="O292" s="211" t="e">
        <f t="shared" si="584"/>
        <v>#DIV/0!</v>
      </c>
      <c r="P292" s="176">
        <f t="shared" si="585"/>
        <v>0</v>
      </c>
      <c r="Q292" s="212">
        <f t="shared" si="586"/>
        <v>0</v>
      </c>
      <c r="R292" s="65"/>
      <c r="S292" s="65"/>
      <c r="T292" s="65"/>
      <c r="U292" s="65"/>
      <c r="V292" s="65"/>
      <c r="X292" s="176">
        <f t="shared" si="587"/>
        <v>0</v>
      </c>
      <c r="Y292" s="210" t="e">
        <f t="shared" si="588"/>
        <v>#DIV/0!</v>
      </c>
      <c r="Z292" s="210" t="e">
        <f t="shared" si="589"/>
        <v>#DIV/0!</v>
      </c>
    </row>
    <row r="293" spans="1:26" x14ac:dyDescent="0.25">
      <c r="A293" s="220"/>
      <c r="B293" s="221"/>
      <c r="C293" s="109"/>
      <c r="D293" s="229"/>
      <c r="E293" s="65"/>
      <c r="F293" s="227"/>
      <c r="G293" s="65"/>
      <c r="H293" s="65"/>
      <c r="I293" s="65"/>
      <c r="J293" s="65"/>
      <c r="K293" s="176">
        <f t="shared" si="580"/>
        <v>0</v>
      </c>
      <c r="L293" s="177">
        <f t="shared" si="581"/>
        <v>0</v>
      </c>
      <c r="M293" s="209">
        <f t="shared" si="582"/>
        <v>0</v>
      </c>
      <c r="N293" s="211" t="e">
        <f t="shared" si="583"/>
        <v>#DIV/0!</v>
      </c>
      <c r="O293" s="211" t="e">
        <f t="shared" si="584"/>
        <v>#DIV/0!</v>
      </c>
      <c r="P293" s="176">
        <f t="shared" si="585"/>
        <v>0</v>
      </c>
      <c r="Q293" s="212">
        <f t="shared" si="586"/>
        <v>0</v>
      </c>
      <c r="R293" s="234"/>
      <c r="S293" s="234"/>
      <c r="T293" s="234"/>
      <c r="U293" s="234"/>
      <c r="V293" s="234"/>
      <c r="X293" s="176">
        <f t="shared" si="587"/>
        <v>0</v>
      </c>
      <c r="Y293" s="210" t="e">
        <f t="shared" si="588"/>
        <v>#DIV/0!</v>
      </c>
      <c r="Z293" s="210" t="e">
        <f t="shared" si="589"/>
        <v>#DIV/0!</v>
      </c>
    </row>
    <row r="294" spans="1:26" x14ac:dyDescent="0.25">
      <c r="A294" s="220"/>
      <c r="B294" s="221"/>
      <c r="C294" s="109"/>
      <c r="D294" s="65"/>
      <c r="E294" s="65"/>
      <c r="F294" s="109"/>
      <c r="G294" s="65"/>
      <c r="H294" s="65"/>
      <c r="I294" s="65"/>
      <c r="J294" s="65"/>
      <c r="K294" s="176">
        <f t="shared" si="580"/>
        <v>0</v>
      </c>
      <c r="L294" s="177">
        <f t="shared" si="581"/>
        <v>0</v>
      </c>
      <c r="M294" s="209">
        <f t="shared" si="582"/>
        <v>0</v>
      </c>
      <c r="N294" s="211" t="e">
        <f t="shared" si="583"/>
        <v>#DIV/0!</v>
      </c>
      <c r="O294" s="211" t="e">
        <f t="shared" si="584"/>
        <v>#DIV/0!</v>
      </c>
      <c r="P294" s="176">
        <f t="shared" si="585"/>
        <v>0</v>
      </c>
      <c r="Q294" s="212">
        <f t="shared" si="586"/>
        <v>0</v>
      </c>
      <c r="R294" s="65"/>
      <c r="S294" s="65"/>
      <c r="T294" s="65"/>
      <c r="U294" s="65"/>
      <c r="V294" s="65"/>
      <c r="X294" s="176">
        <f t="shared" si="587"/>
        <v>0</v>
      </c>
      <c r="Y294" s="210" t="e">
        <f t="shared" si="588"/>
        <v>#DIV/0!</v>
      </c>
      <c r="Z294" s="210" t="e">
        <f t="shared" si="589"/>
        <v>#DIV/0!</v>
      </c>
    </row>
    <row r="295" spans="1:26" x14ac:dyDescent="0.25">
      <c r="A295" s="220"/>
      <c r="B295" s="221"/>
      <c r="C295" s="109"/>
      <c r="D295" s="229"/>
      <c r="E295" s="65"/>
      <c r="F295" s="227"/>
      <c r="G295" s="65"/>
      <c r="H295" s="65"/>
      <c r="I295" s="65"/>
      <c r="J295" s="65"/>
      <c r="K295" s="176">
        <f t="shared" si="580"/>
        <v>0</v>
      </c>
      <c r="L295" s="177">
        <f t="shared" si="581"/>
        <v>0</v>
      </c>
      <c r="M295" s="209">
        <f t="shared" si="582"/>
        <v>0</v>
      </c>
      <c r="N295" s="211" t="e">
        <f t="shared" si="583"/>
        <v>#DIV/0!</v>
      </c>
      <c r="O295" s="211" t="e">
        <f t="shared" si="584"/>
        <v>#DIV/0!</v>
      </c>
      <c r="P295" s="176">
        <f t="shared" si="585"/>
        <v>0</v>
      </c>
      <c r="Q295" s="212">
        <f t="shared" si="586"/>
        <v>0</v>
      </c>
      <c r="R295" s="234"/>
      <c r="S295" s="234"/>
      <c r="T295" s="234"/>
      <c r="U295" s="234"/>
      <c r="V295" s="234"/>
      <c r="X295" s="176">
        <f t="shared" si="587"/>
        <v>0</v>
      </c>
      <c r="Y295" s="210" t="e">
        <f t="shared" si="588"/>
        <v>#DIV/0!</v>
      </c>
      <c r="Z295" s="210" t="e">
        <f t="shared" si="589"/>
        <v>#DIV/0!</v>
      </c>
    </row>
    <row r="296" spans="1:26" x14ac:dyDescent="0.25">
      <c r="A296" s="220"/>
      <c r="B296" s="221"/>
      <c r="C296" s="109"/>
      <c r="D296" s="65"/>
      <c r="E296" s="65"/>
      <c r="F296" s="109"/>
      <c r="G296" s="65"/>
      <c r="H296" s="65"/>
      <c r="I296" s="65"/>
      <c r="J296" s="65"/>
      <c r="K296" s="176">
        <f t="shared" si="580"/>
        <v>0</v>
      </c>
      <c r="L296" s="177">
        <f t="shared" si="581"/>
        <v>0</v>
      </c>
      <c r="M296" s="209">
        <f t="shared" si="582"/>
        <v>0</v>
      </c>
      <c r="N296" s="211" t="e">
        <f t="shared" si="583"/>
        <v>#DIV/0!</v>
      </c>
      <c r="O296" s="211" t="e">
        <f t="shared" si="584"/>
        <v>#DIV/0!</v>
      </c>
      <c r="P296" s="176">
        <f t="shared" si="585"/>
        <v>0</v>
      </c>
      <c r="Q296" s="212">
        <f t="shared" si="586"/>
        <v>0</v>
      </c>
      <c r="R296" s="65"/>
      <c r="S296" s="65"/>
      <c r="T296" s="65"/>
      <c r="U296" s="65"/>
      <c r="V296" s="65"/>
      <c r="X296" s="176">
        <f t="shared" si="587"/>
        <v>0</v>
      </c>
      <c r="Y296" s="210" t="e">
        <f t="shared" si="588"/>
        <v>#DIV/0!</v>
      </c>
      <c r="Z296" s="210" t="e">
        <f t="shared" si="589"/>
        <v>#DIV/0!</v>
      </c>
    </row>
    <row r="297" spans="1:26" x14ac:dyDescent="0.25">
      <c r="A297" s="220"/>
      <c r="B297" s="221"/>
      <c r="C297" s="109"/>
      <c r="D297" s="229"/>
      <c r="E297" s="65"/>
      <c r="F297" s="227"/>
      <c r="G297" s="65"/>
      <c r="H297" s="65"/>
      <c r="I297" s="65"/>
      <c r="J297" s="65"/>
      <c r="K297" s="176">
        <f t="shared" si="580"/>
        <v>0</v>
      </c>
      <c r="L297" s="177">
        <f t="shared" si="581"/>
        <v>0</v>
      </c>
      <c r="M297" s="209">
        <f t="shared" si="582"/>
        <v>0</v>
      </c>
      <c r="N297" s="211" t="e">
        <f t="shared" si="583"/>
        <v>#DIV/0!</v>
      </c>
      <c r="O297" s="211" t="e">
        <f t="shared" si="584"/>
        <v>#DIV/0!</v>
      </c>
      <c r="P297" s="176">
        <f t="shared" si="585"/>
        <v>0</v>
      </c>
      <c r="Q297" s="212">
        <f t="shared" si="586"/>
        <v>0</v>
      </c>
      <c r="R297" s="234"/>
      <c r="S297" s="234"/>
      <c r="T297" s="234"/>
      <c r="U297" s="234"/>
      <c r="V297" s="234"/>
      <c r="X297" s="176">
        <f t="shared" si="587"/>
        <v>0</v>
      </c>
      <c r="Y297" s="210" t="e">
        <f t="shared" si="588"/>
        <v>#DIV/0!</v>
      </c>
      <c r="Z297" s="210" t="e">
        <f t="shared" si="589"/>
        <v>#DIV/0!</v>
      </c>
    </row>
    <row r="298" spans="1:26" x14ac:dyDescent="0.25">
      <c r="A298" s="220"/>
      <c r="B298" s="221"/>
      <c r="C298" s="109"/>
      <c r="D298" s="65"/>
      <c r="E298" s="65"/>
      <c r="F298" s="109"/>
      <c r="G298" s="65"/>
      <c r="H298" s="65"/>
      <c r="I298" s="65"/>
      <c r="J298" s="65"/>
      <c r="K298" s="176">
        <f t="shared" si="580"/>
        <v>0</v>
      </c>
      <c r="L298" s="177">
        <f t="shared" si="581"/>
        <v>0</v>
      </c>
      <c r="M298" s="209">
        <f t="shared" si="582"/>
        <v>0</v>
      </c>
      <c r="N298" s="211" t="e">
        <f t="shared" si="583"/>
        <v>#DIV/0!</v>
      </c>
      <c r="O298" s="211" t="e">
        <f t="shared" si="584"/>
        <v>#DIV/0!</v>
      </c>
      <c r="P298" s="176">
        <f t="shared" si="585"/>
        <v>0</v>
      </c>
      <c r="Q298" s="212">
        <f t="shared" si="586"/>
        <v>0</v>
      </c>
      <c r="R298" s="65"/>
      <c r="S298" s="65"/>
      <c r="T298" s="65"/>
      <c r="U298" s="65"/>
      <c r="V298" s="65"/>
      <c r="X298" s="176">
        <f t="shared" si="587"/>
        <v>0</v>
      </c>
      <c r="Y298" s="210" t="e">
        <f t="shared" si="588"/>
        <v>#DIV/0!</v>
      </c>
      <c r="Z298" s="210" t="e">
        <f t="shared" si="589"/>
        <v>#DIV/0!</v>
      </c>
    </row>
    <row r="299" spans="1:26" x14ac:dyDescent="0.25">
      <c r="A299" s="230"/>
      <c r="B299" s="231"/>
      <c r="C299" s="15"/>
      <c r="D299"/>
      <c r="E299"/>
      <c r="F299" s="15"/>
      <c r="G299"/>
      <c r="H299"/>
      <c r="I299"/>
      <c r="J299"/>
    </row>
    <row r="300" spans="1:26" x14ac:dyDescent="0.25">
      <c r="A300" s="230"/>
      <c r="B300" s="231"/>
      <c r="C300" s="15"/>
      <c r="D300"/>
      <c r="E300"/>
      <c r="F300" s="15"/>
      <c r="G300"/>
      <c r="H300"/>
      <c r="I300"/>
      <c r="J300"/>
    </row>
    <row r="301" spans="1:26" x14ac:dyDescent="0.25">
      <c r="A301" s="230"/>
      <c r="B301" s="231"/>
      <c r="C301" s="15"/>
      <c r="D301"/>
      <c r="E301"/>
      <c r="F301" s="15"/>
      <c r="G301"/>
      <c r="H301"/>
      <c r="I301"/>
      <c r="J301"/>
    </row>
    <row r="302" spans="1:26" x14ac:dyDescent="0.25">
      <c r="A302" s="230"/>
      <c r="B302" s="231"/>
      <c r="C302" s="15"/>
      <c r="D302"/>
      <c r="E302"/>
      <c r="F302" s="15"/>
      <c r="G302"/>
      <c r="H302"/>
      <c r="I302"/>
      <c r="J302"/>
    </row>
    <row r="303" spans="1:26" x14ac:dyDescent="0.25">
      <c r="A303" s="230"/>
      <c r="B303" s="231"/>
      <c r="C303" s="15"/>
      <c r="D303"/>
      <c r="E303"/>
      <c r="F303" s="15"/>
      <c r="G303"/>
      <c r="H303"/>
      <c r="I303"/>
      <c r="J303"/>
    </row>
    <row r="304" spans="1:26" x14ac:dyDescent="0.25">
      <c r="A304" s="230"/>
      <c r="B304" s="231"/>
      <c r="C304" s="15"/>
      <c r="D304"/>
      <c r="E304"/>
      <c r="F304" s="15"/>
      <c r="G304"/>
      <c r="H304"/>
      <c r="I304"/>
      <c r="J304"/>
    </row>
    <row r="305" spans="1:10" x14ac:dyDescent="0.25">
      <c r="A305" s="230"/>
      <c r="B305" s="231"/>
      <c r="C305" s="15"/>
      <c r="D305"/>
      <c r="E305"/>
      <c r="F305" s="15"/>
      <c r="G305"/>
      <c r="H305"/>
      <c r="I305"/>
      <c r="J305"/>
    </row>
    <row r="306" spans="1:10" x14ac:dyDescent="0.25">
      <c r="A306" s="230"/>
      <c r="B306" s="231"/>
      <c r="C306" s="15"/>
      <c r="D306"/>
      <c r="E306"/>
      <c r="F306" s="15"/>
      <c r="G306"/>
      <c r="H306"/>
      <c r="I306"/>
      <c r="J306"/>
    </row>
    <row r="307" spans="1:10" x14ac:dyDescent="0.25">
      <c r="A307" s="230"/>
      <c r="B307" s="231"/>
      <c r="C307" s="15"/>
      <c r="D307"/>
      <c r="E307"/>
      <c r="F307" s="15"/>
      <c r="G307"/>
      <c r="H307"/>
      <c r="I307"/>
      <c r="J307"/>
    </row>
    <row r="308" spans="1:10" x14ac:dyDescent="0.25">
      <c r="A308" s="230"/>
      <c r="B308" s="231"/>
      <c r="C308" s="15"/>
      <c r="D308"/>
      <c r="E308"/>
      <c r="F308" s="15"/>
      <c r="G308"/>
      <c r="H308"/>
      <c r="I308"/>
      <c r="J308"/>
    </row>
    <row r="309" spans="1:10" x14ac:dyDescent="0.25">
      <c r="A309" s="230"/>
      <c r="B309" s="231"/>
      <c r="C309" s="15"/>
      <c r="D309"/>
      <c r="E309"/>
      <c r="F309" s="15"/>
      <c r="G309"/>
      <c r="H309"/>
      <c r="I309"/>
      <c r="J309"/>
    </row>
    <row r="310" spans="1:10" x14ac:dyDescent="0.25">
      <c r="A310" s="230"/>
      <c r="B310" s="231"/>
      <c r="C310" s="15"/>
      <c r="D310"/>
      <c r="E310"/>
      <c r="F310" s="15"/>
      <c r="G310"/>
      <c r="H310"/>
      <c r="I310"/>
      <c r="J310"/>
    </row>
    <row r="311" spans="1:10" x14ac:dyDescent="0.25">
      <c r="A311" s="230"/>
      <c r="B311" s="231"/>
      <c r="C311" s="15"/>
      <c r="D311"/>
      <c r="E311"/>
      <c r="F311" s="15"/>
      <c r="G311"/>
      <c r="H311"/>
      <c r="I311"/>
      <c r="J311"/>
    </row>
    <row r="312" spans="1:10" x14ac:dyDescent="0.25">
      <c r="A312" s="230"/>
      <c r="B312" s="231"/>
      <c r="C312" s="15"/>
      <c r="D312"/>
      <c r="E312"/>
      <c r="F312" s="15"/>
      <c r="G312"/>
      <c r="H312"/>
      <c r="I312"/>
      <c r="J312"/>
    </row>
    <row r="313" spans="1:10" x14ac:dyDescent="0.25">
      <c r="A313" s="230"/>
      <c r="B313" s="231"/>
      <c r="C313" s="15"/>
      <c r="D313"/>
      <c r="E313"/>
      <c r="F313" s="15"/>
      <c r="G313"/>
      <c r="H313"/>
      <c r="I313"/>
      <c r="J313"/>
    </row>
    <row r="314" spans="1:10" x14ac:dyDescent="0.25">
      <c r="A314" s="230"/>
      <c r="B314" s="231"/>
      <c r="C314" s="15"/>
      <c r="D314"/>
      <c r="E314"/>
      <c r="F314" s="15"/>
      <c r="G314"/>
      <c r="H314"/>
      <c r="I314"/>
      <c r="J314"/>
    </row>
    <row r="315" spans="1:10" x14ac:dyDescent="0.25">
      <c r="A315" s="230"/>
      <c r="B315" s="231"/>
      <c r="C315" s="15"/>
      <c r="D315"/>
      <c r="E315"/>
      <c r="F315" s="15"/>
      <c r="G315"/>
      <c r="H315"/>
      <c r="I315"/>
      <c r="J315"/>
    </row>
    <row r="316" spans="1:10" x14ac:dyDescent="0.25">
      <c r="A316" s="230"/>
      <c r="B316" s="231"/>
      <c r="C316" s="15"/>
      <c r="D316"/>
      <c r="E316"/>
      <c r="F316" s="15"/>
      <c r="G316"/>
      <c r="H316"/>
      <c r="I316"/>
      <c r="J316"/>
    </row>
    <row r="317" spans="1:10" x14ac:dyDescent="0.25">
      <c r="A317" s="230"/>
      <c r="B317" s="231"/>
      <c r="C317" s="15"/>
      <c r="D317"/>
      <c r="E317"/>
      <c r="F317" s="15"/>
      <c r="G317"/>
      <c r="H317"/>
      <c r="I317"/>
      <c r="J317"/>
    </row>
    <row r="318" spans="1:10" x14ac:dyDescent="0.25">
      <c r="A318" s="230"/>
      <c r="B318" s="231"/>
      <c r="C318" s="15"/>
      <c r="D318"/>
      <c r="E318"/>
      <c r="F318" s="15"/>
      <c r="G318"/>
      <c r="H318"/>
      <c r="I318"/>
      <c r="J318"/>
    </row>
    <row r="319" spans="1:10" x14ac:dyDescent="0.25">
      <c r="A319" s="230"/>
      <c r="B319" s="231"/>
      <c r="C319" s="15"/>
      <c r="D319"/>
      <c r="E319"/>
      <c r="F319" s="15"/>
      <c r="G319"/>
      <c r="H319"/>
      <c r="I319"/>
      <c r="J319"/>
    </row>
    <row r="320" spans="1:10" x14ac:dyDescent="0.25">
      <c r="A320" s="230"/>
      <c r="B320" s="231"/>
      <c r="C320" s="15"/>
      <c r="D320"/>
      <c r="E320"/>
      <c r="F320" s="15"/>
      <c r="G320"/>
      <c r="H320"/>
      <c r="I320"/>
      <c r="J320"/>
    </row>
    <row r="321" spans="1:10" x14ac:dyDescent="0.25">
      <c r="A321" s="230"/>
      <c r="B321" s="231"/>
      <c r="C321" s="15"/>
      <c r="D321"/>
      <c r="E321"/>
      <c r="F321" s="15"/>
      <c r="G321"/>
      <c r="H321"/>
      <c r="I321"/>
      <c r="J321"/>
    </row>
    <row r="322" spans="1:10" x14ac:dyDescent="0.25">
      <c r="A322" s="230"/>
      <c r="B322" s="231"/>
      <c r="C322" s="15"/>
      <c r="D322"/>
      <c r="E322"/>
      <c r="F322" s="15"/>
      <c r="G322"/>
      <c r="H322"/>
      <c r="I322"/>
      <c r="J322"/>
    </row>
    <row r="323" spans="1:10" x14ac:dyDescent="0.25">
      <c r="A323" s="230"/>
      <c r="B323" s="231"/>
      <c r="C323" s="15"/>
      <c r="D323"/>
      <c r="E323"/>
      <c r="F323" s="15"/>
      <c r="G323"/>
      <c r="H323"/>
      <c r="I323"/>
      <c r="J323"/>
    </row>
    <row r="324" spans="1:10" x14ac:dyDescent="0.25">
      <c r="A324" s="230"/>
      <c r="B324" s="231"/>
      <c r="C324" s="15"/>
      <c r="D324"/>
      <c r="E324"/>
      <c r="F324" s="15"/>
      <c r="G324"/>
      <c r="H324"/>
      <c r="I324"/>
      <c r="J324"/>
    </row>
    <row r="325" spans="1:10" x14ac:dyDescent="0.25">
      <c r="A325" s="230"/>
      <c r="B325" s="231"/>
      <c r="C325" s="15"/>
      <c r="D325"/>
      <c r="E325"/>
      <c r="F325" s="15"/>
      <c r="G325"/>
      <c r="H325"/>
      <c r="I325"/>
      <c r="J325"/>
    </row>
    <row r="326" spans="1:10" x14ac:dyDescent="0.25">
      <c r="A326" s="230"/>
      <c r="B326" s="231"/>
      <c r="C326" s="15"/>
      <c r="D326"/>
      <c r="E326"/>
      <c r="F326" s="15"/>
      <c r="G326"/>
      <c r="H326"/>
      <c r="I326"/>
      <c r="J326"/>
    </row>
    <row r="327" spans="1:10" x14ac:dyDescent="0.25">
      <c r="A327" s="230"/>
      <c r="B327" s="231"/>
      <c r="C327" s="15"/>
      <c r="D327"/>
      <c r="E327"/>
      <c r="F327" s="15"/>
      <c r="G327"/>
      <c r="H327"/>
      <c r="I327"/>
      <c r="J327"/>
    </row>
    <row r="328" spans="1:10" x14ac:dyDescent="0.25">
      <c r="A328" s="230"/>
      <c r="B328" s="231"/>
      <c r="C328" s="15"/>
      <c r="D328"/>
      <c r="E328"/>
      <c r="F328" s="15"/>
      <c r="G328"/>
      <c r="H328"/>
      <c r="I328"/>
      <c r="J328"/>
    </row>
    <row r="329" spans="1:10" x14ac:dyDescent="0.25">
      <c r="A329" s="230"/>
      <c r="B329" s="231"/>
      <c r="C329" s="15"/>
      <c r="D329"/>
      <c r="E329"/>
      <c r="F329" s="15"/>
      <c r="G329"/>
      <c r="H329"/>
      <c r="I329"/>
      <c r="J329"/>
    </row>
    <row r="330" spans="1:10" x14ac:dyDescent="0.25">
      <c r="A330" s="230"/>
      <c r="B330" s="231"/>
      <c r="C330" s="15"/>
      <c r="D330"/>
      <c r="E330"/>
      <c r="F330" s="15"/>
      <c r="G330"/>
      <c r="H330"/>
      <c r="I330"/>
      <c r="J330"/>
    </row>
    <row r="331" spans="1:10" x14ac:dyDescent="0.25">
      <c r="A331" s="230"/>
      <c r="B331" s="231"/>
      <c r="C331" s="15"/>
      <c r="D331"/>
      <c r="E331"/>
      <c r="F331" s="15"/>
      <c r="G331"/>
      <c r="H331"/>
      <c r="I331"/>
      <c r="J331"/>
    </row>
    <row r="332" spans="1:10" x14ac:dyDescent="0.25">
      <c r="A332" s="230"/>
      <c r="B332" s="231"/>
      <c r="C332" s="15"/>
      <c r="D332"/>
      <c r="E332"/>
      <c r="F332" s="15"/>
      <c r="G332"/>
      <c r="H332"/>
      <c r="I332"/>
      <c r="J332"/>
    </row>
    <row r="333" spans="1:10" x14ac:dyDescent="0.25">
      <c r="A333" s="230"/>
      <c r="B333" s="231"/>
      <c r="C333" s="15"/>
      <c r="D333"/>
      <c r="E333"/>
      <c r="F333" s="15"/>
      <c r="G333"/>
      <c r="H333"/>
      <c r="I333"/>
      <c r="J333"/>
    </row>
    <row r="334" spans="1:10" x14ac:dyDescent="0.25">
      <c r="A334" s="230"/>
      <c r="B334" s="231"/>
      <c r="C334" s="15"/>
      <c r="D334"/>
      <c r="E334"/>
      <c r="F334" s="15"/>
      <c r="G334"/>
      <c r="H334"/>
      <c r="I334"/>
      <c r="J334"/>
    </row>
    <row r="335" spans="1:10" x14ac:dyDescent="0.25">
      <c r="A335" s="230"/>
      <c r="B335" s="231"/>
      <c r="C335" s="15"/>
      <c r="D335"/>
      <c r="E335"/>
      <c r="F335" s="15"/>
      <c r="G335"/>
      <c r="H335"/>
      <c r="I335"/>
      <c r="J335"/>
    </row>
    <row r="336" spans="1:10" x14ac:dyDescent="0.25">
      <c r="A336" s="230"/>
      <c r="B336" s="231"/>
      <c r="C336" s="15"/>
      <c r="D336"/>
      <c r="E336"/>
      <c r="F336" s="15"/>
      <c r="G336"/>
      <c r="H336"/>
      <c r="I336"/>
      <c r="J336"/>
    </row>
    <row r="337" spans="1:10" x14ac:dyDescent="0.25">
      <c r="A337" s="230"/>
      <c r="B337" s="231"/>
      <c r="C337" s="15"/>
      <c r="D337"/>
      <c r="E337"/>
      <c r="F337" s="15"/>
      <c r="G337"/>
      <c r="H337"/>
      <c r="I337"/>
      <c r="J337"/>
    </row>
    <row r="338" spans="1:10" x14ac:dyDescent="0.25">
      <c r="A338" s="230"/>
      <c r="B338" s="231"/>
      <c r="C338" s="15"/>
      <c r="D338"/>
      <c r="E338"/>
      <c r="F338" s="15"/>
      <c r="G338"/>
      <c r="H338"/>
      <c r="I338"/>
      <c r="J338"/>
    </row>
    <row r="339" spans="1:10" x14ac:dyDescent="0.25">
      <c r="A339" s="230"/>
      <c r="B339" s="231"/>
      <c r="C339" s="15"/>
      <c r="D339"/>
      <c r="E339"/>
      <c r="F339" s="15"/>
      <c r="G339"/>
      <c r="H339"/>
      <c r="I339"/>
      <c r="J339"/>
    </row>
    <row r="340" spans="1:10" x14ac:dyDescent="0.25">
      <c r="A340" s="230"/>
      <c r="B340" s="231"/>
      <c r="C340" s="15"/>
      <c r="D340"/>
      <c r="E340"/>
      <c r="F340" s="15"/>
      <c r="G340"/>
      <c r="H340"/>
      <c r="I340"/>
      <c r="J340"/>
    </row>
    <row r="341" spans="1:10" x14ac:dyDescent="0.25">
      <c r="A341" s="230"/>
      <c r="B341" s="231"/>
      <c r="C341" s="15"/>
      <c r="D341"/>
      <c r="E341"/>
      <c r="F341" s="15"/>
      <c r="G341"/>
      <c r="H341"/>
      <c r="I341"/>
      <c r="J341"/>
    </row>
    <row r="342" spans="1:10" x14ac:dyDescent="0.25">
      <c r="A342" s="230"/>
      <c r="B342" s="231"/>
      <c r="C342" s="15"/>
      <c r="D342"/>
      <c r="E342"/>
      <c r="F342" s="15"/>
      <c r="G342"/>
      <c r="H342"/>
      <c r="I342"/>
      <c r="J342"/>
    </row>
    <row r="343" spans="1:10" x14ac:dyDescent="0.25">
      <c r="A343" s="230"/>
      <c r="B343" s="231"/>
      <c r="C343" s="15"/>
      <c r="D343"/>
      <c r="E343"/>
      <c r="F343" s="15"/>
      <c r="G343"/>
      <c r="H343"/>
      <c r="I343"/>
      <c r="J343"/>
    </row>
    <row r="344" spans="1:10" x14ac:dyDescent="0.25">
      <c r="A344" s="230"/>
      <c r="B344" s="231"/>
      <c r="C344" s="15"/>
      <c r="D344"/>
      <c r="E344"/>
      <c r="F344" s="15"/>
      <c r="G344"/>
      <c r="H344"/>
      <c r="I344"/>
      <c r="J344"/>
    </row>
    <row r="345" spans="1:10" x14ac:dyDescent="0.25">
      <c r="A345" s="230"/>
      <c r="B345" s="231"/>
      <c r="C345" s="15"/>
      <c r="D345"/>
      <c r="E345"/>
      <c r="F345" s="15"/>
      <c r="G345"/>
      <c r="H345"/>
      <c r="I345"/>
      <c r="J345"/>
    </row>
    <row r="346" spans="1:10" x14ac:dyDescent="0.25">
      <c r="A346" s="230"/>
      <c r="B346" s="231"/>
      <c r="C346" s="15"/>
      <c r="D346"/>
      <c r="E346"/>
      <c r="F346" s="15"/>
      <c r="G346"/>
      <c r="H346"/>
      <c r="I346"/>
      <c r="J346"/>
    </row>
    <row r="347" spans="1:10" x14ac:dyDescent="0.25">
      <c r="A347" s="230"/>
      <c r="B347" s="231"/>
      <c r="C347" s="15"/>
      <c r="D347"/>
      <c r="E347"/>
      <c r="F347" s="15"/>
      <c r="G347"/>
      <c r="H347"/>
      <c r="I347"/>
      <c r="J347"/>
    </row>
    <row r="348" spans="1:10" x14ac:dyDescent="0.25">
      <c r="A348" s="230"/>
      <c r="B348" s="231"/>
      <c r="C348" s="15"/>
      <c r="D348"/>
      <c r="E348"/>
      <c r="F348" s="15"/>
      <c r="G348"/>
      <c r="H348"/>
      <c r="I348"/>
      <c r="J348"/>
    </row>
    <row r="349" spans="1:10" x14ac:dyDescent="0.25">
      <c r="A349" s="230"/>
      <c r="B349" s="231"/>
      <c r="C349" s="15"/>
      <c r="D349"/>
      <c r="E349"/>
      <c r="F349" s="15"/>
      <c r="G349"/>
      <c r="H349"/>
      <c r="I349"/>
      <c r="J349"/>
    </row>
    <row r="350" spans="1:10" x14ac:dyDescent="0.25">
      <c r="A350" s="230"/>
      <c r="B350" s="231"/>
      <c r="C350" s="15"/>
      <c r="D350"/>
      <c r="E350"/>
      <c r="F350" s="15"/>
      <c r="G350"/>
      <c r="H350"/>
      <c r="I350"/>
      <c r="J350"/>
    </row>
    <row r="351" spans="1:10" x14ac:dyDescent="0.25">
      <c r="A351" s="230"/>
      <c r="B351" s="231"/>
      <c r="C351" s="15"/>
      <c r="D351"/>
      <c r="E351"/>
      <c r="F351" s="15"/>
      <c r="G351"/>
      <c r="H351"/>
      <c r="I351"/>
      <c r="J351"/>
    </row>
    <row r="352" spans="1:10" x14ac:dyDescent="0.25">
      <c r="A352" s="230"/>
      <c r="B352" s="231"/>
      <c r="C352" s="15"/>
      <c r="D352"/>
      <c r="E352"/>
      <c r="F352" s="15"/>
      <c r="G352"/>
      <c r="H352"/>
      <c r="I352"/>
      <c r="J352"/>
    </row>
    <row r="353" spans="1:10" x14ac:dyDescent="0.25">
      <c r="A353" s="230"/>
      <c r="B353" s="231"/>
      <c r="C353" s="15"/>
      <c r="D353"/>
      <c r="E353"/>
      <c r="F353" s="15"/>
      <c r="G353"/>
      <c r="H353"/>
      <c r="I353"/>
      <c r="J353"/>
    </row>
    <row r="354" spans="1:10" x14ac:dyDescent="0.25">
      <c r="A354" s="230"/>
      <c r="B354" s="231"/>
      <c r="C354" s="15"/>
      <c r="D354"/>
      <c r="E354"/>
      <c r="F354" s="15"/>
      <c r="G354"/>
      <c r="H354"/>
      <c r="I354"/>
      <c r="J354"/>
    </row>
    <row r="355" spans="1:10" x14ac:dyDescent="0.25">
      <c r="A355" s="230"/>
      <c r="B355" s="231"/>
      <c r="C355" s="15"/>
      <c r="D355"/>
      <c r="E355"/>
      <c r="F355" s="15"/>
      <c r="G355"/>
      <c r="H355"/>
      <c r="I355"/>
      <c r="J355"/>
    </row>
    <row r="356" spans="1:10" x14ac:dyDescent="0.25">
      <c r="A356" s="230"/>
      <c r="B356" s="231"/>
      <c r="C356" s="15"/>
      <c r="D356"/>
      <c r="E356"/>
      <c r="F356" s="15"/>
      <c r="G356"/>
      <c r="H356"/>
      <c r="I356"/>
      <c r="J356"/>
    </row>
    <row r="357" spans="1:10" x14ac:dyDescent="0.25">
      <c r="A357" s="230"/>
      <c r="B357" s="231"/>
      <c r="C357" s="15"/>
      <c r="D357"/>
      <c r="E357"/>
      <c r="F357" s="15"/>
      <c r="G357"/>
      <c r="H357"/>
      <c r="I357"/>
      <c r="J357"/>
    </row>
    <row r="358" spans="1:10" x14ac:dyDescent="0.25">
      <c r="A358" s="230"/>
      <c r="B358" s="231"/>
      <c r="C358" s="15"/>
      <c r="D358"/>
      <c r="E358"/>
      <c r="F358" s="15"/>
      <c r="G358"/>
      <c r="H358"/>
      <c r="I358"/>
      <c r="J358"/>
    </row>
    <row r="359" spans="1:10" x14ac:dyDescent="0.25">
      <c r="A359" s="230"/>
      <c r="B359" s="231"/>
      <c r="C359" s="15"/>
      <c r="D359"/>
      <c r="E359"/>
      <c r="F359" s="15"/>
      <c r="G359"/>
      <c r="H359"/>
      <c r="I359"/>
      <c r="J359"/>
    </row>
    <row r="360" spans="1:10" x14ac:dyDescent="0.25">
      <c r="A360" s="230"/>
      <c r="B360" s="231"/>
      <c r="C360" s="15"/>
      <c r="D360"/>
      <c r="E360"/>
      <c r="F360" s="15"/>
      <c r="G360"/>
      <c r="H360"/>
      <c r="I360"/>
      <c r="J360"/>
    </row>
    <row r="361" spans="1:10" x14ac:dyDescent="0.25">
      <c r="A361" s="230"/>
      <c r="B361" s="231"/>
      <c r="C361" s="15"/>
      <c r="D361"/>
      <c r="E361"/>
      <c r="F361" s="15"/>
      <c r="G361"/>
      <c r="H361"/>
      <c r="I361"/>
      <c r="J361"/>
    </row>
    <row r="362" spans="1:10" x14ac:dyDescent="0.25">
      <c r="A362" s="230"/>
      <c r="B362" s="231"/>
      <c r="C362" s="15"/>
      <c r="D362"/>
      <c r="E362"/>
      <c r="F362" s="15"/>
      <c r="G362"/>
      <c r="H362"/>
      <c r="I362"/>
      <c r="J362"/>
    </row>
    <row r="363" spans="1:10" x14ac:dyDescent="0.25">
      <c r="A363" s="230"/>
      <c r="B363" s="231"/>
      <c r="C363" s="15"/>
      <c r="D363"/>
      <c r="E363"/>
      <c r="F363" s="15"/>
      <c r="G363"/>
      <c r="H363"/>
      <c r="I363"/>
      <c r="J363"/>
    </row>
    <row r="364" spans="1:10" x14ac:dyDescent="0.25">
      <c r="A364" s="230"/>
      <c r="B364" s="231"/>
      <c r="C364" s="15"/>
      <c r="D364"/>
      <c r="E364"/>
      <c r="F364" s="15"/>
      <c r="G364"/>
      <c r="H364"/>
      <c r="I364"/>
      <c r="J364"/>
    </row>
    <row r="365" spans="1:10" x14ac:dyDescent="0.25">
      <c r="A365" s="230"/>
      <c r="B365" s="231"/>
      <c r="C365" s="15"/>
      <c r="D365"/>
      <c r="E365"/>
      <c r="F365" s="15"/>
      <c r="G365"/>
      <c r="H365"/>
      <c r="I365"/>
      <c r="J365"/>
    </row>
    <row r="366" spans="1:10" x14ac:dyDescent="0.25">
      <c r="A366" s="230"/>
      <c r="B366" s="231"/>
      <c r="C366" s="15"/>
      <c r="D366"/>
      <c r="E366"/>
      <c r="F366" s="15"/>
      <c r="G366"/>
      <c r="H366"/>
      <c r="I366"/>
      <c r="J366"/>
    </row>
    <row r="367" spans="1:10" x14ac:dyDescent="0.25">
      <c r="A367" s="230"/>
      <c r="B367" s="231"/>
      <c r="C367" s="15"/>
      <c r="D367"/>
      <c r="E367"/>
      <c r="F367" s="15"/>
      <c r="G367"/>
      <c r="H367"/>
      <c r="I367"/>
      <c r="J367"/>
    </row>
    <row r="368" spans="1:10" x14ac:dyDescent="0.25">
      <c r="A368" s="230"/>
      <c r="B368" s="231"/>
      <c r="C368" s="15"/>
      <c r="D368"/>
      <c r="E368"/>
      <c r="F368" s="15"/>
      <c r="G368"/>
      <c r="H368"/>
      <c r="I368"/>
      <c r="J368"/>
    </row>
    <row r="369" spans="1:10" x14ac:dyDescent="0.25">
      <c r="A369" s="230"/>
      <c r="B369" s="231"/>
      <c r="C369" s="15"/>
      <c r="D369"/>
      <c r="E369"/>
      <c r="F369" s="15"/>
      <c r="G369"/>
      <c r="H369"/>
      <c r="I369"/>
      <c r="J369"/>
    </row>
    <row r="370" spans="1:10" x14ac:dyDescent="0.25">
      <c r="A370" s="230"/>
      <c r="B370" s="231"/>
      <c r="C370" s="15"/>
      <c r="D370"/>
      <c r="E370"/>
      <c r="F370" s="15"/>
      <c r="G370"/>
      <c r="H370"/>
      <c r="I370"/>
      <c r="J370"/>
    </row>
    <row r="371" spans="1:10" x14ac:dyDescent="0.25">
      <c r="A371" s="230"/>
      <c r="B371" s="231"/>
      <c r="C371" s="15"/>
      <c r="D371"/>
      <c r="E371"/>
      <c r="F371" s="15"/>
      <c r="G371"/>
      <c r="H371"/>
      <c r="I371"/>
      <c r="J371"/>
    </row>
    <row r="372" spans="1:10" x14ac:dyDescent="0.25">
      <c r="A372" s="230"/>
      <c r="B372" s="231"/>
      <c r="C372" s="15"/>
      <c r="D372"/>
      <c r="E372"/>
      <c r="F372" s="15"/>
      <c r="G372"/>
      <c r="H372"/>
      <c r="I372"/>
      <c r="J372"/>
    </row>
    <row r="373" spans="1:10" x14ac:dyDescent="0.25">
      <c r="A373" s="230"/>
      <c r="B373" s="231"/>
      <c r="C373" s="15"/>
      <c r="D373"/>
      <c r="E373"/>
      <c r="F373" s="15"/>
      <c r="G373"/>
      <c r="H373"/>
      <c r="I373"/>
      <c r="J373"/>
    </row>
    <row r="374" spans="1:10" x14ac:dyDescent="0.25">
      <c r="A374" s="230"/>
      <c r="B374" s="231"/>
      <c r="C374" s="15"/>
      <c r="D374"/>
      <c r="E374"/>
      <c r="F374" s="15"/>
      <c r="G374"/>
      <c r="H374"/>
      <c r="I374"/>
      <c r="J374"/>
    </row>
    <row r="375" spans="1:10" x14ac:dyDescent="0.25">
      <c r="A375" s="230"/>
      <c r="B375" s="231"/>
      <c r="C375" s="15"/>
      <c r="D375"/>
      <c r="E375"/>
      <c r="F375" s="15"/>
      <c r="G375"/>
      <c r="H375"/>
      <c r="I375"/>
      <c r="J375"/>
    </row>
    <row r="376" spans="1:10" x14ac:dyDescent="0.25">
      <c r="A376" s="230"/>
      <c r="B376" s="231"/>
      <c r="C376" s="15"/>
      <c r="D376"/>
      <c r="E376"/>
      <c r="F376" s="15"/>
      <c r="G376"/>
      <c r="H376"/>
      <c r="I376"/>
      <c r="J376"/>
    </row>
    <row r="377" spans="1:10" x14ac:dyDescent="0.25">
      <c r="A377" s="230"/>
      <c r="B377" s="231"/>
      <c r="C377" s="15"/>
      <c r="D377"/>
      <c r="E377"/>
      <c r="F377" s="15"/>
      <c r="G377"/>
      <c r="H377"/>
      <c r="I377"/>
      <c r="J377"/>
    </row>
    <row r="378" spans="1:10" x14ac:dyDescent="0.25">
      <c r="A378" s="230"/>
      <c r="B378" s="231"/>
      <c r="C378" s="15"/>
      <c r="D378"/>
      <c r="E378"/>
      <c r="F378" s="15"/>
      <c r="G378"/>
      <c r="H378"/>
      <c r="I378"/>
      <c r="J378"/>
    </row>
    <row r="379" spans="1:10" x14ac:dyDescent="0.25">
      <c r="A379" s="230"/>
      <c r="B379" s="231"/>
      <c r="C379" s="15"/>
      <c r="D379"/>
      <c r="E379"/>
      <c r="F379" s="15"/>
      <c r="G379"/>
      <c r="H379"/>
      <c r="I379"/>
      <c r="J379"/>
    </row>
    <row r="380" spans="1:10" x14ac:dyDescent="0.25">
      <c r="A380" s="230"/>
      <c r="B380" s="231"/>
      <c r="C380" s="15"/>
      <c r="D380"/>
      <c r="E380"/>
      <c r="F380" s="15"/>
      <c r="G380"/>
      <c r="H380"/>
      <c r="I380"/>
      <c r="J380"/>
    </row>
    <row r="381" spans="1:10" x14ac:dyDescent="0.25">
      <c r="A381" s="230"/>
      <c r="B381" s="231"/>
      <c r="C381" s="15"/>
      <c r="D381"/>
      <c r="E381"/>
      <c r="F381" s="15"/>
      <c r="G381"/>
      <c r="H381"/>
      <c r="I381"/>
      <c r="J381"/>
    </row>
    <row r="382" spans="1:10" x14ac:dyDescent="0.25">
      <c r="A382" s="230"/>
      <c r="B382" s="231"/>
      <c r="C382" s="15"/>
      <c r="D382"/>
      <c r="E382"/>
      <c r="F382" s="15"/>
      <c r="G382"/>
      <c r="H382"/>
      <c r="I382"/>
      <c r="J382"/>
    </row>
    <row r="383" spans="1:10" x14ac:dyDescent="0.25">
      <c r="A383" s="230"/>
      <c r="B383" s="231"/>
      <c r="C383" s="15"/>
      <c r="D383"/>
      <c r="E383"/>
      <c r="F383" s="15"/>
      <c r="G383"/>
      <c r="H383"/>
      <c r="I383"/>
      <c r="J383"/>
    </row>
    <row r="384" spans="1:10" x14ac:dyDescent="0.25">
      <c r="A384" s="230"/>
      <c r="B384" s="231"/>
      <c r="C384" s="15"/>
      <c r="D384"/>
      <c r="E384"/>
      <c r="F384" s="15"/>
      <c r="G384"/>
      <c r="H384"/>
      <c r="I384"/>
      <c r="J384"/>
    </row>
    <row r="385" spans="1:10" x14ac:dyDescent="0.25">
      <c r="A385" s="230"/>
      <c r="B385" s="231"/>
      <c r="C385" s="15"/>
      <c r="D385"/>
      <c r="E385"/>
      <c r="F385" s="15"/>
      <c r="G385"/>
      <c r="H385"/>
      <c r="I385"/>
      <c r="J385"/>
    </row>
    <row r="386" spans="1:10" x14ac:dyDescent="0.25">
      <c r="A386" s="230"/>
      <c r="B386" s="231"/>
      <c r="C386" s="15"/>
      <c r="D386"/>
      <c r="E386"/>
      <c r="F386" s="15"/>
      <c r="G386"/>
      <c r="H386"/>
      <c r="I386"/>
      <c r="J386"/>
    </row>
    <row r="387" spans="1:10" x14ac:dyDescent="0.25">
      <c r="A387" s="230"/>
      <c r="B387" s="231"/>
      <c r="C387" s="15"/>
      <c r="D387"/>
      <c r="E387"/>
      <c r="F387" s="15"/>
      <c r="G387"/>
      <c r="H387"/>
      <c r="I387"/>
      <c r="J387"/>
    </row>
    <row r="388" spans="1:10" x14ac:dyDescent="0.25">
      <c r="A388" s="230"/>
      <c r="B388" s="231"/>
      <c r="C388" s="15"/>
      <c r="D388"/>
      <c r="E388"/>
      <c r="F388" s="15"/>
      <c r="G388"/>
      <c r="H388"/>
      <c r="I388"/>
      <c r="J388"/>
    </row>
    <row r="389" spans="1:10" x14ac:dyDescent="0.25">
      <c r="A389" s="230"/>
      <c r="B389" s="231"/>
      <c r="C389" s="15"/>
      <c r="D389"/>
      <c r="E389"/>
      <c r="F389" s="15"/>
      <c r="G389"/>
      <c r="H389"/>
      <c r="I389"/>
      <c r="J389"/>
    </row>
    <row r="390" spans="1:10" x14ac:dyDescent="0.25">
      <c r="A390" s="230"/>
      <c r="B390" s="231"/>
      <c r="C390" s="15"/>
      <c r="D390"/>
      <c r="E390"/>
      <c r="F390" s="15"/>
      <c r="G390"/>
      <c r="H390"/>
      <c r="I390"/>
      <c r="J390"/>
    </row>
    <row r="391" spans="1:10" x14ac:dyDescent="0.25">
      <c r="A391" s="230"/>
      <c r="B391" s="231"/>
      <c r="C391" s="15"/>
      <c r="D391"/>
      <c r="E391"/>
      <c r="F391" s="15"/>
      <c r="G391"/>
      <c r="H391"/>
      <c r="I391"/>
      <c r="J391"/>
    </row>
    <row r="392" spans="1:10" x14ac:dyDescent="0.25">
      <c r="A392" s="230"/>
      <c r="B392" s="231"/>
      <c r="C392" s="15"/>
      <c r="D392"/>
      <c r="E392"/>
      <c r="F392" s="15"/>
      <c r="G392"/>
      <c r="H392"/>
      <c r="I392"/>
      <c r="J392"/>
    </row>
    <row r="393" spans="1:10" x14ac:dyDescent="0.25">
      <c r="A393" s="230"/>
      <c r="B393" s="231"/>
      <c r="C393" s="15"/>
      <c r="D393"/>
      <c r="E393"/>
      <c r="F393" s="15"/>
      <c r="G393"/>
      <c r="H393"/>
      <c r="I393"/>
      <c r="J393"/>
    </row>
    <row r="394" spans="1:10" x14ac:dyDescent="0.25">
      <c r="A394" s="230"/>
      <c r="B394" s="231"/>
      <c r="C394" s="15"/>
      <c r="D394"/>
      <c r="E394"/>
      <c r="F394" s="15"/>
      <c r="G394"/>
      <c r="H394"/>
      <c r="I394"/>
      <c r="J394"/>
    </row>
    <row r="395" spans="1:10" x14ac:dyDescent="0.25">
      <c r="A395" s="230"/>
      <c r="B395" s="231"/>
      <c r="C395" s="15"/>
      <c r="D395"/>
      <c r="E395"/>
      <c r="F395" s="15"/>
      <c r="G395"/>
      <c r="H395"/>
      <c r="I395"/>
      <c r="J395"/>
    </row>
    <row r="396" spans="1:10" x14ac:dyDescent="0.25">
      <c r="A396" s="230"/>
      <c r="B396" s="231"/>
      <c r="C396" s="15"/>
      <c r="D396"/>
      <c r="E396"/>
      <c r="F396" s="15"/>
      <c r="G396"/>
      <c r="H396"/>
      <c r="I396"/>
      <c r="J396"/>
    </row>
    <row r="397" spans="1:10" x14ac:dyDescent="0.25">
      <c r="A397" s="230"/>
      <c r="B397" s="231"/>
      <c r="C397" s="15"/>
      <c r="D397"/>
      <c r="E397"/>
      <c r="F397" s="15"/>
      <c r="G397"/>
      <c r="H397"/>
      <c r="I397"/>
      <c r="J397"/>
    </row>
    <row r="398" spans="1:10" x14ac:dyDescent="0.25">
      <c r="A398" s="230"/>
      <c r="B398" s="231"/>
      <c r="C398" s="15"/>
      <c r="D398"/>
      <c r="E398"/>
      <c r="F398" s="15"/>
      <c r="G398"/>
      <c r="H398"/>
      <c r="I398"/>
      <c r="J398"/>
    </row>
    <row r="399" spans="1:10" x14ac:dyDescent="0.25">
      <c r="A399" s="230"/>
      <c r="B399" s="231"/>
      <c r="C399" s="15"/>
      <c r="D399"/>
      <c r="E399"/>
      <c r="F399" s="15"/>
      <c r="G399"/>
      <c r="H399"/>
      <c r="I399"/>
      <c r="J399"/>
    </row>
    <row r="400" spans="1:10" x14ac:dyDescent="0.25">
      <c r="A400" s="230"/>
      <c r="B400" s="231"/>
      <c r="C400" s="15"/>
      <c r="D400"/>
      <c r="E400"/>
      <c r="F400" s="15"/>
      <c r="G400"/>
      <c r="H400"/>
      <c r="I400"/>
      <c r="J400"/>
    </row>
    <row r="401" spans="1:10" x14ac:dyDescent="0.25">
      <c r="A401" s="230"/>
      <c r="B401" s="231"/>
      <c r="C401" s="15"/>
      <c r="D401"/>
      <c r="E401"/>
      <c r="F401" s="15"/>
      <c r="G401"/>
      <c r="H401"/>
      <c r="I401"/>
      <c r="J401"/>
    </row>
    <row r="402" spans="1:10" x14ac:dyDescent="0.25">
      <c r="A402" s="230"/>
      <c r="B402" s="231"/>
      <c r="C402" s="15"/>
      <c r="D402"/>
      <c r="E402"/>
      <c r="F402" s="15"/>
      <c r="G402"/>
      <c r="H402"/>
      <c r="I402"/>
      <c r="J402"/>
    </row>
    <row r="403" spans="1:10" x14ac:dyDescent="0.25">
      <c r="A403" s="230"/>
      <c r="B403" s="231"/>
      <c r="C403" s="15"/>
      <c r="D403"/>
      <c r="E403"/>
      <c r="F403" s="15"/>
      <c r="G403"/>
      <c r="H403"/>
      <c r="I403"/>
      <c r="J403"/>
    </row>
    <row r="404" spans="1:10" x14ac:dyDescent="0.25">
      <c r="A404" s="230"/>
      <c r="B404" s="231"/>
      <c r="C404" s="15"/>
      <c r="D404"/>
      <c r="E404"/>
      <c r="F404" s="15"/>
      <c r="G404"/>
      <c r="H404"/>
      <c r="I404"/>
      <c r="J404"/>
    </row>
    <row r="405" spans="1:10" x14ac:dyDescent="0.25">
      <c r="A405" s="230"/>
      <c r="B405" s="231"/>
      <c r="C405" s="15"/>
      <c r="D405"/>
      <c r="E405"/>
      <c r="F405" s="15"/>
      <c r="G405"/>
      <c r="H405"/>
      <c r="I405"/>
      <c r="J405"/>
    </row>
    <row r="406" spans="1:10" x14ac:dyDescent="0.25">
      <c r="A406" s="230"/>
      <c r="B406" s="231"/>
      <c r="C406" s="15"/>
      <c r="D406"/>
      <c r="E406"/>
      <c r="F406" s="15"/>
      <c r="G406"/>
      <c r="H406"/>
      <c r="I406"/>
      <c r="J406"/>
    </row>
    <row r="407" spans="1:10" x14ac:dyDescent="0.25">
      <c r="A407" s="230"/>
      <c r="B407" s="231"/>
      <c r="C407" s="15"/>
      <c r="D407"/>
      <c r="E407"/>
      <c r="F407" s="15"/>
      <c r="G407"/>
      <c r="H407"/>
      <c r="I407"/>
      <c r="J407"/>
    </row>
    <row r="408" spans="1:10" x14ac:dyDescent="0.25">
      <c r="A408" s="230"/>
      <c r="B408" s="231"/>
      <c r="C408" s="15"/>
      <c r="D408"/>
      <c r="E408"/>
      <c r="F408" s="15"/>
      <c r="G408"/>
      <c r="H408"/>
      <c r="I408"/>
      <c r="J408"/>
    </row>
    <row r="409" spans="1:10" x14ac:dyDescent="0.25">
      <c r="A409" s="230"/>
      <c r="B409" s="231"/>
      <c r="C409" s="15"/>
      <c r="D409"/>
      <c r="E409"/>
      <c r="F409" s="15"/>
      <c r="G409"/>
      <c r="H409"/>
      <c r="I409"/>
      <c r="J409"/>
    </row>
    <row r="410" spans="1:10" x14ac:dyDescent="0.25">
      <c r="A410" s="230"/>
      <c r="B410" s="231"/>
      <c r="C410" s="15"/>
      <c r="D410"/>
      <c r="E410"/>
      <c r="F410" s="15"/>
      <c r="G410"/>
      <c r="H410"/>
      <c r="I410"/>
      <c r="J410"/>
    </row>
    <row r="411" spans="1:10" x14ac:dyDescent="0.25">
      <c r="A411" s="230"/>
      <c r="B411" s="231"/>
      <c r="C411" s="15"/>
      <c r="D411"/>
      <c r="E411"/>
      <c r="F411" s="15"/>
      <c r="G411"/>
      <c r="H411"/>
      <c r="I411"/>
      <c r="J411"/>
    </row>
    <row r="412" spans="1:10" x14ac:dyDescent="0.25">
      <c r="A412" s="230"/>
      <c r="B412" s="231"/>
      <c r="C412" s="15"/>
      <c r="D412"/>
      <c r="E412"/>
      <c r="F412" s="15"/>
      <c r="G412"/>
      <c r="H412"/>
      <c r="I412"/>
      <c r="J412"/>
    </row>
    <row r="413" spans="1:10" x14ac:dyDescent="0.25">
      <c r="A413" s="230"/>
      <c r="B413" s="231"/>
      <c r="C413" s="15"/>
      <c r="D413"/>
      <c r="E413"/>
      <c r="F413" s="15"/>
      <c r="G413"/>
      <c r="H413"/>
      <c r="I413"/>
      <c r="J413"/>
    </row>
    <row r="414" spans="1:10" x14ac:dyDescent="0.25">
      <c r="A414" s="230"/>
      <c r="B414" s="231"/>
      <c r="C414" s="15"/>
      <c r="D414"/>
      <c r="E414"/>
      <c r="F414" s="15"/>
      <c r="G414"/>
      <c r="H414"/>
      <c r="I414"/>
      <c r="J414"/>
    </row>
    <row r="415" spans="1:10" x14ac:dyDescent="0.25">
      <c r="A415" s="230"/>
      <c r="B415" s="231"/>
      <c r="C415" s="15"/>
      <c r="D415"/>
      <c r="E415"/>
      <c r="F415" s="15"/>
      <c r="G415"/>
      <c r="H415"/>
      <c r="I415"/>
      <c r="J415"/>
    </row>
    <row r="416" spans="1:10" x14ac:dyDescent="0.25">
      <c r="A416" s="230"/>
      <c r="B416" s="231"/>
      <c r="C416" s="15"/>
      <c r="D416"/>
      <c r="E416"/>
      <c r="F416" s="15"/>
      <c r="G416"/>
      <c r="H416"/>
      <c r="I416"/>
      <c r="J416"/>
    </row>
    <row r="417" spans="1:10" x14ac:dyDescent="0.25">
      <c r="A417" s="230"/>
      <c r="B417" s="231"/>
      <c r="C417" s="15"/>
      <c r="D417"/>
      <c r="E417"/>
      <c r="F417" s="15"/>
      <c r="G417"/>
      <c r="H417"/>
      <c r="I417"/>
      <c r="J417"/>
    </row>
    <row r="418" spans="1:10" x14ac:dyDescent="0.25">
      <c r="A418" s="230"/>
      <c r="B418" s="231"/>
      <c r="C418" s="15"/>
      <c r="D418"/>
      <c r="E418"/>
      <c r="F418" s="15"/>
      <c r="G418"/>
      <c r="H418"/>
      <c r="I418"/>
      <c r="J418"/>
    </row>
    <row r="419" spans="1:10" x14ac:dyDescent="0.25">
      <c r="A419" s="230"/>
      <c r="B419" s="231"/>
      <c r="C419" s="15"/>
      <c r="D419"/>
      <c r="E419"/>
      <c r="F419" s="15"/>
      <c r="G419"/>
      <c r="H419"/>
      <c r="I419"/>
      <c r="J419"/>
    </row>
    <row r="420" spans="1:10" x14ac:dyDescent="0.25">
      <c r="A420" s="230"/>
      <c r="B420" s="231"/>
      <c r="C420" s="15"/>
      <c r="D420"/>
      <c r="E420"/>
      <c r="F420" s="15"/>
      <c r="G420"/>
      <c r="H420"/>
      <c r="I420"/>
      <c r="J420"/>
    </row>
    <row r="421" spans="1:10" x14ac:dyDescent="0.25">
      <c r="A421" s="230"/>
      <c r="B421" s="231"/>
      <c r="C421" s="15"/>
      <c r="D421"/>
      <c r="E421"/>
      <c r="F421" s="15"/>
      <c r="G421"/>
      <c r="H421"/>
      <c r="I421"/>
      <c r="J421"/>
    </row>
    <row r="422" spans="1:10" x14ac:dyDescent="0.25">
      <c r="A422" s="230"/>
      <c r="B422" s="231"/>
      <c r="C422" s="15"/>
      <c r="D422"/>
      <c r="E422"/>
      <c r="F422" s="15"/>
      <c r="G422"/>
      <c r="H422"/>
      <c r="I422"/>
      <c r="J422"/>
    </row>
    <row r="423" spans="1:10" x14ac:dyDescent="0.25">
      <c r="A423" s="230"/>
      <c r="B423" s="231"/>
      <c r="C423" s="15"/>
      <c r="D423"/>
      <c r="E423"/>
      <c r="F423" s="15"/>
      <c r="G423"/>
      <c r="H423"/>
      <c r="I423"/>
      <c r="J423"/>
    </row>
    <row r="424" spans="1:10" x14ac:dyDescent="0.25">
      <c r="A424" s="230"/>
      <c r="B424" s="231"/>
      <c r="C424" s="15"/>
      <c r="D424"/>
      <c r="E424"/>
      <c r="F424" s="15"/>
      <c r="G424"/>
      <c r="H424"/>
      <c r="I424"/>
      <c r="J424"/>
    </row>
    <row r="425" spans="1:10" x14ac:dyDescent="0.25">
      <c r="A425" s="230"/>
      <c r="B425" s="231"/>
      <c r="C425" s="15"/>
      <c r="D425"/>
      <c r="E425"/>
      <c r="F425" s="15"/>
      <c r="G425"/>
      <c r="H425"/>
      <c r="I425"/>
      <c r="J425"/>
    </row>
    <row r="426" spans="1:10" x14ac:dyDescent="0.25">
      <c r="A426" s="230"/>
      <c r="B426" s="231"/>
      <c r="C426" s="15"/>
      <c r="D426"/>
      <c r="E426"/>
      <c r="F426" s="15"/>
      <c r="G426"/>
      <c r="H426"/>
      <c r="I426"/>
      <c r="J426"/>
    </row>
    <row r="427" spans="1:10" x14ac:dyDescent="0.25">
      <c r="A427" s="230"/>
      <c r="B427" s="231"/>
      <c r="C427" s="15"/>
      <c r="D427"/>
      <c r="E427"/>
      <c r="F427" s="15"/>
      <c r="G427"/>
      <c r="H427"/>
      <c r="I427"/>
      <c r="J427"/>
    </row>
    <row r="428" spans="1:10" x14ac:dyDescent="0.25">
      <c r="A428" s="230"/>
      <c r="B428" s="231"/>
      <c r="C428" s="15"/>
      <c r="D428"/>
      <c r="E428"/>
      <c r="F428" s="15"/>
      <c r="G428"/>
      <c r="H428"/>
      <c r="I428"/>
      <c r="J428"/>
    </row>
    <row r="429" spans="1:10" x14ac:dyDescent="0.25">
      <c r="A429" s="230"/>
      <c r="B429" s="231"/>
      <c r="C429" s="15"/>
      <c r="D429"/>
      <c r="E429"/>
      <c r="F429" s="15"/>
      <c r="G429"/>
      <c r="H429"/>
      <c r="I429"/>
      <c r="J429"/>
    </row>
    <row r="430" spans="1:10" x14ac:dyDescent="0.25">
      <c r="A430" s="230"/>
      <c r="B430" s="231"/>
      <c r="C430" s="15"/>
      <c r="D430"/>
      <c r="E430"/>
      <c r="F430" s="15"/>
      <c r="G430"/>
      <c r="H430"/>
      <c r="I430"/>
      <c r="J430"/>
    </row>
    <row r="431" spans="1:10" x14ac:dyDescent="0.25">
      <c r="A431" s="230"/>
      <c r="B431" s="231"/>
      <c r="C431" s="15"/>
      <c r="D431"/>
      <c r="E431"/>
      <c r="F431" s="15"/>
      <c r="G431"/>
      <c r="H431"/>
      <c r="I431"/>
      <c r="J431"/>
    </row>
    <row r="432" spans="1:10" x14ac:dyDescent="0.25">
      <c r="A432" s="230"/>
      <c r="B432" s="231"/>
      <c r="C432" s="15"/>
      <c r="D432"/>
      <c r="E432"/>
      <c r="F432" s="15"/>
      <c r="G432"/>
      <c r="H432"/>
      <c r="I432"/>
      <c r="J432"/>
    </row>
    <row r="433" spans="1:10" x14ac:dyDescent="0.25">
      <c r="A433" s="230"/>
      <c r="B433" s="231"/>
      <c r="C433" s="15"/>
      <c r="D433"/>
      <c r="E433"/>
      <c r="F433" s="15"/>
      <c r="G433"/>
      <c r="H433"/>
      <c r="I433"/>
      <c r="J433"/>
    </row>
    <row r="434" spans="1:10" x14ac:dyDescent="0.25">
      <c r="A434" s="230"/>
      <c r="B434" s="231"/>
      <c r="C434" s="15"/>
      <c r="D434"/>
      <c r="E434"/>
      <c r="F434" s="15"/>
      <c r="G434"/>
      <c r="H434"/>
      <c r="I434"/>
      <c r="J434"/>
    </row>
    <row r="435" spans="1:10" x14ac:dyDescent="0.25">
      <c r="A435" s="230"/>
      <c r="B435" s="231"/>
      <c r="C435" s="15"/>
      <c r="D435"/>
      <c r="E435"/>
      <c r="F435" s="15"/>
      <c r="G435"/>
      <c r="H435"/>
      <c r="I435"/>
      <c r="J435"/>
    </row>
    <row r="436" spans="1:10" x14ac:dyDescent="0.25">
      <c r="A436" s="230"/>
      <c r="B436" s="231"/>
      <c r="C436" s="15"/>
      <c r="D436"/>
      <c r="E436"/>
      <c r="F436" s="15"/>
      <c r="G436"/>
      <c r="H436"/>
      <c r="I436"/>
      <c r="J436"/>
    </row>
    <row r="437" spans="1:10" x14ac:dyDescent="0.25">
      <c r="A437" s="230"/>
      <c r="B437" s="231"/>
      <c r="C437" s="15"/>
      <c r="D437"/>
      <c r="E437"/>
      <c r="F437" s="15"/>
      <c r="G437"/>
      <c r="H437"/>
      <c r="I437"/>
      <c r="J437"/>
    </row>
    <row r="438" spans="1:10" x14ac:dyDescent="0.25">
      <c r="A438" s="230"/>
      <c r="B438" s="231"/>
      <c r="C438" s="15"/>
      <c r="D438"/>
      <c r="E438"/>
      <c r="F438" s="15"/>
      <c r="G438"/>
      <c r="H438"/>
      <c r="I438"/>
      <c r="J438"/>
    </row>
    <row r="439" spans="1:10" x14ac:dyDescent="0.25">
      <c r="A439" s="230"/>
      <c r="B439" s="231"/>
      <c r="C439" s="15"/>
      <c r="D439"/>
      <c r="E439"/>
      <c r="F439" s="15"/>
      <c r="G439"/>
      <c r="H439"/>
      <c r="I439"/>
      <c r="J439"/>
    </row>
    <row r="440" spans="1:10" x14ac:dyDescent="0.25">
      <c r="A440" s="230"/>
      <c r="B440" s="231"/>
      <c r="C440" s="15"/>
      <c r="D440"/>
      <c r="E440"/>
      <c r="F440" s="15"/>
      <c r="G440"/>
      <c r="H440"/>
      <c r="I440"/>
      <c r="J440"/>
    </row>
    <row r="441" spans="1:10" x14ac:dyDescent="0.25">
      <c r="A441" s="230"/>
      <c r="B441" s="231"/>
      <c r="C441" s="15"/>
      <c r="D441"/>
      <c r="E441"/>
      <c r="F441" s="15"/>
      <c r="G441"/>
      <c r="H441"/>
      <c r="I441"/>
      <c r="J441"/>
    </row>
    <row r="442" spans="1:10" x14ac:dyDescent="0.25">
      <c r="A442" s="230"/>
      <c r="B442" s="231"/>
      <c r="C442" s="15"/>
      <c r="D442"/>
      <c r="E442"/>
      <c r="F442" s="15"/>
      <c r="G442"/>
      <c r="H442"/>
      <c r="I442"/>
      <c r="J442"/>
    </row>
    <row r="443" spans="1:10" x14ac:dyDescent="0.25">
      <c r="A443" s="230"/>
      <c r="B443" s="231"/>
      <c r="C443" s="15"/>
      <c r="D443"/>
      <c r="E443"/>
      <c r="F443" s="15"/>
      <c r="G443"/>
      <c r="H443"/>
      <c r="I443"/>
      <c r="J443"/>
    </row>
    <row r="444" spans="1:10" x14ac:dyDescent="0.25">
      <c r="A444" s="230"/>
      <c r="B444" s="231"/>
      <c r="C444" s="15"/>
      <c r="D444"/>
      <c r="E444"/>
      <c r="F444" s="15"/>
      <c r="G444"/>
      <c r="H444"/>
      <c r="I444"/>
      <c r="J444"/>
    </row>
    <row r="445" spans="1:10" x14ac:dyDescent="0.25">
      <c r="A445" s="230"/>
      <c r="B445" s="231"/>
      <c r="C445" s="15"/>
      <c r="D445"/>
      <c r="E445"/>
      <c r="F445" s="15"/>
      <c r="G445"/>
      <c r="H445"/>
      <c r="I445"/>
      <c r="J445"/>
    </row>
    <row r="446" spans="1:10" x14ac:dyDescent="0.25">
      <c r="A446" s="230"/>
      <c r="B446" s="231"/>
      <c r="C446" s="15"/>
      <c r="D446"/>
      <c r="E446"/>
      <c r="F446" s="15"/>
      <c r="G446"/>
      <c r="H446"/>
      <c r="I446"/>
      <c r="J446"/>
    </row>
    <row r="447" spans="1:10" x14ac:dyDescent="0.25">
      <c r="A447" s="230"/>
      <c r="B447" s="231"/>
      <c r="C447" s="15"/>
      <c r="D447"/>
      <c r="E447"/>
      <c r="F447" s="15"/>
      <c r="G447"/>
      <c r="H447"/>
      <c r="I447"/>
      <c r="J447"/>
    </row>
    <row r="448" spans="1:10" x14ac:dyDescent="0.25">
      <c r="A448" s="230"/>
      <c r="B448" s="231"/>
      <c r="C448" s="15"/>
      <c r="D448"/>
      <c r="E448"/>
      <c r="F448" s="15"/>
      <c r="G448"/>
      <c r="H448"/>
      <c r="I448"/>
      <c r="J448"/>
    </row>
    <row r="449" spans="1:10" x14ac:dyDescent="0.25">
      <c r="A449" s="230"/>
      <c r="B449" s="231"/>
      <c r="C449" s="15"/>
      <c r="D449"/>
      <c r="E449"/>
      <c r="F449" s="15"/>
      <c r="G449"/>
      <c r="H449"/>
      <c r="I449"/>
      <c r="J449"/>
    </row>
    <row r="450" spans="1:10" x14ac:dyDescent="0.25">
      <c r="A450" s="230"/>
      <c r="B450" s="231"/>
      <c r="C450" s="15"/>
      <c r="D450"/>
      <c r="E450"/>
      <c r="F450" s="15"/>
      <c r="G450"/>
      <c r="H450"/>
      <c r="I450"/>
      <c r="J450"/>
    </row>
    <row r="451" spans="1:10" x14ac:dyDescent="0.25">
      <c r="A451" s="230"/>
      <c r="B451" s="231"/>
      <c r="C451" s="15"/>
      <c r="D451"/>
      <c r="E451"/>
      <c r="F451" s="15"/>
      <c r="G451"/>
      <c r="H451"/>
      <c r="I451"/>
      <c r="J451"/>
    </row>
    <row r="452" spans="1:10" x14ac:dyDescent="0.25">
      <c r="A452" s="230"/>
      <c r="B452" s="231"/>
      <c r="C452" s="15"/>
      <c r="D452"/>
      <c r="E452"/>
      <c r="F452" s="15"/>
      <c r="G452"/>
      <c r="H452"/>
      <c r="I452"/>
      <c r="J452"/>
    </row>
    <row r="453" spans="1:10" x14ac:dyDescent="0.25">
      <c r="A453" s="230"/>
      <c r="B453" s="231"/>
      <c r="C453" s="15"/>
      <c r="D453"/>
      <c r="E453"/>
      <c r="F453" s="15"/>
      <c r="G453"/>
      <c r="H453"/>
      <c r="I453"/>
      <c r="J453"/>
    </row>
    <row r="454" spans="1:10" x14ac:dyDescent="0.25">
      <c r="A454" s="230"/>
      <c r="B454" s="231"/>
      <c r="C454" s="15"/>
      <c r="D454"/>
      <c r="E454"/>
      <c r="F454" s="15"/>
      <c r="G454"/>
      <c r="H454"/>
      <c r="I454"/>
      <c r="J454"/>
    </row>
    <row r="455" spans="1:10" x14ac:dyDescent="0.25">
      <c r="A455" s="230"/>
      <c r="B455" s="231"/>
      <c r="C455" s="15"/>
      <c r="D455"/>
      <c r="E455"/>
      <c r="F455" s="15"/>
      <c r="G455"/>
      <c r="H455"/>
      <c r="I455"/>
      <c r="J455"/>
    </row>
    <row r="456" spans="1:10" x14ac:dyDescent="0.25">
      <c r="A456" s="230"/>
      <c r="B456" s="231"/>
      <c r="C456" s="15"/>
      <c r="D456"/>
      <c r="E456"/>
      <c r="F456" s="15"/>
      <c r="G456"/>
      <c r="H456"/>
      <c r="I456"/>
      <c r="J456"/>
    </row>
    <row r="457" spans="1:10" x14ac:dyDescent="0.25">
      <c r="A457" s="230"/>
      <c r="B457" s="231"/>
      <c r="C457" s="15"/>
      <c r="D457"/>
      <c r="E457"/>
      <c r="F457" s="15"/>
      <c r="G457"/>
      <c r="H457"/>
      <c r="I457"/>
      <c r="J457"/>
    </row>
    <row r="458" spans="1:10" x14ac:dyDescent="0.25">
      <c r="A458" s="230"/>
      <c r="B458" s="231"/>
      <c r="C458" s="15"/>
      <c r="D458"/>
      <c r="E458"/>
      <c r="F458" s="15"/>
      <c r="G458"/>
      <c r="H458"/>
      <c r="I458"/>
      <c r="J458"/>
    </row>
    <row r="459" spans="1:10" x14ac:dyDescent="0.25">
      <c r="A459" s="230"/>
      <c r="B459" s="231"/>
      <c r="C459" s="15"/>
      <c r="D459"/>
      <c r="E459"/>
      <c r="F459" s="15"/>
      <c r="G459"/>
      <c r="H459"/>
      <c r="I459"/>
      <c r="J459"/>
    </row>
    <row r="460" spans="1:10" x14ac:dyDescent="0.25">
      <c r="A460" s="230"/>
      <c r="B460" s="231"/>
      <c r="C460" s="15"/>
      <c r="D460"/>
      <c r="E460"/>
      <c r="F460" s="15"/>
      <c r="G460"/>
      <c r="H460"/>
      <c r="I460"/>
      <c r="J460"/>
    </row>
    <row r="461" spans="1:10" x14ac:dyDescent="0.25">
      <c r="A461" s="230"/>
      <c r="B461" s="231"/>
      <c r="C461" s="15"/>
      <c r="D461"/>
      <c r="E461"/>
      <c r="F461" s="15"/>
      <c r="G461"/>
      <c r="H461"/>
      <c r="I461"/>
      <c r="J461"/>
    </row>
    <row r="462" spans="1:10" x14ac:dyDescent="0.25">
      <c r="A462" s="230"/>
      <c r="B462" s="231"/>
      <c r="C462" s="15"/>
      <c r="D462"/>
      <c r="E462"/>
      <c r="F462" s="15"/>
      <c r="G462"/>
      <c r="H462"/>
      <c r="I462"/>
      <c r="J462"/>
    </row>
    <row r="463" spans="1:10" x14ac:dyDescent="0.25">
      <c r="A463" s="230"/>
      <c r="B463" s="231"/>
      <c r="C463" s="15"/>
      <c r="D463"/>
      <c r="E463"/>
      <c r="F463" s="15"/>
      <c r="G463"/>
      <c r="H463"/>
      <c r="I463"/>
      <c r="J463"/>
    </row>
    <row r="464" spans="1:10" x14ac:dyDescent="0.25">
      <c r="A464" s="230"/>
      <c r="B464" s="231"/>
      <c r="C464" s="15"/>
      <c r="D464"/>
      <c r="E464"/>
      <c r="F464" s="15"/>
      <c r="G464"/>
      <c r="H464"/>
      <c r="I464"/>
      <c r="J464"/>
    </row>
    <row r="465" spans="1:10" x14ac:dyDescent="0.25">
      <c r="A465" s="230"/>
      <c r="B465" s="231"/>
      <c r="C465" s="15"/>
      <c r="D465"/>
      <c r="E465"/>
      <c r="F465" s="15"/>
      <c r="G465"/>
      <c r="H465"/>
      <c r="I465"/>
      <c r="J465"/>
    </row>
    <row r="466" spans="1:10" x14ac:dyDescent="0.25">
      <c r="A466" s="230"/>
      <c r="B466" s="231"/>
      <c r="C466" s="15"/>
      <c r="D466"/>
      <c r="E466"/>
      <c r="F466" s="15"/>
      <c r="G466"/>
      <c r="H466"/>
      <c r="I466"/>
      <c r="J466"/>
    </row>
    <row r="467" spans="1:10" x14ac:dyDescent="0.25">
      <c r="A467" s="230"/>
      <c r="B467" s="231"/>
      <c r="C467" s="15"/>
      <c r="D467"/>
      <c r="E467"/>
      <c r="F467" s="15"/>
      <c r="G467"/>
      <c r="H467"/>
      <c r="I467"/>
      <c r="J467"/>
    </row>
    <row r="468" spans="1:10" x14ac:dyDescent="0.25">
      <c r="A468" s="230"/>
      <c r="B468" s="231"/>
      <c r="C468" s="15"/>
      <c r="D468"/>
      <c r="E468"/>
      <c r="F468" s="15"/>
      <c r="G468"/>
      <c r="H468"/>
      <c r="I468"/>
      <c r="J468"/>
    </row>
    <row r="469" spans="1:10" x14ac:dyDescent="0.25">
      <c r="A469" s="230"/>
      <c r="B469" s="231"/>
      <c r="C469" s="15"/>
      <c r="D469"/>
      <c r="E469"/>
      <c r="F469" s="15"/>
      <c r="G469"/>
      <c r="H469"/>
      <c r="I469"/>
      <c r="J469"/>
    </row>
    <row r="470" spans="1:10" x14ac:dyDescent="0.25">
      <c r="A470" s="230"/>
      <c r="B470" s="231"/>
      <c r="C470" s="15"/>
      <c r="D470"/>
      <c r="E470"/>
      <c r="F470" s="15"/>
      <c r="G470"/>
      <c r="H470"/>
      <c r="I470"/>
      <c r="J470"/>
    </row>
    <row r="471" spans="1:10" x14ac:dyDescent="0.25">
      <c r="A471" s="230"/>
      <c r="B471" s="231"/>
      <c r="C471" s="15"/>
      <c r="D471"/>
      <c r="E471"/>
      <c r="F471" s="15"/>
      <c r="G471"/>
      <c r="H471"/>
      <c r="I471"/>
      <c r="J471"/>
    </row>
    <row r="472" spans="1:10" x14ac:dyDescent="0.25">
      <c r="A472" s="230"/>
      <c r="B472" s="231"/>
      <c r="C472" s="15"/>
      <c r="D472"/>
      <c r="E472"/>
      <c r="F472" s="15"/>
      <c r="G472"/>
      <c r="H472"/>
      <c r="I472"/>
      <c r="J472"/>
    </row>
    <row r="473" spans="1:10" x14ac:dyDescent="0.25">
      <c r="A473" s="230"/>
      <c r="B473" s="231"/>
      <c r="C473" s="15"/>
      <c r="D473"/>
      <c r="E473"/>
      <c r="F473" s="15"/>
      <c r="G473"/>
      <c r="H473"/>
      <c r="I473"/>
      <c r="J473"/>
    </row>
    <row r="474" spans="1:10" x14ac:dyDescent="0.25">
      <c r="A474" s="230"/>
      <c r="B474" s="231"/>
      <c r="C474" s="15"/>
      <c r="D474"/>
      <c r="E474"/>
      <c r="F474" s="15"/>
      <c r="G474"/>
      <c r="H474"/>
      <c r="I474"/>
      <c r="J474"/>
    </row>
    <row r="475" spans="1:10" x14ac:dyDescent="0.25">
      <c r="A475" s="230"/>
      <c r="B475" s="231"/>
      <c r="C475" s="15"/>
      <c r="D475"/>
      <c r="E475"/>
      <c r="F475" s="15"/>
      <c r="G475"/>
      <c r="H475"/>
      <c r="I475"/>
      <c r="J475"/>
    </row>
    <row r="476" spans="1:10" x14ac:dyDescent="0.25">
      <c r="A476" s="230"/>
      <c r="B476" s="231"/>
      <c r="C476" s="15"/>
      <c r="D476"/>
      <c r="E476"/>
      <c r="F476" s="15"/>
      <c r="G476"/>
      <c r="H476"/>
      <c r="I476"/>
      <c r="J476"/>
    </row>
    <row r="477" spans="1:10" x14ac:dyDescent="0.25">
      <c r="A477" s="230"/>
      <c r="B477" s="231"/>
      <c r="C477" s="15"/>
      <c r="D477"/>
      <c r="E477"/>
      <c r="F477" s="15"/>
      <c r="G477"/>
      <c r="H477"/>
      <c r="I477"/>
      <c r="J477"/>
    </row>
    <row r="478" spans="1:10" x14ac:dyDescent="0.25">
      <c r="A478" s="230"/>
      <c r="B478" s="231"/>
      <c r="C478" s="15"/>
      <c r="D478"/>
      <c r="E478"/>
      <c r="F478" s="15"/>
      <c r="G478"/>
      <c r="H478"/>
      <c r="I478"/>
      <c r="J478"/>
    </row>
    <row r="479" spans="1:10" x14ac:dyDescent="0.25">
      <c r="A479" s="230"/>
      <c r="B479" s="231"/>
      <c r="C479" s="15"/>
      <c r="D479"/>
      <c r="E479"/>
      <c r="F479" s="15"/>
      <c r="G479"/>
      <c r="H479"/>
      <c r="I479"/>
      <c r="J479"/>
    </row>
    <row r="480" spans="1:10" x14ac:dyDescent="0.25">
      <c r="A480" s="230"/>
      <c r="B480" s="231"/>
      <c r="C480" s="15"/>
      <c r="D480"/>
      <c r="E480"/>
      <c r="F480" s="15"/>
      <c r="G480"/>
      <c r="H480"/>
      <c r="I480"/>
      <c r="J480"/>
    </row>
    <row r="481" spans="1:10" x14ac:dyDescent="0.25">
      <c r="A481" s="230"/>
      <c r="B481" s="231"/>
      <c r="C481" s="15"/>
      <c r="D481"/>
      <c r="E481"/>
      <c r="F481" s="15"/>
      <c r="G481"/>
      <c r="H481"/>
      <c r="I481"/>
      <c r="J481"/>
    </row>
    <row r="482" spans="1:10" x14ac:dyDescent="0.25">
      <c r="A482" s="230"/>
      <c r="B482" s="231"/>
      <c r="C482" s="15"/>
      <c r="D482"/>
      <c r="E482"/>
      <c r="F482" s="15"/>
      <c r="G482"/>
      <c r="H482"/>
      <c r="I482"/>
      <c r="J482"/>
    </row>
    <row r="483" spans="1:10" x14ac:dyDescent="0.25">
      <c r="A483" s="230"/>
      <c r="B483" s="231"/>
      <c r="C483" s="15"/>
      <c r="D483"/>
      <c r="E483"/>
      <c r="F483" s="15"/>
      <c r="G483"/>
      <c r="H483"/>
      <c r="I483"/>
      <c r="J483"/>
    </row>
    <row r="484" spans="1:10" x14ac:dyDescent="0.25">
      <c r="A484" s="230"/>
      <c r="B484" s="231"/>
      <c r="C484" s="15"/>
      <c r="D484"/>
      <c r="E484"/>
      <c r="F484" s="15"/>
      <c r="G484"/>
      <c r="H484"/>
      <c r="I484"/>
      <c r="J484"/>
    </row>
    <row r="485" spans="1:10" x14ac:dyDescent="0.25">
      <c r="A485" s="230"/>
      <c r="B485" s="231"/>
      <c r="C485" s="15"/>
      <c r="D485"/>
      <c r="E485"/>
      <c r="F485" s="15"/>
      <c r="G485"/>
      <c r="H485"/>
      <c r="I485"/>
      <c r="J485"/>
    </row>
    <row r="486" spans="1:10" x14ac:dyDescent="0.25">
      <c r="A486" s="230"/>
      <c r="B486" s="231"/>
      <c r="C486" s="15"/>
      <c r="D486"/>
      <c r="E486"/>
      <c r="F486" s="15"/>
      <c r="G486"/>
      <c r="H486"/>
      <c r="I486"/>
      <c r="J486"/>
    </row>
    <row r="487" spans="1:10" x14ac:dyDescent="0.25">
      <c r="A487" s="230"/>
      <c r="B487" s="231"/>
      <c r="C487" s="15"/>
      <c r="D487"/>
      <c r="E487"/>
      <c r="F487" s="15"/>
      <c r="G487"/>
      <c r="H487"/>
      <c r="I487"/>
      <c r="J487"/>
    </row>
    <row r="488" spans="1:10" x14ac:dyDescent="0.25">
      <c r="A488" s="230"/>
      <c r="B488" s="231"/>
      <c r="C488" s="15"/>
      <c r="D488"/>
      <c r="E488"/>
      <c r="F488" s="15"/>
      <c r="G488"/>
      <c r="H488"/>
      <c r="I488"/>
      <c r="J488"/>
    </row>
    <row r="489" spans="1:10" x14ac:dyDescent="0.25">
      <c r="A489" s="230"/>
      <c r="B489" s="231"/>
      <c r="C489" s="15"/>
      <c r="D489"/>
      <c r="E489"/>
      <c r="F489" s="15"/>
      <c r="G489"/>
      <c r="H489"/>
      <c r="I489"/>
      <c r="J489"/>
    </row>
    <row r="490" spans="1:10" x14ac:dyDescent="0.25">
      <c r="A490" s="230"/>
      <c r="B490" s="231"/>
      <c r="C490" s="15"/>
      <c r="D490"/>
      <c r="E490"/>
      <c r="F490" s="15"/>
      <c r="G490"/>
      <c r="H490"/>
      <c r="I490"/>
      <c r="J490"/>
    </row>
    <row r="491" spans="1:10" x14ac:dyDescent="0.25">
      <c r="A491" s="230"/>
      <c r="B491" s="231"/>
      <c r="C491" s="15"/>
      <c r="D491"/>
      <c r="E491"/>
      <c r="F491" s="15"/>
      <c r="G491"/>
      <c r="H491"/>
      <c r="I491"/>
      <c r="J491"/>
    </row>
    <row r="492" spans="1:10" x14ac:dyDescent="0.25">
      <c r="A492" s="230"/>
      <c r="B492" s="231"/>
      <c r="C492" s="15"/>
      <c r="D492"/>
      <c r="E492"/>
      <c r="F492" s="15"/>
      <c r="G492"/>
      <c r="H492"/>
      <c r="I492"/>
      <c r="J492"/>
    </row>
    <row r="493" spans="1:10" x14ac:dyDescent="0.25">
      <c r="A493" s="230"/>
      <c r="B493" s="231"/>
      <c r="C493" s="15"/>
      <c r="D493"/>
      <c r="E493"/>
      <c r="F493" s="15"/>
      <c r="G493"/>
      <c r="H493"/>
      <c r="I493"/>
      <c r="J493"/>
    </row>
    <row r="494" spans="1:10" x14ac:dyDescent="0.25">
      <c r="A494" s="230"/>
      <c r="B494" s="231"/>
      <c r="C494" s="15"/>
      <c r="D494"/>
      <c r="E494"/>
      <c r="F494" s="15"/>
      <c r="G494"/>
      <c r="H494"/>
      <c r="I494"/>
      <c r="J494"/>
    </row>
    <row r="495" spans="1:10" x14ac:dyDescent="0.25">
      <c r="A495" s="230"/>
      <c r="B495" s="231"/>
      <c r="C495" s="15"/>
      <c r="D495"/>
      <c r="E495"/>
      <c r="F495" s="15"/>
      <c r="G495"/>
      <c r="H495"/>
      <c r="I495"/>
      <c r="J495"/>
    </row>
    <row r="496" spans="1:10" x14ac:dyDescent="0.25">
      <c r="A496" s="230"/>
      <c r="B496" s="231"/>
      <c r="C496" s="15"/>
      <c r="D496"/>
      <c r="E496"/>
      <c r="F496" s="15"/>
      <c r="G496"/>
      <c r="H496"/>
      <c r="I496"/>
      <c r="J496"/>
    </row>
    <row r="497" spans="1:10" x14ac:dyDescent="0.25">
      <c r="A497" s="230"/>
      <c r="B497" s="231"/>
      <c r="C497" s="15"/>
      <c r="D497"/>
      <c r="E497"/>
      <c r="F497" s="15"/>
      <c r="G497"/>
      <c r="H497"/>
      <c r="I497"/>
      <c r="J497"/>
    </row>
    <row r="498" spans="1:10" x14ac:dyDescent="0.25">
      <c r="A498" s="230"/>
      <c r="B498" s="231"/>
      <c r="C498" s="15"/>
      <c r="D498"/>
      <c r="E498"/>
      <c r="F498" s="15"/>
      <c r="G498"/>
      <c r="H498"/>
      <c r="I498"/>
      <c r="J498"/>
    </row>
    <row r="499" spans="1:10" x14ac:dyDescent="0.25">
      <c r="A499" s="230"/>
      <c r="B499" s="231"/>
      <c r="C499" s="15"/>
      <c r="D499"/>
      <c r="E499"/>
      <c r="F499" s="15"/>
      <c r="G499"/>
      <c r="H499"/>
      <c r="I499"/>
      <c r="J499"/>
    </row>
    <row r="500" spans="1:10" x14ac:dyDescent="0.25">
      <c r="A500" s="230"/>
      <c r="B500" s="231"/>
      <c r="C500" s="15"/>
      <c r="D500"/>
      <c r="E500"/>
      <c r="F500" s="15"/>
      <c r="G500"/>
      <c r="H500"/>
      <c r="I500"/>
      <c r="J500"/>
    </row>
    <row r="501" spans="1:10" x14ac:dyDescent="0.25">
      <c r="A501" s="230"/>
      <c r="B501" s="231"/>
      <c r="C501" s="15"/>
      <c r="D501"/>
      <c r="E501"/>
      <c r="F501" s="15"/>
      <c r="G501"/>
      <c r="H501"/>
      <c r="I501"/>
      <c r="J501"/>
    </row>
    <row r="502" spans="1:10" x14ac:dyDescent="0.25">
      <c r="A502" s="230"/>
      <c r="B502" s="231"/>
      <c r="C502" s="15"/>
      <c r="D502"/>
      <c r="E502"/>
      <c r="F502" s="15"/>
      <c r="G502"/>
      <c r="H502"/>
      <c r="I502"/>
      <c r="J502"/>
    </row>
    <row r="503" spans="1:10" x14ac:dyDescent="0.25">
      <c r="A503" s="230"/>
      <c r="B503" s="231"/>
      <c r="C503" s="15"/>
      <c r="D503"/>
      <c r="E503"/>
      <c r="F503" s="15"/>
      <c r="G503"/>
      <c r="H503"/>
      <c r="I503"/>
      <c r="J503"/>
    </row>
    <row r="504" spans="1:10" x14ac:dyDescent="0.25">
      <c r="A504" s="230"/>
      <c r="B504" s="231"/>
      <c r="C504" s="15"/>
      <c r="D504"/>
      <c r="E504"/>
      <c r="F504" s="15"/>
      <c r="G504"/>
      <c r="H504"/>
      <c r="I504"/>
      <c r="J504"/>
    </row>
    <row r="505" spans="1:10" x14ac:dyDescent="0.25">
      <c r="A505" s="230"/>
      <c r="B505" s="231"/>
      <c r="C505" s="15"/>
      <c r="D505"/>
      <c r="E505"/>
      <c r="F505" s="15"/>
      <c r="G505"/>
      <c r="H505"/>
      <c r="I505"/>
      <c r="J505"/>
    </row>
    <row r="506" spans="1:10" x14ac:dyDescent="0.25">
      <c r="A506" s="230"/>
      <c r="B506" s="231"/>
      <c r="C506" s="15"/>
      <c r="D506"/>
      <c r="E506"/>
      <c r="F506" s="15"/>
      <c r="G506"/>
      <c r="H506"/>
      <c r="I506"/>
      <c r="J506"/>
    </row>
    <row r="507" spans="1:10" x14ac:dyDescent="0.25">
      <c r="A507" s="230"/>
      <c r="B507" s="231"/>
      <c r="C507" s="15"/>
      <c r="D507"/>
      <c r="E507"/>
      <c r="F507" s="15"/>
      <c r="G507"/>
      <c r="H507"/>
      <c r="I507"/>
      <c r="J507"/>
    </row>
    <row r="508" spans="1:10" x14ac:dyDescent="0.25">
      <c r="A508" s="230"/>
      <c r="B508" s="231"/>
      <c r="C508" s="15"/>
      <c r="D508"/>
      <c r="E508"/>
      <c r="F508" s="15"/>
      <c r="G508"/>
      <c r="H508"/>
      <c r="I508"/>
      <c r="J508"/>
    </row>
    <row r="509" spans="1:10" x14ac:dyDescent="0.25">
      <c r="A509" s="230"/>
      <c r="B509" s="231"/>
      <c r="C509" s="15"/>
      <c r="D509"/>
      <c r="E509"/>
      <c r="F509" s="15"/>
      <c r="G509"/>
      <c r="H509"/>
      <c r="I509"/>
      <c r="J509"/>
    </row>
    <row r="510" spans="1:10" x14ac:dyDescent="0.25">
      <c r="A510" s="230"/>
      <c r="B510" s="231"/>
      <c r="C510" s="15"/>
      <c r="D510"/>
      <c r="E510"/>
      <c r="F510" s="15"/>
      <c r="G510"/>
      <c r="H510"/>
      <c r="I510"/>
      <c r="J510"/>
    </row>
    <row r="511" spans="1:10" x14ac:dyDescent="0.25">
      <c r="A511" s="230"/>
      <c r="B511" s="231"/>
      <c r="C511" s="15"/>
      <c r="D511"/>
      <c r="E511"/>
      <c r="F511" s="15"/>
      <c r="G511"/>
      <c r="H511"/>
      <c r="I511"/>
      <c r="J511"/>
    </row>
    <row r="512" spans="1:10" x14ac:dyDescent="0.25">
      <c r="A512" s="230"/>
      <c r="B512" s="231"/>
      <c r="C512" s="15"/>
      <c r="D512"/>
      <c r="E512"/>
      <c r="F512" s="15"/>
      <c r="G512"/>
      <c r="H512"/>
      <c r="I512"/>
      <c r="J512"/>
    </row>
    <row r="513" spans="1:10" x14ac:dyDescent="0.25">
      <c r="A513" s="230"/>
      <c r="B513" s="231"/>
      <c r="C513" s="15"/>
      <c r="D513"/>
      <c r="E513"/>
      <c r="F513" s="15"/>
      <c r="G513"/>
      <c r="H513"/>
      <c r="I513"/>
      <c r="J513"/>
    </row>
    <row r="514" spans="1:10" x14ac:dyDescent="0.25">
      <c r="A514" s="230"/>
      <c r="B514" s="231"/>
      <c r="C514" s="15"/>
      <c r="D514"/>
      <c r="E514"/>
      <c r="F514" s="15"/>
      <c r="G514"/>
      <c r="H514"/>
      <c r="I514"/>
      <c r="J514"/>
    </row>
    <row r="515" spans="1:10" x14ac:dyDescent="0.25">
      <c r="A515" s="230"/>
      <c r="B515" s="231"/>
      <c r="C515" s="15"/>
      <c r="D515"/>
      <c r="E515"/>
      <c r="F515" s="15"/>
      <c r="G515"/>
      <c r="H515"/>
      <c r="I515"/>
      <c r="J515"/>
    </row>
    <row r="516" spans="1:10" x14ac:dyDescent="0.25">
      <c r="A516" s="230"/>
      <c r="B516" s="231"/>
      <c r="C516" s="15"/>
      <c r="D516"/>
      <c r="E516"/>
      <c r="F516" s="15"/>
      <c r="G516"/>
      <c r="H516"/>
      <c r="I516"/>
      <c r="J516"/>
    </row>
    <row r="517" spans="1:10" x14ac:dyDescent="0.25">
      <c r="A517" s="230"/>
      <c r="B517" s="231"/>
      <c r="C517" s="15"/>
      <c r="D517"/>
      <c r="E517"/>
      <c r="F517" s="15"/>
      <c r="G517"/>
      <c r="H517"/>
      <c r="I517"/>
      <c r="J517"/>
    </row>
    <row r="518" spans="1:10" x14ac:dyDescent="0.25">
      <c r="A518" s="230"/>
      <c r="B518" s="231"/>
      <c r="C518" s="15"/>
      <c r="D518"/>
      <c r="E518"/>
      <c r="F518" s="15"/>
      <c r="G518"/>
      <c r="H518"/>
      <c r="I518"/>
      <c r="J518"/>
    </row>
    <row r="519" spans="1:10" x14ac:dyDescent="0.25">
      <c r="A519" s="230"/>
      <c r="B519" s="231"/>
      <c r="C519" s="15"/>
      <c r="D519"/>
      <c r="E519"/>
      <c r="F519" s="15"/>
      <c r="G519"/>
      <c r="H519"/>
      <c r="I519"/>
      <c r="J519"/>
    </row>
    <row r="520" spans="1:10" x14ac:dyDescent="0.25">
      <c r="A520" s="230"/>
      <c r="B520" s="231"/>
      <c r="C520" s="15"/>
      <c r="D520"/>
      <c r="E520"/>
      <c r="F520" s="15"/>
      <c r="G520"/>
      <c r="H520"/>
      <c r="I520"/>
      <c r="J520"/>
    </row>
    <row r="521" spans="1:10" x14ac:dyDescent="0.25">
      <c r="A521" s="230"/>
      <c r="B521" s="231"/>
      <c r="C521" s="15"/>
      <c r="D521"/>
      <c r="E521"/>
      <c r="F521" s="15"/>
      <c r="G521"/>
      <c r="H521"/>
      <c r="I521"/>
      <c r="J521"/>
    </row>
    <row r="522" spans="1:10" x14ac:dyDescent="0.25">
      <c r="A522" s="230"/>
      <c r="B522" s="231"/>
      <c r="C522" s="15"/>
      <c r="D522"/>
      <c r="E522"/>
      <c r="F522" s="15"/>
      <c r="G522"/>
      <c r="H522"/>
      <c r="I522"/>
      <c r="J522"/>
    </row>
    <row r="523" spans="1:10" x14ac:dyDescent="0.25">
      <c r="A523" s="230"/>
      <c r="B523" s="231"/>
      <c r="C523" s="15"/>
      <c r="D523"/>
      <c r="E523"/>
      <c r="F523" s="15"/>
      <c r="G523"/>
      <c r="H523"/>
      <c r="I523"/>
      <c r="J523"/>
    </row>
    <row r="524" spans="1:10" x14ac:dyDescent="0.25">
      <c r="A524" s="230"/>
      <c r="B524" s="231"/>
      <c r="C524" s="15"/>
      <c r="D524"/>
      <c r="E524"/>
      <c r="F524" s="15"/>
      <c r="G524"/>
      <c r="H524"/>
      <c r="I524"/>
      <c r="J524"/>
    </row>
    <row r="525" spans="1:10" x14ac:dyDescent="0.25">
      <c r="A525" s="230"/>
      <c r="B525" s="231"/>
      <c r="C525" s="15"/>
      <c r="D525"/>
      <c r="E525"/>
      <c r="F525" s="15"/>
      <c r="G525"/>
      <c r="H525"/>
      <c r="I525"/>
      <c r="J525"/>
    </row>
    <row r="526" spans="1:10" x14ac:dyDescent="0.25">
      <c r="A526" s="230"/>
      <c r="B526" s="231"/>
      <c r="C526" s="15"/>
      <c r="D526"/>
      <c r="E526"/>
      <c r="F526" s="15"/>
      <c r="G526"/>
      <c r="H526"/>
      <c r="I526"/>
      <c r="J526"/>
    </row>
    <row r="527" spans="1:10" x14ac:dyDescent="0.25">
      <c r="A527" s="230"/>
      <c r="B527" s="231"/>
      <c r="C527" s="15"/>
      <c r="D527"/>
      <c r="E527"/>
      <c r="F527" s="15"/>
      <c r="G527"/>
      <c r="H527"/>
      <c r="I527"/>
      <c r="J527"/>
    </row>
    <row r="528" spans="1:10" x14ac:dyDescent="0.25">
      <c r="A528" s="230"/>
      <c r="B528" s="231"/>
      <c r="C528" s="15"/>
      <c r="D528"/>
      <c r="E528"/>
      <c r="F528" s="15"/>
      <c r="G528"/>
      <c r="H528"/>
      <c r="I528"/>
      <c r="J528"/>
    </row>
    <row r="529" spans="1:10" x14ac:dyDescent="0.25">
      <c r="A529" s="230"/>
      <c r="B529" s="231"/>
      <c r="C529" s="15"/>
      <c r="D529"/>
      <c r="E529"/>
      <c r="F529" s="15"/>
      <c r="G529"/>
      <c r="H529"/>
      <c r="I529"/>
      <c r="J529"/>
    </row>
    <row r="530" spans="1:10" x14ac:dyDescent="0.25">
      <c r="A530" s="230"/>
      <c r="B530" s="231"/>
      <c r="C530" s="15"/>
      <c r="D530"/>
      <c r="E530"/>
      <c r="F530" s="15"/>
      <c r="G530"/>
      <c r="H530"/>
      <c r="I530"/>
      <c r="J530"/>
    </row>
    <row r="531" spans="1:10" x14ac:dyDescent="0.25">
      <c r="A531" s="230"/>
      <c r="B531" s="231"/>
      <c r="C531" s="15"/>
      <c r="D531"/>
      <c r="E531"/>
      <c r="F531" s="15"/>
      <c r="G531"/>
      <c r="H531"/>
      <c r="I531"/>
      <c r="J531"/>
    </row>
    <row r="532" spans="1:10" x14ac:dyDescent="0.25">
      <c r="A532" s="230"/>
      <c r="B532" s="231"/>
      <c r="C532" s="15"/>
      <c r="D532"/>
      <c r="E532"/>
      <c r="F532" s="15"/>
      <c r="G532"/>
      <c r="H532"/>
      <c r="I532"/>
      <c r="J532"/>
    </row>
    <row r="533" spans="1:10" x14ac:dyDescent="0.25">
      <c r="A533" s="230"/>
      <c r="B533" s="231"/>
      <c r="C533" s="15"/>
      <c r="D533"/>
      <c r="E533"/>
      <c r="F533" s="15"/>
      <c r="G533"/>
      <c r="H533"/>
      <c r="I533"/>
      <c r="J533"/>
    </row>
    <row r="534" spans="1:10" x14ac:dyDescent="0.25">
      <c r="A534" s="230"/>
      <c r="B534" s="231"/>
      <c r="C534" s="15"/>
      <c r="D534"/>
      <c r="E534"/>
      <c r="F534" s="15"/>
      <c r="G534"/>
      <c r="H534"/>
      <c r="I534"/>
      <c r="J534"/>
    </row>
    <row r="535" spans="1:10" x14ac:dyDescent="0.25">
      <c r="A535" s="230"/>
      <c r="B535" s="231"/>
      <c r="C535" s="15"/>
      <c r="D535"/>
      <c r="E535"/>
      <c r="F535" s="15"/>
      <c r="G535"/>
      <c r="H535"/>
      <c r="I535"/>
      <c r="J535"/>
    </row>
    <row r="536" spans="1:10" x14ac:dyDescent="0.25">
      <c r="A536" s="230"/>
      <c r="B536" s="231"/>
      <c r="C536" s="15"/>
      <c r="D536"/>
      <c r="E536"/>
      <c r="F536" s="15"/>
      <c r="G536"/>
      <c r="H536"/>
      <c r="I536"/>
      <c r="J536"/>
    </row>
    <row r="537" spans="1:10" x14ac:dyDescent="0.25">
      <c r="A537" s="230"/>
      <c r="B537" s="231"/>
      <c r="C537" s="15"/>
      <c r="D537"/>
      <c r="E537"/>
      <c r="F537" s="15"/>
      <c r="G537"/>
      <c r="H537"/>
      <c r="I537"/>
      <c r="J537"/>
    </row>
    <row r="538" spans="1:10" x14ac:dyDescent="0.25">
      <c r="A538" s="230"/>
      <c r="B538" s="231"/>
      <c r="C538" s="15"/>
      <c r="D538"/>
      <c r="E538"/>
      <c r="F538" s="15"/>
      <c r="G538"/>
      <c r="H538"/>
      <c r="I538"/>
      <c r="J538"/>
    </row>
    <row r="539" spans="1:10" x14ac:dyDescent="0.25">
      <c r="A539" s="230"/>
      <c r="B539" s="231"/>
      <c r="C539" s="15"/>
      <c r="D539"/>
      <c r="E539"/>
      <c r="F539" s="15"/>
      <c r="G539"/>
      <c r="H539"/>
      <c r="I539"/>
      <c r="J539"/>
    </row>
    <row r="540" spans="1:10" x14ac:dyDescent="0.25">
      <c r="A540" s="230"/>
      <c r="B540" s="231"/>
      <c r="C540" s="15"/>
      <c r="D540"/>
      <c r="E540"/>
      <c r="F540" s="15"/>
      <c r="G540"/>
      <c r="H540"/>
      <c r="I540"/>
      <c r="J540"/>
    </row>
    <row r="541" spans="1:10" x14ac:dyDescent="0.25">
      <c r="A541" s="230"/>
      <c r="B541" s="231"/>
      <c r="C541" s="15"/>
      <c r="D541"/>
      <c r="E541"/>
      <c r="F541" s="15"/>
      <c r="G541"/>
      <c r="H541"/>
      <c r="I541"/>
      <c r="J541"/>
    </row>
    <row r="542" spans="1:10" x14ac:dyDescent="0.25">
      <c r="A542" s="230"/>
      <c r="B542" s="231"/>
      <c r="C542" s="15"/>
      <c r="D542"/>
      <c r="E542"/>
      <c r="F542" s="15"/>
      <c r="G542"/>
      <c r="H542"/>
      <c r="I542"/>
      <c r="J542"/>
    </row>
    <row r="543" spans="1:10" x14ac:dyDescent="0.25">
      <c r="A543" s="230"/>
      <c r="B543" s="231"/>
      <c r="C543" s="15"/>
      <c r="D543"/>
      <c r="E543"/>
      <c r="F543" s="15"/>
      <c r="G543"/>
      <c r="H543"/>
      <c r="I543"/>
      <c r="J543"/>
    </row>
    <row r="544" spans="1:10" x14ac:dyDescent="0.25">
      <c r="A544" s="230"/>
      <c r="B544" s="231"/>
      <c r="C544" s="15"/>
      <c r="D544"/>
      <c r="E544"/>
      <c r="F544" s="15"/>
      <c r="G544"/>
      <c r="H544"/>
      <c r="I544"/>
      <c r="J544"/>
    </row>
    <row r="545" spans="1:10" x14ac:dyDescent="0.25">
      <c r="A545" s="230"/>
      <c r="B545" s="231"/>
      <c r="C545" s="15"/>
      <c r="D545"/>
      <c r="E545"/>
      <c r="F545" s="15"/>
      <c r="G545"/>
      <c r="H545"/>
      <c r="I545"/>
      <c r="J545"/>
    </row>
    <row r="546" spans="1:10" x14ac:dyDescent="0.25">
      <c r="A546" s="230"/>
      <c r="B546" s="231"/>
      <c r="C546" s="15"/>
      <c r="D546"/>
      <c r="E546"/>
      <c r="F546" s="15"/>
      <c r="G546"/>
      <c r="H546"/>
      <c r="I546"/>
      <c r="J546"/>
    </row>
    <row r="547" spans="1:10" x14ac:dyDescent="0.25">
      <c r="A547" s="230"/>
      <c r="B547" s="231"/>
      <c r="C547" s="15"/>
      <c r="D547"/>
      <c r="E547"/>
      <c r="F547" s="15"/>
      <c r="G547"/>
      <c r="H547"/>
      <c r="I547"/>
      <c r="J547"/>
    </row>
    <row r="548" spans="1:10" x14ac:dyDescent="0.25">
      <c r="A548" s="230"/>
      <c r="B548" s="231"/>
      <c r="C548" s="15"/>
      <c r="D548"/>
      <c r="E548"/>
      <c r="F548" s="15"/>
      <c r="G548"/>
      <c r="H548"/>
      <c r="I548"/>
      <c r="J548"/>
    </row>
    <row r="549" spans="1:10" x14ac:dyDescent="0.25">
      <c r="A549" s="230"/>
      <c r="B549" s="231"/>
      <c r="C549" s="15"/>
      <c r="D549"/>
      <c r="E549"/>
      <c r="F549" s="15"/>
      <c r="G549"/>
      <c r="H549"/>
      <c r="I549"/>
      <c r="J549"/>
    </row>
    <row r="550" spans="1:10" x14ac:dyDescent="0.25">
      <c r="A550" s="230"/>
      <c r="B550" s="231"/>
      <c r="C550" s="15"/>
      <c r="D550"/>
      <c r="E550"/>
      <c r="F550" s="15"/>
      <c r="G550"/>
      <c r="H550"/>
      <c r="I550"/>
      <c r="J550"/>
    </row>
    <row r="551" spans="1:10" x14ac:dyDescent="0.25">
      <c r="A551" s="230"/>
      <c r="B551" s="231"/>
      <c r="C551" s="15"/>
      <c r="D551"/>
      <c r="E551"/>
      <c r="F551" s="15"/>
      <c r="G551"/>
      <c r="H551"/>
      <c r="I551"/>
      <c r="J551"/>
    </row>
    <row r="552" spans="1:10" x14ac:dyDescent="0.25">
      <c r="A552" s="230"/>
      <c r="B552" s="231"/>
      <c r="C552" s="15"/>
      <c r="D552"/>
      <c r="E552"/>
      <c r="F552" s="15"/>
      <c r="G552"/>
      <c r="H552"/>
      <c r="I552"/>
      <c r="J552"/>
    </row>
    <row r="553" spans="1:10" x14ac:dyDescent="0.25">
      <c r="A553" s="230"/>
      <c r="B553" s="231"/>
      <c r="C553" s="15"/>
      <c r="D553"/>
      <c r="E553"/>
      <c r="F553" s="15"/>
      <c r="G553"/>
      <c r="H553"/>
      <c r="I553"/>
      <c r="J553"/>
    </row>
    <row r="554" spans="1:10" x14ac:dyDescent="0.25">
      <c r="A554" s="230"/>
      <c r="B554" s="231"/>
      <c r="C554" s="15"/>
      <c r="D554"/>
      <c r="E554"/>
      <c r="F554" s="15"/>
      <c r="G554"/>
      <c r="H554"/>
      <c r="I554"/>
      <c r="J554"/>
    </row>
    <row r="555" spans="1:10" x14ac:dyDescent="0.25">
      <c r="A555" s="230"/>
      <c r="B555" s="231"/>
      <c r="C555" s="15"/>
      <c r="D555"/>
      <c r="E555"/>
      <c r="F555" s="15"/>
      <c r="G555"/>
      <c r="H555"/>
      <c r="I555"/>
      <c r="J555"/>
    </row>
    <row r="556" spans="1:10" x14ac:dyDescent="0.25">
      <c r="A556" s="230"/>
      <c r="B556" s="231"/>
      <c r="C556" s="15"/>
      <c r="D556"/>
      <c r="E556"/>
      <c r="F556" s="15"/>
      <c r="G556"/>
      <c r="H556"/>
      <c r="I556"/>
      <c r="J556"/>
    </row>
    <row r="557" spans="1:10" x14ac:dyDescent="0.25">
      <c r="A557" s="230"/>
      <c r="B557" s="231"/>
      <c r="C557" s="15"/>
      <c r="D557"/>
      <c r="E557"/>
      <c r="F557" s="15"/>
      <c r="G557"/>
      <c r="H557"/>
      <c r="I557"/>
      <c r="J557"/>
    </row>
    <row r="558" spans="1:10" x14ac:dyDescent="0.25">
      <c r="A558" s="230"/>
      <c r="B558" s="231"/>
      <c r="C558" s="15"/>
      <c r="D558"/>
      <c r="E558"/>
      <c r="F558" s="15"/>
      <c r="G558"/>
      <c r="H558"/>
      <c r="I558"/>
      <c r="J558"/>
    </row>
    <row r="559" spans="1:10" x14ac:dyDescent="0.25">
      <c r="A559" s="230"/>
      <c r="B559" s="231"/>
      <c r="C559" s="15"/>
      <c r="D559"/>
      <c r="E559"/>
      <c r="F559" s="15"/>
      <c r="G559"/>
      <c r="H559"/>
      <c r="I559"/>
      <c r="J559"/>
    </row>
    <row r="560" spans="1:10" x14ac:dyDescent="0.25">
      <c r="A560" s="230"/>
      <c r="B560" s="231"/>
      <c r="C560" s="15"/>
      <c r="D560"/>
      <c r="E560"/>
      <c r="F560" s="15"/>
      <c r="G560"/>
      <c r="H560"/>
      <c r="I560"/>
      <c r="J560"/>
    </row>
    <row r="561" spans="1:10" x14ac:dyDescent="0.25">
      <c r="A561" s="230"/>
      <c r="B561" s="231"/>
      <c r="C561" s="15"/>
      <c r="D561"/>
      <c r="E561"/>
      <c r="F561" s="15"/>
      <c r="G561"/>
      <c r="H561"/>
      <c r="I561"/>
      <c r="J561"/>
    </row>
    <row r="562" spans="1:10" x14ac:dyDescent="0.25">
      <c r="A562" s="230"/>
      <c r="B562" s="231"/>
      <c r="C562" s="15"/>
      <c r="D562"/>
      <c r="E562"/>
      <c r="F562" s="15"/>
      <c r="G562"/>
      <c r="H562"/>
      <c r="I562"/>
      <c r="J562"/>
    </row>
    <row r="563" spans="1:10" x14ac:dyDescent="0.25">
      <c r="A563" s="230"/>
      <c r="B563" s="231"/>
      <c r="C563" s="15"/>
      <c r="D563"/>
      <c r="E563"/>
      <c r="F563" s="15"/>
      <c r="G563"/>
      <c r="H563"/>
      <c r="I563"/>
      <c r="J563"/>
    </row>
    <row r="564" spans="1:10" x14ac:dyDescent="0.25">
      <c r="A564" s="230"/>
      <c r="B564" s="231"/>
      <c r="C564" s="15"/>
      <c r="D564"/>
      <c r="E564"/>
      <c r="F564" s="15"/>
      <c r="G564"/>
      <c r="H564"/>
      <c r="I564"/>
      <c r="J564"/>
    </row>
    <row r="565" spans="1:10" x14ac:dyDescent="0.25">
      <c r="A565" s="230"/>
      <c r="B565" s="231"/>
      <c r="C565" s="15"/>
      <c r="D565"/>
      <c r="E565"/>
      <c r="F565" s="15"/>
      <c r="G565"/>
      <c r="H565"/>
      <c r="I565"/>
      <c r="J565"/>
    </row>
    <row r="566" spans="1:10" x14ac:dyDescent="0.25">
      <c r="A566" s="230"/>
      <c r="B566" s="231"/>
      <c r="C566" s="15"/>
      <c r="D566"/>
      <c r="E566"/>
      <c r="F566" s="15"/>
      <c r="G566"/>
      <c r="H566"/>
      <c r="I566"/>
      <c r="J566"/>
    </row>
    <row r="567" spans="1:10" x14ac:dyDescent="0.25">
      <c r="A567" s="230"/>
      <c r="B567" s="231"/>
      <c r="C567" s="15"/>
      <c r="D567"/>
      <c r="E567"/>
      <c r="F567" s="15"/>
      <c r="G567"/>
      <c r="H567"/>
      <c r="I567"/>
      <c r="J567"/>
    </row>
    <row r="568" spans="1:10" x14ac:dyDescent="0.25">
      <c r="A568" s="230"/>
      <c r="B568" s="231"/>
      <c r="C568" s="15"/>
      <c r="D568"/>
      <c r="E568"/>
      <c r="F568" s="15"/>
      <c r="G568"/>
      <c r="H568"/>
      <c r="I568"/>
      <c r="J568"/>
    </row>
    <row r="569" spans="1:10" x14ac:dyDescent="0.25">
      <c r="A569" s="230"/>
      <c r="B569" s="231"/>
      <c r="C569" s="15"/>
      <c r="D569"/>
      <c r="E569"/>
      <c r="F569" s="15"/>
      <c r="G569"/>
      <c r="H569"/>
      <c r="I569"/>
      <c r="J569"/>
    </row>
    <row r="570" spans="1:10" x14ac:dyDescent="0.25">
      <c r="A570" s="230"/>
      <c r="B570" s="231"/>
      <c r="C570" s="15"/>
      <c r="D570"/>
      <c r="E570"/>
      <c r="F570" s="15"/>
      <c r="G570"/>
      <c r="H570"/>
      <c r="I570"/>
      <c r="J570"/>
    </row>
    <row r="571" spans="1:10" x14ac:dyDescent="0.25">
      <c r="A571" s="230"/>
      <c r="B571" s="231"/>
      <c r="C571" s="15"/>
      <c r="D571"/>
      <c r="E571"/>
      <c r="F571" s="15"/>
      <c r="G571"/>
      <c r="H571"/>
      <c r="I571"/>
      <c r="J571"/>
    </row>
    <row r="572" spans="1:10" x14ac:dyDescent="0.25">
      <c r="A572" s="230"/>
      <c r="B572" s="231"/>
      <c r="C572" s="15"/>
      <c r="D572"/>
      <c r="E572"/>
      <c r="F572" s="15"/>
      <c r="G572"/>
      <c r="H572"/>
      <c r="I572"/>
      <c r="J572"/>
    </row>
    <row r="573" spans="1:10" x14ac:dyDescent="0.25">
      <c r="A573" s="230"/>
      <c r="B573" s="231"/>
      <c r="C573" s="15"/>
      <c r="D573"/>
      <c r="E573"/>
      <c r="F573" s="15"/>
      <c r="G573"/>
      <c r="H573"/>
      <c r="I573"/>
      <c r="J573"/>
    </row>
    <row r="574" spans="1:10" x14ac:dyDescent="0.25">
      <c r="A574" s="230"/>
      <c r="B574" s="231"/>
      <c r="C574" s="15"/>
      <c r="D574"/>
      <c r="E574"/>
      <c r="F574" s="15"/>
      <c r="G574"/>
      <c r="H574"/>
      <c r="I574"/>
      <c r="J574"/>
    </row>
    <row r="575" spans="1:10" x14ac:dyDescent="0.25">
      <c r="A575" s="230"/>
      <c r="B575" s="231"/>
      <c r="C575" s="15"/>
      <c r="D575"/>
      <c r="E575"/>
      <c r="F575" s="15"/>
      <c r="G575"/>
      <c r="H575"/>
      <c r="I575"/>
      <c r="J575"/>
    </row>
    <row r="576" spans="1:10" x14ac:dyDescent="0.25">
      <c r="A576" s="230"/>
      <c r="B576" s="231"/>
      <c r="C576" s="15"/>
      <c r="D576"/>
      <c r="E576"/>
      <c r="F576" s="15"/>
      <c r="G576"/>
      <c r="H576"/>
      <c r="I576"/>
      <c r="J576"/>
    </row>
    <row r="577" spans="1:10" x14ac:dyDescent="0.25">
      <c r="A577" s="230"/>
      <c r="B577" s="231"/>
      <c r="C577" s="15"/>
      <c r="D577"/>
      <c r="E577"/>
      <c r="F577" s="15"/>
      <c r="G577"/>
      <c r="H577"/>
      <c r="I577"/>
      <c r="J577"/>
    </row>
    <row r="578" spans="1:10" x14ac:dyDescent="0.25">
      <c r="A578" s="230"/>
      <c r="B578" s="231"/>
      <c r="C578" s="15"/>
      <c r="D578"/>
      <c r="E578"/>
      <c r="F578" s="15"/>
      <c r="G578"/>
      <c r="H578"/>
      <c r="I578"/>
      <c r="J578"/>
    </row>
    <row r="579" spans="1:10" x14ac:dyDescent="0.25">
      <c r="A579" s="230"/>
      <c r="B579" s="231"/>
      <c r="C579" s="15"/>
      <c r="D579"/>
      <c r="E579"/>
      <c r="F579" s="15"/>
      <c r="G579"/>
      <c r="H579"/>
      <c r="I579"/>
      <c r="J579"/>
    </row>
    <row r="580" spans="1:10" x14ac:dyDescent="0.25">
      <c r="A580" s="230"/>
      <c r="B580" s="231"/>
      <c r="C580" s="15"/>
      <c r="D580"/>
      <c r="E580"/>
      <c r="F580" s="15"/>
      <c r="G580"/>
      <c r="H580"/>
      <c r="I580"/>
      <c r="J580"/>
    </row>
    <row r="581" spans="1:10" x14ac:dyDescent="0.25">
      <c r="A581" s="230"/>
      <c r="B581" s="231"/>
      <c r="C581" s="15"/>
      <c r="D581"/>
      <c r="E581"/>
      <c r="F581" s="15"/>
      <c r="G581"/>
      <c r="H581"/>
      <c r="I581"/>
      <c r="J581"/>
    </row>
    <row r="582" spans="1:10" x14ac:dyDescent="0.25">
      <c r="A582" s="230"/>
      <c r="B582" s="231"/>
      <c r="C582" s="15"/>
      <c r="D582"/>
      <c r="E582"/>
      <c r="F582" s="15"/>
      <c r="G582"/>
      <c r="H582"/>
      <c r="I582"/>
      <c r="J582"/>
    </row>
    <row r="583" spans="1:10" x14ac:dyDescent="0.25">
      <c r="A583" s="230"/>
      <c r="B583" s="231"/>
      <c r="C583" s="15"/>
      <c r="D583"/>
      <c r="E583"/>
      <c r="F583" s="15"/>
      <c r="G583"/>
      <c r="H583"/>
      <c r="I583"/>
      <c r="J583"/>
    </row>
    <row r="584" spans="1:10" x14ac:dyDescent="0.25">
      <c r="A584" s="230"/>
      <c r="B584" s="231"/>
      <c r="C584" s="15"/>
      <c r="D584"/>
      <c r="E584"/>
      <c r="F584" s="15"/>
      <c r="G584"/>
      <c r="H584"/>
      <c r="I584"/>
      <c r="J584"/>
    </row>
    <row r="585" spans="1:10" x14ac:dyDescent="0.25">
      <c r="A585" s="230"/>
      <c r="B585" s="231"/>
      <c r="C585" s="15"/>
      <c r="D585"/>
      <c r="E585"/>
      <c r="F585" s="15"/>
      <c r="G585"/>
      <c r="H585"/>
      <c r="I585"/>
      <c r="J585"/>
    </row>
    <row r="586" spans="1:10" x14ac:dyDescent="0.25">
      <c r="A586" s="230"/>
      <c r="B586" s="231"/>
      <c r="C586" s="15"/>
      <c r="D586"/>
      <c r="E586"/>
      <c r="F586" s="15"/>
      <c r="G586"/>
      <c r="H586"/>
      <c r="I586"/>
      <c r="J586"/>
    </row>
    <row r="587" spans="1:10" x14ac:dyDescent="0.25">
      <c r="A587" s="230"/>
      <c r="B587" s="231"/>
      <c r="C587" s="15"/>
      <c r="D587"/>
      <c r="E587"/>
      <c r="F587" s="15"/>
      <c r="G587"/>
      <c r="H587"/>
      <c r="I587"/>
      <c r="J587"/>
    </row>
    <row r="588" spans="1:10" x14ac:dyDescent="0.25">
      <c r="A588" s="230"/>
      <c r="B588" s="231"/>
      <c r="C588" s="15"/>
      <c r="D588"/>
      <c r="E588"/>
      <c r="F588" s="15"/>
      <c r="G588"/>
      <c r="H588"/>
      <c r="I588"/>
      <c r="J588"/>
    </row>
    <row r="589" spans="1:10" x14ac:dyDescent="0.25">
      <c r="A589" s="230"/>
      <c r="B589" s="231"/>
      <c r="C589" s="15"/>
      <c r="D589"/>
      <c r="E589"/>
      <c r="F589" s="15"/>
      <c r="G589"/>
      <c r="H589"/>
      <c r="I589"/>
      <c r="J589"/>
    </row>
    <row r="590" spans="1:10" x14ac:dyDescent="0.25">
      <c r="A590" s="230"/>
      <c r="B590" s="231"/>
      <c r="C590" s="15"/>
      <c r="D590"/>
      <c r="E590"/>
      <c r="F590" s="15"/>
      <c r="G590"/>
      <c r="H590"/>
      <c r="I590"/>
      <c r="J590"/>
    </row>
    <row r="591" spans="1:10" x14ac:dyDescent="0.25">
      <c r="A591" s="230"/>
      <c r="B591" s="231"/>
      <c r="C591" s="15"/>
      <c r="D591"/>
      <c r="E591"/>
      <c r="F591" s="15"/>
      <c r="G591"/>
      <c r="H591"/>
      <c r="I591"/>
      <c r="J591"/>
    </row>
    <row r="592" spans="1:10" x14ac:dyDescent="0.25">
      <c r="A592" s="230"/>
      <c r="B592" s="231"/>
      <c r="C592" s="15"/>
      <c r="D592"/>
      <c r="E592"/>
      <c r="F592" s="15"/>
      <c r="G592"/>
      <c r="H592"/>
      <c r="I592"/>
      <c r="J592"/>
    </row>
    <row r="593" spans="1:10" x14ac:dyDescent="0.25">
      <c r="A593" s="230"/>
      <c r="B593" s="231"/>
      <c r="C593" s="15"/>
      <c r="D593"/>
      <c r="E593"/>
      <c r="F593" s="15"/>
      <c r="G593"/>
      <c r="H593"/>
      <c r="I593"/>
      <c r="J593"/>
    </row>
    <row r="594" spans="1:10" x14ac:dyDescent="0.25">
      <c r="A594" s="230"/>
      <c r="B594" s="231"/>
      <c r="C594" s="15"/>
      <c r="D594"/>
      <c r="E594"/>
      <c r="F594" s="15"/>
      <c r="G594"/>
      <c r="H594"/>
      <c r="I594"/>
      <c r="J594"/>
    </row>
    <row r="595" spans="1:10" x14ac:dyDescent="0.25">
      <c r="A595" s="230"/>
      <c r="B595" s="231"/>
      <c r="C595" s="15"/>
      <c r="D595"/>
      <c r="E595"/>
      <c r="F595" s="15"/>
      <c r="G595"/>
      <c r="H595"/>
      <c r="I595"/>
      <c r="J595"/>
    </row>
    <row r="596" spans="1:10" x14ac:dyDescent="0.25">
      <c r="A596" s="230"/>
      <c r="B596" s="231"/>
      <c r="C596" s="15"/>
      <c r="D596"/>
      <c r="E596"/>
      <c r="F596" s="15"/>
      <c r="G596"/>
      <c r="H596"/>
      <c r="I596"/>
      <c r="J596"/>
    </row>
    <row r="597" spans="1:10" x14ac:dyDescent="0.25">
      <c r="A597" s="230"/>
      <c r="B597" s="231"/>
      <c r="C597" s="15"/>
      <c r="D597"/>
      <c r="E597"/>
      <c r="F597" s="15"/>
      <c r="G597"/>
      <c r="H597"/>
      <c r="I597"/>
      <c r="J597"/>
    </row>
    <row r="598" spans="1:10" x14ac:dyDescent="0.25">
      <c r="A598" s="230"/>
      <c r="B598" s="231"/>
      <c r="C598" s="15"/>
      <c r="D598"/>
      <c r="E598"/>
      <c r="F598" s="15"/>
      <c r="G598"/>
      <c r="H598"/>
      <c r="I598"/>
      <c r="J598"/>
    </row>
    <row r="599" spans="1:10" x14ac:dyDescent="0.25">
      <c r="A599" s="230"/>
      <c r="B599" s="231"/>
      <c r="C599" s="15"/>
      <c r="D599"/>
      <c r="E599"/>
      <c r="F599" s="15"/>
      <c r="G599"/>
      <c r="H599"/>
      <c r="I599"/>
      <c r="J599"/>
    </row>
    <row r="600" spans="1:10" x14ac:dyDescent="0.25">
      <c r="A600" s="230"/>
      <c r="B600" s="231"/>
      <c r="C600" s="15"/>
      <c r="D600"/>
      <c r="E600"/>
      <c r="F600" s="15"/>
      <c r="G600"/>
      <c r="H600"/>
      <c r="I600"/>
      <c r="J600"/>
    </row>
    <row r="601" spans="1:10" x14ac:dyDescent="0.25">
      <c r="A601" s="230"/>
      <c r="B601" s="231"/>
      <c r="C601" s="15"/>
      <c r="D601"/>
      <c r="E601"/>
      <c r="F601" s="15"/>
      <c r="G601"/>
      <c r="H601"/>
      <c r="I601"/>
      <c r="J601"/>
    </row>
    <row r="602" spans="1:10" x14ac:dyDescent="0.25">
      <c r="A602" s="230"/>
      <c r="B602" s="231"/>
      <c r="C602" s="15"/>
      <c r="D602"/>
      <c r="E602"/>
      <c r="F602" s="15"/>
      <c r="G602"/>
      <c r="H602"/>
      <c r="I602"/>
      <c r="J602"/>
    </row>
    <row r="603" spans="1:10" x14ac:dyDescent="0.25">
      <c r="A603" s="230"/>
      <c r="B603" s="231"/>
      <c r="C603" s="15"/>
      <c r="D603"/>
      <c r="E603"/>
      <c r="F603" s="15"/>
      <c r="G603"/>
      <c r="H603"/>
      <c r="I603"/>
      <c r="J603"/>
    </row>
    <row r="604" spans="1:10" x14ac:dyDescent="0.25">
      <c r="A604" s="230"/>
      <c r="B604" s="231"/>
      <c r="C604" s="15"/>
      <c r="D604"/>
      <c r="E604"/>
      <c r="F604" s="15"/>
      <c r="G604"/>
      <c r="H604"/>
      <c r="I604"/>
      <c r="J604"/>
    </row>
    <row r="605" spans="1:10" x14ac:dyDescent="0.25">
      <c r="A605" s="230"/>
      <c r="B605" s="231"/>
      <c r="C605" s="15"/>
      <c r="D605"/>
      <c r="E605"/>
      <c r="F605" s="15"/>
      <c r="G605"/>
      <c r="H605"/>
      <c r="I605"/>
      <c r="J605"/>
    </row>
    <row r="606" spans="1:10" x14ac:dyDescent="0.25">
      <c r="A606" s="230"/>
      <c r="B606" s="231"/>
      <c r="C606" s="15"/>
      <c r="D606"/>
      <c r="E606"/>
      <c r="F606" s="15"/>
      <c r="G606"/>
      <c r="H606"/>
      <c r="I606"/>
      <c r="J606"/>
    </row>
    <row r="607" spans="1:10" x14ac:dyDescent="0.25">
      <c r="A607" s="230"/>
      <c r="B607" s="231"/>
      <c r="C607" s="15"/>
      <c r="D607"/>
      <c r="E607"/>
      <c r="F607" s="15"/>
      <c r="G607"/>
      <c r="H607"/>
      <c r="I607"/>
      <c r="J607"/>
    </row>
    <row r="608" spans="1:10" x14ac:dyDescent="0.25">
      <c r="A608" s="230"/>
      <c r="B608" s="231"/>
      <c r="C608" s="15"/>
      <c r="D608"/>
      <c r="E608"/>
      <c r="F608" s="15"/>
      <c r="G608"/>
      <c r="H608"/>
      <c r="I608"/>
      <c r="J608"/>
    </row>
    <row r="609" spans="1:10" x14ac:dyDescent="0.25">
      <c r="A609" s="230"/>
      <c r="B609" s="231"/>
      <c r="C609" s="15"/>
      <c r="D609"/>
      <c r="E609"/>
      <c r="F609" s="15"/>
      <c r="G609"/>
      <c r="H609"/>
      <c r="I609"/>
      <c r="J609"/>
    </row>
    <row r="610" spans="1:10" x14ac:dyDescent="0.25">
      <c r="A610" s="230"/>
      <c r="B610" s="231"/>
      <c r="C610" s="15"/>
      <c r="D610"/>
      <c r="E610"/>
      <c r="F610" s="15"/>
      <c r="G610"/>
      <c r="H610"/>
      <c r="I610"/>
      <c r="J610"/>
    </row>
    <row r="611" spans="1:10" x14ac:dyDescent="0.25">
      <c r="A611" s="230"/>
      <c r="B611" s="231"/>
      <c r="C611" s="15"/>
      <c r="D611"/>
      <c r="E611"/>
      <c r="F611" s="15"/>
      <c r="G611"/>
      <c r="H611"/>
      <c r="I611"/>
      <c r="J611"/>
    </row>
    <row r="612" spans="1:10" x14ac:dyDescent="0.25">
      <c r="A612" s="230"/>
      <c r="B612" s="231"/>
      <c r="C612" s="15"/>
      <c r="D612"/>
      <c r="E612"/>
      <c r="F612" s="15"/>
      <c r="G612"/>
      <c r="H612"/>
      <c r="I612"/>
      <c r="J612"/>
    </row>
    <row r="613" spans="1:10" x14ac:dyDescent="0.25">
      <c r="A613" s="230"/>
      <c r="B613" s="231"/>
      <c r="C613" s="15"/>
      <c r="D613"/>
      <c r="E613"/>
      <c r="F613" s="15"/>
      <c r="G613"/>
      <c r="H613"/>
      <c r="I613"/>
      <c r="J613"/>
    </row>
    <row r="614" spans="1:10" x14ac:dyDescent="0.25">
      <c r="A614" s="230"/>
      <c r="B614" s="231"/>
      <c r="C614" s="15"/>
      <c r="D614"/>
      <c r="E614"/>
      <c r="F614" s="15"/>
      <c r="G614"/>
      <c r="H614"/>
      <c r="I614"/>
      <c r="J614"/>
    </row>
    <row r="615" spans="1:10" x14ac:dyDescent="0.25">
      <c r="A615" s="230"/>
      <c r="B615" s="231"/>
      <c r="C615" s="15"/>
      <c r="D615"/>
      <c r="E615"/>
      <c r="F615" s="15"/>
      <c r="G615"/>
      <c r="H615"/>
      <c r="I615"/>
      <c r="J615"/>
    </row>
    <row r="616" spans="1:10" x14ac:dyDescent="0.25">
      <c r="A616" s="230"/>
      <c r="B616" s="231"/>
      <c r="C616" s="15"/>
      <c r="D616"/>
      <c r="E616"/>
      <c r="F616" s="15"/>
      <c r="G616"/>
      <c r="H616"/>
      <c r="I616"/>
      <c r="J616"/>
    </row>
    <row r="617" spans="1:10" x14ac:dyDescent="0.25">
      <c r="A617" s="230"/>
      <c r="B617" s="231"/>
      <c r="C617" s="15"/>
      <c r="D617"/>
      <c r="E617"/>
      <c r="F617" s="15"/>
      <c r="G617"/>
      <c r="H617"/>
      <c r="I617"/>
      <c r="J617"/>
    </row>
    <row r="618" spans="1:10" x14ac:dyDescent="0.25">
      <c r="A618" s="230"/>
      <c r="B618" s="231"/>
      <c r="C618" s="15"/>
      <c r="D618"/>
      <c r="E618"/>
      <c r="F618" s="15"/>
      <c r="G618"/>
      <c r="H618"/>
      <c r="I618"/>
      <c r="J618"/>
    </row>
    <row r="619" spans="1:10" x14ac:dyDescent="0.25">
      <c r="A619" s="230"/>
      <c r="B619" s="231"/>
      <c r="C619" s="15"/>
      <c r="D619"/>
      <c r="E619"/>
      <c r="F619" s="15"/>
      <c r="G619"/>
      <c r="H619"/>
      <c r="I619"/>
      <c r="J619"/>
    </row>
    <row r="620" spans="1:10" x14ac:dyDescent="0.25">
      <c r="A620" s="230"/>
      <c r="B620" s="231"/>
      <c r="C620" s="15"/>
      <c r="D620"/>
      <c r="E620"/>
      <c r="F620" s="15"/>
      <c r="G620"/>
      <c r="H620"/>
      <c r="I620"/>
      <c r="J620"/>
    </row>
    <row r="621" spans="1:10" x14ac:dyDescent="0.25">
      <c r="A621" s="230"/>
      <c r="B621" s="231"/>
      <c r="C621" s="15"/>
      <c r="D621"/>
      <c r="E621"/>
      <c r="F621" s="15"/>
      <c r="G621"/>
      <c r="H621"/>
      <c r="I621"/>
      <c r="J621"/>
    </row>
    <row r="622" spans="1:10" x14ac:dyDescent="0.25">
      <c r="A622" s="230"/>
      <c r="B622" s="231"/>
      <c r="C622" s="15"/>
      <c r="D622"/>
      <c r="E622"/>
      <c r="F622" s="15"/>
      <c r="G622"/>
      <c r="H622"/>
      <c r="I622"/>
      <c r="J622"/>
    </row>
    <row r="623" spans="1:10" x14ac:dyDescent="0.25">
      <c r="A623" s="230"/>
      <c r="B623" s="231"/>
      <c r="C623" s="15"/>
      <c r="D623"/>
      <c r="E623"/>
      <c r="F623" s="15"/>
      <c r="G623"/>
      <c r="H623"/>
      <c r="I623"/>
      <c r="J623"/>
    </row>
    <row r="624" spans="1:10" x14ac:dyDescent="0.25">
      <c r="A624" s="230"/>
      <c r="B624" s="231"/>
      <c r="C624" s="15"/>
      <c r="D624"/>
      <c r="E624"/>
      <c r="F624" s="15"/>
      <c r="G624"/>
      <c r="H624"/>
      <c r="I624"/>
      <c r="J624"/>
    </row>
    <row r="625" spans="1:10" x14ac:dyDescent="0.25">
      <c r="A625" s="230"/>
      <c r="B625" s="231"/>
      <c r="C625" s="15"/>
      <c r="D625"/>
      <c r="E625"/>
      <c r="F625" s="15"/>
      <c r="G625"/>
      <c r="H625"/>
      <c r="I625"/>
      <c r="J625"/>
    </row>
    <row r="626" spans="1:10" x14ac:dyDescent="0.25">
      <c r="A626" s="230"/>
      <c r="B626" s="231"/>
      <c r="C626" s="15"/>
      <c r="D626"/>
      <c r="E626"/>
      <c r="F626" s="15"/>
      <c r="G626"/>
      <c r="H626"/>
      <c r="I626"/>
      <c r="J626"/>
    </row>
    <row r="627" spans="1:10" x14ac:dyDescent="0.25">
      <c r="A627" s="230"/>
      <c r="B627" s="231"/>
      <c r="C627" s="15"/>
      <c r="D627"/>
      <c r="E627"/>
      <c r="F627" s="15"/>
      <c r="G627"/>
      <c r="H627"/>
      <c r="I627"/>
      <c r="J627"/>
    </row>
    <row r="628" spans="1:10" x14ac:dyDescent="0.25">
      <c r="A628" s="230"/>
      <c r="B628" s="231"/>
      <c r="C628" s="15"/>
      <c r="D628"/>
      <c r="E628"/>
      <c r="F628" s="15"/>
      <c r="G628"/>
      <c r="H628"/>
      <c r="I628"/>
      <c r="J628"/>
    </row>
    <row r="629" spans="1:10" x14ac:dyDescent="0.25">
      <c r="A629" s="230"/>
      <c r="B629" s="231"/>
      <c r="C629" s="15"/>
      <c r="D629"/>
      <c r="E629"/>
      <c r="F629" s="15"/>
      <c r="G629"/>
      <c r="H629"/>
      <c r="I629"/>
      <c r="J629"/>
    </row>
    <row r="630" spans="1:10" x14ac:dyDescent="0.25">
      <c r="A630" s="230"/>
      <c r="B630" s="231"/>
      <c r="C630" s="15"/>
      <c r="D630"/>
      <c r="E630"/>
      <c r="F630" s="15"/>
      <c r="G630"/>
      <c r="H630"/>
      <c r="I630"/>
      <c r="J630"/>
    </row>
    <row r="631" spans="1:10" x14ac:dyDescent="0.25">
      <c r="A631" s="230"/>
      <c r="B631" s="231"/>
      <c r="C631" s="15"/>
      <c r="D631"/>
      <c r="E631"/>
      <c r="F631" s="15"/>
      <c r="G631"/>
      <c r="H631"/>
      <c r="I631"/>
      <c r="J631"/>
    </row>
    <row r="632" spans="1:10" x14ac:dyDescent="0.25">
      <c r="A632" s="230"/>
      <c r="B632" s="231"/>
      <c r="C632" s="15"/>
      <c r="D632"/>
      <c r="E632"/>
      <c r="F632" s="15"/>
      <c r="G632"/>
      <c r="H632"/>
      <c r="I632"/>
      <c r="J632"/>
    </row>
    <row r="633" spans="1:10" x14ac:dyDescent="0.25">
      <c r="A633" s="230"/>
      <c r="B633" s="231"/>
      <c r="C633" s="15"/>
      <c r="D633"/>
      <c r="E633"/>
      <c r="F633" s="15"/>
      <c r="G633"/>
      <c r="H633"/>
      <c r="I633"/>
      <c r="J633"/>
    </row>
    <row r="634" spans="1:10" x14ac:dyDescent="0.25">
      <c r="A634" s="230"/>
      <c r="B634" s="231"/>
      <c r="C634" s="15"/>
      <c r="D634"/>
      <c r="E634"/>
      <c r="F634" s="15"/>
      <c r="G634"/>
      <c r="H634"/>
      <c r="I634"/>
      <c r="J634"/>
    </row>
    <row r="635" spans="1:10" x14ac:dyDescent="0.25">
      <c r="A635" s="230"/>
      <c r="B635" s="231"/>
      <c r="C635" s="15"/>
      <c r="D635"/>
      <c r="E635"/>
      <c r="F635" s="15"/>
      <c r="G635"/>
      <c r="H635"/>
      <c r="I635"/>
      <c r="J635"/>
    </row>
    <row r="636" spans="1:10" x14ac:dyDescent="0.25">
      <c r="A636" s="230"/>
      <c r="B636" s="231"/>
      <c r="C636" s="15"/>
      <c r="D636"/>
      <c r="E636"/>
      <c r="F636" s="15"/>
      <c r="G636"/>
      <c r="H636"/>
      <c r="I636"/>
      <c r="J636"/>
    </row>
    <row r="637" spans="1:10" x14ac:dyDescent="0.25">
      <c r="A637" s="230"/>
      <c r="B637" s="231"/>
      <c r="C637" s="15"/>
      <c r="D637"/>
      <c r="E637"/>
      <c r="F637" s="15"/>
      <c r="G637"/>
      <c r="H637"/>
      <c r="I637"/>
      <c r="J637"/>
    </row>
    <row r="638" spans="1:10" x14ac:dyDescent="0.25">
      <c r="A638" s="230"/>
      <c r="B638" s="231"/>
      <c r="C638" s="15"/>
      <c r="D638"/>
      <c r="E638"/>
      <c r="F638" s="15"/>
      <c r="G638"/>
      <c r="H638"/>
      <c r="I638"/>
      <c r="J638"/>
    </row>
    <row r="639" spans="1:10" x14ac:dyDescent="0.25">
      <c r="A639" s="230"/>
      <c r="B639" s="231"/>
      <c r="C639" s="15"/>
      <c r="D639"/>
      <c r="E639"/>
      <c r="F639" s="15"/>
      <c r="G639"/>
      <c r="H639"/>
      <c r="I639"/>
      <c r="J639"/>
    </row>
    <row r="640" spans="1:10" x14ac:dyDescent="0.25">
      <c r="A640" s="230"/>
      <c r="B640" s="231"/>
      <c r="C640" s="15"/>
      <c r="D640"/>
      <c r="E640"/>
      <c r="F640" s="15"/>
      <c r="G640"/>
      <c r="H640"/>
      <c r="I640"/>
      <c r="J640"/>
    </row>
    <row r="641" spans="1:10" x14ac:dyDescent="0.25">
      <c r="A641" s="230"/>
      <c r="B641" s="231"/>
      <c r="C641" s="15"/>
      <c r="D641"/>
      <c r="E641"/>
      <c r="F641" s="15"/>
      <c r="G641"/>
      <c r="H641"/>
      <c r="I641"/>
      <c r="J641"/>
    </row>
    <row r="642" spans="1:10" x14ac:dyDescent="0.25">
      <c r="A642" s="230"/>
      <c r="B642" s="231"/>
      <c r="C642" s="15"/>
      <c r="D642"/>
      <c r="E642"/>
      <c r="F642" s="15"/>
      <c r="G642"/>
      <c r="H642"/>
      <c r="I642"/>
      <c r="J642"/>
    </row>
    <row r="643" spans="1:10" x14ac:dyDescent="0.25">
      <c r="A643" s="230"/>
      <c r="B643" s="231"/>
      <c r="C643" s="15"/>
      <c r="D643"/>
      <c r="E643"/>
      <c r="F643" s="15"/>
      <c r="G643"/>
      <c r="H643"/>
      <c r="I643"/>
      <c r="J643"/>
    </row>
    <row r="644" spans="1:10" x14ac:dyDescent="0.25">
      <c r="A644" s="230"/>
      <c r="B644" s="231"/>
      <c r="C644" s="15"/>
      <c r="D644"/>
      <c r="E644"/>
      <c r="F644" s="15"/>
      <c r="G644"/>
      <c r="H644"/>
      <c r="I644"/>
      <c r="J644"/>
    </row>
    <row r="645" spans="1:10" x14ac:dyDescent="0.25">
      <c r="A645" s="230"/>
      <c r="B645" s="231"/>
      <c r="C645" s="15"/>
      <c r="D645"/>
      <c r="E645"/>
      <c r="F645" s="15"/>
      <c r="G645"/>
      <c r="H645"/>
      <c r="I645"/>
      <c r="J645"/>
    </row>
    <row r="646" spans="1:10" x14ac:dyDescent="0.25">
      <c r="A646" s="230"/>
      <c r="B646" s="231"/>
      <c r="C646" s="15"/>
      <c r="D646"/>
      <c r="E646"/>
      <c r="F646" s="15"/>
      <c r="G646"/>
      <c r="H646"/>
      <c r="I646"/>
      <c r="J646"/>
    </row>
    <row r="647" spans="1:10" x14ac:dyDescent="0.25">
      <c r="A647" s="230"/>
      <c r="B647" s="231"/>
      <c r="C647" s="15"/>
      <c r="D647"/>
      <c r="E647"/>
      <c r="F647" s="15"/>
      <c r="G647"/>
      <c r="H647"/>
      <c r="I647"/>
      <c r="J647"/>
    </row>
    <row r="648" spans="1:10" x14ac:dyDescent="0.25">
      <c r="A648" s="230"/>
      <c r="B648" s="231"/>
      <c r="C648" s="15"/>
      <c r="D648"/>
      <c r="E648"/>
      <c r="F648" s="15"/>
      <c r="G648"/>
      <c r="H648"/>
      <c r="I648"/>
      <c r="J648"/>
    </row>
    <row r="649" spans="1:10" x14ac:dyDescent="0.25">
      <c r="A649" s="230"/>
      <c r="B649" s="231"/>
      <c r="C649" s="15"/>
      <c r="D649"/>
      <c r="E649"/>
      <c r="F649" s="15"/>
      <c r="G649"/>
      <c r="H649"/>
      <c r="I649"/>
      <c r="J649"/>
    </row>
    <row r="650" spans="1:10" x14ac:dyDescent="0.25">
      <c r="A650" s="230"/>
      <c r="B650" s="231"/>
      <c r="C650" s="15"/>
      <c r="D650"/>
      <c r="E650"/>
      <c r="F650" s="15"/>
      <c r="G650"/>
      <c r="H650"/>
      <c r="I650"/>
      <c r="J650"/>
    </row>
    <row r="651" spans="1:10" x14ac:dyDescent="0.25">
      <c r="A651" s="230"/>
      <c r="B651" s="231"/>
      <c r="C651" s="15"/>
      <c r="D651"/>
      <c r="E651"/>
      <c r="F651" s="15"/>
      <c r="G651"/>
      <c r="H651"/>
      <c r="I651"/>
      <c r="J651"/>
    </row>
    <row r="652" spans="1:10" x14ac:dyDescent="0.25">
      <c r="A652" s="230"/>
      <c r="B652" s="231"/>
      <c r="C652" s="15"/>
      <c r="D652"/>
      <c r="E652"/>
      <c r="F652" s="15"/>
      <c r="G652"/>
      <c r="H652"/>
      <c r="I652"/>
      <c r="J652"/>
    </row>
    <row r="653" spans="1:10" x14ac:dyDescent="0.25">
      <c r="A653" s="230"/>
      <c r="B653" s="231"/>
      <c r="C653" s="15"/>
      <c r="D653"/>
      <c r="E653"/>
      <c r="F653" s="15"/>
      <c r="G653"/>
      <c r="H653"/>
      <c r="I653"/>
      <c r="J653"/>
    </row>
    <row r="654" spans="1:10" x14ac:dyDescent="0.25">
      <c r="A654" s="230"/>
      <c r="B654" s="231"/>
      <c r="C654" s="15"/>
      <c r="D654"/>
      <c r="E654"/>
      <c r="F654" s="15"/>
      <c r="G654"/>
      <c r="H654"/>
      <c r="I654"/>
      <c r="J654"/>
    </row>
    <row r="655" spans="1:10" x14ac:dyDescent="0.25">
      <c r="A655" s="230"/>
      <c r="B655" s="231"/>
      <c r="C655" s="15"/>
      <c r="D655"/>
      <c r="E655"/>
      <c r="F655" s="15"/>
      <c r="G655"/>
      <c r="H655"/>
      <c r="I655"/>
      <c r="J655"/>
    </row>
    <row r="656" spans="1:10" x14ac:dyDescent="0.25">
      <c r="A656" s="230"/>
      <c r="B656" s="231"/>
      <c r="C656" s="15"/>
      <c r="D656"/>
      <c r="E656"/>
      <c r="F656" s="15"/>
      <c r="G656"/>
      <c r="H656"/>
      <c r="I656"/>
      <c r="J656"/>
    </row>
    <row r="657" spans="1:10" x14ac:dyDescent="0.25">
      <c r="A657" s="230"/>
      <c r="B657" s="231"/>
      <c r="C657" s="15"/>
      <c r="D657"/>
      <c r="E657"/>
      <c r="F657" s="15"/>
      <c r="G657"/>
      <c r="H657"/>
      <c r="I657"/>
      <c r="J657"/>
    </row>
    <row r="658" spans="1:10" x14ac:dyDescent="0.25">
      <c r="A658" s="230"/>
      <c r="B658" s="231"/>
      <c r="C658" s="15"/>
      <c r="D658"/>
      <c r="E658"/>
      <c r="F658" s="15"/>
      <c r="G658"/>
      <c r="H658"/>
      <c r="I658"/>
      <c r="J658"/>
    </row>
    <row r="659" spans="1:10" x14ac:dyDescent="0.25">
      <c r="A659" s="230"/>
      <c r="B659" s="231"/>
      <c r="C659" s="15"/>
      <c r="D659"/>
      <c r="E659"/>
      <c r="F659" s="15"/>
      <c r="G659"/>
      <c r="H659"/>
      <c r="I659"/>
      <c r="J659"/>
    </row>
    <row r="660" spans="1:10" x14ac:dyDescent="0.25">
      <c r="A660" s="230"/>
      <c r="B660" s="231"/>
      <c r="C660" s="15"/>
      <c r="D660"/>
      <c r="E660"/>
      <c r="F660" s="15"/>
      <c r="G660"/>
      <c r="H660"/>
      <c r="I660"/>
      <c r="J660"/>
    </row>
    <row r="661" spans="1:10" x14ac:dyDescent="0.25">
      <c r="A661" s="230"/>
      <c r="B661" s="231"/>
      <c r="C661" s="15"/>
      <c r="D661"/>
      <c r="E661"/>
      <c r="F661" s="15"/>
      <c r="G661"/>
      <c r="H661"/>
      <c r="I661"/>
      <c r="J661"/>
    </row>
    <row r="662" spans="1:10" x14ac:dyDescent="0.25">
      <c r="A662" s="230"/>
      <c r="B662" s="231"/>
      <c r="C662" s="15"/>
      <c r="D662"/>
      <c r="E662"/>
      <c r="F662" s="15"/>
      <c r="G662"/>
      <c r="H662"/>
      <c r="I662"/>
      <c r="J662"/>
    </row>
    <row r="663" spans="1:10" x14ac:dyDescent="0.25">
      <c r="A663" s="230"/>
      <c r="B663" s="231"/>
      <c r="C663" s="15"/>
      <c r="D663"/>
      <c r="E663"/>
      <c r="F663" s="15"/>
      <c r="G663"/>
      <c r="H663"/>
      <c r="I663"/>
      <c r="J663"/>
    </row>
    <row r="664" spans="1:10" x14ac:dyDescent="0.25">
      <c r="A664" s="230"/>
      <c r="B664" s="231"/>
      <c r="C664" s="15"/>
      <c r="D664"/>
      <c r="E664"/>
      <c r="F664" s="15"/>
      <c r="G664"/>
      <c r="H664"/>
      <c r="I664"/>
      <c r="J664"/>
    </row>
    <row r="665" spans="1:10" x14ac:dyDescent="0.25">
      <c r="A665" s="230"/>
      <c r="B665" s="231"/>
      <c r="C665" s="15"/>
      <c r="D665"/>
      <c r="E665"/>
      <c r="F665" s="15"/>
      <c r="G665"/>
      <c r="H665"/>
      <c r="I665"/>
      <c r="J665"/>
    </row>
    <row r="666" spans="1:10" x14ac:dyDescent="0.25">
      <c r="A666" s="230"/>
      <c r="B666" s="231"/>
      <c r="C666" s="15"/>
      <c r="D666"/>
      <c r="E666"/>
      <c r="F666" s="15"/>
      <c r="G666"/>
      <c r="H666"/>
      <c r="I666"/>
      <c r="J666"/>
    </row>
    <row r="667" spans="1:10" x14ac:dyDescent="0.25">
      <c r="A667" s="230"/>
      <c r="B667" s="231"/>
      <c r="C667" s="15"/>
      <c r="D667"/>
      <c r="E667"/>
      <c r="F667" s="15"/>
      <c r="G667"/>
      <c r="H667"/>
      <c r="I667"/>
      <c r="J667"/>
    </row>
    <row r="668" spans="1:10" x14ac:dyDescent="0.25">
      <c r="A668" s="230"/>
      <c r="B668" s="231"/>
      <c r="C668" s="15"/>
      <c r="D668"/>
      <c r="E668"/>
      <c r="F668" s="15"/>
      <c r="G668"/>
      <c r="H668"/>
      <c r="I668"/>
      <c r="J668"/>
    </row>
    <row r="669" spans="1:10" x14ac:dyDescent="0.25">
      <c r="A669" s="230"/>
      <c r="B669" s="231"/>
      <c r="C669" s="15"/>
      <c r="D669"/>
      <c r="E669"/>
      <c r="F669" s="15"/>
      <c r="G669"/>
      <c r="H669"/>
      <c r="I669"/>
      <c r="J669"/>
    </row>
    <row r="670" spans="1:10" x14ac:dyDescent="0.25">
      <c r="A670" s="230"/>
      <c r="B670" s="231"/>
      <c r="C670" s="15"/>
      <c r="D670"/>
      <c r="E670"/>
      <c r="F670" s="15"/>
      <c r="G670"/>
      <c r="H670"/>
      <c r="I670"/>
      <c r="J670"/>
    </row>
    <row r="671" spans="1:10" x14ac:dyDescent="0.25">
      <c r="A671" s="230"/>
      <c r="B671" s="231"/>
      <c r="C671" s="15"/>
      <c r="D671"/>
      <c r="E671"/>
      <c r="F671" s="15"/>
      <c r="G671"/>
      <c r="H671"/>
      <c r="I671"/>
      <c r="J671"/>
    </row>
    <row r="672" spans="1:10" x14ac:dyDescent="0.25">
      <c r="A672" s="230"/>
      <c r="B672" s="231"/>
      <c r="C672" s="15"/>
      <c r="D672"/>
      <c r="E672"/>
      <c r="F672" s="15"/>
      <c r="G672"/>
      <c r="H672"/>
      <c r="I672"/>
      <c r="J672"/>
    </row>
    <row r="673" spans="1:10" x14ac:dyDescent="0.25">
      <c r="A673" s="230"/>
      <c r="B673" s="231"/>
      <c r="C673" s="15"/>
      <c r="D673"/>
      <c r="E673"/>
      <c r="F673" s="15"/>
      <c r="G673"/>
      <c r="H673"/>
      <c r="I673"/>
      <c r="J673"/>
    </row>
    <row r="674" spans="1:10" x14ac:dyDescent="0.25">
      <c r="A674" s="230"/>
      <c r="B674" s="231"/>
      <c r="C674" s="15"/>
      <c r="D674"/>
      <c r="E674"/>
      <c r="F674" s="15"/>
      <c r="G674"/>
      <c r="H674"/>
      <c r="I674"/>
      <c r="J674"/>
    </row>
    <row r="675" spans="1:10" x14ac:dyDescent="0.25">
      <c r="A675" s="230"/>
      <c r="B675" s="231"/>
      <c r="C675" s="15"/>
      <c r="D675"/>
      <c r="E675"/>
      <c r="F675" s="15"/>
      <c r="G675"/>
      <c r="H675"/>
      <c r="I675"/>
      <c r="J675"/>
    </row>
    <row r="676" spans="1:10" x14ac:dyDescent="0.25">
      <c r="A676" s="230"/>
      <c r="B676" s="231"/>
      <c r="C676" s="15"/>
      <c r="D676"/>
      <c r="E676"/>
      <c r="F676" s="15"/>
      <c r="G676"/>
      <c r="H676"/>
      <c r="I676"/>
      <c r="J676"/>
    </row>
    <row r="677" spans="1:10" x14ac:dyDescent="0.25">
      <c r="A677" s="230"/>
      <c r="B677" s="231"/>
      <c r="C677" s="15"/>
      <c r="D677"/>
      <c r="E677"/>
      <c r="F677" s="15"/>
      <c r="G677"/>
      <c r="H677"/>
      <c r="I677"/>
      <c r="J677"/>
    </row>
    <row r="678" spans="1:10" x14ac:dyDescent="0.25">
      <c r="A678" s="230"/>
      <c r="B678" s="231"/>
      <c r="C678" s="15"/>
      <c r="D678"/>
      <c r="E678"/>
      <c r="F678" s="15"/>
      <c r="G678"/>
      <c r="H678"/>
      <c r="I678"/>
      <c r="J678"/>
    </row>
    <row r="679" spans="1:10" x14ac:dyDescent="0.25">
      <c r="A679" s="230"/>
      <c r="B679" s="231"/>
      <c r="C679" s="15"/>
      <c r="D679"/>
      <c r="E679"/>
      <c r="F679" s="15"/>
      <c r="G679"/>
      <c r="H679"/>
      <c r="I679"/>
      <c r="J679"/>
    </row>
    <row r="680" spans="1:10" x14ac:dyDescent="0.25">
      <c r="A680" s="230"/>
      <c r="B680" s="231"/>
      <c r="C680" s="15"/>
      <c r="D680"/>
      <c r="E680"/>
      <c r="F680" s="15"/>
      <c r="G680"/>
      <c r="H680"/>
      <c r="I680"/>
      <c r="J680"/>
    </row>
    <row r="681" spans="1:10" x14ac:dyDescent="0.25">
      <c r="A681" s="230"/>
      <c r="B681" s="231"/>
      <c r="C681" s="15"/>
      <c r="D681"/>
      <c r="E681"/>
      <c r="F681" s="15"/>
      <c r="G681"/>
      <c r="H681"/>
      <c r="I681"/>
      <c r="J681"/>
    </row>
    <row r="682" spans="1:10" x14ac:dyDescent="0.25">
      <c r="A682" s="230"/>
      <c r="B682" s="231"/>
      <c r="C682" s="15"/>
      <c r="D682"/>
      <c r="E682"/>
      <c r="F682" s="15"/>
      <c r="G682"/>
      <c r="H682"/>
      <c r="I682"/>
      <c r="J682"/>
    </row>
    <row r="683" spans="1:10" x14ac:dyDescent="0.25">
      <c r="A683" s="230"/>
      <c r="B683" s="231"/>
      <c r="C683" s="15"/>
      <c r="D683"/>
      <c r="E683"/>
      <c r="F683" s="15"/>
      <c r="G683"/>
      <c r="H683"/>
      <c r="I683"/>
      <c r="J683"/>
    </row>
    <row r="684" spans="1:10" x14ac:dyDescent="0.25">
      <c r="A684" s="230"/>
      <c r="B684" s="231"/>
      <c r="C684" s="15"/>
      <c r="D684"/>
      <c r="E684"/>
      <c r="F684" s="15"/>
      <c r="G684"/>
      <c r="H684"/>
      <c r="I684"/>
      <c r="J684"/>
    </row>
    <row r="685" spans="1:10" x14ac:dyDescent="0.25">
      <c r="A685" s="230"/>
      <c r="B685" s="231"/>
      <c r="C685" s="15"/>
      <c r="D685"/>
      <c r="E685"/>
      <c r="F685" s="15"/>
      <c r="G685"/>
      <c r="H685"/>
      <c r="I685"/>
      <c r="J685"/>
    </row>
    <row r="686" spans="1:10" x14ac:dyDescent="0.25">
      <c r="A686" s="230"/>
      <c r="B686" s="231"/>
      <c r="C686" s="15"/>
      <c r="D686"/>
      <c r="E686"/>
      <c r="F686" s="15"/>
      <c r="G686"/>
      <c r="H686"/>
      <c r="I686"/>
      <c r="J686"/>
    </row>
    <row r="687" spans="1:10" x14ac:dyDescent="0.25">
      <c r="A687" s="230"/>
      <c r="B687" s="231"/>
      <c r="C687" s="15"/>
      <c r="D687"/>
      <c r="E687"/>
      <c r="F687" s="15"/>
      <c r="G687"/>
      <c r="H687"/>
      <c r="I687"/>
      <c r="J687"/>
    </row>
    <row r="688" spans="1:10" x14ac:dyDescent="0.25">
      <c r="A688" s="230"/>
      <c r="B688" s="231"/>
      <c r="C688" s="15"/>
      <c r="D688"/>
      <c r="E688"/>
      <c r="F688" s="15"/>
      <c r="G688"/>
      <c r="H688"/>
      <c r="I688"/>
      <c r="J688"/>
    </row>
    <row r="689" spans="1:10" x14ac:dyDescent="0.25">
      <c r="A689" s="230"/>
      <c r="B689" s="231"/>
      <c r="C689" s="15"/>
      <c r="D689"/>
      <c r="E689"/>
      <c r="F689" s="15"/>
      <c r="G689"/>
      <c r="H689"/>
      <c r="I689"/>
      <c r="J689"/>
    </row>
    <row r="690" spans="1:10" x14ac:dyDescent="0.25">
      <c r="A690" s="230"/>
      <c r="B690" s="231"/>
      <c r="C690" s="15"/>
      <c r="D690"/>
      <c r="E690"/>
      <c r="F690" s="15"/>
      <c r="G690"/>
      <c r="H690"/>
      <c r="I690"/>
      <c r="J690"/>
    </row>
    <row r="691" spans="1:10" x14ac:dyDescent="0.25">
      <c r="A691" s="230"/>
      <c r="B691" s="231"/>
      <c r="C691" s="15"/>
      <c r="D691"/>
      <c r="E691"/>
      <c r="F691" s="15"/>
      <c r="G691"/>
      <c r="H691"/>
      <c r="I691"/>
      <c r="J691"/>
    </row>
    <row r="692" spans="1:10" x14ac:dyDescent="0.25">
      <c r="A692" s="230"/>
      <c r="B692" s="231"/>
      <c r="C692" s="15"/>
      <c r="D692"/>
      <c r="E692"/>
      <c r="F692" s="15"/>
      <c r="G692"/>
      <c r="H692"/>
      <c r="I692"/>
      <c r="J692"/>
    </row>
    <row r="693" spans="1:10" x14ac:dyDescent="0.25">
      <c r="A693" s="230"/>
      <c r="B693" s="231"/>
      <c r="C693" s="15"/>
      <c r="D693"/>
      <c r="E693"/>
      <c r="F693" s="15"/>
      <c r="G693"/>
      <c r="H693"/>
      <c r="I693"/>
      <c r="J693"/>
    </row>
    <row r="694" spans="1:10" x14ac:dyDescent="0.25">
      <c r="A694" s="230"/>
      <c r="B694" s="231"/>
      <c r="C694" s="15"/>
      <c r="D694"/>
      <c r="E694"/>
      <c r="F694" s="15"/>
      <c r="G694"/>
      <c r="H694"/>
      <c r="I694"/>
      <c r="J694"/>
    </row>
    <row r="695" spans="1:10" x14ac:dyDescent="0.25">
      <c r="A695" s="230"/>
      <c r="B695" s="231"/>
      <c r="C695" s="15"/>
      <c r="D695"/>
      <c r="E695"/>
      <c r="F695" s="15"/>
      <c r="G695"/>
      <c r="H695"/>
      <c r="I695"/>
      <c r="J695"/>
    </row>
    <row r="696" spans="1:10" x14ac:dyDescent="0.25">
      <c r="A696" s="230"/>
      <c r="B696" s="231"/>
      <c r="C696" s="15"/>
      <c r="D696"/>
      <c r="E696"/>
      <c r="F696" s="15"/>
      <c r="G696"/>
      <c r="H696"/>
      <c r="I696"/>
      <c r="J696"/>
    </row>
    <row r="697" spans="1:10" x14ac:dyDescent="0.25">
      <c r="A697" s="230"/>
      <c r="B697" s="231"/>
      <c r="C697" s="15"/>
      <c r="D697"/>
      <c r="E697"/>
      <c r="F697" s="15"/>
      <c r="G697"/>
      <c r="H697"/>
      <c r="I697"/>
      <c r="J697"/>
    </row>
    <row r="698" spans="1:10" x14ac:dyDescent="0.25">
      <c r="A698" s="230"/>
      <c r="B698" s="231"/>
      <c r="C698" s="15"/>
      <c r="D698"/>
      <c r="E698"/>
      <c r="F698" s="15"/>
      <c r="G698"/>
      <c r="H698"/>
      <c r="I698"/>
      <c r="J698"/>
    </row>
    <row r="699" spans="1:10" x14ac:dyDescent="0.25">
      <c r="A699" s="230"/>
      <c r="B699" s="231"/>
      <c r="C699" s="15"/>
      <c r="D699"/>
      <c r="E699"/>
      <c r="F699" s="15"/>
      <c r="G699"/>
      <c r="H699"/>
      <c r="I699"/>
      <c r="J699"/>
    </row>
    <row r="700" spans="1:10" x14ac:dyDescent="0.25">
      <c r="A700" s="230"/>
      <c r="B700" s="231"/>
      <c r="C700" s="15"/>
      <c r="D700"/>
      <c r="E700"/>
      <c r="F700" s="15"/>
      <c r="G700"/>
      <c r="H700"/>
      <c r="I700"/>
      <c r="J700"/>
    </row>
    <row r="701" spans="1:10" x14ac:dyDescent="0.25">
      <c r="A701" s="230"/>
      <c r="B701" s="231"/>
      <c r="C701" s="15"/>
      <c r="D701"/>
      <c r="E701"/>
      <c r="F701" s="15"/>
      <c r="G701"/>
      <c r="H701"/>
      <c r="I701"/>
      <c r="J701"/>
    </row>
    <row r="702" spans="1:10" x14ac:dyDescent="0.25">
      <c r="A702" s="230"/>
      <c r="B702" s="231"/>
      <c r="C702" s="15"/>
      <c r="D702"/>
      <c r="E702"/>
      <c r="F702" s="15"/>
      <c r="G702"/>
      <c r="H702"/>
      <c r="I702"/>
      <c r="J702"/>
    </row>
    <row r="703" spans="1:10" x14ac:dyDescent="0.25">
      <c r="A703" s="230"/>
      <c r="B703" s="231"/>
      <c r="C703" s="15"/>
      <c r="D703"/>
      <c r="E703"/>
      <c r="F703" s="15"/>
      <c r="G703"/>
      <c r="H703"/>
      <c r="I703"/>
      <c r="J703"/>
    </row>
    <row r="704" spans="1:10" x14ac:dyDescent="0.25">
      <c r="A704" s="230"/>
      <c r="B704" s="231"/>
      <c r="C704" s="15"/>
      <c r="D704"/>
      <c r="E704"/>
      <c r="F704" s="15"/>
      <c r="G704"/>
      <c r="H704"/>
      <c r="I704"/>
      <c r="J704"/>
    </row>
    <row r="705" spans="1:10" x14ac:dyDescent="0.25">
      <c r="A705" s="230"/>
      <c r="B705" s="231"/>
      <c r="C705" s="15"/>
      <c r="D705"/>
      <c r="E705"/>
      <c r="F705" s="15"/>
      <c r="G705"/>
      <c r="H705"/>
      <c r="I705"/>
      <c r="J705"/>
    </row>
    <row r="706" spans="1:10" x14ac:dyDescent="0.25">
      <c r="A706" s="230"/>
      <c r="B706" s="231"/>
      <c r="C706" s="15"/>
      <c r="D706"/>
      <c r="E706"/>
      <c r="F706" s="15"/>
      <c r="G706"/>
      <c r="H706"/>
      <c r="I706"/>
      <c r="J706"/>
    </row>
    <row r="707" spans="1:10" x14ac:dyDescent="0.25">
      <c r="A707" s="230"/>
      <c r="B707" s="231"/>
      <c r="C707" s="15"/>
      <c r="D707"/>
      <c r="E707"/>
      <c r="F707" s="15"/>
      <c r="G707"/>
      <c r="H707"/>
      <c r="I707"/>
      <c r="J707"/>
    </row>
    <row r="708" spans="1:10" x14ac:dyDescent="0.25">
      <c r="A708" s="230"/>
      <c r="B708" s="231"/>
      <c r="C708" s="15"/>
      <c r="D708"/>
      <c r="E708"/>
      <c r="F708" s="15"/>
      <c r="G708"/>
      <c r="H708"/>
      <c r="I708"/>
      <c r="J708"/>
    </row>
    <row r="709" spans="1:10" x14ac:dyDescent="0.25">
      <c r="A709" s="230"/>
      <c r="B709" s="231"/>
      <c r="C709" s="15"/>
      <c r="D709"/>
      <c r="E709"/>
      <c r="F709" s="15"/>
      <c r="G709"/>
      <c r="H709"/>
      <c r="I709"/>
      <c r="J709"/>
    </row>
    <row r="710" spans="1:10" x14ac:dyDescent="0.25">
      <c r="A710" s="230"/>
      <c r="B710" s="231"/>
      <c r="C710" s="15"/>
      <c r="D710"/>
      <c r="E710"/>
      <c r="F710" s="15"/>
      <c r="G710"/>
      <c r="H710"/>
      <c r="I710"/>
      <c r="J710"/>
    </row>
    <row r="711" spans="1:10" x14ac:dyDescent="0.25">
      <c r="A711" s="230"/>
      <c r="B711" s="231"/>
      <c r="C711" s="15"/>
      <c r="D711"/>
      <c r="E711"/>
      <c r="F711" s="15"/>
      <c r="G711"/>
      <c r="H711"/>
      <c r="I711"/>
      <c r="J711"/>
    </row>
    <row r="712" spans="1:10" x14ac:dyDescent="0.25">
      <c r="A712" s="230"/>
      <c r="B712" s="231"/>
      <c r="C712" s="15"/>
      <c r="D712"/>
      <c r="E712"/>
      <c r="F712" s="15"/>
      <c r="G712"/>
      <c r="H712"/>
      <c r="I712"/>
      <c r="J712"/>
    </row>
    <row r="713" spans="1:10" x14ac:dyDescent="0.25">
      <c r="A713" s="230"/>
      <c r="B713" s="231"/>
      <c r="C713" s="15"/>
      <c r="D713"/>
      <c r="E713"/>
      <c r="F713" s="15"/>
      <c r="G713"/>
      <c r="H713"/>
      <c r="I713"/>
      <c r="J713"/>
    </row>
    <row r="714" spans="1:10" x14ac:dyDescent="0.25">
      <c r="A714" s="230"/>
      <c r="B714" s="231"/>
      <c r="C714" s="15"/>
      <c r="D714"/>
      <c r="E714"/>
      <c r="F714" s="15"/>
      <c r="G714"/>
      <c r="H714"/>
      <c r="I714"/>
      <c r="J714"/>
    </row>
    <row r="715" spans="1:10" x14ac:dyDescent="0.25">
      <c r="A715" s="230"/>
      <c r="B715" s="231"/>
      <c r="C715" s="15"/>
      <c r="D715"/>
      <c r="E715"/>
      <c r="F715" s="15"/>
      <c r="G715"/>
      <c r="H715"/>
      <c r="I715"/>
      <c r="J715"/>
    </row>
    <row r="716" spans="1:10" x14ac:dyDescent="0.25">
      <c r="A716" s="230"/>
      <c r="B716" s="231"/>
      <c r="C716" s="15"/>
      <c r="D716"/>
      <c r="E716"/>
      <c r="F716" s="15"/>
      <c r="G716"/>
      <c r="H716"/>
      <c r="I716"/>
      <c r="J716"/>
    </row>
    <row r="717" spans="1:10" x14ac:dyDescent="0.25">
      <c r="A717" s="230"/>
      <c r="B717" s="231"/>
      <c r="C717" s="15"/>
      <c r="D717"/>
      <c r="E717"/>
      <c r="F717" s="15"/>
      <c r="G717"/>
      <c r="H717"/>
      <c r="I717"/>
      <c r="J717"/>
    </row>
    <row r="718" spans="1:10" x14ac:dyDescent="0.25">
      <c r="A718" s="230"/>
      <c r="B718" s="231"/>
      <c r="C718" s="15"/>
      <c r="D718"/>
      <c r="E718"/>
      <c r="F718" s="15"/>
      <c r="G718"/>
      <c r="H718"/>
      <c r="I718"/>
      <c r="J718"/>
    </row>
    <row r="719" spans="1:10" x14ac:dyDescent="0.25">
      <c r="A719" s="230"/>
      <c r="B719" s="231"/>
      <c r="C719" s="15"/>
      <c r="D719"/>
      <c r="E719"/>
      <c r="F719" s="15"/>
      <c r="G719"/>
      <c r="H719"/>
      <c r="I719"/>
      <c r="J719"/>
    </row>
    <row r="720" spans="1:10" x14ac:dyDescent="0.25">
      <c r="A720" s="230"/>
      <c r="B720" s="231"/>
      <c r="C720" s="15"/>
      <c r="D720"/>
      <c r="E720"/>
      <c r="F720" s="15"/>
      <c r="G720"/>
      <c r="H720"/>
      <c r="I720"/>
      <c r="J720"/>
    </row>
    <row r="721" spans="1:10" x14ac:dyDescent="0.25">
      <c r="A721" s="230"/>
      <c r="B721" s="231"/>
      <c r="C721" s="15"/>
      <c r="D721"/>
      <c r="E721"/>
      <c r="F721" s="15"/>
      <c r="G721"/>
      <c r="H721"/>
      <c r="I721"/>
      <c r="J721"/>
    </row>
    <row r="722" spans="1:10" x14ac:dyDescent="0.25">
      <c r="A722" s="230"/>
      <c r="B722" s="231"/>
      <c r="C722" s="15"/>
      <c r="D722"/>
      <c r="E722"/>
      <c r="F722" s="15"/>
      <c r="G722"/>
      <c r="H722"/>
      <c r="I722"/>
      <c r="J722"/>
    </row>
    <row r="723" spans="1:10" x14ac:dyDescent="0.25">
      <c r="A723" s="230"/>
      <c r="B723" s="231"/>
      <c r="C723" s="15"/>
      <c r="D723"/>
      <c r="E723"/>
      <c r="F723" s="15"/>
      <c r="G723"/>
      <c r="H723"/>
      <c r="I723"/>
      <c r="J723"/>
    </row>
    <row r="724" spans="1:10" x14ac:dyDescent="0.25">
      <c r="A724" s="230"/>
      <c r="B724" s="231"/>
      <c r="C724" s="15"/>
      <c r="D724"/>
      <c r="E724"/>
      <c r="F724" s="15"/>
      <c r="G724"/>
      <c r="H724"/>
      <c r="I724"/>
      <c r="J724"/>
    </row>
    <row r="725" spans="1:10" x14ac:dyDescent="0.25">
      <c r="A725" s="230"/>
      <c r="B725" s="231"/>
      <c r="C725" s="15"/>
      <c r="D725"/>
      <c r="E725"/>
      <c r="F725" s="15"/>
      <c r="G725"/>
      <c r="H725"/>
      <c r="I725"/>
      <c r="J725"/>
    </row>
    <row r="726" spans="1:10" x14ac:dyDescent="0.25">
      <c r="A726" s="230"/>
      <c r="B726" s="231"/>
      <c r="C726" s="15"/>
      <c r="D726"/>
      <c r="E726"/>
      <c r="F726" s="15"/>
      <c r="G726"/>
      <c r="H726"/>
      <c r="I726"/>
      <c r="J726"/>
    </row>
    <row r="727" spans="1:10" x14ac:dyDescent="0.25">
      <c r="A727" s="230"/>
      <c r="B727" s="231"/>
      <c r="C727" s="15"/>
      <c r="D727"/>
      <c r="E727"/>
      <c r="F727" s="15"/>
      <c r="G727"/>
      <c r="H727"/>
      <c r="I727"/>
      <c r="J727"/>
    </row>
    <row r="728" spans="1:10" x14ac:dyDescent="0.25">
      <c r="A728" s="230"/>
      <c r="B728" s="231"/>
      <c r="C728" s="15"/>
      <c r="D728"/>
      <c r="E728"/>
      <c r="F728" s="15"/>
      <c r="G728"/>
      <c r="H728"/>
      <c r="I728"/>
      <c r="J728"/>
    </row>
    <row r="729" spans="1:10" x14ac:dyDescent="0.25">
      <c r="A729" s="230"/>
      <c r="B729" s="231"/>
      <c r="C729" s="15"/>
      <c r="D729"/>
      <c r="E729"/>
      <c r="F729" s="15"/>
      <c r="G729"/>
      <c r="H729"/>
      <c r="I729"/>
      <c r="J729"/>
    </row>
    <row r="730" spans="1:10" x14ac:dyDescent="0.25">
      <c r="A730" s="230"/>
      <c r="B730" s="231"/>
      <c r="C730" s="15"/>
      <c r="D730"/>
      <c r="E730"/>
      <c r="F730" s="15"/>
      <c r="G730"/>
      <c r="H730"/>
      <c r="I730"/>
      <c r="J730"/>
    </row>
    <row r="731" spans="1:10" x14ac:dyDescent="0.25">
      <c r="A731" s="230"/>
      <c r="B731" s="231"/>
      <c r="C731" s="15"/>
      <c r="D731"/>
      <c r="E731"/>
      <c r="F731" s="15"/>
      <c r="G731"/>
      <c r="H731"/>
      <c r="I731"/>
      <c r="J731"/>
    </row>
    <row r="732" spans="1:10" x14ac:dyDescent="0.25">
      <c r="A732" s="230"/>
      <c r="B732" s="231"/>
      <c r="C732" s="15"/>
      <c r="D732"/>
      <c r="E732"/>
      <c r="F732" s="15"/>
      <c r="G732"/>
      <c r="H732"/>
      <c r="I732"/>
      <c r="J732"/>
    </row>
    <row r="733" spans="1:10" x14ac:dyDescent="0.25">
      <c r="A733" s="230"/>
      <c r="B733" s="231"/>
      <c r="C733" s="15"/>
      <c r="D733"/>
      <c r="E733"/>
      <c r="F733" s="15"/>
      <c r="G733"/>
      <c r="H733"/>
      <c r="I733"/>
      <c r="J733"/>
    </row>
    <row r="734" spans="1:10" x14ac:dyDescent="0.25">
      <c r="A734" s="230"/>
      <c r="B734" s="231"/>
      <c r="C734" s="15"/>
      <c r="D734"/>
      <c r="E734"/>
      <c r="F734" s="15"/>
      <c r="G734"/>
      <c r="H734"/>
      <c r="I734"/>
      <c r="J734"/>
    </row>
    <row r="735" spans="1:10" x14ac:dyDescent="0.25">
      <c r="A735" s="230"/>
      <c r="B735" s="231"/>
      <c r="C735" s="15"/>
      <c r="D735"/>
      <c r="E735"/>
      <c r="F735" s="15"/>
      <c r="G735"/>
      <c r="H735"/>
      <c r="I735"/>
      <c r="J735"/>
    </row>
    <row r="736" spans="1:10" x14ac:dyDescent="0.25">
      <c r="A736" s="230"/>
      <c r="B736" s="231"/>
      <c r="C736" s="15"/>
      <c r="D736"/>
      <c r="E736"/>
      <c r="F736" s="15"/>
      <c r="G736"/>
      <c r="H736"/>
      <c r="I736"/>
      <c r="J736"/>
    </row>
    <row r="737" spans="1:10" x14ac:dyDescent="0.25">
      <c r="A737" s="230"/>
      <c r="B737" s="231"/>
      <c r="C737" s="15"/>
      <c r="D737"/>
      <c r="E737"/>
      <c r="F737" s="15"/>
      <c r="G737"/>
      <c r="H737"/>
      <c r="I737"/>
      <c r="J737"/>
    </row>
    <row r="738" spans="1:10" x14ac:dyDescent="0.25">
      <c r="A738" s="230"/>
      <c r="B738" s="231"/>
      <c r="C738" s="15"/>
      <c r="D738"/>
      <c r="E738"/>
      <c r="F738" s="15"/>
      <c r="G738"/>
      <c r="H738"/>
      <c r="I738"/>
      <c r="J738"/>
    </row>
    <row r="739" spans="1:10" x14ac:dyDescent="0.25">
      <c r="A739" s="230"/>
      <c r="B739" s="231"/>
      <c r="C739" s="15"/>
      <c r="D739"/>
      <c r="E739"/>
      <c r="F739" s="15"/>
      <c r="G739"/>
      <c r="H739"/>
      <c r="I739"/>
      <c r="J739"/>
    </row>
    <row r="740" spans="1:10" x14ac:dyDescent="0.25">
      <c r="A740" s="230"/>
      <c r="B740" s="231"/>
      <c r="C740" s="15"/>
      <c r="D740"/>
      <c r="E740"/>
      <c r="F740" s="15"/>
      <c r="G740"/>
      <c r="H740"/>
      <c r="I740"/>
      <c r="J740"/>
    </row>
    <row r="741" spans="1:10" x14ac:dyDescent="0.25">
      <c r="A741" s="230"/>
      <c r="B741" s="231"/>
      <c r="C741" s="15"/>
      <c r="D741"/>
      <c r="E741"/>
      <c r="F741" s="15"/>
      <c r="G741"/>
      <c r="H741"/>
      <c r="I741"/>
      <c r="J741"/>
    </row>
    <row r="742" spans="1:10" x14ac:dyDescent="0.25">
      <c r="A742" s="230"/>
      <c r="B742" s="231"/>
      <c r="C742" s="15"/>
      <c r="D742"/>
      <c r="E742"/>
      <c r="F742" s="15"/>
      <c r="G742"/>
      <c r="H742"/>
      <c r="I742"/>
      <c r="J742"/>
    </row>
    <row r="743" spans="1:10" x14ac:dyDescent="0.25">
      <c r="A743" s="230"/>
      <c r="B743" s="231"/>
      <c r="C743" s="15"/>
      <c r="D743"/>
      <c r="E743"/>
      <c r="F743" s="15"/>
      <c r="G743"/>
      <c r="H743"/>
      <c r="I743"/>
      <c r="J743"/>
    </row>
    <row r="744" spans="1:10" x14ac:dyDescent="0.25">
      <c r="A744" s="230"/>
      <c r="B744" s="231"/>
      <c r="C744" s="15"/>
      <c r="D744"/>
      <c r="E744"/>
      <c r="F744" s="15"/>
      <c r="G744"/>
      <c r="H744"/>
      <c r="I744"/>
      <c r="J744"/>
    </row>
    <row r="745" spans="1:10" x14ac:dyDescent="0.25">
      <c r="A745" s="230"/>
      <c r="B745" s="231"/>
      <c r="C745" s="15"/>
      <c r="D745"/>
      <c r="E745"/>
      <c r="F745" s="15"/>
      <c r="G745"/>
      <c r="H745"/>
      <c r="I745"/>
      <c r="J745"/>
    </row>
    <row r="746" spans="1:10" x14ac:dyDescent="0.25">
      <c r="A746" s="230"/>
      <c r="B746" s="231"/>
      <c r="C746" s="15"/>
      <c r="D746"/>
      <c r="E746"/>
      <c r="F746" s="15"/>
      <c r="G746"/>
      <c r="H746"/>
      <c r="I746"/>
      <c r="J746"/>
    </row>
    <row r="747" spans="1:10" x14ac:dyDescent="0.25">
      <c r="A747" s="230"/>
      <c r="B747" s="231"/>
      <c r="C747" s="15"/>
      <c r="D747"/>
      <c r="E747"/>
      <c r="F747" s="15"/>
      <c r="G747"/>
      <c r="H747"/>
      <c r="I747"/>
      <c r="J747"/>
    </row>
    <row r="748" spans="1:10" x14ac:dyDescent="0.25">
      <c r="A748" s="230"/>
      <c r="B748" s="231"/>
      <c r="C748" s="15"/>
      <c r="D748"/>
      <c r="E748"/>
      <c r="F748" s="15"/>
      <c r="G748"/>
      <c r="H748"/>
      <c r="I748"/>
      <c r="J748"/>
    </row>
    <row r="749" spans="1:10" x14ac:dyDescent="0.25">
      <c r="A749" s="230"/>
      <c r="B749" s="231"/>
      <c r="C749" s="15"/>
      <c r="D749"/>
      <c r="E749"/>
      <c r="F749" s="15"/>
      <c r="G749"/>
      <c r="H749"/>
      <c r="I749"/>
      <c r="J749"/>
    </row>
    <row r="750" spans="1:10" x14ac:dyDescent="0.25">
      <c r="A750" s="230"/>
      <c r="B750" s="231"/>
      <c r="C750" s="15"/>
      <c r="D750"/>
      <c r="E750"/>
      <c r="F750" s="15"/>
      <c r="G750"/>
      <c r="H750"/>
      <c r="I750"/>
      <c r="J750"/>
    </row>
    <row r="751" spans="1:10" x14ac:dyDescent="0.25">
      <c r="A751" s="230"/>
      <c r="B751" s="231"/>
      <c r="C751" s="15"/>
      <c r="D751"/>
      <c r="E751"/>
      <c r="F751" s="15"/>
      <c r="G751"/>
      <c r="H751"/>
      <c r="I751"/>
      <c r="J751"/>
    </row>
    <row r="752" spans="1:10" x14ac:dyDescent="0.25">
      <c r="A752" s="230"/>
      <c r="B752" s="231"/>
      <c r="C752" s="15"/>
      <c r="D752"/>
      <c r="E752"/>
      <c r="F752" s="15"/>
      <c r="G752"/>
      <c r="H752"/>
      <c r="I752"/>
      <c r="J752"/>
    </row>
    <row r="753" spans="1:10" x14ac:dyDescent="0.25">
      <c r="A753" s="230"/>
      <c r="B753" s="231"/>
      <c r="C753" s="15"/>
      <c r="D753"/>
      <c r="E753"/>
      <c r="F753" s="15"/>
      <c r="G753"/>
      <c r="H753"/>
      <c r="I753"/>
      <c r="J753"/>
    </row>
    <row r="754" spans="1:10" x14ac:dyDescent="0.25">
      <c r="A754" s="230"/>
      <c r="B754" s="231"/>
      <c r="C754" s="15"/>
      <c r="D754"/>
      <c r="E754"/>
      <c r="F754" s="15"/>
      <c r="G754"/>
      <c r="H754"/>
      <c r="I754"/>
      <c r="J754"/>
    </row>
    <row r="755" spans="1:10" x14ac:dyDescent="0.25">
      <c r="A755" s="230"/>
      <c r="B755" s="231"/>
      <c r="C755" s="15"/>
      <c r="D755"/>
      <c r="E755"/>
      <c r="F755" s="15"/>
      <c r="G755"/>
      <c r="H755"/>
      <c r="I755"/>
      <c r="J755"/>
    </row>
    <row r="756" spans="1:10" x14ac:dyDescent="0.25">
      <c r="A756" s="230"/>
      <c r="B756" s="231"/>
      <c r="C756" s="15"/>
      <c r="D756"/>
      <c r="E756"/>
      <c r="F756" s="15"/>
      <c r="G756"/>
      <c r="H756"/>
      <c r="I756"/>
      <c r="J756"/>
    </row>
    <row r="757" spans="1:10" x14ac:dyDescent="0.25">
      <c r="A757" s="230"/>
      <c r="B757" s="231"/>
      <c r="C757" s="15"/>
      <c r="D757"/>
      <c r="E757"/>
      <c r="F757" s="15"/>
      <c r="G757"/>
      <c r="H757"/>
      <c r="I757"/>
      <c r="J757"/>
    </row>
    <row r="758" spans="1:10" x14ac:dyDescent="0.25">
      <c r="A758" s="230"/>
      <c r="B758" s="231"/>
      <c r="C758" s="15"/>
      <c r="D758"/>
      <c r="E758"/>
      <c r="F758" s="15"/>
      <c r="G758"/>
      <c r="H758"/>
      <c r="I758"/>
      <c r="J758"/>
    </row>
    <row r="759" spans="1:10" x14ac:dyDescent="0.25">
      <c r="A759" s="230"/>
      <c r="B759" s="231"/>
      <c r="C759" s="15"/>
      <c r="D759"/>
      <c r="E759"/>
      <c r="F759" s="15"/>
      <c r="G759"/>
      <c r="H759"/>
      <c r="I759"/>
      <c r="J759"/>
    </row>
    <row r="760" spans="1:10" x14ac:dyDescent="0.25">
      <c r="A760" s="230"/>
      <c r="B760" s="231"/>
      <c r="C760" s="15"/>
      <c r="D760"/>
      <c r="E760"/>
      <c r="F760" s="15"/>
      <c r="G760"/>
      <c r="H760"/>
      <c r="I760"/>
      <c r="J760"/>
    </row>
    <row r="761" spans="1:10" x14ac:dyDescent="0.25">
      <c r="A761" s="230"/>
      <c r="B761" s="231"/>
      <c r="C761" s="15"/>
      <c r="D761"/>
      <c r="E761"/>
      <c r="F761" s="15"/>
      <c r="G761"/>
      <c r="H761"/>
      <c r="I761"/>
      <c r="J761"/>
    </row>
    <row r="762" spans="1:10" x14ac:dyDescent="0.25">
      <c r="A762" s="230"/>
      <c r="B762" s="231"/>
      <c r="C762" s="15"/>
      <c r="D762"/>
      <c r="E762"/>
      <c r="F762" s="15"/>
      <c r="G762"/>
      <c r="H762"/>
      <c r="I762"/>
      <c r="J762"/>
    </row>
    <row r="763" spans="1:10" x14ac:dyDescent="0.25">
      <c r="A763" s="230"/>
      <c r="B763" s="231"/>
      <c r="C763" s="15"/>
      <c r="D763"/>
      <c r="E763"/>
      <c r="F763" s="15"/>
      <c r="G763"/>
      <c r="H763"/>
      <c r="I763"/>
      <c r="J763"/>
    </row>
    <row r="764" spans="1:10" x14ac:dyDescent="0.25">
      <c r="A764" s="230"/>
      <c r="B764" s="231"/>
      <c r="C764" s="15"/>
      <c r="D764"/>
      <c r="E764"/>
      <c r="F764" s="15"/>
      <c r="G764"/>
      <c r="H764"/>
      <c r="I764"/>
      <c r="J764"/>
    </row>
    <row r="765" spans="1:10" x14ac:dyDescent="0.25">
      <c r="A765" s="230"/>
      <c r="B765" s="231"/>
      <c r="C765" s="15"/>
      <c r="D765"/>
      <c r="E765"/>
      <c r="F765" s="15"/>
      <c r="G765"/>
      <c r="H765"/>
      <c r="I765"/>
      <c r="J765"/>
    </row>
    <row r="766" spans="1:10" x14ac:dyDescent="0.25">
      <c r="A766" s="230"/>
      <c r="B766" s="231"/>
      <c r="C766" s="15"/>
      <c r="D766"/>
      <c r="E766"/>
      <c r="F766" s="15"/>
      <c r="G766"/>
      <c r="H766"/>
      <c r="I766"/>
      <c r="J766"/>
    </row>
    <row r="767" spans="1:10" x14ac:dyDescent="0.25">
      <c r="A767" s="230"/>
      <c r="B767" s="231"/>
      <c r="C767" s="15"/>
      <c r="D767"/>
      <c r="E767"/>
      <c r="F767" s="15"/>
      <c r="G767"/>
      <c r="H767"/>
      <c r="I767"/>
      <c r="J767"/>
    </row>
    <row r="768" spans="1:10" x14ac:dyDescent="0.25">
      <c r="A768" s="230"/>
      <c r="B768" s="231"/>
      <c r="C768" s="15"/>
      <c r="D768"/>
      <c r="E768"/>
      <c r="F768" s="15"/>
      <c r="G768"/>
      <c r="H768"/>
      <c r="I768"/>
      <c r="J768"/>
    </row>
    <row r="769" spans="1:10" x14ac:dyDescent="0.25">
      <c r="A769" s="230"/>
      <c r="B769" s="231"/>
      <c r="C769" s="15"/>
      <c r="D769"/>
      <c r="E769"/>
      <c r="F769" s="15"/>
      <c r="G769"/>
      <c r="H769"/>
      <c r="I769"/>
      <c r="J769"/>
    </row>
    <row r="770" spans="1:10" x14ac:dyDescent="0.25">
      <c r="A770" s="230"/>
      <c r="B770" s="231"/>
      <c r="C770" s="15"/>
      <c r="D770"/>
      <c r="E770"/>
      <c r="F770" s="15"/>
      <c r="G770"/>
      <c r="H770"/>
      <c r="I770"/>
      <c r="J770"/>
    </row>
    <row r="771" spans="1:10" x14ac:dyDescent="0.25">
      <c r="A771" s="230"/>
      <c r="B771" s="231"/>
      <c r="C771" s="15"/>
      <c r="D771"/>
      <c r="E771"/>
      <c r="F771" s="15"/>
      <c r="G771"/>
      <c r="H771"/>
      <c r="I771"/>
      <c r="J771"/>
    </row>
    <row r="772" spans="1:10" x14ac:dyDescent="0.25">
      <c r="A772" s="230"/>
      <c r="B772" s="231"/>
      <c r="C772" s="15"/>
      <c r="D772"/>
      <c r="E772"/>
      <c r="F772" s="15"/>
      <c r="G772"/>
      <c r="H772"/>
      <c r="I772"/>
      <c r="J772"/>
    </row>
    <row r="773" spans="1:10" x14ac:dyDescent="0.25">
      <c r="A773" s="230"/>
      <c r="B773" s="231"/>
      <c r="C773" s="15"/>
      <c r="D773"/>
      <c r="E773"/>
      <c r="F773" s="15"/>
      <c r="G773"/>
      <c r="H773"/>
      <c r="I773"/>
      <c r="J773"/>
    </row>
    <row r="774" spans="1:10" x14ac:dyDescent="0.25">
      <c r="A774" s="230"/>
      <c r="B774" s="231"/>
      <c r="C774" s="15"/>
      <c r="D774"/>
      <c r="E774"/>
      <c r="F774" s="15"/>
      <c r="G774"/>
      <c r="H774"/>
      <c r="I774"/>
      <c r="J774"/>
    </row>
    <row r="775" spans="1:10" x14ac:dyDescent="0.25">
      <c r="A775" s="230"/>
      <c r="B775" s="231"/>
      <c r="C775" s="15"/>
      <c r="D775"/>
      <c r="E775"/>
      <c r="F775" s="15"/>
      <c r="G775"/>
      <c r="H775"/>
      <c r="I775"/>
      <c r="J775"/>
    </row>
    <row r="776" spans="1:10" x14ac:dyDescent="0.25">
      <c r="A776" s="230"/>
      <c r="B776" s="231"/>
      <c r="C776" s="15"/>
      <c r="D776"/>
      <c r="E776"/>
      <c r="F776" s="15"/>
      <c r="G776"/>
      <c r="H776"/>
      <c r="I776"/>
      <c r="J776"/>
    </row>
    <row r="777" spans="1:10" x14ac:dyDescent="0.25">
      <c r="A777" s="230"/>
      <c r="B777" s="231"/>
      <c r="C777" s="15"/>
      <c r="D777"/>
      <c r="E777"/>
      <c r="F777" s="15"/>
      <c r="G777"/>
      <c r="H777"/>
      <c r="I777"/>
      <c r="J777"/>
    </row>
    <row r="778" spans="1:10" x14ac:dyDescent="0.25">
      <c r="A778" s="230"/>
      <c r="B778" s="231"/>
      <c r="C778" s="15"/>
      <c r="D778"/>
      <c r="E778"/>
      <c r="F778" s="15"/>
      <c r="G778"/>
      <c r="H778"/>
      <c r="I778"/>
      <c r="J778"/>
    </row>
    <row r="779" spans="1:10" x14ac:dyDescent="0.25">
      <c r="A779" s="230"/>
      <c r="B779" s="231"/>
      <c r="C779" s="15"/>
      <c r="D779"/>
      <c r="E779"/>
      <c r="F779" s="15"/>
      <c r="G779"/>
      <c r="H779"/>
      <c r="I779"/>
      <c r="J779"/>
    </row>
    <row r="780" spans="1:10" x14ac:dyDescent="0.25">
      <c r="A780" s="230"/>
      <c r="B780" s="231"/>
      <c r="C780" s="15"/>
      <c r="D780"/>
      <c r="E780"/>
      <c r="F780" s="15"/>
      <c r="G780"/>
      <c r="H780"/>
      <c r="I780"/>
      <c r="J780"/>
    </row>
    <row r="781" spans="1:10" x14ac:dyDescent="0.25">
      <c r="A781" s="230"/>
      <c r="B781" s="231"/>
      <c r="C781" s="15"/>
      <c r="D781"/>
      <c r="E781"/>
      <c r="F781" s="15"/>
      <c r="G781"/>
      <c r="H781"/>
      <c r="I781"/>
      <c r="J781"/>
    </row>
    <row r="782" spans="1:10" x14ac:dyDescent="0.25">
      <c r="A782" s="230"/>
      <c r="B782" s="231"/>
      <c r="C782" s="15"/>
      <c r="D782"/>
      <c r="E782"/>
      <c r="F782" s="15"/>
      <c r="G782"/>
      <c r="H782"/>
      <c r="I782"/>
      <c r="J782"/>
    </row>
    <row r="783" spans="1:10" x14ac:dyDescent="0.25">
      <c r="A783" s="230"/>
      <c r="B783" s="231"/>
      <c r="C783" s="15"/>
      <c r="D783"/>
      <c r="E783"/>
      <c r="F783" s="15"/>
      <c r="G783"/>
      <c r="H783"/>
      <c r="I783"/>
      <c r="J783"/>
    </row>
    <row r="784" spans="1:10" x14ac:dyDescent="0.25">
      <c r="A784" s="230"/>
      <c r="B784" s="231"/>
      <c r="C784" s="15"/>
      <c r="D784"/>
      <c r="E784"/>
      <c r="F784" s="15"/>
      <c r="G784"/>
      <c r="H784"/>
      <c r="I784"/>
      <c r="J784"/>
    </row>
    <row r="785" spans="1:10" x14ac:dyDescent="0.25">
      <c r="A785" s="230"/>
      <c r="B785" s="231"/>
      <c r="C785" s="15"/>
      <c r="D785"/>
      <c r="E785"/>
      <c r="F785" s="15"/>
      <c r="G785"/>
      <c r="H785"/>
      <c r="I785"/>
      <c r="J785"/>
    </row>
    <row r="786" spans="1:10" x14ac:dyDescent="0.25">
      <c r="A786" s="230"/>
      <c r="B786" s="231"/>
      <c r="C786" s="15"/>
      <c r="D786"/>
      <c r="E786"/>
      <c r="F786" s="15"/>
      <c r="G786"/>
      <c r="H786"/>
      <c r="I786"/>
      <c r="J786"/>
    </row>
    <row r="787" spans="1:10" x14ac:dyDescent="0.25">
      <c r="A787" s="230"/>
      <c r="B787" s="231"/>
      <c r="C787" s="15"/>
      <c r="D787"/>
      <c r="E787"/>
      <c r="F787" s="15"/>
      <c r="G787"/>
      <c r="H787"/>
      <c r="I787"/>
      <c r="J787"/>
    </row>
    <row r="788" spans="1:10" x14ac:dyDescent="0.25">
      <c r="A788" s="230"/>
      <c r="B788" s="231"/>
      <c r="C788" s="15"/>
      <c r="D788"/>
      <c r="E788"/>
      <c r="F788" s="15"/>
      <c r="G788"/>
      <c r="H788"/>
      <c r="I788"/>
      <c r="J788"/>
    </row>
    <row r="789" spans="1:10" x14ac:dyDescent="0.25">
      <c r="A789" s="230"/>
      <c r="B789" s="231"/>
      <c r="C789" s="15"/>
      <c r="D789"/>
      <c r="E789"/>
      <c r="F789" s="15"/>
      <c r="G789"/>
      <c r="H789"/>
      <c r="I789"/>
      <c r="J789"/>
    </row>
    <row r="790" spans="1:10" x14ac:dyDescent="0.25">
      <c r="A790" s="230"/>
      <c r="B790" s="231"/>
      <c r="C790" s="15"/>
      <c r="D790"/>
      <c r="E790"/>
      <c r="F790" s="15"/>
      <c r="G790"/>
      <c r="H790"/>
      <c r="I790"/>
      <c r="J790"/>
    </row>
    <row r="791" spans="1:10" x14ac:dyDescent="0.25">
      <c r="A791" s="230"/>
      <c r="B791" s="231"/>
      <c r="C791" s="15"/>
      <c r="D791"/>
      <c r="E791"/>
      <c r="F791" s="15"/>
      <c r="G791"/>
      <c r="H791"/>
      <c r="I791"/>
      <c r="J791"/>
    </row>
    <row r="792" spans="1:10" x14ac:dyDescent="0.25">
      <c r="A792" s="230"/>
      <c r="B792" s="231"/>
      <c r="C792" s="15"/>
      <c r="D792"/>
      <c r="E792"/>
      <c r="F792" s="15"/>
      <c r="G792"/>
      <c r="H792"/>
      <c r="I792"/>
      <c r="J792"/>
    </row>
    <row r="793" spans="1:10" x14ac:dyDescent="0.25">
      <c r="A793" s="230"/>
      <c r="B793" s="231"/>
      <c r="C793" s="15"/>
      <c r="D793"/>
      <c r="E793"/>
      <c r="F793" s="15"/>
      <c r="G793"/>
      <c r="H793"/>
      <c r="I793"/>
      <c r="J793"/>
    </row>
    <row r="794" spans="1:10" x14ac:dyDescent="0.25">
      <c r="A794" s="230"/>
      <c r="B794" s="231"/>
      <c r="C794" s="15"/>
      <c r="D794"/>
      <c r="E794"/>
      <c r="F794" s="15"/>
      <c r="G794"/>
      <c r="H794"/>
      <c r="I794"/>
      <c r="J794"/>
    </row>
    <row r="795" spans="1:10" x14ac:dyDescent="0.25">
      <c r="A795" s="230"/>
      <c r="B795" s="231"/>
      <c r="C795" s="15"/>
      <c r="D795"/>
      <c r="E795"/>
      <c r="F795" s="15"/>
      <c r="G795"/>
      <c r="H795"/>
      <c r="I795"/>
      <c r="J795"/>
    </row>
    <row r="796" spans="1:10" x14ac:dyDescent="0.25">
      <c r="A796" s="230"/>
      <c r="B796" s="231"/>
      <c r="C796" s="15"/>
      <c r="D796"/>
      <c r="E796"/>
      <c r="F796" s="15"/>
      <c r="G796"/>
      <c r="H796"/>
      <c r="I796"/>
      <c r="J796"/>
    </row>
    <row r="797" spans="1:10" x14ac:dyDescent="0.25">
      <c r="A797" s="230"/>
      <c r="B797" s="231"/>
      <c r="C797" s="15"/>
      <c r="D797"/>
      <c r="E797"/>
      <c r="F797" s="15"/>
      <c r="G797"/>
      <c r="H797"/>
      <c r="I797"/>
      <c r="J797"/>
    </row>
    <row r="798" spans="1:10" x14ac:dyDescent="0.25">
      <c r="A798" s="230"/>
      <c r="B798" s="231"/>
      <c r="C798" s="15"/>
      <c r="D798"/>
      <c r="E798"/>
      <c r="F798" s="15"/>
      <c r="G798"/>
      <c r="H798"/>
      <c r="I798"/>
      <c r="J798"/>
    </row>
    <row r="799" spans="1:10" x14ac:dyDescent="0.25">
      <c r="A799" s="230"/>
      <c r="B799" s="231"/>
      <c r="C799" s="15"/>
      <c r="D799"/>
      <c r="E799"/>
      <c r="F799" s="15"/>
      <c r="G799"/>
      <c r="H799"/>
      <c r="I799"/>
      <c r="J799"/>
    </row>
    <row r="800" spans="1:10" x14ac:dyDescent="0.25">
      <c r="A800" s="230"/>
      <c r="B800" s="231"/>
      <c r="C800" s="15"/>
      <c r="D800"/>
      <c r="E800"/>
      <c r="F800" s="15"/>
      <c r="G800"/>
      <c r="H800"/>
      <c r="I800"/>
      <c r="J800"/>
    </row>
    <row r="801" spans="1:10" x14ac:dyDescent="0.25">
      <c r="A801" s="230"/>
      <c r="B801" s="231"/>
      <c r="C801" s="15"/>
      <c r="D801"/>
      <c r="E801"/>
      <c r="F801" s="15"/>
      <c r="G801"/>
      <c r="H801"/>
      <c r="I801"/>
      <c r="J801"/>
    </row>
    <row r="802" spans="1:10" x14ac:dyDescent="0.25">
      <c r="A802" s="230"/>
      <c r="B802" s="231"/>
      <c r="C802" s="15"/>
      <c r="D802"/>
      <c r="E802"/>
      <c r="F802" s="15"/>
      <c r="G802"/>
      <c r="H802"/>
      <c r="I802"/>
      <c r="J802"/>
    </row>
    <row r="803" spans="1:10" x14ac:dyDescent="0.25">
      <c r="A803" s="230"/>
      <c r="B803" s="231"/>
      <c r="C803" s="15"/>
      <c r="D803"/>
      <c r="E803"/>
      <c r="F803" s="15"/>
      <c r="G803"/>
      <c r="H803"/>
      <c r="I803"/>
      <c r="J803"/>
    </row>
    <row r="804" spans="1:10" x14ac:dyDescent="0.25">
      <c r="A804" s="230"/>
      <c r="B804" s="231"/>
      <c r="C804" s="15"/>
      <c r="D804"/>
      <c r="E804"/>
      <c r="F804" s="15"/>
      <c r="G804"/>
      <c r="H804"/>
      <c r="I804"/>
      <c r="J804"/>
    </row>
    <row r="805" spans="1:10" x14ac:dyDescent="0.25">
      <c r="A805" s="230"/>
      <c r="B805" s="231"/>
      <c r="C805" s="15"/>
      <c r="D805"/>
      <c r="E805"/>
      <c r="F805" s="15"/>
      <c r="G805"/>
      <c r="H805"/>
      <c r="I805"/>
      <c r="J805"/>
    </row>
    <row r="806" spans="1:10" x14ac:dyDescent="0.25">
      <c r="A806" s="230"/>
      <c r="B806" s="231"/>
      <c r="C806" s="15"/>
      <c r="D806"/>
      <c r="E806"/>
      <c r="F806" s="15"/>
      <c r="G806"/>
      <c r="H806"/>
      <c r="I806"/>
      <c r="J806"/>
    </row>
    <row r="807" spans="1:10" x14ac:dyDescent="0.25">
      <c r="A807" s="230"/>
      <c r="B807" s="231"/>
      <c r="C807" s="15"/>
      <c r="D807"/>
      <c r="E807"/>
      <c r="F807" s="15"/>
      <c r="G807"/>
      <c r="H807"/>
      <c r="I807"/>
      <c r="J807"/>
    </row>
    <row r="808" spans="1:10" x14ac:dyDescent="0.25">
      <c r="A808" s="230"/>
      <c r="B808" s="231"/>
      <c r="C808" s="15"/>
      <c r="D808"/>
      <c r="E808"/>
      <c r="F808" s="15"/>
      <c r="G808"/>
      <c r="H808"/>
      <c r="I808"/>
      <c r="J808"/>
    </row>
    <row r="809" spans="1:10" x14ac:dyDescent="0.25">
      <c r="A809" s="230"/>
      <c r="B809" s="231"/>
      <c r="C809" s="15"/>
      <c r="D809"/>
      <c r="E809"/>
      <c r="F809" s="15"/>
      <c r="G809"/>
      <c r="H809"/>
      <c r="I809"/>
      <c r="J809"/>
    </row>
    <row r="810" spans="1:10" x14ac:dyDescent="0.25">
      <c r="A810" s="230"/>
      <c r="B810" s="231"/>
      <c r="C810" s="15"/>
      <c r="D810"/>
      <c r="E810"/>
      <c r="F810" s="15"/>
      <c r="G810"/>
      <c r="H810"/>
      <c r="I810"/>
      <c r="J810"/>
    </row>
    <row r="811" spans="1:10" x14ac:dyDescent="0.25">
      <c r="A811" s="230"/>
      <c r="B811" s="231"/>
      <c r="C811" s="15"/>
      <c r="D811"/>
      <c r="E811"/>
      <c r="F811" s="15"/>
      <c r="G811"/>
      <c r="H811"/>
      <c r="I811"/>
      <c r="J811"/>
    </row>
    <row r="812" spans="1:10" x14ac:dyDescent="0.25">
      <c r="A812" s="230"/>
      <c r="B812" s="231"/>
      <c r="C812" s="15"/>
      <c r="D812"/>
      <c r="E812"/>
      <c r="F812" s="15"/>
      <c r="G812"/>
      <c r="H812"/>
      <c r="I812"/>
      <c r="J812"/>
    </row>
    <row r="813" spans="1:10" x14ac:dyDescent="0.25">
      <c r="A813" s="230"/>
      <c r="B813" s="231"/>
      <c r="C813" s="15"/>
      <c r="D813"/>
      <c r="E813"/>
      <c r="F813" s="15"/>
      <c r="G813"/>
      <c r="H813"/>
      <c r="I813"/>
      <c r="J813"/>
    </row>
    <row r="814" spans="1:10" x14ac:dyDescent="0.25">
      <c r="A814" s="230"/>
      <c r="B814" s="231"/>
      <c r="C814" s="15"/>
      <c r="D814"/>
      <c r="E814"/>
      <c r="F814" s="15"/>
      <c r="G814"/>
      <c r="H814"/>
      <c r="I814"/>
      <c r="J814"/>
    </row>
    <row r="815" spans="1:10" x14ac:dyDescent="0.25">
      <c r="A815" s="230"/>
      <c r="B815" s="231"/>
      <c r="C815" s="15"/>
      <c r="D815"/>
      <c r="E815"/>
      <c r="F815" s="15"/>
      <c r="G815"/>
      <c r="H815"/>
      <c r="I815"/>
      <c r="J815"/>
    </row>
    <row r="816" spans="1:10" x14ac:dyDescent="0.25">
      <c r="A816" s="230"/>
      <c r="B816" s="231"/>
      <c r="C816" s="15"/>
      <c r="D816"/>
      <c r="E816"/>
      <c r="F816" s="15"/>
      <c r="G816"/>
      <c r="H816"/>
      <c r="I816"/>
      <c r="J816"/>
    </row>
    <row r="817" spans="1:10" x14ac:dyDescent="0.25">
      <c r="A817" s="230"/>
      <c r="B817" s="231"/>
      <c r="C817" s="15"/>
      <c r="D817"/>
      <c r="E817"/>
      <c r="F817" s="15"/>
      <c r="G817"/>
      <c r="H817"/>
      <c r="I817"/>
      <c r="J817"/>
    </row>
    <row r="818" spans="1:10" x14ac:dyDescent="0.25">
      <c r="A818" s="230"/>
      <c r="B818" s="231"/>
      <c r="C818" s="15"/>
      <c r="D818"/>
      <c r="E818"/>
      <c r="F818" s="15"/>
      <c r="G818"/>
      <c r="H818"/>
      <c r="I818"/>
      <c r="J818"/>
    </row>
    <row r="819" spans="1:10" x14ac:dyDescent="0.25">
      <c r="A819" s="230"/>
      <c r="B819" s="231"/>
      <c r="C819" s="15"/>
      <c r="D819"/>
      <c r="E819"/>
      <c r="F819" s="15"/>
      <c r="G819"/>
      <c r="H819"/>
      <c r="I819"/>
      <c r="J819"/>
    </row>
    <row r="820" spans="1:10" x14ac:dyDescent="0.25">
      <c r="A820" s="230"/>
      <c r="B820" s="231"/>
      <c r="C820" s="15"/>
      <c r="D820"/>
      <c r="E820"/>
      <c r="F820" s="15"/>
      <c r="G820"/>
      <c r="H820"/>
      <c r="I820"/>
      <c r="J820"/>
    </row>
    <row r="821" spans="1:10" x14ac:dyDescent="0.25">
      <c r="A821" s="230"/>
      <c r="B821" s="231"/>
      <c r="C821" s="15"/>
      <c r="D821"/>
      <c r="E821"/>
      <c r="F821" s="15"/>
      <c r="G821"/>
      <c r="H821"/>
      <c r="I821"/>
      <c r="J821"/>
    </row>
    <row r="822" spans="1:10" x14ac:dyDescent="0.25">
      <c r="A822" s="230"/>
      <c r="B822" s="231"/>
      <c r="C822" s="15"/>
      <c r="D822"/>
      <c r="E822"/>
      <c r="F822" s="15"/>
      <c r="G822"/>
      <c r="H822"/>
      <c r="I822"/>
      <c r="J822"/>
    </row>
    <row r="823" spans="1:10" x14ac:dyDescent="0.25">
      <c r="A823" s="230"/>
      <c r="B823" s="231"/>
      <c r="C823" s="15"/>
      <c r="D823"/>
      <c r="E823"/>
      <c r="F823" s="15"/>
      <c r="G823"/>
      <c r="H823"/>
      <c r="I823"/>
      <c r="J823"/>
    </row>
    <row r="824" spans="1:10" x14ac:dyDescent="0.25">
      <c r="A824" s="230"/>
      <c r="B824" s="231"/>
      <c r="C824" s="15"/>
      <c r="D824"/>
      <c r="E824"/>
      <c r="F824" s="15"/>
      <c r="G824"/>
      <c r="H824"/>
      <c r="I824"/>
      <c r="J824"/>
    </row>
    <row r="825" spans="1:10" x14ac:dyDescent="0.25">
      <c r="A825" s="230"/>
      <c r="B825" s="231"/>
      <c r="C825" s="15"/>
      <c r="D825"/>
      <c r="E825"/>
      <c r="F825" s="15"/>
      <c r="G825"/>
      <c r="H825"/>
      <c r="I825"/>
      <c r="J825"/>
    </row>
    <row r="826" spans="1:10" x14ac:dyDescent="0.25">
      <c r="A826" s="230"/>
      <c r="B826" s="231"/>
      <c r="C826" s="15"/>
      <c r="D826"/>
      <c r="E826"/>
      <c r="F826" s="15"/>
      <c r="G826"/>
      <c r="H826"/>
      <c r="I826"/>
      <c r="J826"/>
    </row>
    <row r="827" spans="1:10" x14ac:dyDescent="0.25">
      <c r="A827" s="230"/>
      <c r="B827" s="231"/>
      <c r="C827" s="15"/>
      <c r="D827"/>
      <c r="E827"/>
      <c r="F827" s="15"/>
      <c r="G827"/>
      <c r="H827"/>
      <c r="I827"/>
      <c r="J827"/>
    </row>
    <row r="828" spans="1:10" x14ac:dyDescent="0.25">
      <c r="A828" s="230"/>
      <c r="B828" s="231"/>
      <c r="C828" s="15"/>
      <c r="D828"/>
      <c r="E828"/>
      <c r="F828" s="15"/>
      <c r="G828"/>
      <c r="H828"/>
      <c r="I828"/>
      <c r="J828"/>
    </row>
    <row r="829" spans="1:10" x14ac:dyDescent="0.25">
      <c r="A829" s="230"/>
      <c r="B829" s="231"/>
      <c r="C829" s="15"/>
      <c r="D829"/>
      <c r="E829"/>
      <c r="F829" s="15"/>
      <c r="G829"/>
      <c r="H829"/>
      <c r="I829"/>
      <c r="J829"/>
    </row>
    <row r="830" spans="1:10" x14ac:dyDescent="0.25">
      <c r="A830" s="230"/>
      <c r="B830" s="231"/>
      <c r="C830" s="15"/>
      <c r="D830"/>
      <c r="E830"/>
      <c r="F830" s="15"/>
      <c r="G830"/>
      <c r="H830"/>
      <c r="I830"/>
      <c r="J830"/>
    </row>
    <row r="831" spans="1:10" x14ac:dyDescent="0.25">
      <c r="A831" s="230"/>
      <c r="B831" s="231"/>
      <c r="C831" s="15"/>
      <c r="D831"/>
      <c r="E831"/>
      <c r="F831" s="15"/>
      <c r="G831"/>
      <c r="H831"/>
      <c r="I831"/>
      <c r="J831"/>
    </row>
    <row r="832" spans="1:10" x14ac:dyDescent="0.25">
      <c r="A832" s="230"/>
      <c r="B832" s="231"/>
      <c r="C832" s="15"/>
      <c r="D832"/>
      <c r="E832"/>
      <c r="F832" s="15"/>
      <c r="G832"/>
      <c r="H832"/>
      <c r="I832"/>
      <c r="J832"/>
    </row>
    <row r="833" spans="1:10" x14ac:dyDescent="0.25">
      <c r="A833" s="230"/>
      <c r="B833" s="231"/>
      <c r="C833" s="15"/>
      <c r="D833"/>
      <c r="E833"/>
      <c r="F833" s="15"/>
      <c r="G833"/>
      <c r="H833"/>
      <c r="I833"/>
      <c r="J833"/>
    </row>
    <row r="834" spans="1:10" x14ac:dyDescent="0.25">
      <c r="A834" s="230"/>
      <c r="B834" s="231"/>
      <c r="C834" s="15"/>
      <c r="D834"/>
      <c r="E834"/>
      <c r="F834" s="15"/>
      <c r="G834"/>
      <c r="H834"/>
      <c r="I834"/>
      <c r="J834"/>
    </row>
    <row r="835" spans="1:10" x14ac:dyDescent="0.25">
      <c r="A835" s="230"/>
      <c r="B835" s="231"/>
      <c r="C835" s="15"/>
      <c r="D835"/>
      <c r="E835"/>
      <c r="F835" s="15"/>
      <c r="G835"/>
      <c r="H835"/>
      <c r="I835"/>
      <c r="J835"/>
    </row>
    <row r="836" spans="1:10" x14ac:dyDescent="0.25">
      <c r="A836" s="230"/>
      <c r="B836" s="231"/>
      <c r="C836" s="15"/>
      <c r="D836"/>
      <c r="E836"/>
      <c r="F836" s="15"/>
      <c r="G836"/>
      <c r="H836"/>
      <c r="I836"/>
      <c r="J836"/>
    </row>
    <row r="837" spans="1:10" x14ac:dyDescent="0.25">
      <c r="A837" s="230"/>
      <c r="B837" s="231"/>
      <c r="C837" s="15"/>
      <c r="D837"/>
      <c r="E837"/>
      <c r="F837" s="15"/>
      <c r="G837"/>
      <c r="H837"/>
      <c r="I837"/>
      <c r="J837"/>
    </row>
    <row r="838" spans="1:10" x14ac:dyDescent="0.25">
      <c r="A838" s="230"/>
      <c r="B838" s="231"/>
      <c r="C838" s="15"/>
      <c r="D838"/>
      <c r="E838"/>
      <c r="F838" s="15"/>
      <c r="G838"/>
      <c r="H838"/>
      <c r="I838"/>
      <c r="J838"/>
    </row>
    <row r="839" spans="1:10" x14ac:dyDescent="0.25">
      <c r="A839" s="230"/>
      <c r="B839" s="231"/>
      <c r="C839" s="15"/>
      <c r="D839"/>
      <c r="E839"/>
      <c r="F839" s="15"/>
      <c r="G839"/>
      <c r="H839"/>
      <c r="I839"/>
      <c r="J839"/>
    </row>
    <row r="840" spans="1:10" x14ac:dyDescent="0.25">
      <c r="A840" s="230"/>
      <c r="B840" s="231"/>
      <c r="C840" s="15"/>
      <c r="D840"/>
      <c r="E840"/>
      <c r="F840" s="15"/>
      <c r="G840"/>
      <c r="H840"/>
      <c r="I840"/>
      <c r="J840"/>
    </row>
    <row r="841" spans="1:10" x14ac:dyDescent="0.25">
      <c r="A841" s="230"/>
      <c r="B841" s="231"/>
      <c r="C841" s="15"/>
      <c r="D841"/>
      <c r="E841"/>
      <c r="F841" s="15"/>
      <c r="G841"/>
      <c r="H841"/>
      <c r="I841"/>
      <c r="J841"/>
    </row>
    <row r="842" spans="1:10" x14ac:dyDescent="0.25">
      <c r="A842" s="230"/>
      <c r="B842" s="231"/>
      <c r="C842" s="15"/>
      <c r="D842"/>
      <c r="E842"/>
      <c r="F842" s="15"/>
      <c r="G842"/>
      <c r="H842"/>
      <c r="I842"/>
      <c r="J842"/>
    </row>
    <row r="843" spans="1:10" x14ac:dyDescent="0.25">
      <c r="A843" s="230"/>
      <c r="B843" s="231"/>
      <c r="C843" s="15"/>
      <c r="D843"/>
      <c r="E843"/>
      <c r="F843" s="15"/>
      <c r="G843"/>
      <c r="H843"/>
      <c r="I843"/>
      <c r="J843"/>
    </row>
    <row r="844" spans="1:10" x14ac:dyDescent="0.25">
      <c r="A844" s="230"/>
      <c r="B844" s="231"/>
      <c r="C844" s="15"/>
      <c r="D844"/>
      <c r="E844"/>
      <c r="F844" s="15"/>
      <c r="G844"/>
      <c r="H844"/>
      <c r="I844"/>
      <c r="J844"/>
    </row>
    <row r="845" spans="1:10" x14ac:dyDescent="0.25">
      <c r="A845" s="230"/>
      <c r="B845" s="231"/>
      <c r="C845" s="15"/>
      <c r="D845"/>
      <c r="E845"/>
      <c r="F845" s="15"/>
      <c r="G845"/>
      <c r="H845"/>
      <c r="I845"/>
      <c r="J845"/>
    </row>
    <row r="846" spans="1:10" x14ac:dyDescent="0.25">
      <c r="A846" s="230"/>
      <c r="B846" s="231"/>
      <c r="C846" s="15"/>
      <c r="D846"/>
      <c r="E846"/>
      <c r="F846" s="15"/>
      <c r="G846"/>
      <c r="H846"/>
      <c r="I846"/>
      <c r="J846"/>
    </row>
    <row r="847" spans="1:10" x14ac:dyDescent="0.25">
      <c r="A847" s="230"/>
      <c r="B847" s="231"/>
      <c r="C847" s="15"/>
      <c r="D847"/>
      <c r="E847"/>
      <c r="F847" s="15"/>
      <c r="G847"/>
      <c r="H847"/>
      <c r="I847"/>
      <c r="J847"/>
    </row>
    <row r="848" spans="1:10" x14ac:dyDescent="0.25">
      <c r="A848" s="230"/>
      <c r="B848" s="231"/>
      <c r="C848" s="15"/>
      <c r="D848"/>
      <c r="E848"/>
      <c r="F848" s="15"/>
      <c r="G848"/>
      <c r="H848"/>
      <c r="I848"/>
      <c r="J848"/>
    </row>
    <row r="849" spans="1:10" x14ac:dyDescent="0.25">
      <c r="A849" s="230"/>
      <c r="B849" s="231"/>
      <c r="C849" s="15"/>
      <c r="D849"/>
      <c r="E849"/>
      <c r="F849" s="15"/>
      <c r="G849"/>
      <c r="H849"/>
      <c r="I849"/>
      <c r="J849"/>
    </row>
    <row r="850" spans="1:10" x14ac:dyDescent="0.25">
      <c r="A850" s="230"/>
      <c r="B850" s="231"/>
      <c r="C850" s="15"/>
      <c r="D850"/>
      <c r="E850"/>
      <c r="F850" s="15"/>
      <c r="G850"/>
      <c r="H850"/>
      <c r="I850"/>
      <c r="J850"/>
    </row>
    <row r="851" spans="1:10" x14ac:dyDescent="0.25">
      <c r="A851" s="230"/>
      <c r="B851" s="231"/>
      <c r="C851" s="15"/>
      <c r="D851"/>
      <c r="E851"/>
      <c r="F851" s="15"/>
      <c r="G851"/>
      <c r="H851"/>
      <c r="I851"/>
      <c r="J851"/>
    </row>
    <row r="852" spans="1:10" x14ac:dyDescent="0.25">
      <c r="A852" s="230"/>
      <c r="B852" s="231"/>
      <c r="C852" s="15"/>
      <c r="D852"/>
      <c r="E852"/>
      <c r="F852" s="15"/>
      <c r="G852"/>
      <c r="H852"/>
      <c r="I852"/>
      <c r="J852"/>
    </row>
    <row r="853" spans="1:10" x14ac:dyDescent="0.25">
      <c r="A853" s="230"/>
      <c r="B853" s="231"/>
      <c r="C853" s="15"/>
      <c r="D853"/>
      <c r="E853"/>
      <c r="F853" s="15"/>
      <c r="G853"/>
      <c r="H853"/>
      <c r="I853"/>
      <c r="J853"/>
    </row>
    <row r="854" spans="1:10" x14ac:dyDescent="0.25">
      <c r="A854" s="230"/>
      <c r="B854" s="231"/>
      <c r="C854" s="15"/>
      <c r="D854"/>
      <c r="E854"/>
      <c r="F854" s="15"/>
      <c r="G854"/>
      <c r="H854"/>
      <c r="I854"/>
      <c r="J854"/>
    </row>
    <row r="855" spans="1:10" x14ac:dyDescent="0.25">
      <c r="A855" s="230"/>
      <c r="B855" s="231"/>
      <c r="C855" s="15"/>
      <c r="D855"/>
      <c r="E855"/>
      <c r="F855" s="15"/>
      <c r="G855"/>
      <c r="H855"/>
      <c r="I855"/>
      <c r="J855"/>
    </row>
    <row r="856" spans="1:10" x14ac:dyDescent="0.25">
      <c r="A856" s="230"/>
      <c r="B856" s="231"/>
      <c r="C856" s="15"/>
      <c r="D856"/>
      <c r="E856"/>
      <c r="F856" s="15"/>
      <c r="G856"/>
      <c r="H856"/>
      <c r="I856"/>
      <c r="J856"/>
    </row>
    <row r="857" spans="1:10" x14ac:dyDescent="0.25">
      <c r="A857" s="230"/>
      <c r="B857" s="231"/>
      <c r="C857" s="15"/>
      <c r="D857"/>
      <c r="E857"/>
      <c r="F857" s="15"/>
      <c r="G857"/>
      <c r="H857"/>
      <c r="I857"/>
      <c r="J857"/>
    </row>
    <row r="858" spans="1:10" x14ac:dyDescent="0.25">
      <c r="A858" s="230"/>
      <c r="B858" s="231"/>
      <c r="C858" s="15"/>
      <c r="D858"/>
      <c r="E858"/>
      <c r="F858" s="15"/>
      <c r="G858"/>
      <c r="H858"/>
      <c r="I858"/>
      <c r="J858"/>
    </row>
    <row r="859" spans="1:10" x14ac:dyDescent="0.25">
      <c r="A859" s="230"/>
      <c r="B859" s="231"/>
      <c r="C859" s="15"/>
      <c r="D859"/>
      <c r="E859"/>
      <c r="F859" s="15"/>
      <c r="G859"/>
      <c r="H859"/>
      <c r="I859"/>
      <c r="J859"/>
    </row>
    <row r="860" spans="1:10" x14ac:dyDescent="0.25">
      <c r="A860" s="230"/>
      <c r="B860" s="231"/>
      <c r="C860" s="15"/>
      <c r="D860"/>
      <c r="E860"/>
      <c r="F860" s="15"/>
      <c r="G860"/>
      <c r="H860"/>
      <c r="I860"/>
      <c r="J860"/>
    </row>
    <row r="861" spans="1:10" x14ac:dyDescent="0.25">
      <c r="A861" s="230"/>
      <c r="B861" s="231"/>
      <c r="C861" s="15"/>
      <c r="D861"/>
      <c r="E861"/>
      <c r="F861" s="15"/>
      <c r="G861"/>
      <c r="H861"/>
      <c r="I861"/>
      <c r="J861"/>
    </row>
    <row r="862" spans="1:10" x14ac:dyDescent="0.25">
      <c r="A862" s="230"/>
      <c r="B862" s="231"/>
      <c r="C862" s="15"/>
      <c r="D862"/>
      <c r="E862"/>
      <c r="F862" s="15"/>
      <c r="G862"/>
      <c r="H862"/>
      <c r="I862"/>
      <c r="J862"/>
    </row>
    <row r="863" spans="1:10" x14ac:dyDescent="0.25">
      <c r="A863" s="230"/>
      <c r="B863" s="231"/>
      <c r="C863" s="15"/>
      <c r="D863"/>
      <c r="E863"/>
      <c r="F863" s="15"/>
      <c r="G863"/>
      <c r="H863"/>
      <c r="I863"/>
      <c r="J863"/>
    </row>
    <row r="864" spans="1:10" x14ac:dyDescent="0.25">
      <c r="A864" s="230"/>
      <c r="B864" s="231"/>
      <c r="C864" s="15"/>
      <c r="D864"/>
      <c r="E864"/>
      <c r="F864" s="15"/>
      <c r="G864"/>
      <c r="H864"/>
      <c r="I864"/>
      <c r="J864"/>
    </row>
    <row r="865" spans="1:10" x14ac:dyDescent="0.25">
      <c r="A865" s="230"/>
      <c r="B865" s="231"/>
      <c r="C865" s="15"/>
      <c r="D865"/>
      <c r="E865"/>
      <c r="F865" s="15"/>
      <c r="G865"/>
      <c r="H865"/>
      <c r="I865"/>
      <c r="J865"/>
    </row>
    <row r="866" spans="1:10" x14ac:dyDescent="0.25">
      <c r="A866" s="230"/>
      <c r="B866" s="231"/>
      <c r="C866" s="15"/>
      <c r="D866"/>
      <c r="E866"/>
      <c r="F866" s="15"/>
      <c r="G866"/>
      <c r="H866"/>
      <c r="I866"/>
      <c r="J866"/>
    </row>
    <row r="867" spans="1:10" x14ac:dyDescent="0.25">
      <c r="A867" s="230"/>
      <c r="B867" s="231"/>
      <c r="C867" s="15"/>
      <c r="D867"/>
      <c r="E867"/>
      <c r="F867" s="15"/>
      <c r="G867"/>
      <c r="H867"/>
      <c r="I867"/>
      <c r="J867"/>
    </row>
    <row r="868" spans="1:10" x14ac:dyDescent="0.25">
      <c r="A868" s="230"/>
      <c r="B868" s="231"/>
      <c r="C868" s="15"/>
      <c r="D868"/>
      <c r="E868"/>
      <c r="F868" s="15"/>
      <c r="G868"/>
      <c r="H868"/>
      <c r="I868"/>
      <c r="J868"/>
    </row>
    <row r="869" spans="1:10" x14ac:dyDescent="0.25">
      <c r="A869" s="230"/>
      <c r="B869" s="231"/>
      <c r="C869" s="15"/>
      <c r="D869"/>
      <c r="E869"/>
      <c r="F869" s="15"/>
      <c r="G869"/>
      <c r="H869"/>
      <c r="I869"/>
      <c r="J869"/>
    </row>
    <row r="870" spans="1:10" x14ac:dyDescent="0.25">
      <c r="A870" s="230"/>
      <c r="B870" s="231"/>
      <c r="C870" s="15"/>
      <c r="D870"/>
      <c r="E870"/>
      <c r="F870" s="15"/>
      <c r="G870"/>
      <c r="H870"/>
      <c r="I870"/>
      <c r="J870"/>
    </row>
    <row r="871" spans="1:10" x14ac:dyDescent="0.25">
      <c r="A871" s="230"/>
      <c r="B871" s="231"/>
      <c r="C871" s="15"/>
      <c r="D871"/>
      <c r="E871"/>
      <c r="F871" s="15"/>
      <c r="G871"/>
      <c r="H871"/>
      <c r="I871"/>
      <c r="J871"/>
    </row>
    <row r="872" spans="1:10" x14ac:dyDescent="0.25">
      <c r="A872" s="230"/>
      <c r="B872" s="231"/>
      <c r="C872" s="15"/>
      <c r="D872"/>
      <c r="E872"/>
      <c r="F872" s="15"/>
      <c r="G872"/>
      <c r="H872"/>
      <c r="I872"/>
      <c r="J872"/>
    </row>
    <row r="873" spans="1:10" x14ac:dyDescent="0.25">
      <c r="A873" s="230"/>
      <c r="B873" s="231"/>
      <c r="C873" s="15"/>
      <c r="D873"/>
      <c r="E873"/>
      <c r="F873" s="15"/>
      <c r="G873"/>
      <c r="H873"/>
      <c r="I873"/>
      <c r="J873"/>
    </row>
    <row r="874" spans="1:10" x14ac:dyDescent="0.25">
      <c r="A874" s="230"/>
      <c r="B874" s="231"/>
      <c r="C874" s="15"/>
      <c r="D874"/>
      <c r="E874"/>
      <c r="F874" s="15"/>
      <c r="G874"/>
      <c r="H874"/>
      <c r="I874"/>
      <c r="J874"/>
    </row>
    <row r="875" spans="1:10" x14ac:dyDescent="0.25">
      <c r="A875" s="230"/>
      <c r="B875" s="231"/>
      <c r="C875" s="15"/>
      <c r="D875"/>
      <c r="E875"/>
      <c r="F875" s="15"/>
      <c r="G875"/>
      <c r="H875"/>
      <c r="I875"/>
      <c r="J875"/>
    </row>
    <row r="876" spans="1:10" x14ac:dyDescent="0.25">
      <c r="A876" s="230"/>
      <c r="B876" s="231"/>
      <c r="C876" s="15"/>
      <c r="D876"/>
      <c r="E876"/>
      <c r="F876" s="15"/>
      <c r="G876"/>
      <c r="H876"/>
      <c r="I876"/>
      <c r="J876"/>
    </row>
    <row r="877" spans="1:10" x14ac:dyDescent="0.25">
      <c r="A877" s="230"/>
      <c r="B877" s="231"/>
      <c r="C877" s="15"/>
      <c r="D877"/>
      <c r="E877"/>
      <c r="F877" s="15"/>
      <c r="G877"/>
      <c r="H877"/>
      <c r="I877"/>
      <c r="J877"/>
    </row>
    <row r="878" spans="1:10" x14ac:dyDescent="0.25">
      <c r="A878" s="230"/>
      <c r="B878" s="231"/>
      <c r="C878" s="15"/>
      <c r="D878"/>
      <c r="E878"/>
      <c r="F878" s="15"/>
      <c r="G878"/>
      <c r="H878"/>
      <c r="I878"/>
      <c r="J878"/>
    </row>
    <row r="879" spans="1:10" x14ac:dyDescent="0.25">
      <c r="A879" s="230"/>
      <c r="B879" s="231"/>
      <c r="C879" s="15"/>
      <c r="D879"/>
      <c r="E879"/>
      <c r="F879" s="15"/>
      <c r="G879"/>
      <c r="H879"/>
      <c r="I879"/>
      <c r="J879"/>
    </row>
    <row r="880" spans="1:10" x14ac:dyDescent="0.25">
      <c r="A880" s="230"/>
      <c r="B880" s="231"/>
      <c r="C880" s="15"/>
      <c r="D880"/>
      <c r="E880"/>
      <c r="F880" s="15"/>
      <c r="G880"/>
      <c r="H880"/>
      <c r="I880"/>
      <c r="J880"/>
    </row>
    <row r="881" spans="1:10" x14ac:dyDescent="0.25">
      <c r="A881" s="230"/>
      <c r="B881" s="231"/>
      <c r="C881" s="15"/>
      <c r="D881"/>
      <c r="E881"/>
      <c r="F881" s="15"/>
      <c r="G881"/>
      <c r="H881"/>
      <c r="I881"/>
      <c r="J881"/>
    </row>
    <row r="882" spans="1:10" x14ac:dyDescent="0.25">
      <c r="A882" s="230"/>
      <c r="B882" s="231"/>
      <c r="C882" s="15"/>
      <c r="D882"/>
      <c r="E882"/>
      <c r="F882" s="15"/>
      <c r="G882"/>
      <c r="H882"/>
      <c r="I882"/>
      <c r="J882"/>
    </row>
    <row r="883" spans="1:10" x14ac:dyDescent="0.25">
      <c r="A883" s="230"/>
      <c r="B883" s="231"/>
      <c r="C883" s="15"/>
      <c r="D883"/>
      <c r="E883"/>
      <c r="F883" s="15"/>
      <c r="G883"/>
      <c r="H883"/>
      <c r="I883"/>
      <c r="J883"/>
    </row>
    <row r="884" spans="1:10" x14ac:dyDescent="0.25">
      <c r="A884" s="230"/>
      <c r="B884" s="231"/>
      <c r="C884" s="15"/>
      <c r="D884"/>
      <c r="E884"/>
      <c r="F884" s="15"/>
      <c r="G884"/>
      <c r="H884"/>
      <c r="I884"/>
      <c r="J884"/>
    </row>
    <row r="885" spans="1:10" x14ac:dyDescent="0.25">
      <c r="A885" s="230"/>
      <c r="B885" s="231"/>
      <c r="C885" s="15"/>
      <c r="D885"/>
      <c r="E885"/>
      <c r="F885" s="15"/>
      <c r="G885"/>
      <c r="H885"/>
      <c r="I885"/>
      <c r="J885"/>
    </row>
    <row r="886" spans="1:10" x14ac:dyDescent="0.25">
      <c r="A886" s="230"/>
      <c r="B886" s="231"/>
      <c r="C886" s="15"/>
      <c r="D886"/>
      <c r="E886"/>
      <c r="F886" s="15"/>
      <c r="G886"/>
      <c r="H886"/>
      <c r="I886"/>
      <c r="J886"/>
    </row>
    <row r="887" spans="1:10" x14ac:dyDescent="0.25">
      <c r="A887" s="230"/>
      <c r="B887" s="231"/>
      <c r="C887" s="15"/>
      <c r="D887"/>
      <c r="E887"/>
      <c r="F887" s="15"/>
      <c r="G887"/>
      <c r="H887"/>
      <c r="I887"/>
      <c r="J887"/>
    </row>
    <row r="888" spans="1:10" x14ac:dyDescent="0.25">
      <c r="A888" s="230"/>
      <c r="B888" s="231"/>
      <c r="C888" s="15"/>
      <c r="D888"/>
      <c r="E888"/>
      <c r="F888" s="15"/>
      <c r="G888"/>
      <c r="H888"/>
      <c r="I888"/>
      <c r="J888"/>
    </row>
    <row r="889" spans="1:10" x14ac:dyDescent="0.25">
      <c r="A889" s="230"/>
      <c r="B889" s="231"/>
      <c r="C889" s="15"/>
      <c r="D889"/>
      <c r="E889"/>
      <c r="F889" s="15"/>
      <c r="G889"/>
      <c r="H889"/>
      <c r="I889"/>
      <c r="J889"/>
    </row>
    <row r="890" spans="1:10" x14ac:dyDescent="0.25">
      <c r="A890" s="230"/>
      <c r="B890" s="231"/>
      <c r="C890" s="15"/>
      <c r="D890"/>
      <c r="E890"/>
      <c r="F890" s="15"/>
      <c r="G890"/>
      <c r="H890"/>
      <c r="I890"/>
      <c r="J890"/>
    </row>
    <row r="891" spans="1:10" x14ac:dyDescent="0.25">
      <c r="A891" s="230"/>
      <c r="B891" s="231"/>
      <c r="C891" s="15"/>
      <c r="D891"/>
      <c r="E891"/>
      <c r="F891" s="15"/>
      <c r="G891"/>
      <c r="H891"/>
      <c r="I891"/>
      <c r="J891"/>
    </row>
    <row r="892" spans="1:10" x14ac:dyDescent="0.25">
      <c r="A892" s="230"/>
      <c r="B892" s="231"/>
      <c r="C892" s="15"/>
      <c r="D892"/>
      <c r="E892"/>
      <c r="F892" s="15"/>
      <c r="G892"/>
      <c r="H892"/>
      <c r="I892"/>
      <c r="J892"/>
    </row>
    <row r="893" spans="1:10" x14ac:dyDescent="0.25">
      <c r="A893" s="230"/>
      <c r="B893" s="231"/>
      <c r="C893" s="15"/>
      <c r="D893"/>
      <c r="E893"/>
      <c r="F893" s="15"/>
      <c r="G893"/>
      <c r="H893"/>
      <c r="I893"/>
      <c r="J893"/>
    </row>
    <row r="894" spans="1:10" x14ac:dyDescent="0.25">
      <c r="A894" s="230"/>
      <c r="B894" s="231"/>
      <c r="C894" s="15"/>
      <c r="D894"/>
      <c r="E894"/>
      <c r="F894" s="15"/>
      <c r="G894"/>
      <c r="H894"/>
      <c r="I894"/>
      <c r="J894"/>
    </row>
    <row r="895" spans="1:10" x14ac:dyDescent="0.25">
      <c r="A895" s="230"/>
      <c r="B895" s="231"/>
      <c r="C895" s="15"/>
      <c r="D895"/>
      <c r="E895"/>
      <c r="F895" s="15"/>
      <c r="G895"/>
      <c r="H895"/>
      <c r="I895"/>
      <c r="J895"/>
    </row>
    <row r="896" spans="1:10" x14ac:dyDescent="0.25">
      <c r="A896" s="230"/>
      <c r="B896" s="231"/>
      <c r="C896" s="15"/>
      <c r="D896"/>
      <c r="E896"/>
      <c r="F896" s="15"/>
      <c r="G896"/>
      <c r="H896"/>
      <c r="I896"/>
      <c r="J896"/>
    </row>
    <row r="897" spans="1:10" x14ac:dyDescent="0.25">
      <c r="A897" s="230"/>
      <c r="B897" s="231"/>
      <c r="C897" s="15"/>
      <c r="D897"/>
      <c r="E897"/>
      <c r="F897" s="15"/>
      <c r="G897"/>
      <c r="H897"/>
      <c r="I897"/>
      <c r="J897"/>
    </row>
    <row r="898" spans="1:10" x14ac:dyDescent="0.25">
      <c r="A898" s="230"/>
      <c r="B898" s="231"/>
      <c r="C898" s="15"/>
      <c r="D898"/>
      <c r="E898"/>
      <c r="F898" s="15"/>
      <c r="G898"/>
      <c r="H898"/>
      <c r="I898"/>
      <c r="J898"/>
    </row>
    <row r="899" spans="1:10" x14ac:dyDescent="0.25">
      <c r="A899" s="230"/>
      <c r="B899" s="231"/>
      <c r="C899" s="15"/>
      <c r="D899"/>
      <c r="E899"/>
      <c r="F899" s="15"/>
      <c r="G899"/>
      <c r="H899"/>
      <c r="I899"/>
      <c r="J899"/>
    </row>
    <row r="900" spans="1:10" x14ac:dyDescent="0.25">
      <c r="A900" s="230"/>
      <c r="B900" s="231"/>
      <c r="C900" s="15"/>
      <c r="D900"/>
      <c r="E900"/>
      <c r="F900" s="15"/>
      <c r="G900"/>
      <c r="H900"/>
      <c r="I900"/>
      <c r="J900"/>
    </row>
    <row r="901" spans="1:10" x14ac:dyDescent="0.25">
      <c r="A901" s="230"/>
      <c r="B901" s="231"/>
      <c r="C901" s="15"/>
      <c r="D901"/>
      <c r="E901"/>
      <c r="F901" s="15"/>
      <c r="G901"/>
      <c r="H901"/>
      <c r="I901"/>
      <c r="J901"/>
    </row>
    <row r="902" spans="1:10" x14ac:dyDescent="0.25">
      <c r="A902" s="230"/>
      <c r="B902" s="231"/>
      <c r="C902" s="15"/>
      <c r="D902"/>
      <c r="E902"/>
      <c r="F902" s="15"/>
      <c r="G902"/>
      <c r="H902"/>
      <c r="I902"/>
      <c r="J902"/>
    </row>
    <row r="903" spans="1:10" x14ac:dyDescent="0.25">
      <c r="A903" s="230"/>
      <c r="B903" s="231"/>
      <c r="C903" s="15"/>
      <c r="D903"/>
      <c r="E903"/>
      <c r="F903" s="15"/>
      <c r="G903"/>
      <c r="H903"/>
      <c r="I903"/>
      <c r="J903"/>
    </row>
    <row r="904" spans="1:10" x14ac:dyDescent="0.25">
      <c r="A904" s="230"/>
      <c r="B904" s="231"/>
      <c r="C904" s="15"/>
      <c r="D904"/>
      <c r="E904"/>
      <c r="F904" s="15"/>
      <c r="G904"/>
      <c r="H904"/>
      <c r="I904"/>
      <c r="J904"/>
    </row>
    <row r="905" spans="1:10" x14ac:dyDescent="0.25">
      <c r="A905" s="230"/>
      <c r="B905" s="231"/>
      <c r="C905" s="15"/>
      <c r="D905"/>
      <c r="E905"/>
      <c r="F905" s="15"/>
      <c r="G905"/>
      <c r="H905"/>
      <c r="I905"/>
      <c r="J905"/>
    </row>
    <row r="906" spans="1:10" x14ac:dyDescent="0.25">
      <c r="A906" s="230"/>
      <c r="B906" s="231"/>
      <c r="C906" s="15"/>
      <c r="D906"/>
      <c r="E906"/>
      <c r="F906" s="15"/>
      <c r="G906"/>
      <c r="H906"/>
      <c r="I906"/>
      <c r="J906"/>
    </row>
    <row r="907" spans="1:10" x14ac:dyDescent="0.25">
      <c r="A907" s="230"/>
      <c r="B907" s="231"/>
      <c r="C907" s="15"/>
      <c r="D907"/>
      <c r="E907"/>
      <c r="F907" s="15"/>
      <c r="G907"/>
      <c r="H907"/>
      <c r="I907"/>
      <c r="J907"/>
    </row>
    <row r="908" spans="1:10" x14ac:dyDescent="0.25">
      <c r="A908" s="230"/>
      <c r="B908" s="231"/>
      <c r="C908" s="15"/>
      <c r="D908"/>
      <c r="E908"/>
      <c r="F908" s="15"/>
      <c r="G908"/>
      <c r="H908"/>
      <c r="I908"/>
      <c r="J908"/>
    </row>
    <row r="909" spans="1:10" x14ac:dyDescent="0.25">
      <c r="A909" s="230"/>
      <c r="B909" s="231"/>
      <c r="C909" s="15"/>
      <c r="D909"/>
      <c r="E909"/>
      <c r="F909" s="15"/>
      <c r="G909"/>
      <c r="H909"/>
      <c r="I909"/>
      <c r="J909"/>
    </row>
    <row r="910" spans="1:10" x14ac:dyDescent="0.25">
      <c r="A910" s="230"/>
      <c r="B910" s="231"/>
      <c r="C910" s="15"/>
      <c r="D910"/>
      <c r="E910"/>
      <c r="F910" s="15"/>
      <c r="G910"/>
      <c r="H910"/>
      <c r="I910"/>
      <c r="J910"/>
    </row>
    <row r="911" spans="1:10" x14ac:dyDescent="0.25">
      <c r="A911" s="230"/>
      <c r="B911" s="231"/>
      <c r="C911" s="15"/>
      <c r="D911"/>
      <c r="E911"/>
      <c r="F911" s="15"/>
      <c r="G911"/>
      <c r="H911"/>
      <c r="I911"/>
      <c r="J911"/>
    </row>
    <row r="912" spans="1:10" x14ac:dyDescent="0.25">
      <c r="A912" s="230"/>
      <c r="B912" s="231"/>
      <c r="C912" s="15"/>
      <c r="D912"/>
      <c r="E912"/>
      <c r="F912" s="15"/>
      <c r="G912"/>
      <c r="H912"/>
      <c r="I912"/>
      <c r="J912"/>
    </row>
    <row r="913" spans="1:10" x14ac:dyDescent="0.25">
      <c r="A913" s="230"/>
      <c r="B913" s="231"/>
      <c r="C913" s="15"/>
      <c r="D913"/>
      <c r="E913"/>
      <c r="F913" s="15"/>
      <c r="G913"/>
      <c r="H913"/>
      <c r="I913"/>
      <c r="J913"/>
    </row>
    <row r="914" spans="1:10" x14ac:dyDescent="0.25">
      <c r="A914" s="230"/>
      <c r="B914" s="231"/>
      <c r="C914" s="15"/>
      <c r="D914"/>
      <c r="E914"/>
      <c r="F914" s="15"/>
      <c r="G914"/>
      <c r="H914"/>
      <c r="I914"/>
      <c r="J914"/>
    </row>
    <row r="915" spans="1:10" x14ac:dyDescent="0.25">
      <c r="A915" s="230"/>
      <c r="B915" s="231"/>
      <c r="C915" s="15"/>
      <c r="D915"/>
      <c r="E915"/>
      <c r="F915" s="15"/>
      <c r="G915"/>
      <c r="H915"/>
      <c r="I915"/>
      <c r="J915"/>
    </row>
    <row r="916" spans="1:10" x14ac:dyDescent="0.25">
      <c r="A916" s="230"/>
      <c r="B916" s="231"/>
      <c r="C916" s="15"/>
      <c r="D916"/>
      <c r="E916"/>
      <c r="F916" s="15"/>
      <c r="G916"/>
      <c r="H916"/>
      <c r="I916"/>
      <c r="J916"/>
    </row>
    <row r="917" spans="1:10" x14ac:dyDescent="0.25">
      <c r="A917" s="230"/>
      <c r="B917" s="231"/>
      <c r="C917" s="15"/>
      <c r="D917"/>
      <c r="E917"/>
      <c r="F917" s="15"/>
      <c r="G917"/>
      <c r="H917"/>
      <c r="I917"/>
      <c r="J917"/>
    </row>
    <row r="918" spans="1:10" x14ac:dyDescent="0.25">
      <c r="A918" s="230"/>
      <c r="B918" s="231"/>
      <c r="C918" s="15"/>
      <c r="D918"/>
      <c r="E918"/>
      <c r="F918" s="15"/>
      <c r="G918"/>
      <c r="H918"/>
      <c r="I918"/>
      <c r="J918"/>
    </row>
    <row r="919" spans="1:10" x14ac:dyDescent="0.25">
      <c r="A919" s="230"/>
      <c r="B919" s="231"/>
      <c r="C919" s="15"/>
      <c r="D919"/>
      <c r="E919"/>
      <c r="F919" s="15"/>
      <c r="G919"/>
      <c r="H919"/>
      <c r="I919"/>
      <c r="J919"/>
    </row>
    <row r="920" spans="1:10" x14ac:dyDescent="0.25">
      <c r="A920" s="230"/>
      <c r="B920" s="231"/>
      <c r="C920" s="15"/>
      <c r="D920"/>
      <c r="E920"/>
      <c r="F920" s="15"/>
      <c r="G920"/>
      <c r="H920"/>
      <c r="I920"/>
      <c r="J920"/>
    </row>
    <row r="921" spans="1:10" x14ac:dyDescent="0.25">
      <c r="A921" s="230"/>
      <c r="B921" s="231"/>
      <c r="C921" s="15"/>
      <c r="D921"/>
      <c r="E921"/>
      <c r="F921" s="15"/>
      <c r="G921"/>
      <c r="H921"/>
      <c r="I921"/>
      <c r="J921"/>
    </row>
    <row r="922" spans="1:10" x14ac:dyDescent="0.25">
      <c r="A922" s="230"/>
      <c r="B922" s="231"/>
      <c r="C922" s="15"/>
      <c r="D922"/>
      <c r="E922"/>
      <c r="F922" s="15"/>
      <c r="G922"/>
      <c r="H922"/>
      <c r="I922"/>
      <c r="J922"/>
    </row>
    <row r="923" spans="1:10" x14ac:dyDescent="0.25">
      <c r="A923" s="230"/>
      <c r="B923" s="231"/>
      <c r="C923" s="15"/>
      <c r="D923"/>
      <c r="E923"/>
      <c r="F923" s="15"/>
      <c r="G923"/>
      <c r="H923"/>
      <c r="I923"/>
      <c r="J923"/>
    </row>
    <row r="924" spans="1:10" x14ac:dyDescent="0.25">
      <c r="A924" s="230"/>
      <c r="B924" s="231"/>
      <c r="C924" s="15"/>
      <c r="D924"/>
      <c r="E924"/>
      <c r="F924" s="15"/>
      <c r="G924"/>
      <c r="H924"/>
      <c r="I924"/>
      <c r="J924"/>
    </row>
    <row r="925" spans="1:10" x14ac:dyDescent="0.25">
      <c r="A925" s="230"/>
      <c r="B925" s="231"/>
      <c r="C925" s="15"/>
      <c r="D925"/>
      <c r="E925"/>
      <c r="F925" s="15"/>
      <c r="G925"/>
      <c r="H925"/>
      <c r="I925"/>
      <c r="J925"/>
    </row>
    <row r="926" spans="1:10" x14ac:dyDescent="0.25">
      <c r="A926" s="230"/>
      <c r="B926" s="231"/>
      <c r="C926" s="15"/>
      <c r="D926"/>
      <c r="E926"/>
      <c r="F926" s="15"/>
      <c r="G926"/>
      <c r="H926"/>
      <c r="I926"/>
      <c r="J926"/>
    </row>
    <row r="927" spans="1:10" x14ac:dyDescent="0.25">
      <c r="A927" s="230"/>
      <c r="B927" s="231"/>
      <c r="C927" s="15"/>
      <c r="D927"/>
      <c r="E927"/>
      <c r="F927" s="15"/>
      <c r="G927"/>
      <c r="H927"/>
      <c r="I927"/>
      <c r="J927"/>
    </row>
    <row r="928" spans="1:10" x14ac:dyDescent="0.25">
      <c r="A928" s="230"/>
      <c r="B928" s="231"/>
      <c r="C928" s="15"/>
      <c r="D928"/>
      <c r="E928"/>
      <c r="F928" s="15"/>
      <c r="G928"/>
      <c r="H928"/>
      <c r="I928"/>
      <c r="J928"/>
    </row>
    <row r="929" spans="1:10" x14ac:dyDescent="0.25">
      <c r="A929" s="230"/>
      <c r="B929" s="231"/>
      <c r="C929" s="15"/>
      <c r="D929"/>
      <c r="E929"/>
      <c r="F929" s="15"/>
      <c r="G929"/>
      <c r="H929"/>
      <c r="I929"/>
      <c r="J929"/>
    </row>
    <row r="930" spans="1:10" x14ac:dyDescent="0.25">
      <c r="A930" s="230"/>
      <c r="B930" s="231"/>
      <c r="C930" s="15"/>
      <c r="D930"/>
      <c r="E930"/>
      <c r="F930" s="15"/>
      <c r="G930"/>
      <c r="H930"/>
      <c r="I930"/>
      <c r="J930"/>
    </row>
    <row r="931" spans="1:10" x14ac:dyDescent="0.25">
      <c r="A931" s="230"/>
      <c r="B931" s="231"/>
      <c r="C931" s="15"/>
      <c r="D931"/>
      <c r="E931"/>
      <c r="F931" s="15"/>
      <c r="G931"/>
      <c r="H931"/>
      <c r="I931"/>
      <c r="J931"/>
    </row>
    <row r="932" spans="1:10" x14ac:dyDescent="0.25">
      <c r="A932" s="230"/>
      <c r="B932" s="231"/>
      <c r="C932" s="15"/>
      <c r="D932"/>
      <c r="E932"/>
      <c r="F932" s="15"/>
      <c r="G932"/>
      <c r="H932"/>
      <c r="I932"/>
      <c r="J932"/>
    </row>
    <row r="933" spans="1:10" x14ac:dyDescent="0.25">
      <c r="A933" s="230"/>
      <c r="B933" s="231"/>
      <c r="C933" s="15"/>
      <c r="D933"/>
      <c r="E933"/>
      <c r="F933" s="15"/>
      <c r="G933"/>
      <c r="H933"/>
      <c r="I933"/>
      <c r="J933"/>
    </row>
    <row r="934" spans="1:10" x14ac:dyDescent="0.25">
      <c r="A934" s="230"/>
      <c r="B934" s="231"/>
      <c r="C934" s="15"/>
      <c r="D934"/>
      <c r="E934"/>
      <c r="F934" s="15"/>
      <c r="G934"/>
      <c r="H934"/>
      <c r="I934"/>
      <c r="J934"/>
    </row>
    <row r="935" spans="1:10" x14ac:dyDescent="0.25">
      <c r="A935" s="230"/>
      <c r="B935" s="231"/>
      <c r="C935" s="15"/>
      <c r="D935"/>
      <c r="E935"/>
      <c r="F935" s="15"/>
      <c r="G935"/>
      <c r="H935"/>
      <c r="I935"/>
      <c r="J935"/>
    </row>
    <row r="936" spans="1:10" x14ac:dyDescent="0.25">
      <c r="A936" s="230"/>
      <c r="B936" s="231"/>
      <c r="C936" s="15"/>
      <c r="D936"/>
      <c r="E936"/>
      <c r="F936" s="15"/>
      <c r="G936"/>
      <c r="H936"/>
      <c r="I936"/>
      <c r="J936"/>
    </row>
    <row r="937" spans="1:10" x14ac:dyDescent="0.25">
      <c r="A937" s="230"/>
      <c r="B937" s="231"/>
      <c r="C937" s="15"/>
      <c r="D937"/>
      <c r="E937"/>
      <c r="F937" s="15"/>
      <c r="G937"/>
      <c r="H937"/>
      <c r="I937"/>
      <c r="J937"/>
    </row>
    <row r="938" spans="1:10" x14ac:dyDescent="0.25">
      <c r="A938" s="230"/>
      <c r="B938" s="231"/>
      <c r="C938" s="15"/>
      <c r="D938"/>
      <c r="E938"/>
      <c r="F938" s="15"/>
      <c r="G938"/>
      <c r="H938"/>
      <c r="I938"/>
      <c r="J938"/>
    </row>
    <row r="939" spans="1:10" x14ac:dyDescent="0.25">
      <c r="A939" s="230"/>
      <c r="B939" s="231"/>
      <c r="C939" s="15"/>
      <c r="D939"/>
      <c r="E939"/>
      <c r="F939" s="15"/>
      <c r="G939"/>
      <c r="H939"/>
      <c r="I939"/>
      <c r="J939"/>
    </row>
    <row r="940" spans="1:10" x14ac:dyDescent="0.25">
      <c r="A940" s="230"/>
      <c r="B940" s="231"/>
      <c r="C940" s="15"/>
      <c r="D940"/>
      <c r="E940"/>
      <c r="F940" s="15"/>
      <c r="G940"/>
      <c r="H940"/>
      <c r="I940"/>
      <c r="J940"/>
    </row>
    <row r="941" spans="1:10" x14ac:dyDescent="0.25">
      <c r="A941" s="230"/>
      <c r="B941" s="231"/>
      <c r="C941" s="15"/>
      <c r="D941"/>
      <c r="E941"/>
      <c r="F941" s="15"/>
      <c r="G941"/>
      <c r="H941"/>
      <c r="I941"/>
      <c r="J941"/>
    </row>
    <row r="942" spans="1:10" x14ac:dyDescent="0.25">
      <c r="A942" s="230"/>
      <c r="B942" s="231"/>
      <c r="C942" s="15"/>
      <c r="D942"/>
      <c r="E942"/>
      <c r="F942" s="15"/>
      <c r="G942"/>
      <c r="H942"/>
      <c r="I942"/>
      <c r="J942"/>
    </row>
    <row r="943" spans="1:10" x14ac:dyDescent="0.25">
      <c r="A943" s="230"/>
      <c r="B943" s="231"/>
      <c r="C943" s="15"/>
      <c r="D943"/>
      <c r="E943"/>
      <c r="F943" s="15"/>
      <c r="G943"/>
      <c r="H943"/>
      <c r="I943"/>
      <c r="J943"/>
    </row>
    <row r="944" spans="1:10" x14ac:dyDescent="0.25">
      <c r="A944" s="230"/>
      <c r="B944" s="231"/>
      <c r="C944" s="15"/>
      <c r="D944"/>
      <c r="E944"/>
      <c r="F944" s="15"/>
      <c r="G944"/>
      <c r="H944"/>
      <c r="I944"/>
      <c r="J944"/>
    </row>
    <row r="945" spans="1:10" x14ac:dyDescent="0.25">
      <c r="A945" s="230"/>
      <c r="B945" s="231"/>
      <c r="C945" s="15"/>
      <c r="D945"/>
      <c r="E945"/>
      <c r="F945" s="15"/>
      <c r="G945"/>
      <c r="H945"/>
      <c r="I945"/>
      <c r="J945"/>
    </row>
    <row r="946" spans="1:10" x14ac:dyDescent="0.25">
      <c r="A946" s="230"/>
      <c r="B946" s="231"/>
      <c r="C946" s="15"/>
      <c r="D946"/>
      <c r="E946"/>
      <c r="F946" s="15"/>
      <c r="G946"/>
      <c r="H946"/>
      <c r="I946"/>
      <c r="J946"/>
    </row>
    <row r="947" spans="1:10" x14ac:dyDescent="0.25">
      <c r="A947" s="230"/>
      <c r="B947" s="231"/>
      <c r="C947" s="15"/>
      <c r="D947"/>
      <c r="E947"/>
      <c r="F947" s="15"/>
      <c r="G947"/>
      <c r="H947"/>
      <c r="I947"/>
      <c r="J947"/>
    </row>
    <row r="948" spans="1:10" x14ac:dyDescent="0.25">
      <c r="A948" s="230"/>
      <c r="B948" s="231"/>
      <c r="C948" s="15"/>
      <c r="D948"/>
      <c r="E948"/>
      <c r="F948" s="15"/>
      <c r="G948"/>
      <c r="H948"/>
      <c r="I948"/>
      <c r="J948"/>
    </row>
    <row r="949" spans="1:10" x14ac:dyDescent="0.25">
      <c r="A949" s="230"/>
      <c r="B949" s="231"/>
      <c r="C949" s="15"/>
      <c r="D949"/>
      <c r="E949"/>
      <c r="F949" s="15"/>
      <c r="G949"/>
      <c r="H949"/>
      <c r="I949"/>
      <c r="J949"/>
    </row>
    <row r="950" spans="1:10" x14ac:dyDescent="0.25">
      <c r="A950" s="230"/>
      <c r="B950" s="231"/>
      <c r="C950" s="15"/>
      <c r="D950"/>
      <c r="E950"/>
      <c r="F950" s="15"/>
      <c r="G950"/>
      <c r="H950"/>
      <c r="I950"/>
      <c r="J950"/>
    </row>
    <row r="951" spans="1:10" x14ac:dyDescent="0.25">
      <c r="A951" s="230"/>
      <c r="B951" s="231"/>
      <c r="C951" s="15"/>
      <c r="D951"/>
      <c r="E951"/>
      <c r="F951" s="15"/>
      <c r="G951"/>
      <c r="H951"/>
      <c r="I951"/>
      <c r="J951"/>
    </row>
    <row r="952" spans="1:10" x14ac:dyDescent="0.25">
      <c r="A952" s="230"/>
      <c r="B952" s="231"/>
      <c r="C952" s="15"/>
      <c r="D952"/>
      <c r="E952"/>
      <c r="F952" s="15"/>
      <c r="G952"/>
      <c r="H952"/>
      <c r="I952"/>
      <c r="J952"/>
    </row>
    <row r="953" spans="1:10" x14ac:dyDescent="0.25">
      <c r="A953" s="230"/>
      <c r="B953" s="231"/>
      <c r="C953" s="15"/>
      <c r="D953"/>
      <c r="E953"/>
      <c r="F953" s="15"/>
      <c r="G953"/>
      <c r="H953"/>
      <c r="I953"/>
      <c r="J953"/>
    </row>
    <row r="954" spans="1:10" x14ac:dyDescent="0.25">
      <c r="A954" s="230"/>
      <c r="B954" s="231"/>
      <c r="C954" s="15"/>
      <c r="D954"/>
      <c r="E954"/>
      <c r="F954" s="15"/>
      <c r="G954"/>
      <c r="H954"/>
      <c r="I954"/>
      <c r="J954"/>
    </row>
    <row r="955" spans="1:10" x14ac:dyDescent="0.25">
      <c r="A955" s="230"/>
      <c r="B955" s="231"/>
      <c r="C955" s="15"/>
      <c r="D955"/>
      <c r="E955"/>
      <c r="F955" s="15"/>
      <c r="G955"/>
      <c r="H955"/>
      <c r="I955"/>
      <c r="J955"/>
    </row>
    <row r="956" spans="1:10" x14ac:dyDescent="0.25">
      <c r="A956" s="230"/>
      <c r="B956" s="231"/>
      <c r="C956" s="15"/>
      <c r="D956"/>
      <c r="E956"/>
      <c r="F956" s="15"/>
      <c r="G956"/>
      <c r="H956"/>
      <c r="I956"/>
      <c r="J956"/>
    </row>
    <row r="957" spans="1:10" x14ac:dyDescent="0.25">
      <c r="A957" s="230"/>
      <c r="B957" s="231"/>
      <c r="C957" s="15"/>
      <c r="D957"/>
      <c r="E957"/>
      <c r="F957" s="15"/>
      <c r="G957"/>
      <c r="H957"/>
      <c r="I957"/>
      <c r="J957"/>
    </row>
    <row r="958" spans="1:10" x14ac:dyDescent="0.25">
      <c r="A958" s="230"/>
      <c r="B958" s="231"/>
      <c r="C958" s="15"/>
      <c r="D958"/>
      <c r="E958"/>
      <c r="F958" s="15"/>
      <c r="G958"/>
      <c r="H958"/>
      <c r="I958"/>
      <c r="J958"/>
    </row>
    <row r="959" spans="1:10" x14ac:dyDescent="0.25">
      <c r="A959" s="230"/>
      <c r="B959" s="231"/>
      <c r="C959" s="15"/>
      <c r="D959"/>
      <c r="E959"/>
      <c r="F959" s="15"/>
      <c r="G959"/>
      <c r="H959"/>
      <c r="I959"/>
      <c r="J959"/>
    </row>
    <row r="960" spans="1:10" x14ac:dyDescent="0.25">
      <c r="A960" s="230"/>
      <c r="B960" s="231"/>
      <c r="C960" s="15"/>
      <c r="D960"/>
      <c r="E960"/>
      <c r="F960" s="15"/>
      <c r="G960"/>
      <c r="H960"/>
      <c r="I960"/>
      <c r="J960"/>
    </row>
    <row r="961" spans="1:10" x14ac:dyDescent="0.25">
      <c r="A961" s="230"/>
      <c r="B961" s="231"/>
      <c r="C961" s="15"/>
      <c r="D961"/>
      <c r="E961"/>
      <c r="F961" s="15"/>
      <c r="G961"/>
      <c r="H961"/>
      <c r="I961"/>
      <c r="J961"/>
    </row>
    <row r="962" spans="1:10" x14ac:dyDescent="0.25">
      <c r="A962" s="230"/>
      <c r="B962" s="231"/>
      <c r="C962" s="15"/>
      <c r="D962"/>
      <c r="E962"/>
      <c r="F962" s="15"/>
      <c r="G962"/>
      <c r="H962"/>
      <c r="I962"/>
      <c r="J962"/>
    </row>
    <row r="963" spans="1:10" x14ac:dyDescent="0.25">
      <c r="A963" s="230"/>
      <c r="B963" s="231"/>
      <c r="C963" s="15"/>
      <c r="D963"/>
      <c r="E963"/>
      <c r="F963" s="15"/>
      <c r="G963"/>
      <c r="H963"/>
      <c r="I963"/>
      <c r="J963"/>
    </row>
    <row r="964" spans="1:10" x14ac:dyDescent="0.25">
      <c r="A964" s="230"/>
      <c r="B964" s="231"/>
      <c r="C964" s="15"/>
      <c r="D964"/>
      <c r="E964"/>
      <c r="F964" s="15"/>
      <c r="G964"/>
      <c r="H964"/>
      <c r="I964"/>
      <c r="J964"/>
    </row>
    <row r="965" spans="1:10" x14ac:dyDescent="0.25">
      <c r="A965" s="230"/>
      <c r="B965" s="231"/>
      <c r="C965" s="15"/>
      <c r="D965"/>
      <c r="E965"/>
      <c r="F965" s="15"/>
      <c r="G965"/>
      <c r="H965"/>
      <c r="I965"/>
      <c r="J965"/>
    </row>
    <row r="966" spans="1:10" x14ac:dyDescent="0.25">
      <c r="A966" s="230"/>
      <c r="B966" s="231"/>
      <c r="C966" s="15"/>
      <c r="D966"/>
      <c r="E966"/>
      <c r="F966" s="15"/>
      <c r="G966"/>
      <c r="H966"/>
      <c r="I966"/>
      <c r="J966"/>
    </row>
    <row r="967" spans="1:10" x14ac:dyDescent="0.25">
      <c r="A967" s="230"/>
      <c r="B967" s="231"/>
      <c r="C967" s="15"/>
      <c r="D967"/>
      <c r="E967"/>
      <c r="F967" s="15"/>
      <c r="G967"/>
      <c r="H967"/>
      <c r="I967"/>
      <c r="J967"/>
    </row>
    <row r="968" spans="1:10" x14ac:dyDescent="0.25">
      <c r="A968" s="230"/>
      <c r="B968" s="231"/>
      <c r="C968" s="15"/>
      <c r="D968"/>
      <c r="E968"/>
      <c r="F968" s="15"/>
      <c r="G968"/>
      <c r="H968"/>
      <c r="I968"/>
      <c r="J968"/>
    </row>
    <row r="969" spans="1:10" x14ac:dyDescent="0.25">
      <c r="A969" s="230"/>
      <c r="B969" s="231"/>
      <c r="C969" s="15"/>
      <c r="D969"/>
      <c r="E969"/>
      <c r="F969" s="15"/>
      <c r="G969"/>
      <c r="H969"/>
      <c r="I969"/>
      <c r="J969"/>
    </row>
    <row r="970" spans="1:10" x14ac:dyDescent="0.25">
      <c r="A970" s="230"/>
      <c r="B970" s="231"/>
      <c r="C970" s="15"/>
      <c r="D970"/>
      <c r="E970"/>
      <c r="F970" s="15"/>
      <c r="G970"/>
      <c r="H970"/>
      <c r="I970"/>
      <c r="J970"/>
    </row>
    <row r="971" spans="1:10" x14ac:dyDescent="0.25">
      <c r="A971" s="230"/>
      <c r="B971" s="231"/>
      <c r="C971" s="15"/>
      <c r="D971"/>
      <c r="E971"/>
      <c r="F971" s="15"/>
      <c r="G971"/>
      <c r="H971"/>
      <c r="I971"/>
      <c r="J971"/>
    </row>
    <row r="972" spans="1:10" x14ac:dyDescent="0.25">
      <c r="A972" s="230"/>
      <c r="B972" s="231"/>
      <c r="C972" s="15"/>
      <c r="D972"/>
      <c r="E972"/>
      <c r="F972" s="15"/>
      <c r="G972"/>
      <c r="H972"/>
      <c r="I972"/>
      <c r="J972"/>
    </row>
    <row r="973" spans="1:10" x14ac:dyDescent="0.25">
      <c r="A973" s="230"/>
      <c r="B973" s="231"/>
      <c r="C973" s="15"/>
      <c r="D973"/>
      <c r="E973"/>
      <c r="F973" s="15"/>
      <c r="G973"/>
      <c r="H973"/>
      <c r="I973"/>
      <c r="J973"/>
    </row>
    <row r="974" spans="1:10" x14ac:dyDescent="0.25">
      <c r="A974" s="230"/>
      <c r="B974" s="231"/>
      <c r="C974" s="15"/>
      <c r="D974"/>
      <c r="E974"/>
      <c r="F974" s="15"/>
      <c r="G974"/>
      <c r="H974"/>
      <c r="I974"/>
      <c r="J974"/>
    </row>
    <row r="975" spans="1:10" x14ac:dyDescent="0.25">
      <c r="A975" s="230"/>
      <c r="B975" s="231"/>
      <c r="C975" s="15"/>
      <c r="D975"/>
      <c r="E975"/>
      <c r="F975" s="15"/>
      <c r="G975"/>
      <c r="H975"/>
      <c r="I975"/>
      <c r="J975"/>
    </row>
    <row r="976" spans="1:10" x14ac:dyDescent="0.25">
      <c r="A976" s="230"/>
      <c r="B976" s="231"/>
      <c r="C976" s="15"/>
      <c r="D976"/>
      <c r="E976"/>
      <c r="F976" s="15"/>
      <c r="G976"/>
      <c r="H976"/>
      <c r="I976"/>
      <c r="J976"/>
    </row>
    <row r="977" spans="1:10" x14ac:dyDescent="0.25">
      <c r="A977" s="230"/>
      <c r="B977" s="231"/>
      <c r="C977" s="15"/>
      <c r="D977"/>
      <c r="E977"/>
      <c r="F977" s="15"/>
      <c r="G977"/>
      <c r="H977"/>
      <c r="I977"/>
      <c r="J977"/>
    </row>
    <row r="978" spans="1:10" x14ac:dyDescent="0.25">
      <c r="A978" s="230"/>
      <c r="B978" s="231"/>
      <c r="C978" s="15"/>
      <c r="D978"/>
      <c r="E978"/>
      <c r="F978" s="15"/>
      <c r="G978"/>
      <c r="H978"/>
      <c r="I978"/>
      <c r="J978"/>
    </row>
    <row r="979" spans="1:10" x14ac:dyDescent="0.25">
      <c r="A979" s="230"/>
      <c r="B979" s="231"/>
      <c r="C979" s="15"/>
      <c r="D979"/>
      <c r="E979"/>
      <c r="F979" s="15"/>
      <c r="G979"/>
      <c r="H979"/>
      <c r="I979"/>
      <c r="J979"/>
    </row>
    <row r="980" spans="1:10" x14ac:dyDescent="0.25">
      <c r="A980" s="230"/>
      <c r="B980" s="231"/>
      <c r="C980" s="15"/>
      <c r="D980"/>
      <c r="E980"/>
      <c r="F980" s="15"/>
      <c r="G980"/>
      <c r="H980"/>
      <c r="I980"/>
      <c r="J980"/>
    </row>
    <row r="981" spans="1:10" x14ac:dyDescent="0.25">
      <c r="A981" s="230"/>
      <c r="B981" s="231"/>
      <c r="C981" s="15"/>
      <c r="D981"/>
      <c r="E981"/>
      <c r="F981" s="15"/>
      <c r="G981"/>
      <c r="H981"/>
      <c r="I981"/>
      <c r="J981"/>
    </row>
    <row r="982" spans="1:10" x14ac:dyDescent="0.25">
      <c r="A982" s="230"/>
      <c r="B982" s="231"/>
      <c r="C982" s="15"/>
      <c r="D982"/>
      <c r="E982"/>
      <c r="F982" s="15"/>
      <c r="G982"/>
      <c r="H982"/>
      <c r="I982"/>
      <c r="J982"/>
    </row>
    <row r="983" spans="1:10" x14ac:dyDescent="0.25">
      <c r="A983" s="230"/>
      <c r="B983" s="231"/>
      <c r="C983" s="15"/>
      <c r="D983"/>
      <c r="E983"/>
      <c r="F983" s="15"/>
      <c r="G983"/>
      <c r="H983"/>
      <c r="I983"/>
      <c r="J983"/>
    </row>
    <row r="984" spans="1:10" x14ac:dyDescent="0.25">
      <c r="A984" s="230"/>
      <c r="B984" s="231"/>
      <c r="C984" s="15"/>
      <c r="D984"/>
      <c r="E984"/>
      <c r="F984" s="15"/>
      <c r="G984"/>
      <c r="H984"/>
      <c r="I984"/>
      <c r="J984"/>
    </row>
    <row r="985" spans="1:10" x14ac:dyDescent="0.25">
      <c r="A985" s="230"/>
      <c r="B985" s="231"/>
      <c r="C985" s="15"/>
      <c r="D985"/>
      <c r="E985"/>
      <c r="F985" s="15"/>
      <c r="G985"/>
      <c r="H985"/>
      <c r="I985"/>
      <c r="J985"/>
    </row>
    <row r="986" spans="1:10" x14ac:dyDescent="0.25">
      <c r="A986" s="230"/>
      <c r="B986" s="231"/>
      <c r="C986" s="15"/>
      <c r="D986"/>
      <c r="E986"/>
      <c r="F986" s="15"/>
      <c r="G986"/>
      <c r="H986"/>
      <c r="I986"/>
      <c r="J986"/>
    </row>
    <row r="987" spans="1:10" x14ac:dyDescent="0.25">
      <c r="A987" s="230"/>
      <c r="B987" s="231"/>
      <c r="C987" s="15"/>
      <c r="D987"/>
      <c r="E987"/>
      <c r="F987" s="15"/>
      <c r="G987"/>
      <c r="H987"/>
      <c r="I987"/>
      <c r="J987"/>
    </row>
    <row r="988" spans="1:10" x14ac:dyDescent="0.25">
      <c r="A988" s="230"/>
      <c r="B988" s="231"/>
      <c r="C988" s="15"/>
      <c r="D988"/>
      <c r="E988"/>
      <c r="F988" s="15"/>
      <c r="G988"/>
      <c r="H988"/>
      <c r="I988"/>
      <c r="J988"/>
    </row>
    <row r="989" spans="1:10" x14ac:dyDescent="0.25">
      <c r="A989" s="230"/>
      <c r="B989" s="231"/>
      <c r="C989" s="15"/>
      <c r="D989"/>
      <c r="E989"/>
      <c r="F989" s="15"/>
      <c r="G989"/>
      <c r="H989"/>
      <c r="I989"/>
      <c r="J989"/>
    </row>
    <row r="990" spans="1:10" x14ac:dyDescent="0.25">
      <c r="A990" s="230"/>
      <c r="B990" s="231"/>
      <c r="C990" s="15"/>
      <c r="D990"/>
      <c r="E990"/>
      <c r="F990" s="15"/>
      <c r="G990"/>
      <c r="H990"/>
      <c r="I990"/>
      <c r="J990"/>
    </row>
    <row r="991" spans="1:10" x14ac:dyDescent="0.25">
      <c r="A991" s="230"/>
      <c r="B991" s="231"/>
      <c r="C991" s="15"/>
      <c r="D991"/>
      <c r="E991"/>
      <c r="F991" s="15"/>
      <c r="G991"/>
      <c r="H991"/>
      <c r="I991"/>
      <c r="J991"/>
    </row>
    <row r="992" spans="1:10" x14ac:dyDescent="0.25">
      <c r="A992" s="230"/>
      <c r="B992" s="231"/>
      <c r="C992" s="15"/>
      <c r="D992"/>
      <c r="E992"/>
      <c r="F992" s="15"/>
      <c r="G992"/>
      <c r="H992"/>
      <c r="I992"/>
      <c r="J992"/>
    </row>
    <row r="993" spans="1:10" x14ac:dyDescent="0.25">
      <c r="A993" s="230"/>
      <c r="B993" s="231"/>
      <c r="C993" s="15"/>
      <c r="D993"/>
      <c r="E993"/>
      <c r="F993" s="15"/>
      <c r="G993"/>
      <c r="H993"/>
      <c r="I993"/>
      <c r="J993"/>
    </row>
    <row r="994" spans="1:10" x14ac:dyDescent="0.25">
      <c r="A994" s="230"/>
      <c r="B994" s="231"/>
      <c r="C994" s="15"/>
      <c r="D994"/>
      <c r="E994"/>
      <c r="F994" s="15"/>
      <c r="G994"/>
      <c r="H994"/>
      <c r="I994"/>
      <c r="J994"/>
    </row>
    <row r="995" spans="1:10" x14ac:dyDescent="0.25">
      <c r="A995" s="230"/>
      <c r="B995" s="231"/>
      <c r="C995" s="15"/>
      <c r="D995"/>
      <c r="E995"/>
      <c r="F995" s="15"/>
      <c r="G995"/>
      <c r="H995"/>
      <c r="I995"/>
      <c r="J995"/>
    </row>
    <row r="996" spans="1:10" x14ac:dyDescent="0.25">
      <c r="A996" s="230"/>
      <c r="B996" s="231"/>
      <c r="C996" s="15"/>
      <c r="D996"/>
      <c r="E996"/>
      <c r="F996" s="15"/>
      <c r="G996"/>
      <c r="H996"/>
      <c r="I996"/>
      <c r="J996"/>
    </row>
    <row r="997" spans="1:10" x14ac:dyDescent="0.25">
      <c r="A997" s="230"/>
      <c r="B997" s="231"/>
      <c r="C997" s="15"/>
      <c r="D997"/>
      <c r="E997"/>
      <c r="F997" s="15"/>
      <c r="G997"/>
      <c r="H997"/>
      <c r="I997"/>
      <c r="J997"/>
    </row>
    <row r="998" spans="1:10" x14ac:dyDescent="0.25">
      <c r="A998" s="230"/>
      <c r="B998" s="231"/>
      <c r="C998" s="15"/>
      <c r="D998"/>
      <c r="E998"/>
      <c r="F998" s="15"/>
      <c r="G998"/>
      <c r="H998"/>
      <c r="I998"/>
      <c r="J998"/>
    </row>
    <row r="999" spans="1:10" x14ac:dyDescent="0.25">
      <c r="A999" s="230"/>
      <c r="B999" s="231"/>
      <c r="C999" s="15"/>
      <c r="D999"/>
      <c r="E999"/>
      <c r="F999" s="15"/>
      <c r="G999"/>
      <c r="H999"/>
      <c r="I999"/>
      <c r="J999"/>
    </row>
    <row r="1000" spans="1:10" x14ac:dyDescent="0.25">
      <c r="A1000" s="230"/>
      <c r="B1000" s="231"/>
      <c r="C1000" s="15"/>
      <c r="D1000"/>
      <c r="E1000"/>
      <c r="F1000" s="15"/>
      <c r="G1000"/>
      <c r="H1000"/>
      <c r="I1000"/>
      <c r="J1000"/>
    </row>
    <row r="1001" spans="1:10" x14ac:dyDescent="0.25">
      <c r="A1001" s="230"/>
      <c r="B1001" s="231"/>
      <c r="C1001" s="15"/>
      <c r="D1001"/>
      <c r="E1001"/>
      <c r="F1001" s="15"/>
      <c r="G1001"/>
      <c r="H1001"/>
      <c r="I1001"/>
      <c r="J1001"/>
    </row>
    <row r="1002" spans="1:10" x14ac:dyDescent="0.25">
      <c r="A1002" s="230"/>
      <c r="B1002" s="231"/>
      <c r="C1002" s="15"/>
      <c r="D1002"/>
      <c r="E1002"/>
      <c r="F1002" s="15"/>
      <c r="G1002"/>
      <c r="H1002"/>
      <c r="I1002"/>
      <c r="J1002"/>
    </row>
    <row r="1003" spans="1:10" x14ac:dyDescent="0.25">
      <c r="A1003" s="230"/>
      <c r="B1003" s="231"/>
      <c r="C1003" s="15"/>
      <c r="D1003"/>
      <c r="E1003"/>
      <c r="F1003" s="15"/>
      <c r="G1003"/>
      <c r="H1003"/>
      <c r="I1003"/>
      <c r="J1003"/>
    </row>
    <row r="1004" spans="1:10" x14ac:dyDescent="0.25">
      <c r="A1004" s="230"/>
      <c r="B1004" s="231"/>
      <c r="C1004" s="15"/>
      <c r="D1004"/>
      <c r="E1004"/>
      <c r="F1004" s="15"/>
      <c r="G1004"/>
      <c r="H1004"/>
      <c r="I1004"/>
      <c r="J1004"/>
    </row>
    <row r="1005" spans="1:10" x14ac:dyDescent="0.25">
      <c r="A1005" s="230"/>
      <c r="B1005" s="231"/>
      <c r="C1005" s="15"/>
      <c r="D1005"/>
      <c r="E1005"/>
      <c r="F1005" s="15"/>
      <c r="G1005"/>
      <c r="H1005"/>
      <c r="I1005"/>
      <c r="J1005"/>
    </row>
    <row r="1006" spans="1:10" x14ac:dyDescent="0.25">
      <c r="A1006" s="230"/>
      <c r="B1006" s="231"/>
      <c r="C1006" s="15"/>
      <c r="D1006"/>
      <c r="E1006"/>
      <c r="F1006" s="15"/>
      <c r="G1006"/>
      <c r="H1006"/>
      <c r="I1006"/>
      <c r="J1006"/>
    </row>
    <row r="1007" spans="1:10" x14ac:dyDescent="0.25">
      <c r="A1007" s="230"/>
      <c r="B1007" s="231"/>
      <c r="C1007" s="15"/>
      <c r="D1007"/>
      <c r="E1007"/>
      <c r="F1007" s="15"/>
      <c r="G1007"/>
      <c r="H1007"/>
      <c r="I1007"/>
      <c r="J1007"/>
    </row>
    <row r="1008" spans="1:10" x14ac:dyDescent="0.25">
      <c r="A1008" s="230"/>
      <c r="B1008" s="231"/>
      <c r="C1008" s="15"/>
      <c r="D1008"/>
      <c r="E1008"/>
      <c r="F1008" s="15"/>
      <c r="G1008"/>
      <c r="H1008"/>
      <c r="I1008"/>
      <c r="J1008"/>
    </row>
    <row r="1009" spans="1:10" x14ac:dyDescent="0.25">
      <c r="A1009" s="230"/>
      <c r="B1009" s="231"/>
      <c r="C1009" s="15"/>
      <c r="D1009"/>
      <c r="E1009"/>
      <c r="F1009" s="15"/>
      <c r="G1009"/>
      <c r="H1009"/>
      <c r="I1009"/>
      <c r="J1009"/>
    </row>
    <row r="1010" spans="1:10" x14ac:dyDescent="0.25">
      <c r="A1010" s="230"/>
      <c r="B1010" s="231"/>
      <c r="C1010" s="15"/>
      <c r="D1010"/>
      <c r="E1010"/>
      <c r="F1010" s="15"/>
      <c r="G1010"/>
      <c r="H1010"/>
      <c r="I1010"/>
      <c r="J1010"/>
    </row>
    <row r="1011" spans="1:10" x14ac:dyDescent="0.25">
      <c r="A1011" s="230"/>
      <c r="B1011" s="231"/>
      <c r="C1011" s="15"/>
      <c r="D1011"/>
      <c r="E1011"/>
      <c r="F1011" s="15"/>
      <c r="G1011"/>
      <c r="H1011"/>
      <c r="I1011"/>
      <c r="J1011"/>
    </row>
    <row r="1012" spans="1:10" x14ac:dyDescent="0.25">
      <c r="A1012" s="230"/>
      <c r="B1012" s="231"/>
      <c r="C1012" s="15"/>
      <c r="D1012"/>
      <c r="E1012"/>
      <c r="F1012" s="15"/>
      <c r="G1012"/>
      <c r="H1012"/>
      <c r="I1012"/>
      <c r="J1012"/>
    </row>
    <row r="1013" spans="1:10" x14ac:dyDescent="0.25">
      <c r="A1013" s="230"/>
      <c r="B1013" s="231"/>
      <c r="C1013" s="15"/>
      <c r="D1013"/>
      <c r="E1013"/>
      <c r="F1013" s="15"/>
      <c r="G1013"/>
      <c r="H1013"/>
      <c r="I1013"/>
      <c r="J1013"/>
    </row>
    <row r="1014" spans="1:10" x14ac:dyDescent="0.25">
      <c r="A1014" s="230"/>
      <c r="B1014" s="231"/>
      <c r="C1014" s="15"/>
      <c r="D1014"/>
      <c r="E1014"/>
      <c r="F1014" s="15"/>
      <c r="G1014"/>
      <c r="H1014"/>
      <c r="I1014"/>
      <c r="J1014"/>
    </row>
    <row r="1015" spans="1:10" x14ac:dyDescent="0.25">
      <c r="A1015" s="230"/>
      <c r="B1015" s="231"/>
      <c r="C1015" s="15"/>
      <c r="D1015"/>
      <c r="E1015"/>
      <c r="F1015" s="15"/>
      <c r="G1015"/>
      <c r="H1015"/>
      <c r="I1015"/>
      <c r="J1015"/>
    </row>
    <row r="1016" spans="1:10" x14ac:dyDescent="0.25">
      <c r="A1016" s="230"/>
      <c r="B1016" s="231"/>
      <c r="C1016" s="15"/>
      <c r="D1016"/>
      <c r="E1016"/>
      <c r="F1016" s="15"/>
      <c r="G1016"/>
      <c r="H1016"/>
      <c r="I1016"/>
      <c r="J1016"/>
    </row>
    <row r="1017" spans="1:10" x14ac:dyDescent="0.25">
      <c r="A1017" s="230"/>
      <c r="B1017" s="231"/>
      <c r="C1017" s="15"/>
      <c r="D1017"/>
      <c r="E1017"/>
      <c r="F1017" s="15"/>
      <c r="G1017"/>
      <c r="H1017"/>
      <c r="I1017"/>
      <c r="J1017"/>
    </row>
    <row r="1018" spans="1:10" x14ac:dyDescent="0.25">
      <c r="A1018" s="230"/>
      <c r="B1018" s="231"/>
      <c r="C1018" s="15"/>
      <c r="D1018"/>
      <c r="E1018"/>
      <c r="F1018" s="15"/>
      <c r="G1018"/>
      <c r="H1018"/>
      <c r="I1018"/>
      <c r="J1018"/>
    </row>
    <row r="1019" spans="1:10" x14ac:dyDescent="0.25">
      <c r="A1019" s="230"/>
      <c r="B1019" s="231"/>
      <c r="C1019" s="15"/>
      <c r="D1019"/>
      <c r="E1019"/>
      <c r="F1019" s="15"/>
      <c r="G1019"/>
      <c r="H1019"/>
      <c r="I1019"/>
      <c r="J1019"/>
    </row>
    <row r="1020" spans="1:10" x14ac:dyDescent="0.25">
      <c r="A1020" s="230"/>
      <c r="B1020" s="231"/>
      <c r="C1020" s="15"/>
      <c r="D1020"/>
      <c r="E1020"/>
      <c r="F1020" s="15"/>
      <c r="G1020"/>
      <c r="H1020"/>
      <c r="I1020"/>
      <c r="J1020"/>
    </row>
    <row r="1021" spans="1:10" x14ac:dyDescent="0.25">
      <c r="A1021" s="230"/>
      <c r="B1021" s="231"/>
      <c r="C1021" s="15"/>
      <c r="D1021"/>
      <c r="E1021"/>
      <c r="F1021" s="15"/>
      <c r="G1021"/>
      <c r="H1021"/>
      <c r="I1021"/>
      <c r="J1021"/>
    </row>
    <row r="1022" spans="1:10" x14ac:dyDescent="0.25">
      <c r="A1022" s="230"/>
      <c r="B1022" s="231"/>
      <c r="C1022" s="15"/>
      <c r="D1022"/>
      <c r="E1022"/>
      <c r="F1022" s="15"/>
      <c r="G1022"/>
      <c r="H1022"/>
      <c r="I1022"/>
      <c r="J1022"/>
    </row>
    <row r="1023" spans="1:10" x14ac:dyDescent="0.25">
      <c r="A1023" s="230"/>
      <c r="B1023" s="231"/>
      <c r="C1023" s="15"/>
      <c r="D1023"/>
      <c r="E1023"/>
      <c r="F1023" s="15"/>
      <c r="G1023"/>
      <c r="H1023"/>
      <c r="I1023"/>
      <c r="J1023"/>
    </row>
    <row r="1024" spans="1:10" x14ac:dyDescent="0.25">
      <c r="A1024" s="230"/>
      <c r="B1024" s="231"/>
      <c r="C1024" s="15"/>
      <c r="D1024"/>
      <c r="E1024"/>
      <c r="F1024" s="15"/>
      <c r="G1024"/>
      <c r="H1024"/>
      <c r="I1024"/>
      <c r="J1024"/>
    </row>
    <row r="1025" spans="1:10" x14ac:dyDescent="0.25">
      <c r="A1025" s="230"/>
      <c r="B1025" s="231"/>
      <c r="C1025" s="15"/>
      <c r="D1025"/>
      <c r="E1025"/>
      <c r="F1025" s="15"/>
      <c r="G1025"/>
      <c r="H1025"/>
      <c r="I1025"/>
      <c r="J1025"/>
    </row>
    <row r="1026" spans="1:10" x14ac:dyDescent="0.25">
      <c r="A1026" s="230"/>
      <c r="B1026" s="231"/>
      <c r="C1026" s="15"/>
      <c r="D1026"/>
      <c r="E1026"/>
      <c r="F1026" s="15"/>
      <c r="G1026"/>
      <c r="H1026"/>
      <c r="I1026"/>
      <c r="J1026"/>
    </row>
    <row r="1027" spans="1:10" x14ac:dyDescent="0.25">
      <c r="A1027" s="230"/>
      <c r="B1027" s="231"/>
      <c r="C1027" s="15"/>
      <c r="D1027"/>
      <c r="E1027"/>
      <c r="F1027" s="15"/>
      <c r="G1027"/>
      <c r="H1027"/>
      <c r="I1027"/>
      <c r="J1027"/>
    </row>
    <row r="1028" spans="1:10" x14ac:dyDescent="0.25">
      <c r="A1028" s="230"/>
      <c r="B1028" s="231"/>
      <c r="C1028" s="15"/>
      <c r="D1028"/>
      <c r="E1028"/>
      <c r="F1028" s="15"/>
      <c r="G1028"/>
      <c r="H1028"/>
      <c r="I1028"/>
      <c r="J1028"/>
    </row>
    <row r="1029" spans="1:10" x14ac:dyDescent="0.25">
      <c r="A1029" s="230"/>
      <c r="B1029" s="231"/>
      <c r="C1029" s="15"/>
      <c r="D1029"/>
      <c r="E1029"/>
      <c r="F1029" s="15"/>
      <c r="G1029"/>
      <c r="H1029"/>
      <c r="I1029"/>
      <c r="J1029"/>
    </row>
    <row r="1030" spans="1:10" x14ac:dyDescent="0.25">
      <c r="A1030" s="230"/>
      <c r="B1030" s="231"/>
      <c r="C1030" s="15"/>
      <c r="D1030"/>
      <c r="E1030"/>
      <c r="F1030" s="15"/>
      <c r="G1030"/>
      <c r="H1030"/>
      <c r="I1030"/>
      <c r="J1030"/>
    </row>
    <row r="1031" spans="1:10" x14ac:dyDescent="0.25">
      <c r="A1031" s="230"/>
      <c r="B1031" s="231"/>
      <c r="C1031" s="15"/>
      <c r="D1031"/>
      <c r="E1031"/>
      <c r="F1031" s="15"/>
      <c r="G1031"/>
      <c r="H1031"/>
      <c r="I1031"/>
      <c r="J1031"/>
    </row>
    <row r="1032" spans="1:10" x14ac:dyDescent="0.25">
      <c r="A1032" s="230"/>
      <c r="B1032" s="231"/>
      <c r="C1032" s="15"/>
      <c r="D1032"/>
      <c r="E1032"/>
      <c r="F1032" s="15"/>
      <c r="G1032"/>
      <c r="H1032"/>
      <c r="I1032"/>
      <c r="J1032"/>
    </row>
    <row r="1033" spans="1:10" x14ac:dyDescent="0.25">
      <c r="A1033" s="230"/>
      <c r="B1033" s="231"/>
      <c r="C1033" s="15"/>
      <c r="D1033"/>
      <c r="E1033"/>
      <c r="F1033" s="15"/>
      <c r="G1033"/>
      <c r="H1033"/>
      <c r="I1033"/>
      <c r="J1033"/>
    </row>
    <row r="1034" spans="1:10" x14ac:dyDescent="0.25">
      <c r="A1034" s="230"/>
      <c r="B1034" s="231"/>
      <c r="C1034" s="15"/>
      <c r="D1034"/>
      <c r="E1034"/>
      <c r="F1034" s="15"/>
      <c r="G1034"/>
      <c r="H1034"/>
      <c r="I1034"/>
      <c r="J1034"/>
    </row>
    <row r="1035" spans="1:10" x14ac:dyDescent="0.25">
      <c r="A1035" s="230"/>
      <c r="B1035" s="231"/>
      <c r="C1035" s="15"/>
      <c r="D1035"/>
      <c r="E1035"/>
      <c r="F1035" s="15"/>
      <c r="G1035"/>
      <c r="H1035"/>
      <c r="I1035"/>
      <c r="J1035"/>
    </row>
    <row r="1036" spans="1:10" x14ac:dyDescent="0.25">
      <c r="A1036" s="230"/>
      <c r="B1036" s="231"/>
      <c r="C1036" s="15"/>
      <c r="D1036"/>
      <c r="E1036"/>
      <c r="F1036" s="15"/>
      <c r="G1036"/>
      <c r="H1036"/>
      <c r="I1036"/>
      <c r="J1036"/>
    </row>
    <row r="1037" spans="1:10" x14ac:dyDescent="0.25">
      <c r="A1037" s="230"/>
      <c r="B1037" s="231"/>
      <c r="C1037" s="15"/>
      <c r="D1037"/>
      <c r="E1037"/>
      <c r="F1037" s="15"/>
      <c r="G1037"/>
      <c r="H1037"/>
      <c r="I1037"/>
      <c r="J1037"/>
    </row>
    <row r="1038" spans="1:10" x14ac:dyDescent="0.25">
      <c r="A1038" s="230"/>
      <c r="B1038" s="231"/>
      <c r="C1038" s="15"/>
      <c r="D1038"/>
      <c r="E1038"/>
      <c r="F1038" s="15"/>
      <c r="G1038"/>
      <c r="H1038"/>
      <c r="I1038"/>
      <c r="J1038"/>
    </row>
    <row r="1039" spans="1:10" x14ac:dyDescent="0.25">
      <c r="A1039" s="230"/>
      <c r="B1039" s="231"/>
      <c r="C1039" s="15"/>
      <c r="D1039"/>
      <c r="E1039"/>
      <c r="F1039" s="15"/>
      <c r="G1039"/>
      <c r="H1039"/>
      <c r="I1039"/>
      <c r="J1039"/>
    </row>
    <row r="1040" spans="1:10" x14ac:dyDescent="0.25">
      <c r="A1040" s="230"/>
      <c r="B1040" s="231"/>
      <c r="C1040" s="15"/>
      <c r="D1040"/>
      <c r="E1040"/>
      <c r="F1040" s="15"/>
      <c r="G1040"/>
      <c r="H1040"/>
      <c r="I1040"/>
      <c r="J1040"/>
    </row>
    <row r="1041" spans="1:10" x14ac:dyDescent="0.25">
      <c r="A1041" s="230"/>
      <c r="B1041" s="231"/>
      <c r="C1041" s="15"/>
      <c r="D1041"/>
      <c r="E1041"/>
      <c r="F1041" s="15"/>
      <c r="G1041"/>
      <c r="H1041"/>
      <c r="I1041"/>
      <c r="J1041"/>
    </row>
    <row r="1042" spans="1:10" x14ac:dyDescent="0.25">
      <c r="A1042" s="230"/>
      <c r="B1042" s="231"/>
      <c r="C1042" s="15"/>
      <c r="D1042"/>
      <c r="E1042"/>
      <c r="F1042" s="15"/>
      <c r="G1042"/>
      <c r="H1042"/>
      <c r="I1042"/>
      <c r="J1042"/>
    </row>
    <row r="1043" spans="1:10" x14ac:dyDescent="0.25">
      <c r="A1043" s="230"/>
      <c r="B1043" s="231"/>
      <c r="C1043" s="15"/>
      <c r="D1043"/>
      <c r="E1043"/>
      <c r="F1043" s="15"/>
      <c r="G1043"/>
      <c r="H1043"/>
      <c r="I1043"/>
      <c r="J1043"/>
    </row>
    <row r="1044" spans="1:10" x14ac:dyDescent="0.25">
      <c r="A1044" s="230"/>
      <c r="B1044" s="231"/>
      <c r="C1044" s="15"/>
      <c r="D1044"/>
      <c r="E1044"/>
      <c r="F1044" s="15"/>
      <c r="G1044"/>
      <c r="H1044"/>
      <c r="I1044"/>
      <c r="J1044"/>
    </row>
    <row r="1045" spans="1:10" x14ac:dyDescent="0.25">
      <c r="A1045" s="230"/>
      <c r="B1045" s="231"/>
      <c r="C1045" s="15"/>
      <c r="D1045"/>
      <c r="E1045"/>
      <c r="F1045" s="15"/>
      <c r="G1045"/>
      <c r="H1045"/>
      <c r="I1045"/>
      <c r="J1045"/>
    </row>
    <row r="1046" spans="1:10" x14ac:dyDescent="0.25">
      <c r="A1046" s="230"/>
      <c r="B1046" s="231"/>
      <c r="C1046" s="15"/>
      <c r="D1046"/>
      <c r="E1046"/>
      <c r="F1046" s="15"/>
      <c r="G1046"/>
      <c r="H1046"/>
      <c r="I1046"/>
      <c r="J1046"/>
    </row>
    <row r="1047" spans="1:10" x14ac:dyDescent="0.25">
      <c r="A1047" s="230"/>
      <c r="B1047" s="231"/>
      <c r="C1047" s="15"/>
      <c r="D1047"/>
      <c r="E1047"/>
      <c r="F1047" s="15"/>
      <c r="G1047"/>
      <c r="H1047"/>
      <c r="I1047"/>
      <c r="J1047"/>
    </row>
    <row r="1048" spans="1:10" x14ac:dyDescent="0.25">
      <c r="A1048" s="230"/>
      <c r="B1048" s="231"/>
      <c r="C1048" s="15"/>
      <c r="D1048"/>
      <c r="E1048"/>
      <c r="F1048" s="15"/>
      <c r="G1048"/>
      <c r="H1048"/>
      <c r="I1048"/>
      <c r="J1048"/>
    </row>
    <row r="1049" spans="1:10" x14ac:dyDescent="0.25">
      <c r="A1049" s="230"/>
      <c r="B1049" s="231"/>
      <c r="C1049" s="15"/>
      <c r="D1049"/>
      <c r="E1049"/>
      <c r="F1049" s="15"/>
      <c r="G1049"/>
      <c r="H1049"/>
      <c r="I1049"/>
      <c r="J1049"/>
    </row>
    <row r="1050" spans="1:10" x14ac:dyDescent="0.25">
      <c r="A1050" s="230"/>
      <c r="B1050" s="231"/>
      <c r="C1050" s="15"/>
      <c r="D1050"/>
      <c r="E1050"/>
      <c r="F1050" s="15"/>
      <c r="G1050"/>
      <c r="H1050"/>
      <c r="I1050"/>
      <c r="J1050"/>
    </row>
    <row r="1051" spans="1:10" x14ac:dyDescent="0.25">
      <c r="A1051" s="230"/>
      <c r="B1051" s="231"/>
      <c r="C1051" s="15"/>
      <c r="D1051"/>
      <c r="E1051"/>
      <c r="F1051" s="15"/>
      <c r="G1051"/>
      <c r="H1051"/>
      <c r="I1051"/>
      <c r="J1051"/>
    </row>
    <row r="1052" spans="1:10" x14ac:dyDescent="0.25">
      <c r="A1052" s="230"/>
      <c r="B1052" s="231"/>
      <c r="C1052" s="15"/>
      <c r="D1052"/>
      <c r="E1052"/>
      <c r="F1052" s="15"/>
      <c r="G1052"/>
      <c r="H1052"/>
      <c r="I1052"/>
      <c r="J1052"/>
    </row>
    <row r="1053" spans="1:10" x14ac:dyDescent="0.25">
      <c r="A1053" s="230"/>
      <c r="B1053" s="231"/>
      <c r="C1053" s="15"/>
      <c r="D1053"/>
      <c r="E1053"/>
      <c r="F1053" s="15"/>
      <c r="G1053"/>
      <c r="H1053"/>
      <c r="I1053"/>
      <c r="J1053"/>
    </row>
    <row r="1054" spans="1:10" x14ac:dyDescent="0.25">
      <c r="A1054" s="230"/>
      <c r="B1054" s="231"/>
      <c r="C1054" s="15"/>
      <c r="D1054"/>
      <c r="E1054"/>
      <c r="F1054" s="15"/>
      <c r="G1054"/>
      <c r="H1054"/>
      <c r="I1054"/>
      <c r="J1054"/>
    </row>
    <row r="1055" spans="1:10" x14ac:dyDescent="0.25">
      <c r="A1055" s="230"/>
      <c r="B1055" s="231"/>
      <c r="C1055" s="15"/>
      <c r="D1055"/>
      <c r="E1055"/>
      <c r="F1055" s="15"/>
      <c r="G1055"/>
      <c r="H1055"/>
      <c r="I1055"/>
      <c r="J1055"/>
    </row>
    <row r="1056" spans="1:10" x14ac:dyDescent="0.25">
      <c r="A1056" s="230"/>
      <c r="B1056" s="231"/>
      <c r="C1056" s="15"/>
      <c r="D1056"/>
      <c r="E1056"/>
      <c r="F1056" s="15"/>
      <c r="G1056"/>
      <c r="H1056"/>
      <c r="I1056"/>
      <c r="J1056"/>
    </row>
    <row r="1057" spans="1:10" x14ac:dyDescent="0.25">
      <c r="A1057" s="230"/>
      <c r="B1057" s="231"/>
      <c r="C1057" s="15"/>
      <c r="D1057"/>
      <c r="E1057"/>
      <c r="F1057" s="15"/>
      <c r="G1057"/>
      <c r="H1057"/>
      <c r="I1057"/>
      <c r="J1057"/>
    </row>
    <row r="1058" spans="1:10" x14ac:dyDescent="0.25">
      <c r="A1058" s="230"/>
      <c r="B1058" s="231"/>
      <c r="C1058" s="15"/>
      <c r="D1058"/>
      <c r="E1058"/>
      <c r="F1058" s="15"/>
      <c r="G1058"/>
      <c r="H1058"/>
      <c r="I1058"/>
      <c r="J1058"/>
    </row>
    <row r="1059" spans="1:10" x14ac:dyDescent="0.25">
      <c r="A1059" s="230"/>
      <c r="B1059" s="231"/>
      <c r="C1059" s="15"/>
      <c r="D1059"/>
      <c r="E1059"/>
      <c r="F1059" s="15"/>
      <c r="G1059"/>
      <c r="H1059"/>
      <c r="I1059"/>
      <c r="J1059"/>
    </row>
    <row r="1060" spans="1:10" x14ac:dyDescent="0.25">
      <c r="A1060" s="230"/>
      <c r="B1060" s="231"/>
      <c r="C1060" s="15"/>
      <c r="D1060"/>
      <c r="E1060"/>
      <c r="F1060" s="15"/>
      <c r="G1060"/>
      <c r="H1060"/>
      <c r="I1060"/>
      <c r="J1060"/>
    </row>
    <row r="1061" spans="1:10" x14ac:dyDescent="0.25">
      <c r="A1061" s="230"/>
      <c r="B1061" s="231"/>
      <c r="C1061" s="15"/>
      <c r="D1061"/>
      <c r="E1061"/>
      <c r="F1061" s="15"/>
      <c r="G1061"/>
      <c r="H1061"/>
      <c r="I1061"/>
      <c r="J1061"/>
    </row>
    <row r="1062" spans="1:10" x14ac:dyDescent="0.25">
      <c r="A1062" s="230"/>
      <c r="B1062" s="231"/>
      <c r="C1062" s="15"/>
      <c r="D1062"/>
      <c r="E1062"/>
      <c r="F1062" s="15"/>
      <c r="G1062"/>
      <c r="H1062"/>
      <c r="I1062"/>
      <c r="J1062"/>
    </row>
    <row r="1063" spans="1:10" x14ac:dyDescent="0.25">
      <c r="A1063" s="230"/>
      <c r="B1063" s="231"/>
      <c r="C1063" s="15"/>
      <c r="D1063"/>
      <c r="E1063"/>
      <c r="F1063" s="15"/>
      <c r="G1063"/>
      <c r="H1063"/>
      <c r="I1063"/>
      <c r="J1063"/>
    </row>
    <row r="1064" spans="1:10" x14ac:dyDescent="0.25">
      <c r="A1064" s="230"/>
      <c r="B1064" s="231"/>
      <c r="C1064" s="15"/>
      <c r="D1064"/>
      <c r="E1064"/>
      <c r="F1064" s="15"/>
      <c r="G1064"/>
      <c r="H1064"/>
      <c r="I1064"/>
      <c r="J1064"/>
    </row>
    <row r="1065" spans="1:10" x14ac:dyDescent="0.25">
      <c r="A1065" s="230"/>
      <c r="B1065" s="231"/>
      <c r="C1065" s="15"/>
      <c r="D1065"/>
      <c r="E1065"/>
      <c r="F1065" s="15"/>
      <c r="G1065"/>
      <c r="H1065"/>
      <c r="I1065"/>
      <c r="J1065"/>
    </row>
    <row r="1066" spans="1:10" x14ac:dyDescent="0.25">
      <c r="A1066" s="230"/>
      <c r="B1066" s="231"/>
      <c r="C1066" s="15"/>
      <c r="D1066"/>
      <c r="E1066"/>
      <c r="F1066" s="15"/>
      <c r="G1066"/>
      <c r="H1066"/>
      <c r="I1066"/>
      <c r="J1066"/>
    </row>
    <row r="1067" spans="1:10" x14ac:dyDescent="0.25">
      <c r="A1067" s="230"/>
      <c r="B1067" s="231"/>
      <c r="C1067" s="15"/>
      <c r="D1067"/>
      <c r="E1067"/>
      <c r="F1067" s="15"/>
      <c r="G1067"/>
      <c r="H1067"/>
      <c r="I1067"/>
      <c r="J1067"/>
    </row>
    <row r="1068" spans="1:10" x14ac:dyDescent="0.25">
      <c r="A1068" s="230"/>
      <c r="B1068" s="231"/>
      <c r="C1068" s="15"/>
      <c r="D1068"/>
      <c r="E1068"/>
      <c r="F1068" s="15"/>
      <c r="G1068"/>
      <c r="H1068"/>
      <c r="I1068"/>
      <c r="J1068"/>
    </row>
    <row r="1069" spans="1:10" x14ac:dyDescent="0.25">
      <c r="A1069" s="230"/>
      <c r="B1069" s="231"/>
      <c r="C1069" s="15"/>
      <c r="D1069"/>
      <c r="E1069"/>
      <c r="F1069" s="15"/>
      <c r="G1069"/>
      <c r="H1069"/>
      <c r="I1069"/>
      <c r="J1069"/>
    </row>
    <row r="1070" spans="1:10" x14ac:dyDescent="0.25">
      <c r="A1070" s="230"/>
      <c r="B1070" s="231"/>
      <c r="C1070" s="15"/>
      <c r="D1070"/>
      <c r="E1070"/>
      <c r="F1070" s="15"/>
      <c r="G1070"/>
      <c r="H1070"/>
      <c r="I1070"/>
      <c r="J1070"/>
    </row>
    <row r="1071" spans="1:10" x14ac:dyDescent="0.25">
      <c r="A1071" s="230"/>
      <c r="B1071" s="231"/>
      <c r="C1071" s="15"/>
      <c r="D1071"/>
      <c r="E1071"/>
      <c r="F1071" s="15"/>
      <c r="G1071"/>
      <c r="H1071"/>
      <c r="I1071"/>
      <c r="J1071"/>
    </row>
    <row r="1072" spans="1:10" x14ac:dyDescent="0.25">
      <c r="A1072" s="230"/>
      <c r="B1072" s="231"/>
      <c r="C1072" s="15"/>
      <c r="D1072"/>
      <c r="E1072"/>
      <c r="F1072" s="15"/>
      <c r="G1072"/>
      <c r="H1072"/>
      <c r="I1072"/>
      <c r="J1072"/>
    </row>
    <row r="1073" spans="1:10" x14ac:dyDescent="0.25">
      <c r="A1073" s="230"/>
      <c r="B1073" s="231"/>
      <c r="C1073" s="15"/>
      <c r="D1073"/>
      <c r="E1073"/>
      <c r="F1073" s="15"/>
      <c r="G1073"/>
      <c r="H1073"/>
      <c r="I1073"/>
      <c r="J1073"/>
    </row>
    <row r="1074" spans="1:10" x14ac:dyDescent="0.25">
      <c r="A1074" s="230"/>
      <c r="B1074" s="231"/>
      <c r="C1074" s="15"/>
      <c r="D1074"/>
      <c r="E1074"/>
      <c r="F1074" s="15"/>
      <c r="G1074"/>
      <c r="H1074"/>
      <c r="I1074"/>
      <c r="J1074"/>
    </row>
    <row r="1075" spans="1:10" x14ac:dyDescent="0.25">
      <c r="A1075" s="230"/>
      <c r="B1075" s="231"/>
      <c r="C1075" s="15"/>
      <c r="D1075"/>
      <c r="E1075"/>
      <c r="F1075" s="15"/>
      <c r="G1075"/>
      <c r="H1075"/>
      <c r="I1075"/>
      <c r="J1075"/>
    </row>
    <row r="1076" spans="1:10" x14ac:dyDescent="0.25">
      <c r="A1076" s="230"/>
      <c r="B1076" s="231"/>
      <c r="C1076" s="15"/>
      <c r="D1076"/>
      <c r="E1076"/>
      <c r="F1076" s="15"/>
      <c r="G1076"/>
      <c r="H1076"/>
      <c r="I1076"/>
      <c r="J1076"/>
    </row>
    <row r="1077" spans="1:10" x14ac:dyDescent="0.25">
      <c r="A1077" s="230"/>
      <c r="B1077" s="231"/>
      <c r="C1077" s="15"/>
      <c r="D1077"/>
      <c r="E1077"/>
      <c r="F1077" s="15"/>
      <c r="G1077"/>
      <c r="H1077"/>
      <c r="I1077"/>
      <c r="J1077"/>
    </row>
    <row r="1078" spans="1:10" x14ac:dyDescent="0.25">
      <c r="A1078" s="230"/>
      <c r="B1078" s="231"/>
      <c r="C1078" s="15"/>
      <c r="D1078"/>
      <c r="E1078"/>
      <c r="F1078" s="15"/>
      <c r="G1078"/>
      <c r="H1078"/>
      <c r="I1078"/>
      <c r="J1078"/>
    </row>
    <row r="1079" spans="1:10" x14ac:dyDescent="0.25">
      <c r="A1079" s="230"/>
      <c r="B1079" s="231"/>
      <c r="C1079" s="15"/>
      <c r="D1079"/>
      <c r="E1079"/>
      <c r="F1079" s="15"/>
      <c r="G1079"/>
      <c r="H1079"/>
      <c r="I1079"/>
      <c r="J1079"/>
    </row>
    <row r="1080" spans="1:10" x14ac:dyDescent="0.25">
      <c r="A1080" s="230"/>
      <c r="B1080" s="231"/>
      <c r="C1080" s="15"/>
      <c r="D1080"/>
      <c r="E1080"/>
      <c r="F1080" s="15"/>
      <c r="G1080"/>
      <c r="H1080"/>
      <c r="I1080"/>
      <c r="J1080"/>
    </row>
    <row r="1081" spans="1:10" x14ac:dyDescent="0.25">
      <c r="A1081" s="230"/>
      <c r="B1081" s="231"/>
      <c r="C1081" s="15"/>
      <c r="D1081"/>
      <c r="E1081"/>
      <c r="F1081" s="15"/>
      <c r="G1081"/>
      <c r="H1081"/>
      <c r="I1081"/>
      <c r="J1081"/>
    </row>
    <row r="1082" spans="1:10" x14ac:dyDescent="0.25">
      <c r="A1082" s="230"/>
      <c r="B1082" s="231"/>
      <c r="C1082" s="15"/>
      <c r="D1082"/>
      <c r="E1082"/>
      <c r="F1082" s="15"/>
      <c r="G1082"/>
      <c r="H1082"/>
      <c r="I1082"/>
      <c r="J1082"/>
    </row>
    <row r="1083" spans="1:10" x14ac:dyDescent="0.25">
      <c r="A1083" s="230"/>
      <c r="B1083" s="231"/>
      <c r="C1083" s="15"/>
      <c r="D1083"/>
      <c r="E1083"/>
      <c r="F1083" s="15"/>
      <c r="G1083"/>
      <c r="H1083"/>
      <c r="I1083"/>
      <c r="J1083"/>
    </row>
    <row r="1084" spans="1:10" x14ac:dyDescent="0.25">
      <c r="A1084" s="230"/>
      <c r="B1084" s="231"/>
      <c r="C1084" s="15"/>
      <c r="D1084"/>
      <c r="E1084"/>
      <c r="F1084" s="15"/>
      <c r="G1084"/>
      <c r="H1084"/>
      <c r="I1084"/>
      <c r="J1084"/>
    </row>
    <row r="1085" spans="1:10" x14ac:dyDescent="0.25">
      <c r="A1085" s="230"/>
      <c r="B1085" s="231"/>
      <c r="C1085" s="15"/>
      <c r="D1085"/>
      <c r="E1085"/>
      <c r="F1085" s="15"/>
      <c r="G1085"/>
      <c r="H1085"/>
      <c r="I1085"/>
      <c r="J1085"/>
    </row>
    <row r="1086" spans="1:10" x14ac:dyDescent="0.25">
      <c r="A1086" s="230"/>
      <c r="B1086" s="231"/>
      <c r="C1086" s="15"/>
      <c r="D1086"/>
      <c r="E1086"/>
      <c r="F1086" s="15"/>
      <c r="G1086"/>
      <c r="H1086"/>
      <c r="I1086"/>
      <c r="J1086"/>
    </row>
    <row r="1087" spans="1:10" x14ac:dyDescent="0.25">
      <c r="A1087" s="230"/>
      <c r="B1087" s="231"/>
      <c r="C1087" s="15"/>
      <c r="D1087"/>
      <c r="E1087"/>
      <c r="F1087" s="15"/>
      <c r="G1087"/>
      <c r="H1087"/>
      <c r="I1087"/>
      <c r="J1087"/>
    </row>
    <row r="1088" spans="1:10" x14ac:dyDescent="0.25">
      <c r="A1088" s="230"/>
      <c r="B1088" s="231"/>
      <c r="C1088" s="15"/>
      <c r="D1088"/>
      <c r="E1088"/>
      <c r="F1088" s="15"/>
      <c r="G1088"/>
      <c r="H1088"/>
      <c r="I1088"/>
      <c r="J1088"/>
    </row>
    <row r="1089" spans="1:10" x14ac:dyDescent="0.25">
      <c r="A1089" s="230"/>
      <c r="B1089" s="231"/>
      <c r="C1089" s="15"/>
      <c r="D1089"/>
      <c r="E1089"/>
      <c r="F1089" s="15"/>
      <c r="G1089"/>
      <c r="H1089"/>
      <c r="I1089"/>
      <c r="J1089"/>
    </row>
    <row r="1090" spans="1:10" x14ac:dyDescent="0.25">
      <c r="A1090" s="230"/>
      <c r="B1090" s="231"/>
      <c r="C1090" s="15"/>
      <c r="D1090"/>
      <c r="E1090"/>
      <c r="F1090" s="15"/>
      <c r="G1090"/>
      <c r="H1090"/>
      <c r="I1090"/>
      <c r="J1090"/>
    </row>
    <row r="1091" spans="1:10" x14ac:dyDescent="0.25">
      <c r="A1091" s="230"/>
      <c r="B1091" s="231"/>
      <c r="C1091" s="15"/>
      <c r="D1091"/>
      <c r="E1091"/>
      <c r="F1091" s="15"/>
      <c r="G1091"/>
      <c r="H1091"/>
      <c r="I1091"/>
      <c r="J1091"/>
    </row>
    <row r="1092" spans="1:10" x14ac:dyDescent="0.25">
      <c r="A1092" s="230"/>
      <c r="B1092" s="231"/>
      <c r="C1092" s="15"/>
      <c r="D1092"/>
      <c r="E1092"/>
      <c r="F1092" s="15"/>
      <c r="G1092"/>
      <c r="H1092"/>
      <c r="I1092"/>
      <c r="J1092"/>
    </row>
    <row r="1093" spans="1:10" x14ac:dyDescent="0.25">
      <c r="A1093" s="230"/>
      <c r="B1093" s="231"/>
      <c r="C1093" s="15"/>
      <c r="D1093"/>
      <c r="E1093"/>
      <c r="F1093" s="15"/>
      <c r="G1093"/>
      <c r="H1093"/>
      <c r="I1093"/>
      <c r="J1093"/>
    </row>
    <row r="1094" spans="1:10" x14ac:dyDescent="0.25">
      <c r="A1094" s="230"/>
      <c r="B1094" s="231"/>
      <c r="C1094" s="15"/>
      <c r="D1094"/>
      <c r="E1094"/>
      <c r="F1094" s="15"/>
      <c r="G1094"/>
      <c r="H1094"/>
      <c r="I1094"/>
      <c r="J1094"/>
    </row>
    <row r="1095" spans="1:10" x14ac:dyDescent="0.25">
      <c r="A1095" s="230"/>
      <c r="B1095" s="231"/>
      <c r="C1095" s="15"/>
      <c r="D1095"/>
      <c r="E1095"/>
      <c r="F1095" s="15"/>
      <c r="G1095"/>
      <c r="H1095"/>
      <c r="I1095"/>
      <c r="J1095"/>
    </row>
    <row r="1096" spans="1:10" x14ac:dyDescent="0.25">
      <c r="A1096" s="230"/>
      <c r="B1096" s="231"/>
      <c r="C1096" s="15"/>
      <c r="D1096"/>
      <c r="E1096"/>
      <c r="F1096" s="15"/>
      <c r="G1096"/>
      <c r="H1096"/>
      <c r="I1096"/>
      <c r="J1096"/>
    </row>
    <row r="1097" spans="1:10" x14ac:dyDescent="0.25">
      <c r="A1097" s="230"/>
      <c r="B1097" s="231"/>
      <c r="C1097" s="15"/>
      <c r="D1097"/>
      <c r="E1097"/>
      <c r="F1097" s="15"/>
      <c r="G1097"/>
      <c r="H1097"/>
      <c r="I1097"/>
      <c r="J1097"/>
    </row>
    <row r="1098" spans="1:10" x14ac:dyDescent="0.25">
      <c r="A1098" s="230"/>
      <c r="B1098" s="231"/>
      <c r="C1098" s="15"/>
      <c r="D1098"/>
      <c r="E1098"/>
      <c r="F1098" s="15"/>
      <c r="G1098"/>
      <c r="H1098"/>
      <c r="I1098"/>
      <c r="J1098"/>
    </row>
    <row r="1099" spans="1:10" x14ac:dyDescent="0.25">
      <c r="A1099" s="230"/>
      <c r="B1099" s="231"/>
      <c r="C1099" s="15"/>
      <c r="D1099"/>
      <c r="E1099"/>
      <c r="F1099" s="15"/>
      <c r="G1099"/>
      <c r="H1099"/>
      <c r="I1099"/>
      <c r="J1099"/>
    </row>
    <row r="1100" spans="1:10" x14ac:dyDescent="0.25">
      <c r="A1100" s="230"/>
      <c r="B1100" s="231"/>
      <c r="C1100" s="15"/>
      <c r="D1100"/>
      <c r="E1100"/>
      <c r="F1100" s="15"/>
      <c r="G1100"/>
      <c r="H1100"/>
      <c r="I1100"/>
      <c r="J1100"/>
    </row>
    <row r="1101" spans="1:10" x14ac:dyDescent="0.25">
      <c r="A1101" s="230"/>
      <c r="B1101" s="231"/>
      <c r="C1101" s="15"/>
      <c r="D1101"/>
      <c r="E1101"/>
      <c r="F1101" s="15"/>
      <c r="G1101"/>
      <c r="H1101"/>
      <c r="I1101"/>
      <c r="J1101"/>
    </row>
    <row r="1102" spans="1:10" x14ac:dyDescent="0.25">
      <c r="A1102" s="230"/>
      <c r="B1102" s="231"/>
      <c r="C1102" s="15"/>
      <c r="D1102"/>
      <c r="E1102"/>
      <c r="F1102" s="15"/>
      <c r="G1102"/>
      <c r="H1102"/>
      <c r="I1102"/>
      <c r="J1102"/>
    </row>
    <row r="1103" spans="1:10" x14ac:dyDescent="0.25">
      <c r="A1103" s="230"/>
      <c r="B1103" s="231"/>
      <c r="C1103" s="15"/>
      <c r="D1103"/>
      <c r="E1103"/>
      <c r="F1103" s="15"/>
      <c r="G1103"/>
      <c r="H1103"/>
      <c r="I1103"/>
      <c r="J1103"/>
    </row>
    <row r="1104" spans="1:10" x14ac:dyDescent="0.25">
      <c r="A1104" s="230"/>
      <c r="B1104" s="231"/>
      <c r="C1104" s="15"/>
      <c r="D1104"/>
      <c r="E1104"/>
      <c r="F1104" s="15"/>
      <c r="G1104"/>
      <c r="H1104"/>
      <c r="I1104"/>
      <c r="J1104"/>
    </row>
    <row r="1105" spans="1:10" x14ac:dyDescent="0.25">
      <c r="A1105" s="230"/>
      <c r="B1105" s="231"/>
      <c r="C1105" s="15"/>
      <c r="D1105"/>
      <c r="E1105"/>
      <c r="F1105" s="15"/>
      <c r="G1105"/>
      <c r="H1105"/>
      <c r="I1105"/>
      <c r="J1105"/>
    </row>
    <row r="1106" spans="1:10" x14ac:dyDescent="0.25">
      <c r="A1106" s="230"/>
      <c r="B1106" s="231"/>
      <c r="C1106" s="15"/>
      <c r="D1106"/>
      <c r="E1106"/>
      <c r="F1106" s="15"/>
      <c r="G1106"/>
      <c r="H1106"/>
      <c r="I1106"/>
      <c r="J1106"/>
    </row>
    <row r="1107" spans="1:10" x14ac:dyDescent="0.25">
      <c r="A1107" s="230"/>
      <c r="B1107" s="231"/>
      <c r="C1107" s="15"/>
      <c r="D1107"/>
      <c r="E1107"/>
      <c r="F1107" s="15"/>
      <c r="G1107"/>
      <c r="H1107"/>
      <c r="I1107"/>
      <c r="J1107"/>
    </row>
    <row r="1108" spans="1:10" x14ac:dyDescent="0.25">
      <c r="A1108" s="230"/>
      <c r="B1108" s="231"/>
      <c r="C1108" s="15"/>
      <c r="D1108"/>
      <c r="E1108"/>
      <c r="F1108" s="15"/>
      <c r="G1108"/>
      <c r="H1108"/>
      <c r="I1108"/>
      <c r="J1108"/>
    </row>
    <row r="1109" spans="1:10" x14ac:dyDescent="0.25">
      <c r="A1109" s="230"/>
      <c r="B1109" s="231"/>
      <c r="C1109" s="15"/>
      <c r="D1109"/>
      <c r="E1109"/>
      <c r="F1109" s="15"/>
      <c r="G1109"/>
      <c r="H1109"/>
      <c r="I1109"/>
      <c r="J1109"/>
    </row>
    <row r="1110" spans="1:10" x14ac:dyDescent="0.25">
      <c r="A1110" s="230"/>
      <c r="B1110" s="231"/>
      <c r="C1110" s="15"/>
      <c r="D1110"/>
      <c r="E1110"/>
      <c r="F1110" s="15"/>
      <c r="G1110"/>
      <c r="H1110"/>
      <c r="I1110"/>
      <c r="J1110"/>
    </row>
    <row r="1111" spans="1:10" x14ac:dyDescent="0.25">
      <c r="A1111" s="230"/>
      <c r="B1111" s="231"/>
      <c r="C1111" s="15"/>
      <c r="D1111"/>
      <c r="E1111"/>
      <c r="F1111" s="15"/>
      <c r="G1111"/>
      <c r="H1111"/>
      <c r="I1111"/>
      <c r="J1111"/>
    </row>
    <row r="1112" spans="1:10" x14ac:dyDescent="0.25">
      <c r="A1112" s="230"/>
      <c r="B1112" s="231"/>
      <c r="C1112" s="15"/>
      <c r="D1112"/>
      <c r="E1112"/>
      <c r="F1112" s="15"/>
      <c r="G1112"/>
      <c r="H1112"/>
      <c r="I1112"/>
      <c r="J1112"/>
    </row>
    <row r="1113" spans="1:10" x14ac:dyDescent="0.25">
      <c r="A1113" s="230"/>
      <c r="B1113" s="231"/>
      <c r="C1113" s="15"/>
      <c r="D1113"/>
      <c r="E1113"/>
      <c r="F1113" s="15"/>
      <c r="G1113"/>
      <c r="H1113"/>
      <c r="I1113"/>
      <c r="J1113"/>
    </row>
    <row r="1114" spans="1:10" x14ac:dyDescent="0.25">
      <c r="A1114" s="230"/>
      <c r="B1114" s="231"/>
      <c r="C1114" s="15"/>
      <c r="D1114"/>
      <c r="E1114"/>
      <c r="F1114" s="15"/>
      <c r="G1114"/>
      <c r="H1114"/>
      <c r="I1114"/>
      <c r="J1114"/>
    </row>
    <row r="1115" spans="1:10" x14ac:dyDescent="0.25">
      <c r="A1115" s="230"/>
      <c r="B1115" s="231"/>
      <c r="C1115" s="15"/>
      <c r="D1115"/>
      <c r="E1115"/>
      <c r="F1115" s="15"/>
      <c r="G1115"/>
      <c r="H1115"/>
      <c r="I1115"/>
      <c r="J1115"/>
    </row>
    <row r="1116" spans="1:10" x14ac:dyDescent="0.25">
      <c r="A1116" s="230"/>
      <c r="B1116" s="231"/>
      <c r="C1116" s="15"/>
      <c r="D1116"/>
      <c r="E1116"/>
      <c r="F1116" s="15"/>
      <c r="G1116"/>
      <c r="H1116"/>
      <c r="I1116"/>
      <c r="J1116"/>
    </row>
    <row r="1117" spans="1:10" x14ac:dyDescent="0.25">
      <c r="A1117" s="230"/>
      <c r="B1117" s="231"/>
      <c r="C1117" s="15"/>
      <c r="D1117"/>
      <c r="E1117"/>
      <c r="F1117" s="15"/>
      <c r="G1117"/>
      <c r="H1117"/>
      <c r="I1117"/>
      <c r="J1117"/>
    </row>
    <row r="1118" spans="1:10" x14ac:dyDescent="0.25">
      <c r="A1118" s="230"/>
      <c r="B1118" s="231"/>
      <c r="C1118" s="15"/>
      <c r="D1118"/>
      <c r="E1118"/>
      <c r="F1118" s="15"/>
      <c r="G1118"/>
      <c r="H1118"/>
      <c r="I1118"/>
      <c r="J1118"/>
    </row>
    <row r="1119" spans="1:10" x14ac:dyDescent="0.25">
      <c r="A1119" s="230"/>
      <c r="B1119" s="231"/>
      <c r="C1119" s="15"/>
      <c r="D1119"/>
      <c r="E1119"/>
      <c r="F1119" s="15"/>
      <c r="G1119"/>
      <c r="H1119"/>
      <c r="I1119"/>
      <c r="J1119"/>
    </row>
    <row r="1120" spans="1:10" x14ac:dyDescent="0.25">
      <c r="A1120" s="230"/>
      <c r="B1120" s="231"/>
      <c r="C1120" s="15"/>
      <c r="D1120"/>
      <c r="E1120"/>
      <c r="F1120" s="15"/>
      <c r="G1120"/>
      <c r="H1120"/>
      <c r="I1120"/>
      <c r="J1120"/>
    </row>
    <row r="1121" spans="1:10" x14ac:dyDescent="0.25">
      <c r="A1121" s="230"/>
      <c r="B1121" s="231"/>
      <c r="C1121" s="15"/>
      <c r="D1121"/>
      <c r="E1121"/>
      <c r="F1121" s="15"/>
      <c r="G1121"/>
      <c r="H1121"/>
      <c r="I1121"/>
      <c r="J1121"/>
    </row>
    <row r="1122" spans="1:10" x14ac:dyDescent="0.25">
      <c r="A1122" s="230"/>
      <c r="B1122" s="231"/>
      <c r="C1122" s="15"/>
      <c r="D1122"/>
      <c r="E1122"/>
      <c r="F1122" s="15"/>
      <c r="G1122"/>
      <c r="H1122"/>
      <c r="I1122"/>
      <c r="J1122"/>
    </row>
    <row r="1123" spans="1:10" x14ac:dyDescent="0.25">
      <c r="A1123" s="230"/>
      <c r="B1123" s="231"/>
      <c r="C1123" s="15"/>
      <c r="D1123"/>
      <c r="E1123"/>
      <c r="F1123" s="15"/>
      <c r="G1123"/>
      <c r="H1123"/>
      <c r="I1123"/>
      <c r="J1123"/>
    </row>
    <row r="1124" spans="1:10" x14ac:dyDescent="0.25">
      <c r="A1124" s="230"/>
      <c r="B1124" s="231"/>
      <c r="C1124" s="15"/>
      <c r="D1124"/>
      <c r="E1124"/>
      <c r="F1124" s="15"/>
      <c r="G1124"/>
      <c r="H1124"/>
      <c r="I1124"/>
      <c r="J1124"/>
    </row>
    <row r="1125" spans="1:10" x14ac:dyDescent="0.25">
      <c r="A1125" s="230"/>
      <c r="B1125" s="231"/>
      <c r="C1125" s="15"/>
      <c r="D1125"/>
      <c r="E1125"/>
      <c r="F1125" s="15"/>
      <c r="G1125"/>
      <c r="H1125"/>
      <c r="I1125"/>
      <c r="J1125"/>
    </row>
    <row r="1126" spans="1:10" x14ac:dyDescent="0.25">
      <c r="A1126" s="230"/>
      <c r="B1126" s="231"/>
      <c r="C1126" s="15"/>
      <c r="D1126"/>
      <c r="E1126"/>
      <c r="F1126" s="15"/>
      <c r="G1126"/>
      <c r="H1126"/>
      <c r="I1126"/>
      <c r="J1126"/>
    </row>
    <row r="1127" spans="1:10" x14ac:dyDescent="0.25">
      <c r="A1127" s="230"/>
      <c r="B1127" s="231"/>
      <c r="C1127" s="15"/>
      <c r="D1127"/>
      <c r="E1127"/>
      <c r="F1127" s="15"/>
      <c r="G1127"/>
      <c r="H1127"/>
      <c r="I1127"/>
      <c r="J1127"/>
    </row>
    <row r="1128" spans="1:10" x14ac:dyDescent="0.25">
      <c r="A1128" s="230"/>
      <c r="B1128" s="231"/>
      <c r="C1128" s="15"/>
      <c r="D1128"/>
      <c r="E1128"/>
      <c r="F1128" s="15"/>
      <c r="G1128"/>
      <c r="H1128"/>
      <c r="I1128"/>
      <c r="J1128"/>
    </row>
    <row r="1129" spans="1:10" x14ac:dyDescent="0.25">
      <c r="A1129" s="230"/>
      <c r="B1129" s="231"/>
      <c r="C1129" s="15"/>
      <c r="D1129"/>
      <c r="E1129"/>
      <c r="F1129" s="15"/>
      <c r="G1129"/>
      <c r="H1129"/>
      <c r="I1129"/>
      <c r="J1129"/>
    </row>
    <row r="1130" spans="1:10" x14ac:dyDescent="0.25">
      <c r="A1130" s="230"/>
      <c r="B1130" s="231"/>
      <c r="C1130" s="15"/>
      <c r="D1130"/>
      <c r="E1130"/>
      <c r="F1130" s="15"/>
      <c r="G1130"/>
      <c r="H1130"/>
      <c r="I1130"/>
      <c r="J1130"/>
    </row>
    <row r="1131" spans="1:10" x14ac:dyDescent="0.25">
      <c r="A1131" s="230"/>
      <c r="B1131" s="231"/>
      <c r="C1131" s="15"/>
      <c r="D1131"/>
      <c r="E1131"/>
      <c r="F1131" s="15"/>
      <c r="G1131"/>
      <c r="H1131"/>
      <c r="I1131"/>
      <c r="J1131"/>
    </row>
    <row r="1132" spans="1:10" x14ac:dyDescent="0.25">
      <c r="A1132" s="230"/>
      <c r="B1132" s="231"/>
      <c r="C1132" s="15"/>
      <c r="D1132"/>
      <c r="E1132"/>
      <c r="F1132" s="15"/>
      <c r="G1132"/>
      <c r="H1132"/>
      <c r="I1132"/>
      <c r="J1132"/>
    </row>
    <row r="1133" spans="1:10" x14ac:dyDescent="0.25">
      <c r="A1133" s="230"/>
      <c r="B1133" s="231"/>
      <c r="C1133" s="15"/>
      <c r="D1133"/>
      <c r="E1133"/>
      <c r="F1133" s="15"/>
      <c r="G1133"/>
      <c r="H1133"/>
      <c r="I1133"/>
      <c r="J1133"/>
    </row>
    <row r="1134" spans="1:10" x14ac:dyDescent="0.25">
      <c r="A1134" s="230"/>
      <c r="B1134" s="231"/>
      <c r="C1134" s="15"/>
      <c r="D1134"/>
      <c r="E1134"/>
      <c r="F1134" s="15"/>
      <c r="G1134"/>
      <c r="H1134"/>
      <c r="I1134"/>
      <c r="J1134"/>
    </row>
    <row r="1135" spans="1:10" x14ac:dyDescent="0.25">
      <c r="A1135" s="230"/>
      <c r="B1135" s="231"/>
      <c r="C1135" s="15"/>
      <c r="D1135"/>
      <c r="E1135"/>
      <c r="F1135" s="15"/>
      <c r="G1135"/>
      <c r="H1135"/>
      <c r="I1135"/>
      <c r="J1135"/>
    </row>
    <row r="1136" spans="1:10" x14ac:dyDescent="0.25">
      <c r="A1136" s="230"/>
      <c r="B1136" s="231"/>
      <c r="C1136" s="15"/>
      <c r="D1136"/>
      <c r="E1136"/>
      <c r="F1136" s="15"/>
      <c r="G1136"/>
      <c r="H1136"/>
      <c r="I1136"/>
      <c r="J1136"/>
    </row>
    <row r="1137" spans="1:10" x14ac:dyDescent="0.25">
      <c r="A1137" s="230"/>
      <c r="B1137" s="231"/>
      <c r="C1137" s="15"/>
      <c r="D1137"/>
      <c r="E1137"/>
      <c r="F1137" s="15"/>
      <c r="G1137"/>
      <c r="H1137"/>
      <c r="I1137"/>
      <c r="J1137"/>
    </row>
    <row r="1138" spans="1:10" x14ac:dyDescent="0.25">
      <c r="A1138" s="230"/>
      <c r="B1138" s="231"/>
      <c r="C1138" s="15"/>
      <c r="D1138"/>
      <c r="E1138"/>
      <c r="F1138" s="15"/>
      <c r="G1138"/>
      <c r="H1138"/>
      <c r="I1138"/>
      <c r="J1138"/>
    </row>
    <row r="1139" spans="1:10" x14ac:dyDescent="0.25">
      <c r="A1139" s="230"/>
      <c r="B1139" s="231"/>
      <c r="C1139" s="15"/>
      <c r="D1139"/>
      <c r="E1139"/>
      <c r="F1139" s="15"/>
      <c r="G1139"/>
      <c r="H1139"/>
      <c r="I1139"/>
      <c r="J1139"/>
    </row>
    <row r="1140" spans="1:10" x14ac:dyDescent="0.25">
      <c r="A1140" s="230"/>
      <c r="B1140" s="231"/>
      <c r="C1140" s="15"/>
      <c r="D1140"/>
      <c r="E1140"/>
      <c r="F1140" s="15"/>
      <c r="G1140"/>
      <c r="H1140"/>
      <c r="I1140"/>
      <c r="J1140"/>
    </row>
    <row r="1141" spans="1:10" x14ac:dyDescent="0.25">
      <c r="A1141" s="230"/>
      <c r="B1141" s="231"/>
      <c r="C1141" s="15"/>
      <c r="D1141"/>
      <c r="E1141"/>
      <c r="F1141" s="15"/>
      <c r="G1141"/>
      <c r="H1141"/>
      <c r="I1141"/>
      <c r="J1141"/>
    </row>
    <row r="1142" spans="1:10" x14ac:dyDescent="0.25">
      <c r="A1142" s="230"/>
      <c r="B1142" s="231"/>
      <c r="C1142" s="15"/>
      <c r="D1142"/>
      <c r="E1142"/>
      <c r="F1142" s="15"/>
      <c r="G1142"/>
      <c r="H1142"/>
      <c r="I1142"/>
      <c r="J1142"/>
    </row>
    <row r="1143" spans="1:10" x14ac:dyDescent="0.25">
      <c r="A1143" s="230"/>
      <c r="B1143" s="231"/>
      <c r="C1143" s="15"/>
      <c r="D1143"/>
      <c r="E1143"/>
      <c r="F1143" s="15"/>
      <c r="G1143"/>
      <c r="H1143"/>
      <c r="I1143"/>
      <c r="J1143"/>
    </row>
    <row r="1144" spans="1:10" x14ac:dyDescent="0.25">
      <c r="A1144" s="230"/>
      <c r="B1144" s="231"/>
      <c r="C1144" s="15"/>
      <c r="D1144"/>
      <c r="E1144"/>
      <c r="F1144" s="15"/>
      <c r="G1144"/>
      <c r="H1144"/>
      <c r="I1144"/>
      <c r="J1144"/>
    </row>
    <row r="1145" spans="1:10" x14ac:dyDescent="0.25">
      <c r="A1145" s="230"/>
      <c r="B1145" s="231"/>
      <c r="C1145" s="15"/>
      <c r="D1145"/>
      <c r="E1145"/>
      <c r="F1145" s="15"/>
      <c r="G1145"/>
      <c r="H1145"/>
      <c r="I1145"/>
      <c r="J1145"/>
    </row>
    <row r="1146" spans="1:10" x14ac:dyDescent="0.25">
      <c r="A1146" s="230"/>
      <c r="B1146" s="231"/>
      <c r="C1146" s="15"/>
      <c r="D1146"/>
      <c r="E1146"/>
      <c r="F1146" s="15"/>
      <c r="G1146"/>
      <c r="H1146"/>
      <c r="I1146"/>
      <c r="J1146"/>
    </row>
    <row r="1147" spans="1:10" x14ac:dyDescent="0.25">
      <c r="A1147" s="230"/>
      <c r="B1147" s="231"/>
      <c r="C1147" s="15"/>
      <c r="D1147"/>
      <c r="E1147"/>
      <c r="F1147" s="15"/>
      <c r="G1147"/>
      <c r="H1147"/>
      <c r="I1147"/>
      <c r="J1147"/>
    </row>
    <row r="1148" spans="1:10" x14ac:dyDescent="0.25">
      <c r="A1148" s="230"/>
      <c r="B1148" s="231"/>
      <c r="C1148" s="15"/>
      <c r="D1148"/>
      <c r="E1148"/>
      <c r="F1148" s="15"/>
      <c r="G1148"/>
      <c r="H1148"/>
      <c r="I1148"/>
      <c r="J1148"/>
    </row>
    <row r="1149" spans="1:10" x14ac:dyDescent="0.25">
      <c r="A1149" s="230"/>
      <c r="B1149" s="231"/>
      <c r="C1149" s="15"/>
      <c r="D1149"/>
      <c r="E1149"/>
      <c r="F1149" s="15"/>
      <c r="G1149"/>
      <c r="H1149"/>
      <c r="I1149"/>
      <c r="J1149"/>
    </row>
    <row r="1150" spans="1:10" x14ac:dyDescent="0.25">
      <c r="A1150" s="230"/>
      <c r="B1150" s="231"/>
      <c r="C1150" s="15"/>
      <c r="D1150"/>
      <c r="E1150"/>
      <c r="F1150" s="15"/>
      <c r="G1150"/>
      <c r="H1150"/>
      <c r="I1150"/>
      <c r="J1150"/>
    </row>
    <row r="1151" spans="1:10" x14ac:dyDescent="0.25">
      <c r="A1151" s="230"/>
      <c r="B1151" s="231"/>
      <c r="C1151" s="15"/>
      <c r="D1151"/>
      <c r="E1151"/>
      <c r="F1151" s="15"/>
      <c r="G1151"/>
      <c r="H1151"/>
      <c r="I1151"/>
      <c r="J1151"/>
    </row>
    <row r="1152" spans="1:10" x14ac:dyDescent="0.25">
      <c r="A1152" s="230"/>
      <c r="B1152" s="231"/>
      <c r="C1152" s="15"/>
      <c r="D1152"/>
      <c r="E1152"/>
      <c r="F1152" s="15"/>
      <c r="G1152"/>
      <c r="H1152"/>
      <c r="I1152"/>
      <c r="J1152"/>
    </row>
    <row r="1153" spans="1:10" x14ac:dyDescent="0.25">
      <c r="A1153" s="230"/>
      <c r="B1153" s="231"/>
      <c r="C1153" s="15"/>
      <c r="D1153"/>
      <c r="E1153"/>
      <c r="F1153" s="15"/>
      <c r="G1153"/>
      <c r="H1153"/>
      <c r="I1153"/>
      <c r="J1153"/>
    </row>
    <row r="1154" spans="1:10" x14ac:dyDescent="0.25">
      <c r="A1154" s="230"/>
      <c r="B1154" s="231"/>
      <c r="C1154" s="15"/>
      <c r="D1154"/>
      <c r="E1154"/>
      <c r="F1154" s="15"/>
      <c r="G1154"/>
      <c r="H1154"/>
      <c r="I1154"/>
      <c r="J1154"/>
    </row>
    <row r="1155" spans="1:10" x14ac:dyDescent="0.25">
      <c r="A1155" s="230"/>
      <c r="B1155" s="231"/>
      <c r="C1155" s="15"/>
      <c r="D1155"/>
      <c r="E1155"/>
      <c r="F1155" s="15"/>
      <c r="G1155"/>
      <c r="H1155"/>
      <c r="I1155"/>
      <c r="J1155"/>
    </row>
    <row r="1156" spans="1:10" x14ac:dyDescent="0.25">
      <c r="A1156" s="230"/>
      <c r="B1156" s="231"/>
      <c r="C1156" s="15"/>
      <c r="D1156"/>
      <c r="E1156"/>
      <c r="F1156" s="15"/>
      <c r="G1156"/>
      <c r="H1156"/>
      <c r="I1156"/>
      <c r="J1156"/>
    </row>
    <row r="1157" spans="1:10" x14ac:dyDescent="0.25">
      <c r="A1157" s="230"/>
      <c r="B1157" s="231"/>
      <c r="C1157" s="15"/>
      <c r="D1157"/>
      <c r="E1157"/>
      <c r="F1157" s="15"/>
      <c r="G1157"/>
      <c r="H1157"/>
      <c r="I1157"/>
      <c r="J1157"/>
    </row>
    <row r="1158" spans="1:10" x14ac:dyDescent="0.25">
      <c r="A1158" s="230"/>
      <c r="B1158" s="231"/>
      <c r="C1158" s="15"/>
      <c r="D1158"/>
      <c r="E1158"/>
      <c r="F1158" s="15"/>
      <c r="G1158"/>
      <c r="H1158"/>
      <c r="I1158"/>
      <c r="J1158"/>
    </row>
    <row r="1159" spans="1:10" x14ac:dyDescent="0.25">
      <c r="A1159" s="230"/>
      <c r="B1159" s="231"/>
      <c r="C1159" s="15"/>
      <c r="D1159"/>
      <c r="E1159"/>
      <c r="F1159" s="15"/>
      <c r="G1159"/>
      <c r="H1159"/>
      <c r="I1159"/>
      <c r="J1159"/>
    </row>
    <row r="1160" spans="1:10" x14ac:dyDescent="0.25">
      <c r="A1160" s="230"/>
      <c r="B1160" s="231"/>
      <c r="C1160" s="15"/>
      <c r="D1160"/>
      <c r="E1160"/>
      <c r="F1160" s="15"/>
      <c r="G1160"/>
      <c r="H1160"/>
      <c r="I1160"/>
      <c r="J1160"/>
    </row>
    <row r="1161" spans="1:10" x14ac:dyDescent="0.25">
      <c r="A1161" s="230"/>
      <c r="B1161" s="231"/>
      <c r="C1161" s="15"/>
      <c r="D1161"/>
      <c r="E1161"/>
      <c r="F1161" s="15"/>
      <c r="G1161"/>
      <c r="H1161"/>
      <c r="I1161"/>
      <c r="J1161"/>
    </row>
    <row r="1162" spans="1:10" x14ac:dyDescent="0.25">
      <c r="A1162" s="230"/>
      <c r="B1162" s="231"/>
      <c r="C1162" s="15"/>
      <c r="D1162"/>
      <c r="E1162"/>
      <c r="F1162" s="15"/>
      <c r="G1162"/>
      <c r="H1162"/>
      <c r="I1162"/>
      <c r="J1162"/>
    </row>
    <row r="1163" spans="1:10" x14ac:dyDescent="0.25">
      <c r="A1163" s="230"/>
      <c r="B1163" s="231"/>
      <c r="C1163" s="15"/>
      <c r="D1163"/>
      <c r="E1163"/>
      <c r="F1163" s="15"/>
      <c r="G1163"/>
      <c r="H1163"/>
      <c r="I1163"/>
      <c r="J1163"/>
    </row>
    <row r="1164" spans="1:10" x14ac:dyDescent="0.25">
      <c r="A1164" s="230"/>
      <c r="B1164" s="231"/>
      <c r="C1164" s="15"/>
      <c r="D1164"/>
      <c r="E1164"/>
      <c r="F1164" s="15"/>
      <c r="G1164"/>
      <c r="H1164"/>
      <c r="I1164"/>
      <c r="J1164"/>
    </row>
    <row r="1165" spans="1:10" x14ac:dyDescent="0.25">
      <c r="A1165" s="230"/>
      <c r="B1165" s="231"/>
      <c r="C1165" s="15"/>
      <c r="D1165"/>
      <c r="E1165"/>
      <c r="F1165" s="15"/>
      <c r="G1165"/>
      <c r="H1165"/>
      <c r="I1165"/>
      <c r="J1165"/>
    </row>
    <row r="1166" spans="1:10" x14ac:dyDescent="0.25">
      <c r="A1166" s="230"/>
      <c r="B1166" s="231"/>
      <c r="C1166" s="15"/>
      <c r="D1166"/>
      <c r="E1166"/>
      <c r="F1166" s="15"/>
      <c r="G1166"/>
      <c r="H1166"/>
      <c r="I1166"/>
      <c r="J1166"/>
    </row>
    <row r="1167" spans="1:10" x14ac:dyDescent="0.25">
      <c r="A1167" s="230"/>
      <c r="B1167" s="231"/>
      <c r="C1167" s="15"/>
      <c r="D1167"/>
      <c r="E1167"/>
      <c r="F1167" s="15"/>
      <c r="G1167"/>
      <c r="H1167"/>
      <c r="I1167"/>
      <c r="J1167"/>
    </row>
    <row r="1168" spans="1:10" x14ac:dyDescent="0.25">
      <c r="A1168" s="230"/>
      <c r="B1168" s="231"/>
      <c r="C1168" s="15"/>
      <c r="D1168"/>
      <c r="E1168"/>
      <c r="F1168" s="15"/>
      <c r="G1168"/>
      <c r="H1168"/>
      <c r="I1168"/>
      <c r="J1168"/>
    </row>
    <row r="1169" spans="1:10" x14ac:dyDescent="0.25">
      <c r="A1169" s="230"/>
      <c r="B1169" s="231"/>
      <c r="C1169" s="15"/>
      <c r="D1169"/>
      <c r="E1169"/>
      <c r="F1169" s="15"/>
      <c r="G1169"/>
      <c r="H1169"/>
      <c r="I1169"/>
      <c r="J1169"/>
    </row>
    <row r="1170" spans="1:10" x14ac:dyDescent="0.25">
      <c r="A1170" s="230"/>
      <c r="B1170" s="231"/>
      <c r="C1170" s="15"/>
      <c r="D1170"/>
      <c r="E1170"/>
      <c r="F1170" s="15"/>
      <c r="G1170"/>
      <c r="H1170"/>
      <c r="I1170"/>
      <c r="J1170"/>
    </row>
    <row r="1171" spans="1:10" x14ac:dyDescent="0.25">
      <c r="A1171" s="230"/>
      <c r="B1171" s="231"/>
      <c r="C1171" s="15"/>
      <c r="D1171"/>
      <c r="E1171"/>
      <c r="F1171" s="15"/>
      <c r="G1171"/>
      <c r="H1171"/>
      <c r="I1171"/>
      <c r="J1171"/>
    </row>
    <row r="1172" spans="1:10" x14ac:dyDescent="0.25">
      <c r="A1172" s="230"/>
      <c r="B1172" s="231"/>
      <c r="C1172" s="15"/>
      <c r="D1172"/>
      <c r="E1172"/>
      <c r="F1172" s="15"/>
      <c r="G1172"/>
      <c r="H1172"/>
      <c r="I1172"/>
      <c r="J1172"/>
    </row>
    <row r="1173" spans="1:10" x14ac:dyDescent="0.25">
      <c r="A1173" s="230"/>
      <c r="B1173" s="231"/>
      <c r="C1173" s="15"/>
      <c r="D1173"/>
      <c r="E1173"/>
      <c r="F1173" s="15"/>
      <c r="G1173"/>
      <c r="H1173"/>
      <c r="I1173"/>
      <c r="J1173"/>
    </row>
    <row r="1174" spans="1:10" x14ac:dyDescent="0.25">
      <c r="A1174" s="230"/>
      <c r="B1174" s="231"/>
      <c r="C1174" s="15"/>
      <c r="D1174"/>
      <c r="E1174"/>
      <c r="F1174" s="15"/>
      <c r="G1174"/>
      <c r="H1174"/>
      <c r="I1174"/>
      <c r="J1174"/>
    </row>
    <row r="1175" spans="1:10" x14ac:dyDescent="0.25">
      <c r="A1175" s="230"/>
      <c r="B1175" s="231"/>
      <c r="C1175" s="15"/>
      <c r="D1175"/>
      <c r="E1175"/>
      <c r="F1175" s="15"/>
      <c r="G1175"/>
      <c r="H1175"/>
      <c r="I1175"/>
      <c r="J1175"/>
    </row>
    <row r="1176" spans="1:10" x14ac:dyDescent="0.25">
      <c r="A1176" s="230"/>
      <c r="B1176" s="231"/>
      <c r="C1176" s="15"/>
      <c r="D1176"/>
      <c r="E1176"/>
      <c r="F1176" s="15"/>
      <c r="G1176"/>
      <c r="H1176"/>
      <c r="I1176"/>
      <c r="J1176"/>
    </row>
    <row r="1177" spans="1:10" x14ac:dyDescent="0.25">
      <c r="A1177" s="230"/>
      <c r="B1177" s="231"/>
      <c r="C1177" s="15"/>
      <c r="D1177"/>
      <c r="E1177"/>
      <c r="F1177" s="15"/>
      <c r="G1177"/>
      <c r="H1177"/>
      <c r="I1177"/>
      <c r="J1177"/>
    </row>
    <row r="1178" spans="1:10" x14ac:dyDescent="0.25">
      <c r="A1178" s="230"/>
      <c r="B1178" s="231"/>
      <c r="C1178" s="15"/>
      <c r="D1178"/>
      <c r="E1178"/>
      <c r="F1178" s="15"/>
      <c r="G1178"/>
      <c r="H1178"/>
      <c r="I1178"/>
      <c r="J1178"/>
    </row>
    <row r="1179" spans="1:10" x14ac:dyDescent="0.25">
      <c r="A1179" s="230"/>
      <c r="B1179" s="231"/>
      <c r="C1179" s="15"/>
      <c r="D1179"/>
      <c r="E1179"/>
      <c r="F1179" s="15"/>
      <c r="G1179"/>
      <c r="H1179"/>
      <c r="I1179"/>
      <c r="J1179"/>
    </row>
    <row r="1180" spans="1:10" x14ac:dyDescent="0.25">
      <c r="A1180" s="230"/>
      <c r="B1180" s="231"/>
      <c r="C1180" s="15"/>
      <c r="D1180"/>
      <c r="E1180"/>
      <c r="F1180" s="15"/>
      <c r="G1180"/>
      <c r="H1180"/>
      <c r="I1180"/>
      <c r="J1180"/>
    </row>
    <row r="1181" spans="1:10" x14ac:dyDescent="0.25">
      <c r="A1181" s="230"/>
      <c r="B1181" s="231"/>
      <c r="C1181" s="15"/>
      <c r="D1181"/>
      <c r="E1181"/>
      <c r="F1181" s="15"/>
      <c r="G1181"/>
      <c r="H1181"/>
      <c r="I1181"/>
      <c r="J1181"/>
    </row>
    <row r="1182" spans="1:10" x14ac:dyDescent="0.25">
      <c r="A1182" s="230"/>
      <c r="B1182" s="231"/>
      <c r="C1182" s="15"/>
      <c r="D1182"/>
      <c r="E1182"/>
      <c r="F1182" s="15"/>
      <c r="G1182"/>
      <c r="H1182"/>
      <c r="I1182"/>
      <c r="J1182"/>
    </row>
    <row r="1183" spans="1:10" x14ac:dyDescent="0.25">
      <c r="A1183" s="230"/>
      <c r="B1183" s="231"/>
      <c r="C1183" s="15"/>
      <c r="D1183"/>
      <c r="E1183"/>
      <c r="F1183" s="15"/>
      <c r="G1183"/>
      <c r="H1183"/>
      <c r="I1183"/>
      <c r="J1183"/>
    </row>
    <row r="1184" spans="1:10" x14ac:dyDescent="0.25">
      <c r="A1184" s="230"/>
      <c r="B1184" s="231"/>
      <c r="C1184" s="15"/>
      <c r="D1184"/>
      <c r="E1184"/>
      <c r="F1184" s="15"/>
      <c r="G1184"/>
      <c r="H1184"/>
      <c r="I1184"/>
      <c r="J1184"/>
    </row>
    <row r="1185" spans="1:10" x14ac:dyDescent="0.25">
      <c r="A1185" s="230"/>
      <c r="B1185" s="231"/>
      <c r="C1185" s="15"/>
      <c r="D1185"/>
      <c r="E1185"/>
      <c r="F1185" s="15"/>
      <c r="G1185"/>
      <c r="H1185"/>
      <c r="I1185"/>
      <c r="J1185"/>
    </row>
    <row r="1186" spans="1:10" x14ac:dyDescent="0.25">
      <c r="A1186" s="230"/>
      <c r="B1186" s="231"/>
      <c r="C1186" s="15"/>
      <c r="D1186"/>
      <c r="E1186"/>
      <c r="F1186" s="15"/>
      <c r="G1186"/>
      <c r="H1186"/>
      <c r="I1186"/>
      <c r="J1186"/>
    </row>
    <row r="1187" spans="1:10" x14ac:dyDescent="0.25">
      <c r="A1187" s="230"/>
      <c r="B1187" s="231"/>
      <c r="C1187" s="15"/>
      <c r="D1187"/>
      <c r="E1187"/>
      <c r="F1187" s="15"/>
      <c r="G1187"/>
      <c r="H1187"/>
      <c r="I1187"/>
      <c r="J1187"/>
    </row>
    <row r="1188" spans="1:10" x14ac:dyDescent="0.25">
      <c r="A1188" s="230"/>
      <c r="B1188" s="231"/>
      <c r="C1188" s="15"/>
      <c r="D1188"/>
      <c r="E1188"/>
      <c r="F1188" s="15"/>
      <c r="G1188"/>
      <c r="H1188"/>
      <c r="I1188"/>
      <c r="J1188"/>
    </row>
    <row r="1189" spans="1:10" x14ac:dyDescent="0.25">
      <c r="A1189" s="230"/>
      <c r="B1189" s="231"/>
      <c r="C1189" s="15"/>
      <c r="D1189"/>
      <c r="E1189"/>
      <c r="F1189" s="15"/>
      <c r="G1189"/>
      <c r="H1189"/>
      <c r="I1189"/>
      <c r="J1189"/>
    </row>
    <row r="1190" spans="1:10" x14ac:dyDescent="0.25">
      <c r="A1190" s="230"/>
      <c r="B1190" s="231"/>
      <c r="C1190" s="15"/>
      <c r="D1190"/>
      <c r="E1190"/>
      <c r="F1190" s="15"/>
      <c r="G1190"/>
      <c r="H1190"/>
      <c r="I1190"/>
      <c r="J1190"/>
    </row>
    <row r="1191" spans="1:10" x14ac:dyDescent="0.25">
      <c r="A1191" s="230"/>
      <c r="B1191" s="231"/>
      <c r="C1191" s="15"/>
      <c r="D1191"/>
      <c r="E1191"/>
      <c r="F1191" s="15"/>
      <c r="G1191"/>
      <c r="H1191"/>
      <c r="I1191"/>
      <c r="J1191"/>
    </row>
    <row r="1192" spans="1:10" x14ac:dyDescent="0.25">
      <c r="A1192" s="230"/>
      <c r="B1192" s="231"/>
      <c r="C1192" s="15"/>
      <c r="D1192"/>
      <c r="E1192"/>
      <c r="F1192" s="15"/>
      <c r="G1192"/>
      <c r="H1192"/>
      <c r="I1192"/>
      <c r="J1192"/>
    </row>
    <row r="1193" spans="1:10" x14ac:dyDescent="0.25">
      <c r="A1193" s="230"/>
      <c r="B1193" s="231"/>
      <c r="C1193" s="15"/>
      <c r="D1193"/>
      <c r="E1193"/>
      <c r="F1193" s="15"/>
      <c r="G1193"/>
      <c r="H1193"/>
      <c r="I1193"/>
      <c r="J1193"/>
    </row>
    <row r="1194" spans="1:10" x14ac:dyDescent="0.25">
      <c r="A1194" s="230"/>
      <c r="B1194" s="231"/>
      <c r="C1194" s="15"/>
      <c r="D1194"/>
      <c r="E1194"/>
      <c r="F1194" s="15"/>
      <c r="G1194"/>
      <c r="H1194"/>
      <c r="I1194"/>
      <c r="J1194"/>
    </row>
    <row r="1195" spans="1:10" x14ac:dyDescent="0.25">
      <c r="A1195" s="230"/>
      <c r="B1195" s="231"/>
      <c r="C1195" s="15"/>
      <c r="D1195"/>
      <c r="E1195"/>
      <c r="F1195" s="15"/>
      <c r="G1195"/>
      <c r="H1195"/>
      <c r="I1195"/>
      <c r="J1195"/>
    </row>
    <row r="1196" spans="1:10" x14ac:dyDescent="0.25">
      <c r="A1196" s="230"/>
      <c r="B1196" s="231"/>
      <c r="C1196" s="15"/>
      <c r="D1196"/>
      <c r="E1196"/>
      <c r="F1196" s="15"/>
      <c r="G1196"/>
      <c r="H1196"/>
      <c r="I1196"/>
      <c r="J1196"/>
    </row>
    <row r="1197" spans="1:10" x14ac:dyDescent="0.25">
      <c r="A1197" s="230"/>
      <c r="B1197" s="231"/>
      <c r="C1197" s="15"/>
      <c r="D1197"/>
      <c r="E1197"/>
      <c r="F1197" s="15"/>
      <c r="G1197"/>
      <c r="H1197"/>
      <c r="I1197"/>
      <c r="J1197"/>
    </row>
    <row r="1198" spans="1:10" x14ac:dyDescent="0.25">
      <c r="A1198" s="230"/>
      <c r="B1198" s="231"/>
      <c r="C1198" s="15"/>
      <c r="D1198"/>
      <c r="E1198"/>
      <c r="F1198" s="15"/>
      <c r="G1198"/>
      <c r="H1198"/>
      <c r="I1198"/>
      <c r="J1198"/>
    </row>
    <row r="1199" spans="1:10" x14ac:dyDescent="0.25">
      <c r="A1199" s="230"/>
      <c r="B1199" s="231"/>
      <c r="C1199" s="15"/>
      <c r="D1199"/>
      <c r="E1199"/>
      <c r="F1199" s="15"/>
      <c r="G1199"/>
      <c r="H1199"/>
      <c r="I1199"/>
      <c r="J1199"/>
    </row>
    <row r="1200" spans="1:10" x14ac:dyDescent="0.25">
      <c r="A1200" s="230"/>
      <c r="B1200" s="231"/>
      <c r="C1200" s="15"/>
      <c r="D1200"/>
      <c r="E1200"/>
      <c r="F1200" s="15"/>
      <c r="G1200"/>
      <c r="H1200"/>
      <c r="I1200"/>
      <c r="J1200"/>
    </row>
    <row r="1201" spans="1:10" x14ac:dyDescent="0.25">
      <c r="A1201" s="230"/>
      <c r="B1201" s="231"/>
      <c r="C1201" s="15"/>
      <c r="D1201"/>
      <c r="E1201"/>
      <c r="F1201" s="15"/>
      <c r="G1201"/>
      <c r="H1201"/>
      <c r="I1201"/>
      <c r="J1201"/>
    </row>
    <row r="1202" spans="1:10" x14ac:dyDescent="0.25">
      <c r="A1202" s="230"/>
      <c r="B1202" s="231"/>
      <c r="C1202" s="15"/>
      <c r="D1202"/>
      <c r="E1202"/>
      <c r="F1202" s="15"/>
      <c r="G1202"/>
      <c r="H1202"/>
      <c r="I1202"/>
      <c r="J1202"/>
    </row>
    <row r="1203" spans="1:10" x14ac:dyDescent="0.25">
      <c r="A1203" s="230"/>
      <c r="B1203" s="231"/>
      <c r="C1203" s="15"/>
      <c r="D1203"/>
      <c r="E1203"/>
      <c r="F1203" s="15"/>
      <c r="G1203"/>
      <c r="H1203"/>
      <c r="I1203"/>
      <c r="J1203"/>
    </row>
    <row r="1204" spans="1:10" x14ac:dyDescent="0.25">
      <c r="A1204" s="230"/>
      <c r="B1204" s="231"/>
      <c r="C1204" s="15"/>
      <c r="D1204"/>
      <c r="E1204"/>
      <c r="F1204" s="15"/>
      <c r="G1204"/>
      <c r="H1204"/>
      <c r="I1204"/>
      <c r="J1204"/>
    </row>
    <row r="1205" spans="1:10" x14ac:dyDescent="0.25">
      <c r="A1205" s="230"/>
      <c r="B1205" s="231"/>
      <c r="C1205" s="15"/>
      <c r="D1205"/>
      <c r="E1205"/>
      <c r="F1205" s="15"/>
      <c r="G1205"/>
      <c r="H1205"/>
      <c r="I1205"/>
      <c r="J1205"/>
    </row>
    <row r="1206" spans="1:10" x14ac:dyDescent="0.25">
      <c r="A1206" s="230"/>
      <c r="B1206" s="231"/>
      <c r="C1206" s="15"/>
      <c r="D1206"/>
      <c r="E1206"/>
      <c r="F1206" s="15"/>
      <c r="G1206"/>
      <c r="H1206"/>
      <c r="I1206"/>
      <c r="J1206"/>
    </row>
    <row r="1207" spans="1:10" x14ac:dyDescent="0.25">
      <c r="A1207" s="230"/>
      <c r="B1207" s="231"/>
      <c r="C1207" s="15"/>
      <c r="D1207"/>
      <c r="E1207"/>
      <c r="F1207" s="15"/>
      <c r="G1207"/>
      <c r="H1207"/>
      <c r="I1207"/>
      <c r="J1207"/>
    </row>
    <row r="1208" spans="1:10" x14ac:dyDescent="0.25">
      <c r="A1208" s="230"/>
      <c r="B1208" s="231"/>
      <c r="C1208" s="15"/>
      <c r="D1208"/>
      <c r="E1208"/>
      <c r="F1208" s="15"/>
      <c r="G1208"/>
      <c r="H1208"/>
      <c r="I1208"/>
      <c r="J1208"/>
    </row>
    <row r="1209" spans="1:10" x14ac:dyDescent="0.25">
      <c r="A1209" s="230"/>
      <c r="B1209" s="231"/>
      <c r="C1209" s="15"/>
      <c r="D1209"/>
      <c r="E1209"/>
      <c r="F1209" s="15"/>
      <c r="G1209"/>
      <c r="H1209"/>
      <c r="I1209"/>
      <c r="J1209"/>
    </row>
    <row r="1210" spans="1:10" x14ac:dyDescent="0.25">
      <c r="A1210" s="230"/>
      <c r="B1210" s="231"/>
      <c r="C1210" s="15"/>
      <c r="D1210"/>
      <c r="E1210"/>
      <c r="F1210" s="15"/>
      <c r="G1210"/>
      <c r="H1210"/>
      <c r="I1210"/>
      <c r="J1210"/>
    </row>
    <row r="1211" spans="1:10" x14ac:dyDescent="0.25">
      <c r="A1211" s="230"/>
      <c r="B1211" s="231"/>
      <c r="C1211" s="15"/>
      <c r="D1211"/>
      <c r="E1211"/>
      <c r="F1211" s="15"/>
      <c r="G1211"/>
      <c r="H1211"/>
      <c r="I1211"/>
      <c r="J1211"/>
    </row>
    <row r="1212" spans="1:10" x14ac:dyDescent="0.25">
      <c r="A1212" s="230"/>
      <c r="B1212" s="231"/>
      <c r="C1212" s="15"/>
      <c r="D1212"/>
      <c r="E1212"/>
      <c r="F1212" s="15"/>
      <c r="G1212"/>
      <c r="H1212"/>
      <c r="I1212"/>
      <c r="J1212"/>
    </row>
    <row r="1213" spans="1:10" x14ac:dyDescent="0.25">
      <c r="A1213" s="230"/>
      <c r="B1213" s="231"/>
      <c r="C1213" s="15"/>
      <c r="D1213"/>
      <c r="E1213"/>
      <c r="F1213" s="15"/>
      <c r="G1213"/>
      <c r="H1213"/>
      <c r="I1213"/>
      <c r="J1213"/>
    </row>
    <row r="1214" spans="1:10" x14ac:dyDescent="0.25">
      <c r="A1214" s="230"/>
      <c r="B1214" s="231"/>
      <c r="C1214" s="15"/>
      <c r="D1214"/>
      <c r="E1214"/>
      <c r="F1214" s="15"/>
      <c r="G1214"/>
      <c r="H1214"/>
      <c r="I1214"/>
      <c r="J1214"/>
    </row>
    <row r="1215" spans="1:10" x14ac:dyDescent="0.25">
      <c r="A1215" s="230"/>
      <c r="B1215" s="231"/>
      <c r="C1215" s="15"/>
      <c r="D1215"/>
      <c r="E1215"/>
      <c r="F1215" s="15"/>
      <c r="G1215"/>
      <c r="H1215"/>
      <c r="I1215"/>
      <c r="J1215"/>
    </row>
    <row r="1216" spans="1:10" x14ac:dyDescent="0.25">
      <c r="A1216" s="230"/>
      <c r="B1216" s="231"/>
      <c r="C1216" s="15"/>
      <c r="D1216"/>
      <c r="E1216"/>
      <c r="F1216" s="15"/>
      <c r="G1216"/>
      <c r="H1216"/>
      <c r="I1216"/>
      <c r="J1216"/>
    </row>
    <row r="1217" spans="1:10" x14ac:dyDescent="0.25">
      <c r="A1217" s="230"/>
      <c r="B1217" s="231"/>
      <c r="C1217" s="15"/>
      <c r="D1217"/>
      <c r="E1217"/>
      <c r="F1217" s="15"/>
      <c r="G1217"/>
      <c r="H1217"/>
      <c r="I1217"/>
      <c r="J1217"/>
    </row>
    <row r="1218" spans="1:10" x14ac:dyDescent="0.25">
      <c r="A1218" s="230"/>
      <c r="B1218" s="231"/>
      <c r="C1218" s="15"/>
      <c r="D1218"/>
      <c r="E1218"/>
      <c r="F1218" s="15"/>
      <c r="G1218"/>
      <c r="H1218"/>
      <c r="I1218"/>
      <c r="J1218"/>
    </row>
    <row r="1219" spans="1:10" x14ac:dyDescent="0.25">
      <c r="A1219" s="230"/>
      <c r="B1219" s="231"/>
      <c r="C1219" s="15"/>
      <c r="D1219"/>
      <c r="E1219"/>
      <c r="F1219" s="15"/>
      <c r="G1219"/>
      <c r="H1219"/>
      <c r="I1219"/>
      <c r="J1219"/>
    </row>
    <row r="1220" spans="1:10" x14ac:dyDescent="0.25">
      <c r="A1220" s="230"/>
      <c r="B1220" s="231"/>
      <c r="C1220" s="15"/>
      <c r="D1220"/>
      <c r="E1220"/>
      <c r="F1220" s="15"/>
      <c r="G1220"/>
      <c r="H1220"/>
      <c r="I1220"/>
      <c r="J1220"/>
    </row>
    <row r="1221" spans="1:10" x14ac:dyDescent="0.25">
      <c r="A1221" s="230"/>
      <c r="B1221" s="231"/>
      <c r="C1221" s="15"/>
      <c r="D1221"/>
      <c r="E1221"/>
      <c r="F1221" s="15"/>
      <c r="G1221"/>
      <c r="H1221"/>
      <c r="I1221"/>
      <c r="J1221"/>
    </row>
    <row r="1222" spans="1:10" x14ac:dyDescent="0.25">
      <c r="A1222" s="230"/>
      <c r="B1222" s="231"/>
      <c r="C1222" s="15"/>
      <c r="D1222"/>
      <c r="E1222"/>
      <c r="F1222" s="15"/>
      <c r="G1222"/>
      <c r="H1222"/>
      <c r="I1222"/>
      <c r="J1222"/>
    </row>
    <row r="1223" spans="1:10" x14ac:dyDescent="0.25">
      <c r="A1223" s="230"/>
      <c r="B1223" s="231"/>
      <c r="C1223" s="15"/>
      <c r="D1223"/>
      <c r="E1223"/>
      <c r="F1223" s="15"/>
      <c r="G1223"/>
      <c r="H1223"/>
      <c r="I1223"/>
      <c r="J1223"/>
    </row>
    <row r="1224" spans="1:10" x14ac:dyDescent="0.25">
      <c r="A1224" s="230"/>
      <c r="B1224" s="231"/>
      <c r="C1224" s="15"/>
      <c r="D1224"/>
      <c r="E1224"/>
      <c r="F1224" s="15"/>
      <c r="G1224"/>
      <c r="H1224"/>
      <c r="I1224"/>
      <c r="J1224"/>
    </row>
    <row r="1225" spans="1:10" x14ac:dyDescent="0.25">
      <c r="A1225" s="230"/>
      <c r="B1225" s="231"/>
      <c r="C1225" s="15"/>
      <c r="D1225"/>
      <c r="E1225"/>
      <c r="F1225" s="15"/>
      <c r="G1225"/>
      <c r="H1225"/>
      <c r="I1225"/>
      <c r="J1225"/>
    </row>
    <row r="1226" spans="1:10" x14ac:dyDescent="0.25">
      <c r="A1226" s="230"/>
      <c r="B1226" s="231"/>
      <c r="C1226" s="15"/>
      <c r="D1226"/>
      <c r="E1226"/>
      <c r="F1226" s="15"/>
      <c r="G1226"/>
      <c r="H1226"/>
      <c r="I1226"/>
      <c r="J1226"/>
    </row>
    <row r="1227" spans="1:10" x14ac:dyDescent="0.25">
      <c r="A1227" s="230"/>
      <c r="B1227" s="231"/>
      <c r="C1227" s="15"/>
      <c r="D1227"/>
      <c r="E1227"/>
      <c r="F1227" s="15"/>
      <c r="G1227"/>
      <c r="H1227"/>
      <c r="I1227"/>
      <c r="J1227"/>
    </row>
    <row r="1228" spans="1:10" x14ac:dyDescent="0.25">
      <c r="A1228" s="230"/>
      <c r="B1228" s="231"/>
      <c r="C1228" s="15"/>
      <c r="D1228"/>
      <c r="E1228"/>
      <c r="F1228" s="15"/>
      <c r="G1228"/>
      <c r="H1228"/>
      <c r="I1228"/>
      <c r="J1228"/>
    </row>
    <row r="1229" spans="1:10" x14ac:dyDescent="0.25">
      <c r="A1229" s="230"/>
      <c r="B1229" s="231"/>
      <c r="C1229" s="15"/>
      <c r="D1229"/>
      <c r="E1229"/>
      <c r="F1229" s="15"/>
      <c r="G1229"/>
      <c r="H1229"/>
      <c r="I1229"/>
      <c r="J1229"/>
    </row>
    <row r="1230" spans="1:10" x14ac:dyDescent="0.25">
      <c r="A1230" s="230"/>
      <c r="B1230" s="231"/>
      <c r="C1230" s="15"/>
      <c r="D1230"/>
      <c r="E1230"/>
      <c r="F1230" s="15"/>
      <c r="G1230"/>
      <c r="H1230"/>
      <c r="I1230"/>
      <c r="J1230"/>
    </row>
    <row r="1231" spans="1:10" x14ac:dyDescent="0.25">
      <c r="A1231" s="230"/>
      <c r="B1231" s="231"/>
      <c r="C1231" s="15"/>
      <c r="D1231"/>
      <c r="E1231"/>
      <c r="F1231" s="15"/>
      <c r="G1231"/>
      <c r="H1231"/>
      <c r="I1231"/>
      <c r="J1231"/>
    </row>
    <row r="1232" spans="1:10" x14ac:dyDescent="0.25">
      <c r="A1232" s="230"/>
      <c r="B1232" s="231"/>
      <c r="C1232" s="15"/>
      <c r="D1232"/>
      <c r="E1232"/>
      <c r="F1232" s="15"/>
      <c r="G1232"/>
      <c r="H1232"/>
      <c r="I1232"/>
      <c r="J1232"/>
    </row>
    <row r="1233" spans="1:10" x14ac:dyDescent="0.25">
      <c r="A1233" s="230"/>
      <c r="B1233" s="231"/>
      <c r="C1233" s="15"/>
      <c r="D1233"/>
      <c r="E1233"/>
      <c r="F1233" s="15"/>
      <c r="G1233"/>
      <c r="H1233"/>
      <c r="I1233"/>
      <c r="J1233"/>
    </row>
    <row r="1234" spans="1:10" x14ac:dyDescent="0.25">
      <c r="A1234" s="230"/>
      <c r="B1234" s="231"/>
      <c r="C1234" s="15"/>
      <c r="D1234"/>
      <c r="E1234"/>
      <c r="F1234" s="15"/>
      <c r="G1234"/>
      <c r="H1234"/>
      <c r="I1234"/>
      <c r="J1234"/>
    </row>
    <row r="1235" spans="1:10" x14ac:dyDescent="0.25">
      <c r="A1235" s="230"/>
      <c r="B1235" s="231"/>
      <c r="C1235" s="15"/>
      <c r="D1235"/>
      <c r="E1235"/>
      <c r="F1235" s="15"/>
      <c r="G1235"/>
      <c r="H1235"/>
      <c r="I1235"/>
      <c r="J1235"/>
    </row>
    <row r="1236" spans="1:10" x14ac:dyDescent="0.25">
      <c r="A1236" s="230"/>
      <c r="B1236" s="231"/>
      <c r="C1236" s="15"/>
      <c r="D1236"/>
      <c r="E1236"/>
      <c r="F1236" s="15"/>
      <c r="G1236"/>
      <c r="H1236"/>
      <c r="I1236"/>
      <c r="J1236"/>
    </row>
    <row r="1237" spans="1:10" x14ac:dyDescent="0.25">
      <c r="A1237" s="230"/>
      <c r="B1237" s="231"/>
      <c r="C1237" s="15"/>
      <c r="D1237"/>
      <c r="E1237"/>
      <c r="F1237" s="15"/>
      <c r="G1237"/>
      <c r="H1237"/>
      <c r="I1237"/>
      <c r="J1237"/>
    </row>
    <row r="1238" spans="1:10" x14ac:dyDescent="0.25">
      <c r="A1238" s="230"/>
      <c r="B1238" s="231"/>
      <c r="C1238" s="15"/>
      <c r="D1238"/>
      <c r="E1238"/>
      <c r="F1238" s="15"/>
      <c r="G1238"/>
      <c r="H1238"/>
      <c r="I1238"/>
      <c r="J1238"/>
    </row>
    <row r="1239" spans="1:10" x14ac:dyDescent="0.25">
      <c r="A1239" s="230"/>
      <c r="B1239" s="231"/>
      <c r="C1239" s="15"/>
      <c r="D1239"/>
      <c r="E1239"/>
      <c r="F1239" s="15"/>
      <c r="G1239"/>
      <c r="H1239"/>
      <c r="I1239"/>
      <c r="J1239"/>
    </row>
    <row r="1240" spans="1:10" x14ac:dyDescent="0.25">
      <c r="A1240" s="230"/>
      <c r="B1240" s="231"/>
      <c r="C1240" s="15"/>
      <c r="D1240"/>
      <c r="E1240"/>
      <c r="F1240" s="15"/>
      <c r="G1240"/>
      <c r="H1240"/>
      <c r="I1240"/>
      <c r="J1240"/>
    </row>
    <row r="1241" spans="1:10" x14ac:dyDescent="0.25">
      <c r="A1241" s="230"/>
      <c r="B1241" s="231"/>
      <c r="C1241" s="15"/>
      <c r="D1241"/>
      <c r="E1241"/>
      <c r="F1241" s="15"/>
      <c r="G1241"/>
      <c r="H1241"/>
      <c r="I1241"/>
      <c r="J1241"/>
    </row>
    <row r="1242" spans="1:10" x14ac:dyDescent="0.25">
      <c r="A1242" s="230"/>
      <c r="B1242" s="231"/>
      <c r="C1242" s="15"/>
      <c r="D1242"/>
      <c r="E1242"/>
      <c r="F1242" s="15"/>
      <c r="G1242"/>
      <c r="H1242"/>
      <c r="I1242"/>
      <c r="J1242"/>
    </row>
    <row r="1243" spans="1:10" x14ac:dyDescent="0.25">
      <c r="A1243" s="230"/>
      <c r="B1243" s="231"/>
      <c r="C1243" s="15"/>
      <c r="D1243"/>
      <c r="E1243"/>
      <c r="F1243" s="15"/>
      <c r="G1243"/>
      <c r="H1243"/>
      <c r="I1243"/>
      <c r="J1243"/>
    </row>
    <row r="1244" spans="1:10" x14ac:dyDescent="0.25">
      <c r="A1244" s="230"/>
      <c r="B1244" s="231"/>
      <c r="C1244" s="15"/>
      <c r="D1244"/>
      <c r="E1244"/>
      <c r="F1244" s="15"/>
      <c r="G1244"/>
      <c r="H1244"/>
      <c r="I1244"/>
      <c r="J1244"/>
    </row>
    <row r="1245" spans="1:10" x14ac:dyDescent="0.25">
      <c r="A1245" s="230"/>
      <c r="B1245" s="231"/>
      <c r="C1245" s="15"/>
      <c r="D1245"/>
      <c r="E1245"/>
      <c r="F1245" s="15"/>
      <c r="G1245"/>
      <c r="H1245"/>
      <c r="I1245"/>
      <c r="J1245"/>
    </row>
    <row r="1246" spans="1:10" x14ac:dyDescent="0.25">
      <c r="A1246" s="230"/>
      <c r="B1246" s="231"/>
      <c r="C1246" s="15"/>
      <c r="D1246"/>
      <c r="E1246"/>
      <c r="F1246" s="15"/>
      <c r="G1246"/>
      <c r="H1246"/>
      <c r="I1246"/>
      <c r="J1246"/>
    </row>
    <row r="1247" spans="1:10" x14ac:dyDescent="0.25">
      <c r="A1247" s="230"/>
      <c r="B1247" s="231"/>
      <c r="C1247" s="15"/>
      <c r="D1247"/>
      <c r="E1247"/>
      <c r="F1247" s="15"/>
      <c r="G1247"/>
      <c r="H1247"/>
      <c r="I1247"/>
      <c r="J1247"/>
    </row>
    <row r="1248" spans="1:10" x14ac:dyDescent="0.25">
      <c r="A1248" s="230"/>
      <c r="B1248" s="231"/>
      <c r="C1248" s="15"/>
      <c r="D1248"/>
      <c r="E1248"/>
      <c r="F1248" s="15"/>
      <c r="G1248"/>
      <c r="H1248"/>
      <c r="I1248"/>
      <c r="J1248"/>
    </row>
    <row r="1249" spans="1:10" x14ac:dyDescent="0.25">
      <c r="A1249" s="230"/>
      <c r="B1249" s="231"/>
      <c r="C1249" s="15"/>
      <c r="D1249"/>
      <c r="E1249"/>
      <c r="F1249" s="15"/>
      <c r="G1249"/>
      <c r="H1249"/>
      <c r="I1249"/>
      <c r="J1249"/>
    </row>
    <row r="1250" spans="1:10" x14ac:dyDescent="0.25">
      <c r="A1250" s="230"/>
      <c r="B1250" s="231"/>
      <c r="C1250" s="15"/>
      <c r="D1250"/>
      <c r="E1250"/>
      <c r="F1250" s="15"/>
      <c r="G1250"/>
      <c r="H1250"/>
      <c r="I1250"/>
      <c r="J1250"/>
    </row>
    <row r="1251" spans="1:10" x14ac:dyDescent="0.25">
      <c r="A1251" s="230"/>
      <c r="B1251" s="231"/>
      <c r="C1251" s="15"/>
      <c r="D1251"/>
      <c r="E1251"/>
      <c r="F1251" s="15"/>
      <c r="G1251"/>
      <c r="H1251"/>
      <c r="I1251"/>
      <c r="J1251"/>
    </row>
    <row r="1252" spans="1:10" x14ac:dyDescent="0.25">
      <c r="A1252" s="230"/>
      <c r="B1252" s="231"/>
      <c r="C1252" s="15"/>
      <c r="D1252"/>
      <c r="E1252"/>
      <c r="F1252" s="15"/>
      <c r="G1252"/>
      <c r="H1252"/>
      <c r="I1252"/>
      <c r="J1252"/>
    </row>
    <row r="1253" spans="1:10" x14ac:dyDescent="0.25">
      <c r="A1253" s="230"/>
      <c r="B1253" s="231"/>
      <c r="C1253" s="15"/>
      <c r="D1253"/>
      <c r="E1253"/>
      <c r="F1253" s="15"/>
      <c r="G1253"/>
      <c r="H1253"/>
      <c r="I1253"/>
      <c r="J1253"/>
    </row>
    <row r="1254" spans="1:10" x14ac:dyDescent="0.25">
      <c r="A1254" s="230"/>
      <c r="B1254" s="231"/>
      <c r="C1254" s="15"/>
      <c r="D1254"/>
      <c r="E1254"/>
      <c r="F1254" s="15"/>
      <c r="G1254"/>
      <c r="H1254"/>
      <c r="I1254"/>
      <c r="J1254"/>
    </row>
    <row r="1255" spans="1:10" x14ac:dyDescent="0.25">
      <c r="A1255" s="230"/>
      <c r="B1255" s="231"/>
      <c r="C1255" s="15"/>
      <c r="D1255"/>
      <c r="E1255"/>
      <c r="F1255" s="15"/>
      <c r="G1255"/>
      <c r="H1255"/>
      <c r="I1255"/>
      <c r="J1255"/>
    </row>
    <row r="1256" spans="1:10" x14ac:dyDescent="0.25">
      <c r="A1256" s="230"/>
      <c r="B1256" s="231"/>
      <c r="C1256" s="15"/>
      <c r="D1256"/>
      <c r="E1256"/>
      <c r="F1256" s="15"/>
      <c r="G1256"/>
      <c r="H1256"/>
      <c r="I1256"/>
      <c r="J1256"/>
    </row>
    <row r="1257" spans="1:10" x14ac:dyDescent="0.25">
      <c r="A1257" s="230"/>
      <c r="B1257" s="231"/>
      <c r="C1257" s="15"/>
      <c r="D1257"/>
      <c r="E1257"/>
      <c r="F1257" s="15"/>
      <c r="G1257"/>
      <c r="H1257"/>
      <c r="I1257"/>
      <c r="J1257"/>
    </row>
    <row r="1258" spans="1:10" x14ac:dyDescent="0.25">
      <c r="A1258" s="230"/>
      <c r="B1258" s="231"/>
      <c r="C1258" s="15"/>
      <c r="D1258"/>
      <c r="E1258"/>
      <c r="F1258" s="15"/>
      <c r="G1258"/>
      <c r="H1258"/>
      <c r="I1258"/>
      <c r="J1258"/>
    </row>
    <row r="1259" spans="1:10" x14ac:dyDescent="0.25">
      <c r="A1259" s="230"/>
      <c r="B1259" s="231"/>
      <c r="C1259" s="15"/>
      <c r="D1259"/>
      <c r="E1259"/>
      <c r="F1259" s="15"/>
      <c r="G1259"/>
      <c r="H1259"/>
      <c r="I1259"/>
      <c r="J1259"/>
    </row>
    <row r="1260" spans="1:10" x14ac:dyDescent="0.25">
      <c r="A1260" s="230"/>
      <c r="B1260" s="231"/>
      <c r="C1260" s="15"/>
      <c r="D1260"/>
      <c r="E1260"/>
      <c r="F1260" s="15"/>
      <c r="G1260"/>
      <c r="H1260"/>
      <c r="I1260"/>
      <c r="J1260"/>
    </row>
    <row r="1261" spans="1:10" x14ac:dyDescent="0.25">
      <c r="A1261" s="230"/>
      <c r="B1261" s="231"/>
      <c r="C1261" s="15"/>
      <c r="D1261"/>
      <c r="E1261"/>
      <c r="F1261" s="15"/>
      <c r="G1261"/>
      <c r="H1261"/>
      <c r="I1261"/>
      <c r="J1261"/>
    </row>
    <row r="1262" spans="1:10" x14ac:dyDescent="0.25">
      <c r="A1262" s="230"/>
      <c r="B1262" s="231"/>
      <c r="C1262" s="15"/>
      <c r="D1262"/>
      <c r="E1262"/>
      <c r="F1262" s="15"/>
      <c r="G1262"/>
      <c r="H1262"/>
      <c r="I1262"/>
      <c r="J1262"/>
    </row>
    <row r="1263" spans="1:10" x14ac:dyDescent="0.25">
      <c r="A1263" s="230"/>
      <c r="B1263" s="231"/>
      <c r="C1263" s="15"/>
      <c r="D1263"/>
      <c r="E1263"/>
      <c r="F1263" s="15"/>
      <c r="G1263"/>
      <c r="H1263"/>
      <c r="I1263"/>
      <c r="J1263"/>
    </row>
    <row r="1264" spans="1:10" x14ac:dyDescent="0.25">
      <c r="A1264" s="230"/>
      <c r="B1264" s="231"/>
      <c r="C1264" s="15"/>
      <c r="D1264"/>
      <c r="E1264"/>
      <c r="F1264" s="15"/>
      <c r="G1264"/>
      <c r="H1264"/>
      <c r="I1264"/>
      <c r="J1264"/>
    </row>
    <row r="1265" spans="1:10" x14ac:dyDescent="0.25">
      <c r="A1265" s="230"/>
      <c r="B1265" s="231"/>
      <c r="C1265" s="15"/>
      <c r="D1265"/>
      <c r="E1265"/>
      <c r="F1265" s="15"/>
      <c r="G1265"/>
      <c r="H1265"/>
      <c r="I1265"/>
      <c r="J1265"/>
    </row>
    <row r="1266" spans="1:10" x14ac:dyDescent="0.25">
      <c r="A1266" s="230"/>
      <c r="B1266" s="231"/>
      <c r="C1266" s="15"/>
      <c r="D1266"/>
      <c r="E1266"/>
      <c r="F1266" s="15"/>
      <c r="G1266"/>
      <c r="H1266"/>
      <c r="I1266"/>
      <c r="J1266"/>
    </row>
    <row r="1267" spans="1:10" x14ac:dyDescent="0.25">
      <c r="A1267" s="230"/>
      <c r="B1267" s="231"/>
      <c r="C1267" s="15"/>
      <c r="D1267"/>
      <c r="E1267"/>
      <c r="F1267" s="15"/>
      <c r="G1267"/>
      <c r="H1267"/>
      <c r="I1267"/>
      <c r="J1267"/>
    </row>
    <row r="1268" spans="1:10" x14ac:dyDescent="0.25">
      <c r="A1268" s="230"/>
      <c r="B1268" s="231"/>
      <c r="C1268" s="15"/>
      <c r="D1268"/>
      <c r="E1268"/>
      <c r="F1268" s="15"/>
      <c r="G1268"/>
      <c r="H1268"/>
      <c r="I1268"/>
      <c r="J1268"/>
    </row>
    <row r="1269" spans="1:10" x14ac:dyDescent="0.25">
      <c r="A1269" s="230"/>
      <c r="B1269" s="231"/>
      <c r="C1269" s="15"/>
      <c r="D1269"/>
      <c r="E1269"/>
      <c r="F1269" s="15"/>
      <c r="G1269"/>
      <c r="H1269"/>
      <c r="I1269"/>
      <c r="J1269"/>
    </row>
    <row r="1270" spans="1:10" x14ac:dyDescent="0.25">
      <c r="A1270" s="230"/>
      <c r="B1270" s="231"/>
      <c r="C1270" s="15"/>
      <c r="D1270"/>
      <c r="E1270"/>
      <c r="F1270" s="15"/>
      <c r="G1270"/>
      <c r="H1270"/>
      <c r="I1270"/>
      <c r="J1270"/>
    </row>
    <row r="1271" spans="1:10" x14ac:dyDescent="0.25">
      <c r="A1271" s="230"/>
      <c r="B1271" s="231"/>
      <c r="C1271" s="15"/>
      <c r="D1271"/>
      <c r="E1271"/>
      <c r="F1271" s="15"/>
      <c r="G1271"/>
      <c r="H1271"/>
      <c r="I1271"/>
      <c r="J1271"/>
    </row>
    <row r="1272" spans="1:10" x14ac:dyDescent="0.25">
      <c r="A1272" s="230"/>
      <c r="B1272" s="231"/>
      <c r="C1272" s="15"/>
      <c r="D1272"/>
      <c r="E1272"/>
      <c r="F1272" s="15"/>
      <c r="G1272"/>
      <c r="H1272"/>
      <c r="I1272"/>
      <c r="J1272"/>
    </row>
    <row r="1273" spans="1:10" x14ac:dyDescent="0.25">
      <c r="A1273" s="230"/>
      <c r="B1273" s="231"/>
      <c r="C1273" s="15"/>
      <c r="D1273"/>
      <c r="E1273"/>
      <c r="F1273" s="15"/>
      <c r="G1273"/>
      <c r="H1273"/>
      <c r="I1273"/>
      <c r="J1273"/>
    </row>
    <row r="1274" spans="1:10" x14ac:dyDescent="0.25">
      <c r="A1274" s="230"/>
      <c r="B1274" s="231"/>
      <c r="C1274" s="15"/>
      <c r="D1274"/>
      <c r="E1274"/>
      <c r="F1274" s="15"/>
      <c r="G1274"/>
      <c r="H1274"/>
      <c r="I1274"/>
      <c r="J1274"/>
    </row>
    <row r="1275" spans="1:10" x14ac:dyDescent="0.25">
      <c r="A1275" s="230"/>
      <c r="B1275" s="231"/>
      <c r="C1275" s="15"/>
      <c r="D1275"/>
      <c r="E1275"/>
      <c r="F1275" s="15"/>
      <c r="G1275"/>
      <c r="H1275"/>
      <c r="I1275"/>
      <c r="J1275"/>
    </row>
    <row r="1276" spans="1:10" x14ac:dyDescent="0.25">
      <c r="A1276" s="230"/>
      <c r="B1276" s="231"/>
      <c r="C1276" s="15"/>
      <c r="D1276"/>
      <c r="E1276"/>
      <c r="F1276" s="15"/>
      <c r="G1276"/>
      <c r="H1276"/>
      <c r="I1276"/>
      <c r="J1276"/>
    </row>
    <row r="1277" spans="1:10" x14ac:dyDescent="0.25">
      <c r="A1277" s="230"/>
      <c r="B1277" s="231"/>
      <c r="C1277" s="15"/>
      <c r="D1277"/>
      <c r="E1277"/>
      <c r="F1277" s="15"/>
      <c r="G1277"/>
      <c r="H1277"/>
      <c r="I1277"/>
      <c r="J1277"/>
    </row>
    <row r="1278" spans="1:10" x14ac:dyDescent="0.25">
      <c r="A1278" s="230"/>
      <c r="B1278" s="231"/>
      <c r="C1278" s="15"/>
      <c r="D1278"/>
      <c r="E1278"/>
      <c r="F1278" s="15"/>
      <c r="G1278"/>
      <c r="H1278"/>
      <c r="I1278"/>
      <c r="J1278"/>
    </row>
    <row r="1279" spans="1:10" x14ac:dyDescent="0.25">
      <c r="A1279" s="230"/>
      <c r="B1279" s="231"/>
      <c r="C1279" s="15"/>
      <c r="D1279"/>
      <c r="E1279"/>
      <c r="F1279" s="15"/>
      <c r="G1279"/>
      <c r="H1279"/>
      <c r="I1279"/>
      <c r="J1279"/>
    </row>
    <row r="1280" spans="1:10" x14ac:dyDescent="0.25">
      <c r="A1280" s="230"/>
      <c r="B1280" s="231"/>
      <c r="C1280" s="15"/>
      <c r="D1280"/>
      <c r="E1280"/>
      <c r="F1280" s="15"/>
      <c r="G1280"/>
      <c r="H1280"/>
      <c r="I1280"/>
      <c r="J1280"/>
    </row>
    <row r="1281" spans="1:10" x14ac:dyDescent="0.25">
      <c r="A1281" s="230"/>
      <c r="B1281" s="231"/>
      <c r="C1281" s="15"/>
      <c r="D1281"/>
      <c r="E1281"/>
      <c r="F1281" s="15"/>
      <c r="G1281"/>
      <c r="H1281"/>
      <c r="I1281"/>
      <c r="J1281"/>
    </row>
    <row r="1282" spans="1:10" x14ac:dyDescent="0.25">
      <c r="A1282" s="230"/>
      <c r="B1282" s="231"/>
      <c r="C1282" s="15"/>
      <c r="D1282"/>
      <c r="E1282"/>
      <c r="F1282" s="15"/>
      <c r="G1282"/>
      <c r="H1282"/>
      <c r="I1282"/>
      <c r="J1282"/>
    </row>
    <row r="1283" spans="1:10" x14ac:dyDescent="0.25">
      <c r="A1283" s="230"/>
      <c r="B1283" s="231"/>
      <c r="C1283" s="15"/>
      <c r="D1283"/>
      <c r="E1283"/>
      <c r="F1283" s="15"/>
      <c r="G1283"/>
      <c r="H1283"/>
      <c r="I1283"/>
      <c r="J1283"/>
    </row>
    <row r="1284" spans="1:10" x14ac:dyDescent="0.25">
      <c r="A1284" s="230"/>
      <c r="B1284" s="231"/>
      <c r="C1284" s="15"/>
      <c r="D1284"/>
      <c r="E1284"/>
      <c r="F1284" s="15"/>
      <c r="G1284"/>
      <c r="H1284"/>
      <c r="I1284"/>
      <c r="J1284"/>
    </row>
    <row r="1285" spans="1:10" x14ac:dyDescent="0.25">
      <c r="A1285" s="230"/>
      <c r="B1285" s="231"/>
      <c r="C1285" s="15"/>
      <c r="D1285"/>
      <c r="E1285"/>
      <c r="F1285" s="15"/>
      <c r="G1285"/>
      <c r="H1285"/>
      <c r="I1285"/>
      <c r="J1285"/>
    </row>
    <row r="1286" spans="1:10" x14ac:dyDescent="0.25">
      <c r="A1286" s="230"/>
      <c r="B1286" s="231"/>
      <c r="C1286" s="15"/>
      <c r="D1286"/>
      <c r="E1286"/>
      <c r="F1286" s="15"/>
      <c r="G1286"/>
      <c r="H1286"/>
      <c r="I1286"/>
      <c r="J1286"/>
    </row>
    <row r="1287" spans="1:10" x14ac:dyDescent="0.25">
      <c r="A1287" s="230"/>
      <c r="B1287" s="231"/>
      <c r="C1287" s="15"/>
      <c r="D1287"/>
      <c r="E1287"/>
      <c r="F1287" s="15"/>
      <c r="G1287"/>
      <c r="H1287"/>
      <c r="I1287"/>
      <c r="J1287"/>
    </row>
    <row r="1288" spans="1:10" x14ac:dyDescent="0.25">
      <c r="A1288" s="230"/>
      <c r="B1288" s="231"/>
      <c r="C1288" s="15"/>
      <c r="D1288"/>
      <c r="E1288"/>
      <c r="F1288" s="15"/>
      <c r="G1288"/>
      <c r="H1288"/>
      <c r="I1288"/>
      <c r="J1288"/>
    </row>
    <row r="1289" spans="1:10" x14ac:dyDescent="0.25">
      <c r="A1289" s="230"/>
      <c r="B1289" s="231"/>
      <c r="C1289" s="15"/>
      <c r="D1289"/>
      <c r="E1289"/>
      <c r="F1289" s="15"/>
      <c r="G1289"/>
      <c r="H1289"/>
      <c r="I1289"/>
      <c r="J1289"/>
    </row>
    <row r="1290" spans="1:10" x14ac:dyDescent="0.25">
      <c r="A1290" s="230"/>
      <c r="B1290" s="231"/>
      <c r="C1290" s="15"/>
      <c r="D1290"/>
      <c r="E1290"/>
      <c r="F1290" s="15"/>
      <c r="G1290"/>
      <c r="H1290"/>
      <c r="I1290"/>
      <c r="J1290"/>
    </row>
    <row r="1291" spans="1:10" x14ac:dyDescent="0.25">
      <c r="A1291" s="230"/>
      <c r="B1291" s="231"/>
      <c r="C1291" s="15"/>
      <c r="D1291"/>
      <c r="E1291"/>
      <c r="F1291" s="15"/>
      <c r="G1291"/>
      <c r="H1291"/>
      <c r="I1291"/>
      <c r="J1291"/>
    </row>
    <row r="1292" spans="1:10" x14ac:dyDescent="0.25">
      <c r="A1292" s="230"/>
      <c r="B1292" s="231"/>
      <c r="C1292" s="15"/>
      <c r="D1292"/>
      <c r="E1292"/>
      <c r="F1292" s="15"/>
      <c r="G1292"/>
      <c r="H1292"/>
      <c r="I1292"/>
      <c r="J1292"/>
    </row>
    <row r="1293" spans="1:10" x14ac:dyDescent="0.25">
      <c r="A1293" s="230"/>
      <c r="B1293" s="231"/>
      <c r="C1293" s="15"/>
      <c r="D1293"/>
      <c r="E1293"/>
      <c r="F1293" s="15"/>
      <c r="G1293"/>
      <c r="H1293"/>
      <c r="I1293"/>
      <c r="J1293"/>
    </row>
    <row r="1294" spans="1:10" x14ac:dyDescent="0.25">
      <c r="A1294" s="230"/>
      <c r="B1294" s="231"/>
      <c r="C1294" s="15"/>
      <c r="D1294"/>
      <c r="E1294"/>
      <c r="F1294" s="15"/>
      <c r="G1294"/>
      <c r="H1294"/>
      <c r="I1294"/>
      <c r="J1294"/>
    </row>
    <row r="1295" spans="1:10" x14ac:dyDescent="0.25">
      <c r="A1295" s="230"/>
      <c r="B1295" s="231"/>
      <c r="C1295" s="15"/>
      <c r="D1295"/>
      <c r="E1295"/>
      <c r="F1295" s="15"/>
      <c r="G1295"/>
      <c r="H1295"/>
      <c r="I1295"/>
      <c r="J1295"/>
    </row>
    <row r="1296" spans="1:10" x14ac:dyDescent="0.25">
      <c r="A1296" s="230"/>
      <c r="B1296" s="231"/>
      <c r="C1296" s="15"/>
      <c r="D1296"/>
      <c r="E1296"/>
      <c r="F1296" s="15"/>
      <c r="G1296"/>
      <c r="H1296"/>
      <c r="I1296"/>
      <c r="J1296"/>
    </row>
    <row r="1297" spans="1:10" x14ac:dyDescent="0.25">
      <c r="A1297" s="230"/>
      <c r="B1297" s="231"/>
      <c r="C1297" s="15"/>
      <c r="D1297"/>
      <c r="E1297"/>
      <c r="F1297" s="15"/>
      <c r="G1297"/>
      <c r="H1297"/>
      <c r="I1297"/>
      <c r="J1297"/>
    </row>
    <row r="1298" spans="1:10" x14ac:dyDescent="0.25">
      <c r="A1298" s="230"/>
      <c r="B1298" s="231"/>
      <c r="C1298" s="15"/>
      <c r="D1298"/>
      <c r="E1298"/>
      <c r="F1298" s="15"/>
      <c r="G1298"/>
      <c r="H1298"/>
      <c r="I1298"/>
      <c r="J1298"/>
    </row>
    <row r="1299" spans="1:10" x14ac:dyDescent="0.25">
      <c r="A1299" s="230"/>
      <c r="B1299" s="231"/>
      <c r="C1299" s="15"/>
      <c r="D1299"/>
      <c r="E1299"/>
      <c r="F1299" s="15"/>
      <c r="G1299"/>
      <c r="H1299"/>
      <c r="I1299"/>
      <c r="J1299"/>
    </row>
    <row r="1300" spans="1:10" x14ac:dyDescent="0.25">
      <c r="A1300" s="230"/>
      <c r="B1300" s="231"/>
      <c r="C1300" s="15"/>
      <c r="D1300"/>
      <c r="E1300"/>
      <c r="F1300" s="15"/>
      <c r="G1300"/>
      <c r="H1300"/>
      <c r="I1300"/>
      <c r="J1300"/>
    </row>
    <row r="1301" spans="1:10" x14ac:dyDescent="0.25">
      <c r="A1301" s="230"/>
      <c r="B1301" s="231"/>
      <c r="C1301" s="15"/>
      <c r="D1301"/>
      <c r="E1301"/>
      <c r="F1301" s="15"/>
      <c r="G1301"/>
      <c r="H1301"/>
      <c r="I1301"/>
      <c r="J1301"/>
    </row>
    <row r="1302" spans="1:10" x14ac:dyDescent="0.25">
      <c r="A1302" s="230"/>
      <c r="B1302" s="231"/>
      <c r="C1302" s="15"/>
      <c r="D1302"/>
      <c r="E1302"/>
      <c r="F1302" s="15"/>
      <c r="G1302"/>
      <c r="H1302"/>
      <c r="I1302"/>
      <c r="J1302"/>
    </row>
    <row r="1303" spans="1:10" x14ac:dyDescent="0.25">
      <c r="A1303" s="230"/>
      <c r="B1303" s="231"/>
      <c r="C1303" s="15"/>
      <c r="D1303"/>
      <c r="E1303"/>
      <c r="F1303" s="15"/>
      <c r="G1303"/>
      <c r="H1303"/>
      <c r="I1303"/>
      <c r="J1303"/>
    </row>
    <row r="1304" spans="1:10" x14ac:dyDescent="0.25">
      <c r="A1304" s="230"/>
      <c r="B1304" s="231"/>
      <c r="C1304" s="15"/>
      <c r="D1304"/>
      <c r="E1304"/>
      <c r="F1304" s="15"/>
      <c r="G1304"/>
      <c r="H1304"/>
      <c r="I1304"/>
      <c r="J1304"/>
    </row>
    <row r="1305" spans="1:10" x14ac:dyDescent="0.25">
      <c r="A1305" s="230"/>
      <c r="B1305" s="231"/>
      <c r="C1305" s="15"/>
      <c r="D1305"/>
      <c r="E1305"/>
      <c r="F1305" s="15"/>
      <c r="G1305"/>
      <c r="H1305"/>
      <c r="I1305"/>
      <c r="J1305"/>
    </row>
    <row r="1306" spans="1:10" x14ac:dyDescent="0.25">
      <c r="A1306" s="230"/>
      <c r="B1306" s="231"/>
      <c r="C1306" s="15"/>
      <c r="D1306"/>
      <c r="E1306"/>
      <c r="F1306" s="15"/>
      <c r="G1306"/>
      <c r="H1306"/>
      <c r="I1306"/>
      <c r="J1306"/>
    </row>
    <row r="1307" spans="1:10" x14ac:dyDescent="0.25">
      <c r="A1307" s="230"/>
      <c r="B1307" s="231"/>
      <c r="C1307" s="15"/>
      <c r="D1307"/>
      <c r="E1307"/>
      <c r="F1307" s="15"/>
      <c r="G1307"/>
      <c r="H1307"/>
      <c r="I1307"/>
      <c r="J1307"/>
    </row>
    <row r="1308" spans="1:10" x14ac:dyDescent="0.25">
      <c r="A1308" s="230"/>
      <c r="B1308" s="231"/>
      <c r="C1308" s="15"/>
      <c r="D1308"/>
      <c r="E1308"/>
      <c r="F1308" s="15"/>
      <c r="G1308"/>
      <c r="H1308"/>
      <c r="I1308"/>
      <c r="J1308"/>
    </row>
    <row r="1309" spans="1:10" x14ac:dyDescent="0.25">
      <c r="A1309" s="230"/>
      <c r="B1309" s="231"/>
      <c r="C1309" s="15"/>
      <c r="D1309"/>
      <c r="E1309"/>
      <c r="F1309" s="15"/>
      <c r="G1309"/>
      <c r="H1309"/>
      <c r="I1309"/>
      <c r="J1309"/>
    </row>
    <row r="1310" spans="1:10" x14ac:dyDescent="0.25">
      <c r="A1310" s="230"/>
      <c r="B1310" s="231"/>
      <c r="C1310" s="15"/>
      <c r="D1310"/>
      <c r="E1310"/>
      <c r="F1310" s="15"/>
      <c r="G1310"/>
      <c r="H1310"/>
      <c r="I1310"/>
      <c r="J1310"/>
    </row>
    <row r="1311" spans="1:10" x14ac:dyDescent="0.25">
      <c r="A1311" s="230"/>
      <c r="B1311" s="231"/>
      <c r="C1311" s="15"/>
      <c r="D1311"/>
      <c r="E1311"/>
      <c r="F1311" s="15"/>
      <c r="G1311"/>
      <c r="H1311"/>
      <c r="I1311"/>
      <c r="J1311"/>
    </row>
    <row r="1312" spans="1:10" x14ac:dyDescent="0.25">
      <c r="A1312" s="230"/>
      <c r="B1312" s="231"/>
      <c r="C1312" s="15"/>
      <c r="D1312"/>
      <c r="E1312"/>
      <c r="F1312" s="15"/>
      <c r="G1312"/>
      <c r="H1312"/>
      <c r="I1312"/>
      <c r="J1312"/>
    </row>
    <row r="1313" spans="1:10" x14ac:dyDescent="0.25">
      <c r="A1313" s="230"/>
      <c r="B1313" s="231"/>
      <c r="C1313" s="15"/>
      <c r="D1313"/>
      <c r="E1313"/>
      <c r="F1313" s="15"/>
      <c r="G1313"/>
      <c r="H1313"/>
      <c r="I1313"/>
      <c r="J1313"/>
    </row>
    <row r="1314" spans="1:10" x14ac:dyDescent="0.25">
      <c r="A1314" s="230"/>
      <c r="B1314" s="231"/>
      <c r="C1314" s="15"/>
      <c r="D1314"/>
      <c r="E1314"/>
      <c r="F1314" s="15"/>
      <c r="G1314"/>
      <c r="H1314"/>
      <c r="I1314"/>
      <c r="J1314"/>
    </row>
    <row r="1315" spans="1:10" x14ac:dyDescent="0.25">
      <c r="A1315" s="230"/>
      <c r="B1315" s="231"/>
      <c r="C1315" s="15"/>
      <c r="D1315"/>
      <c r="E1315"/>
      <c r="F1315" s="15"/>
      <c r="G1315"/>
      <c r="H1315"/>
      <c r="I1315"/>
      <c r="J1315"/>
    </row>
    <row r="1316" spans="1:10" x14ac:dyDescent="0.25">
      <c r="A1316" s="230"/>
      <c r="B1316" s="231"/>
      <c r="C1316" s="15"/>
      <c r="D1316"/>
      <c r="E1316"/>
      <c r="F1316" s="15"/>
      <c r="G1316"/>
      <c r="H1316"/>
      <c r="I1316"/>
      <c r="J1316"/>
    </row>
    <row r="1317" spans="1:10" x14ac:dyDescent="0.25">
      <c r="A1317" s="230"/>
      <c r="B1317" s="231"/>
      <c r="C1317" s="15"/>
      <c r="D1317"/>
      <c r="E1317"/>
      <c r="F1317" s="15"/>
      <c r="G1317"/>
      <c r="H1317"/>
      <c r="I1317"/>
      <c r="J1317"/>
    </row>
    <row r="1318" spans="1:10" x14ac:dyDescent="0.25">
      <c r="A1318" s="230"/>
      <c r="B1318" s="231"/>
      <c r="C1318" s="15"/>
      <c r="D1318"/>
      <c r="E1318"/>
      <c r="F1318" s="15"/>
      <c r="G1318"/>
      <c r="H1318"/>
      <c r="I1318"/>
      <c r="J1318"/>
    </row>
    <row r="1319" spans="1:10" x14ac:dyDescent="0.25">
      <c r="A1319" s="230"/>
      <c r="B1319" s="231"/>
      <c r="C1319" s="15"/>
      <c r="D1319"/>
      <c r="E1319"/>
      <c r="F1319" s="15"/>
      <c r="G1319"/>
      <c r="H1319"/>
      <c r="I1319"/>
      <c r="J1319"/>
    </row>
    <row r="1320" spans="1:10" x14ac:dyDescent="0.25">
      <c r="A1320" s="230"/>
      <c r="B1320" s="231"/>
      <c r="C1320" s="15"/>
      <c r="D1320"/>
      <c r="E1320"/>
      <c r="F1320" s="15"/>
      <c r="G1320"/>
      <c r="H1320"/>
      <c r="I1320"/>
      <c r="J1320"/>
    </row>
    <row r="1321" spans="1:10" x14ac:dyDescent="0.25">
      <c r="A1321" s="230"/>
      <c r="B1321" s="231"/>
      <c r="C1321" s="15"/>
      <c r="D1321"/>
      <c r="E1321"/>
      <c r="F1321" s="15"/>
      <c r="G1321"/>
      <c r="H1321"/>
      <c r="I1321"/>
      <c r="J1321"/>
    </row>
    <row r="1322" spans="1:10" x14ac:dyDescent="0.25">
      <c r="A1322" s="230"/>
      <c r="B1322" s="231"/>
      <c r="C1322" s="15"/>
      <c r="D1322"/>
      <c r="E1322"/>
      <c r="F1322" s="15"/>
      <c r="G1322"/>
      <c r="H1322"/>
      <c r="I1322"/>
      <c r="J1322"/>
    </row>
    <row r="1323" spans="1:10" x14ac:dyDescent="0.25">
      <c r="A1323" s="230"/>
      <c r="B1323" s="231"/>
      <c r="C1323" s="15"/>
      <c r="D1323"/>
      <c r="E1323"/>
      <c r="F1323" s="15"/>
      <c r="G1323"/>
      <c r="H1323"/>
      <c r="I1323"/>
      <c r="J1323"/>
    </row>
    <row r="1324" spans="1:10" x14ac:dyDescent="0.25">
      <c r="A1324" s="230"/>
      <c r="B1324" s="231"/>
      <c r="C1324" s="15"/>
      <c r="D1324"/>
      <c r="E1324"/>
      <c r="F1324" s="15"/>
      <c r="G1324"/>
      <c r="H1324"/>
      <c r="I1324"/>
      <c r="J1324"/>
    </row>
    <row r="1325" spans="1:10" x14ac:dyDescent="0.25">
      <c r="A1325" s="230"/>
      <c r="B1325" s="231"/>
      <c r="C1325" s="15"/>
      <c r="D1325"/>
      <c r="E1325"/>
      <c r="F1325" s="15"/>
      <c r="G1325"/>
      <c r="H1325"/>
      <c r="I1325"/>
      <c r="J1325"/>
    </row>
    <row r="1326" spans="1:10" x14ac:dyDescent="0.25">
      <c r="A1326" s="230"/>
      <c r="B1326" s="231"/>
      <c r="C1326" s="15"/>
      <c r="D1326"/>
      <c r="E1326"/>
      <c r="F1326" s="15"/>
      <c r="G1326"/>
      <c r="H1326"/>
      <c r="I1326"/>
      <c r="J1326"/>
    </row>
    <row r="1327" spans="1:10" x14ac:dyDescent="0.25">
      <c r="A1327" s="230"/>
      <c r="B1327" s="231"/>
      <c r="C1327" s="15"/>
      <c r="D1327"/>
      <c r="E1327"/>
      <c r="F1327" s="15"/>
      <c r="G1327"/>
      <c r="H1327"/>
      <c r="I1327"/>
      <c r="J1327"/>
    </row>
    <row r="1328" spans="1:10" x14ac:dyDescent="0.25">
      <c r="A1328" s="230"/>
      <c r="B1328" s="231"/>
      <c r="C1328" s="15"/>
      <c r="D1328"/>
      <c r="E1328"/>
      <c r="F1328" s="15"/>
      <c r="G1328"/>
      <c r="H1328"/>
      <c r="I1328"/>
      <c r="J1328"/>
    </row>
    <row r="1329" spans="1:10" x14ac:dyDescent="0.25">
      <c r="A1329" s="230"/>
      <c r="B1329" s="231"/>
      <c r="C1329" s="15"/>
      <c r="D1329"/>
      <c r="E1329"/>
      <c r="F1329" s="15"/>
      <c r="G1329"/>
      <c r="H1329"/>
      <c r="I1329"/>
      <c r="J1329"/>
    </row>
    <row r="1330" spans="1:10" x14ac:dyDescent="0.25">
      <c r="A1330" s="230"/>
      <c r="B1330" s="231"/>
      <c r="C1330" s="15"/>
      <c r="D1330"/>
      <c r="E1330"/>
      <c r="F1330" s="15"/>
      <c r="G1330"/>
      <c r="H1330"/>
      <c r="I1330"/>
      <c r="J1330"/>
    </row>
    <row r="1331" spans="1:10" x14ac:dyDescent="0.25">
      <c r="A1331" s="230"/>
      <c r="B1331" s="231"/>
      <c r="C1331" s="15"/>
      <c r="D1331"/>
      <c r="E1331"/>
      <c r="F1331" s="15"/>
      <c r="G1331"/>
      <c r="H1331"/>
      <c r="I1331"/>
      <c r="J1331"/>
    </row>
    <row r="1332" spans="1:10" x14ac:dyDescent="0.25">
      <c r="A1332" s="230"/>
      <c r="B1332" s="231"/>
      <c r="C1332" s="15"/>
      <c r="D1332"/>
      <c r="E1332"/>
      <c r="F1332" s="15"/>
      <c r="G1332"/>
      <c r="H1332"/>
      <c r="I1332"/>
      <c r="J1332"/>
    </row>
    <row r="1333" spans="1:10" x14ac:dyDescent="0.25">
      <c r="A1333" s="230"/>
      <c r="B1333" s="231"/>
      <c r="C1333" s="15"/>
      <c r="D1333"/>
      <c r="E1333"/>
      <c r="F1333" s="15"/>
      <c r="G1333"/>
      <c r="H1333"/>
      <c r="I1333"/>
      <c r="J1333"/>
    </row>
    <row r="1334" spans="1:10" x14ac:dyDescent="0.25">
      <c r="A1334" s="230"/>
      <c r="B1334" s="231"/>
      <c r="C1334" s="15"/>
      <c r="D1334"/>
      <c r="E1334"/>
      <c r="F1334" s="15"/>
      <c r="G1334"/>
      <c r="H1334"/>
      <c r="I1334"/>
      <c r="J1334"/>
    </row>
    <row r="1335" spans="1:10" x14ac:dyDescent="0.25">
      <c r="A1335" s="230"/>
      <c r="B1335" s="231"/>
      <c r="C1335" s="15"/>
      <c r="D1335"/>
      <c r="E1335"/>
      <c r="F1335" s="15"/>
      <c r="G1335"/>
      <c r="H1335"/>
      <c r="I1335"/>
      <c r="J1335"/>
    </row>
    <row r="1336" spans="1:10" x14ac:dyDescent="0.25">
      <c r="A1336" s="230"/>
      <c r="B1336" s="231"/>
      <c r="C1336" s="15"/>
      <c r="D1336"/>
      <c r="E1336"/>
      <c r="F1336" s="15"/>
      <c r="G1336"/>
      <c r="H1336"/>
      <c r="I1336"/>
      <c r="J1336"/>
    </row>
    <row r="1337" spans="1:10" x14ac:dyDescent="0.25">
      <c r="A1337" s="230"/>
      <c r="B1337" s="231"/>
      <c r="C1337" s="15"/>
      <c r="D1337"/>
      <c r="E1337"/>
      <c r="F1337" s="15"/>
      <c r="G1337"/>
      <c r="H1337"/>
      <c r="I1337"/>
      <c r="J1337"/>
    </row>
    <row r="1338" spans="1:10" x14ac:dyDescent="0.25">
      <c r="A1338" s="230"/>
      <c r="B1338" s="231"/>
      <c r="C1338" s="15"/>
      <c r="D1338"/>
      <c r="E1338"/>
      <c r="F1338" s="15"/>
      <c r="G1338"/>
      <c r="H1338"/>
      <c r="I1338"/>
      <c r="J1338"/>
    </row>
    <row r="1339" spans="1:10" x14ac:dyDescent="0.25">
      <c r="A1339" s="230"/>
      <c r="B1339" s="231"/>
      <c r="C1339" s="15"/>
      <c r="D1339"/>
      <c r="E1339"/>
      <c r="F1339" s="15"/>
      <c r="G1339"/>
      <c r="H1339"/>
      <c r="I1339"/>
      <c r="J1339"/>
    </row>
    <row r="1340" spans="1:10" x14ac:dyDescent="0.25">
      <c r="A1340" s="230"/>
      <c r="B1340" s="231"/>
      <c r="C1340" s="15"/>
      <c r="D1340"/>
      <c r="E1340"/>
      <c r="F1340" s="15"/>
      <c r="G1340"/>
      <c r="H1340"/>
      <c r="I1340"/>
      <c r="J1340"/>
    </row>
    <row r="1341" spans="1:10" x14ac:dyDescent="0.25">
      <c r="A1341" s="230"/>
      <c r="B1341" s="231"/>
      <c r="C1341" s="15"/>
      <c r="D1341"/>
      <c r="E1341"/>
      <c r="F1341" s="15"/>
      <c r="G1341"/>
      <c r="H1341"/>
      <c r="I1341"/>
      <c r="J1341"/>
    </row>
    <row r="1342" spans="1:10" x14ac:dyDescent="0.25">
      <c r="A1342" s="230"/>
      <c r="B1342" s="231"/>
      <c r="C1342" s="15"/>
      <c r="D1342"/>
      <c r="E1342"/>
      <c r="F1342" s="15"/>
      <c r="G1342"/>
      <c r="H1342"/>
      <c r="I1342"/>
      <c r="J1342"/>
    </row>
    <row r="1343" spans="1:10" x14ac:dyDescent="0.25">
      <c r="A1343" s="230"/>
      <c r="B1343" s="231"/>
      <c r="C1343" s="15"/>
      <c r="D1343"/>
      <c r="E1343"/>
      <c r="F1343" s="15"/>
      <c r="G1343"/>
      <c r="H1343"/>
      <c r="I1343"/>
      <c r="J1343"/>
    </row>
    <row r="1344" spans="1:10" x14ac:dyDescent="0.25">
      <c r="A1344" s="230"/>
      <c r="B1344" s="231"/>
      <c r="C1344" s="15"/>
      <c r="D1344"/>
      <c r="E1344"/>
      <c r="F1344" s="15"/>
      <c r="G1344"/>
      <c r="H1344"/>
      <c r="I1344"/>
      <c r="J1344"/>
    </row>
    <row r="1345" spans="1:10" x14ac:dyDescent="0.25">
      <c r="A1345" s="230"/>
      <c r="B1345" s="231"/>
      <c r="C1345" s="15"/>
      <c r="D1345"/>
      <c r="E1345"/>
      <c r="F1345" s="15"/>
      <c r="G1345"/>
      <c r="H1345"/>
      <c r="I1345"/>
      <c r="J1345"/>
    </row>
    <row r="1346" spans="1:10" x14ac:dyDescent="0.25">
      <c r="A1346" s="230"/>
      <c r="B1346" s="231"/>
      <c r="C1346" s="15"/>
      <c r="D1346"/>
      <c r="E1346"/>
      <c r="F1346" s="15"/>
      <c r="G1346"/>
      <c r="H1346"/>
      <c r="I1346"/>
      <c r="J1346"/>
    </row>
    <row r="1347" spans="1:10" x14ac:dyDescent="0.25">
      <c r="A1347" s="230"/>
      <c r="B1347" s="231"/>
      <c r="C1347" s="15"/>
      <c r="D1347"/>
      <c r="E1347"/>
      <c r="F1347" s="15"/>
      <c r="G1347"/>
      <c r="H1347"/>
      <c r="I1347"/>
      <c r="J1347"/>
    </row>
    <row r="1348" spans="1:10" x14ac:dyDescent="0.25">
      <c r="A1348" s="230"/>
      <c r="B1348" s="231"/>
      <c r="C1348" s="15"/>
      <c r="D1348"/>
      <c r="E1348"/>
      <c r="F1348" s="15"/>
      <c r="G1348"/>
      <c r="H1348"/>
      <c r="I1348"/>
      <c r="J1348"/>
    </row>
    <row r="1349" spans="1:10" x14ac:dyDescent="0.25">
      <c r="A1349" s="230"/>
      <c r="B1349" s="231"/>
      <c r="C1349" s="15"/>
      <c r="D1349"/>
      <c r="E1349"/>
      <c r="F1349" s="15"/>
      <c r="G1349"/>
      <c r="H1349"/>
      <c r="I1349"/>
      <c r="J1349"/>
    </row>
    <row r="1350" spans="1:10" x14ac:dyDescent="0.25">
      <c r="A1350" s="230"/>
      <c r="B1350" s="231"/>
      <c r="C1350" s="15"/>
      <c r="D1350"/>
      <c r="E1350"/>
      <c r="F1350" s="15"/>
      <c r="G1350"/>
      <c r="H1350"/>
      <c r="I1350"/>
      <c r="J1350"/>
    </row>
    <row r="1351" spans="1:10" x14ac:dyDescent="0.25">
      <c r="A1351" s="230"/>
      <c r="B1351" s="231"/>
      <c r="C1351" s="15"/>
      <c r="D1351"/>
      <c r="E1351"/>
      <c r="F1351" s="15"/>
      <c r="G1351"/>
      <c r="H1351"/>
      <c r="I1351"/>
      <c r="J1351"/>
    </row>
    <row r="1352" spans="1:10" x14ac:dyDescent="0.25">
      <c r="A1352" s="230"/>
      <c r="B1352" s="231"/>
      <c r="C1352" s="15"/>
      <c r="D1352"/>
      <c r="E1352"/>
      <c r="F1352" s="15"/>
      <c r="G1352"/>
      <c r="H1352"/>
      <c r="I1352"/>
      <c r="J1352"/>
    </row>
    <row r="1353" spans="1:10" x14ac:dyDescent="0.25">
      <c r="A1353" s="230"/>
      <c r="B1353" s="231"/>
      <c r="C1353" s="15"/>
      <c r="D1353"/>
      <c r="E1353"/>
      <c r="F1353" s="15"/>
      <c r="G1353"/>
      <c r="H1353"/>
      <c r="I1353"/>
      <c r="J1353"/>
    </row>
    <row r="1354" spans="1:10" x14ac:dyDescent="0.25">
      <c r="A1354" s="230"/>
      <c r="B1354" s="231"/>
      <c r="C1354" s="15"/>
      <c r="D1354"/>
      <c r="E1354"/>
      <c r="F1354" s="15"/>
      <c r="G1354"/>
      <c r="H1354"/>
      <c r="I1354"/>
      <c r="J1354"/>
    </row>
    <row r="1355" spans="1:10" x14ac:dyDescent="0.25">
      <c r="A1355" s="230"/>
      <c r="B1355" s="231"/>
      <c r="C1355" s="15"/>
      <c r="D1355"/>
      <c r="E1355"/>
      <c r="F1355" s="15"/>
      <c r="G1355"/>
      <c r="H1355"/>
      <c r="I1355"/>
      <c r="J1355"/>
    </row>
    <row r="1356" spans="1:10" x14ac:dyDescent="0.25">
      <c r="A1356" s="230"/>
      <c r="B1356" s="231"/>
      <c r="C1356" s="15"/>
      <c r="D1356"/>
      <c r="E1356"/>
      <c r="F1356" s="15"/>
      <c r="G1356"/>
      <c r="H1356"/>
      <c r="I1356"/>
      <c r="J1356"/>
    </row>
    <row r="1357" spans="1:10" x14ac:dyDescent="0.25">
      <c r="A1357" s="230"/>
      <c r="B1357" s="231"/>
      <c r="C1357" s="15"/>
      <c r="D1357"/>
      <c r="E1357"/>
      <c r="F1357" s="15"/>
      <c r="G1357"/>
      <c r="H1357"/>
      <c r="I1357"/>
      <c r="J1357"/>
    </row>
    <row r="1358" spans="1:10" x14ac:dyDescent="0.25">
      <c r="A1358" s="230"/>
      <c r="B1358" s="231"/>
      <c r="C1358" s="15"/>
      <c r="D1358"/>
      <c r="E1358"/>
      <c r="F1358" s="15"/>
      <c r="G1358"/>
      <c r="H1358"/>
      <c r="I1358"/>
      <c r="J1358"/>
    </row>
    <row r="1359" spans="1:10" x14ac:dyDescent="0.25">
      <c r="A1359" s="230"/>
      <c r="B1359" s="231"/>
      <c r="C1359" s="15"/>
      <c r="D1359"/>
      <c r="E1359"/>
      <c r="F1359" s="15"/>
      <c r="G1359"/>
      <c r="H1359"/>
      <c r="I1359"/>
      <c r="J1359"/>
    </row>
    <row r="1360" spans="1:10" x14ac:dyDescent="0.25">
      <c r="A1360" s="230"/>
      <c r="B1360" s="231"/>
      <c r="C1360" s="15"/>
      <c r="D1360"/>
      <c r="E1360"/>
      <c r="F1360" s="15"/>
      <c r="G1360"/>
      <c r="H1360"/>
      <c r="I1360"/>
      <c r="J1360"/>
    </row>
    <row r="1361" spans="1:10" x14ac:dyDescent="0.25">
      <c r="A1361" s="230"/>
      <c r="B1361" s="231"/>
      <c r="C1361" s="15"/>
      <c r="D1361"/>
      <c r="E1361"/>
      <c r="F1361" s="15"/>
      <c r="G1361"/>
      <c r="H1361"/>
      <c r="I1361"/>
      <c r="J1361"/>
    </row>
    <row r="1362" spans="1:10" x14ac:dyDescent="0.25">
      <c r="A1362" s="230"/>
      <c r="B1362" s="231"/>
      <c r="C1362" s="15"/>
      <c r="D1362"/>
      <c r="E1362"/>
      <c r="F1362" s="15"/>
      <c r="G1362"/>
      <c r="H1362"/>
      <c r="I1362"/>
      <c r="J1362"/>
    </row>
    <row r="1363" spans="1:10" x14ac:dyDescent="0.25">
      <c r="A1363" s="230"/>
      <c r="B1363" s="231"/>
      <c r="C1363" s="15"/>
      <c r="D1363"/>
      <c r="E1363"/>
      <c r="F1363" s="15"/>
      <c r="G1363"/>
      <c r="H1363"/>
      <c r="I1363"/>
      <c r="J1363"/>
    </row>
    <row r="1364" spans="1:10" x14ac:dyDescent="0.25">
      <c r="A1364" s="230"/>
      <c r="B1364" s="231"/>
      <c r="C1364" s="15"/>
      <c r="D1364"/>
      <c r="E1364"/>
      <c r="F1364" s="15"/>
      <c r="G1364"/>
      <c r="H1364"/>
      <c r="I1364"/>
      <c r="J1364"/>
    </row>
    <row r="1365" spans="1:10" x14ac:dyDescent="0.25">
      <c r="A1365" s="230"/>
      <c r="B1365" s="231"/>
      <c r="C1365" s="15"/>
      <c r="D1365"/>
      <c r="E1365"/>
      <c r="F1365" s="15"/>
      <c r="G1365"/>
      <c r="H1365"/>
      <c r="I1365"/>
      <c r="J1365"/>
    </row>
    <row r="1366" spans="1:10" x14ac:dyDescent="0.25">
      <c r="A1366" s="230"/>
      <c r="B1366" s="231"/>
      <c r="C1366" s="15"/>
      <c r="D1366"/>
      <c r="E1366"/>
      <c r="F1366" s="15"/>
      <c r="G1366"/>
      <c r="H1366"/>
      <c r="I1366"/>
      <c r="J1366"/>
    </row>
    <row r="1367" spans="1:10" x14ac:dyDescent="0.25">
      <c r="A1367" s="230"/>
      <c r="B1367" s="231"/>
      <c r="C1367" s="15"/>
      <c r="D1367"/>
      <c r="E1367"/>
      <c r="F1367" s="15"/>
      <c r="G1367"/>
      <c r="H1367"/>
      <c r="I1367"/>
      <c r="J1367"/>
    </row>
    <row r="1368" spans="1:10" x14ac:dyDescent="0.25">
      <c r="A1368" s="230"/>
      <c r="B1368" s="231"/>
      <c r="C1368" s="15"/>
      <c r="D1368"/>
      <c r="E1368"/>
      <c r="F1368" s="15"/>
      <c r="G1368"/>
      <c r="H1368"/>
      <c r="I1368"/>
      <c r="J1368"/>
    </row>
    <row r="1369" spans="1:10" x14ac:dyDescent="0.25">
      <c r="A1369" s="230"/>
      <c r="B1369" s="231"/>
      <c r="C1369" s="15"/>
      <c r="D1369"/>
      <c r="E1369"/>
      <c r="F1369" s="15"/>
      <c r="G1369"/>
      <c r="H1369"/>
      <c r="I1369"/>
      <c r="J1369"/>
    </row>
    <row r="1370" spans="1:10" x14ac:dyDescent="0.25">
      <c r="A1370" s="230"/>
      <c r="B1370" s="231"/>
      <c r="C1370" s="15"/>
      <c r="D1370"/>
      <c r="E1370"/>
      <c r="F1370" s="15"/>
      <c r="G1370"/>
      <c r="H1370"/>
      <c r="I1370"/>
      <c r="J1370"/>
    </row>
    <row r="1371" spans="1:10" x14ac:dyDescent="0.25">
      <c r="A1371" s="230"/>
      <c r="B1371" s="231"/>
      <c r="C1371" s="15"/>
      <c r="D1371"/>
      <c r="E1371"/>
      <c r="F1371" s="15"/>
      <c r="G1371"/>
      <c r="H1371"/>
      <c r="I1371"/>
      <c r="J1371"/>
    </row>
    <row r="1372" spans="1:10" x14ac:dyDescent="0.25">
      <c r="A1372" s="230"/>
      <c r="B1372" s="231"/>
      <c r="C1372" s="15"/>
      <c r="D1372"/>
      <c r="E1372"/>
      <c r="F1372" s="15"/>
      <c r="G1372"/>
      <c r="H1372"/>
      <c r="I1372"/>
      <c r="J1372"/>
    </row>
    <row r="1373" spans="1:10" x14ac:dyDescent="0.25">
      <c r="A1373" s="230"/>
      <c r="B1373" s="231"/>
      <c r="C1373" s="15"/>
      <c r="D1373"/>
      <c r="E1373"/>
      <c r="F1373" s="15"/>
      <c r="G1373"/>
      <c r="H1373"/>
      <c r="I1373"/>
      <c r="J1373"/>
    </row>
  </sheetData>
  <autoFilter ref="A3:AD298" xr:uid="{00000000-0009-0000-0000-00000D000000}"/>
  <mergeCells count="424">
    <mergeCell ref="R275:R277"/>
    <mergeCell ref="S275:S277"/>
    <mergeCell ref="T275:T277"/>
    <mergeCell ref="U275:U277"/>
    <mergeCell ref="V275:V277"/>
    <mergeCell ref="R270:R272"/>
    <mergeCell ref="S270:S272"/>
    <mergeCell ref="T270:T272"/>
    <mergeCell ref="U270:U272"/>
    <mergeCell ref="V270:V272"/>
    <mergeCell ref="R273:R274"/>
    <mergeCell ref="S273:S274"/>
    <mergeCell ref="T273:T274"/>
    <mergeCell ref="U273:U274"/>
    <mergeCell ref="V273:V274"/>
    <mergeCell ref="V263:V265"/>
    <mergeCell ref="R266:R267"/>
    <mergeCell ref="S266:S267"/>
    <mergeCell ref="T266:T267"/>
    <mergeCell ref="U266:U267"/>
    <mergeCell ref="V266:V267"/>
    <mergeCell ref="R268:R269"/>
    <mergeCell ref="S268:S269"/>
    <mergeCell ref="T268:T269"/>
    <mergeCell ref="U268:U269"/>
    <mergeCell ref="V268:V269"/>
    <mergeCell ref="R233:R235"/>
    <mergeCell ref="S233:S235"/>
    <mergeCell ref="T233:T235"/>
    <mergeCell ref="U233:U235"/>
    <mergeCell ref="V233:V235"/>
    <mergeCell ref="R236:R238"/>
    <mergeCell ref="S236:S238"/>
    <mergeCell ref="T236:T238"/>
    <mergeCell ref="U236:U238"/>
    <mergeCell ref="V236:V238"/>
    <mergeCell ref="R225:R229"/>
    <mergeCell ref="S225:S229"/>
    <mergeCell ref="T225:T229"/>
    <mergeCell ref="U225:U229"/>
    <mergeCell ref="V225:V229"/>
    <mergeCell ref="R230:R232"/>
    <mergeCell ref="S230:S232"/>
    <mergeCell ref="T230:T232"/>
    <mergeCell ref="U230:U232"/>
    <mergeCell ref="V230:V232"/>
    <mergeCell ref="R218:R221"/>
    <mergeCell ref="S218:S221"/>
    <mergeCell ref="T218:T221"/>
    <mergeCell ref="U218:U221"/>
    <mergeCell ref="V218:V221"/>
    <mergeCell ref="R222:R223"/>
    <mergeCell ref="S222:S223"/>
    <mergeCell ref="T222:T223"/>
    <mergeCell ref="U222:U223"/>
    <mergeCell ref="V222:V223"/>
    <mergeCell ref="R212:R214"/>
    <mergeCell ref="S212:S214"/>
    <mergeCell ref="T212:T214"/>
    <mergeCell ref="U212:U214"/>
    <mergeCell ref="V212:V214"/>
    <mergeCell ref="R215:R217"/>
    <mergeCell ref="S215:S217"/>
    <mergeCell ref="T215:T217"/>
    <mergeCell ref="U215:U217"/>
    <mergeCell ref="V215:V217"/>
    <mergeCell ref="R204:R205"/>
    <mergeCell ref="S204:S205"/>
    <mergeCell ref="T204:T205"/>
    <mergeCell ref="U204:U205"/>
    <mergeCell ref="V204:V205"/>
    <mergeCell ref="R209:R211"/>
    <mergeCell ref="S209:S211"/>
    <mergeCell ref="T209:T211"/>
    <mergeCell ref="U209:U211"/>
    <mergeCell ref="V209:V211"/>
    <mergeCell ref="R206:R207"/>
    <mergeCell ref="S206:S207"/>
    <mergeCell ref="T206:T207"/>
    <mergeCell ref="U206:U207"/>
    <mergeCell ref="V206:V207"/>
    <mergeCell ref="R195:R197"/>
    <mergeCell ref="S195:S197"/>
    <mergeCell ref="T195:T197"/>
    <mergeCell ref="U195:U197"/>
    <mergeCell ref="V195:V197"/>
    <mergeCell ref="R201:R203"/>
    <mergeCell ref="S201:S203"/>
    <mergeCell ref="T201:T203"/>
    <mergeCell ref="U201:U203"/>
    <mergeCell ref="V201:V203"/>
    <mergeCell ref="R163:R164"/>
    <mergeCell ref="S163:S164"/>
    <mergeCell ref="T163:T164"/>
    <mergeCell ref="U163:U164"/>
    <mergeCell ref="V163:V164"/>
    <mergeCell ref="R165:R166"/>
    <mergeCell ref="S165:S166"/>
    <mergeCell ref="T165:T166"/>
    <mergeCell ref="U165:U166"/>
    <mergeCell ref="V165:V166"/>
    <mergeCell ref="R159:R160"/>
    <mergeCell ref="S159:S160"/>
    <mergeCell ref="T159:T160"/>
    <mergeCell ref="U159:U160"/>
    <mergeCell ref="V159:V160"/>
    <mergeCell ref="R161:R162"/>
    <mergeCell ref="S161:S162"/>
    <mergeCell ref="T161:T162"/>
    <mergeCell ref="U161:U162"/>
    <mergeCell ref="V161:V162"/>
    <mergeCell ref="R155:R156"/>
    <mergeCell ref="S155:S156"/>
    <mergeCell ref="T155:T156"/>
    <mergeCell ref="U155:U156"/>
    <mergeCell ref="V155:V156"/>
    <mergeCell ref="R157:R158"/>
    <mergeCell ref="S157:S158"/>
    <mergeCell ref="T157:T158"/>
    <mergeCell ref="U157:U158"/>
    <mergeCell ref="V157:V158"/>
    <mergeCell ref="R150:R152"/>
    <mergeCell ref="S150:S152"/>
    <mergeCell ref="T150:T152"/>
    <mergeCell ref="U150:U152"/>
    <mergeCell ref="V150:V152"/>
    <mergeCell ref="R153:R154"/>
    <mergeCell ref="S153:S154"/>
    <mergeCell ref="T153:T154"/>
    <mergeCell ref="U153:U154"/>
    <mergeCell ref="V153:V154"/>
    <mergeCell ref="R141:R144"/>
    <mergeCell ref="S141:S144"/>
    <mergeCell ref="T141:T144"/>
    <mergeCell ref="U141:U144"/>
    <mergeCell ref="V141:V144"/>
    <mergeCell ref="R145:R149"/>
    <mergeCell ref="S145:S149"/>
    <mergeCell ref="T145:T149"/>
    <mergeCell ref="U145:U149"/>
    <mergeCell ref="V145:V149"/>
    <mergeCell ref="V125:V128"/>
    <mergeCell ref="R134:R136"/>
    <mergeCell ref="S134:S136"/>
    <mergeCell ref="T134:T136"/>
    <mergeCell ref="U134:U136"/>
    <mergeCell ref="V134:V136"/>
    <mergeCell ref="R129:R131"/>
    <mergeCell ref="S129:S131"/>
    <mergeCell ref="T129:T131"/>
    <mergeCell ref="U129:U131"/>
    <mergeCell ref="V129:V131"/>
    <mergeCell ref="R132:R133"/>
    <mergeCell ref="S132:S133"/>
    <mergeCell ref="T132:T133"/>
    <mergeCell ref="U132:U133"/>
    <mergeCell ref="V132:V133"/>
    <mergeCell ref="R106:R109"/>
    <mergeCell ref="S106:S109"/>
    <mergeCell ref="T106:T109"/>
    <mergeCell ref="U106:U109"/>
    <mergeCell ref="V106:V109"/>
    <mergeCell ref="R102:R103"/>
    <mergeCell ref="S102:S103"/>
    <mergeCell ref="T102:T103"/>
    <mergeCell ref="U102:U103"/>
    <mergeCell ref="V102:V103"/>
    <mergeCell ref="R104:R105"/>
    <mergeCell ref="S104:S105"/>
    <mergeCell ref="T104:T105"/>
    <mergeCell ref="U104:U105"/>
    <mergeCell ref="V104:V105"/>
    <mergeCell ref="R41:R44"/>
    <mergeCell ref="S41:S44"/>
    <mergeCell ref="T41:T44"/>
    <mergeCell ref="U41:U44"/>
    <mergeCell ref="V41:V44"/>
    <mergeCell ref="R57:R60"/>
    <mergeCell ref="S57:S60"/>
    <mergeCell ref="T57:T60"/>
    <mergeCell ref="U57:U60"/>
    <mergeCell ref="V57:V60"/>
    <mergeCell ref="R45:R47"/>
    <mergeCell ref="S45:S47"/>
    <mergeCell ref="T45:T47"/>
    <mergeCell ref="U45:U47"/>
    <mergeCell ref="V45:V47"/>
    <mergeCell ref="R52:R56"/>
    <mergeCell ref="S52:S56"/>
    <mergeCell ref="T52:T56"/>
    <mergeCell ref="U52:U56"/>
    <mergeCell ref="V52:V56"/>
    <mergeCell ref="R48:R51"/>
    <mergeCell ref="S48:S51"/>
    <mergeCell ref="T48:T51"/>
    <mergeCell ref="U48:U51"/>
    <mergeCell ref="R33:R36"/>
    <mergeCell ref="S33:S36"/>
    <mergeCell ref="T33:T36"/>
    <mergeCell ref="U33:U36"/>
    <mergeCell ref="V33:V36"/>
    <mergeCell ref="R37:R40"/>
    <mergeCell ref="S37:S40"/>
    <mergeCell ref="T37:T40"/>
    <mergeCell ref="U37:U40"/>
    <mergeCell ref="V37:V40"/>
    <mergeCell ref="U23:U24"/>
    <mergeCell ref="V23:V24"/>
    <mergeCell ref="R25:R27"/>
    <mergeCell ref="S25:S27"/>
    <mergeCell ref="T25:T27"/>
    <mergeCell ref="U25:U27"/>
    <mergeCell ref="V25:V27"/>
    <mergeCell ref="R28:R31"/>
    <mergeCell ref="S28:S31"/>
    <mergeCell ref="T28:T31"/>
    <mergeCell ref="U28:U31"/>
    <mergeCell ref="V28:V31"/>
    <mergeCell ref="R23:R24"/>
    <mergeCell ref="S23:S24"/>
    <mergeCell ref="T23:T24"/>
    <mergeCell ref="X2:Z2"/>
    <mergeCell ref="V4:V7"/>
    <mergeCell ref="R8:R11"/>
    <mergeCell ref="S8:S11"/>
    <mergeCell ref="T8:T11"/>
    <mergeCell ref="U8:U11"/>
    <mergeCell ref="V8:V11"/>
    <mergeCell ref="U14:U17"/>
    <mergeCell ref="R18:R22"/>
    <mergeCell ref="S18:S22"/>
    <mergeCell ref="T18:T22"/>
    <mergeCell ref="U18:U22"/>
    <mergeCell ref="V18:V22"/>
    <mergeCell ref="V14:V17"/>
    <mergeCell ref="R14:R17"/>
    <mergeCell ref="S14:S17"/>
    <mergeCell ref="T14:T17"/>
    <mergeCell ref="H2:L2"/>
    <mergeCell ref="M2:Q2"/>
    <mergeCell ref="R2:V2"/>
    <mergeCell ref="R4:R7"/>
    <mergeCell ref="S4:S7"/>
    <mergeCell ref="T4:T7"/>
    <mergeCell ref="U4:U7"/>
    <mergeCell ref="R12:R13"/>
    <mergeCell ref="S12:S13"/>
    <mergeCell ref="T12:T13"/>
    <mergeCell ref="U12:U13"/>
    <mergeCell ref="V12:V13"/>
    <mergeCell ref="V48:V51"/>
    <mergeCell ref="R63:R67"/>
    <mergeCell ref="S63:S67"/>
    <mergeCell ref="T63:T67"/>
    <mergeCell ref="U63:U67"/>
    <mergeCell ref="V63:V67"/>
    <mergeCell ref="R61:R62"/>
    <mergeCell ref="S61:S62"/>
    <mergeCell ref="T61:T62"/>
    <mergeCell ref="U61:U62"/>
    <mergeCell ref="V61:V62"/>
    <mergeCell ref="R73:R76"/>
    <mergeCell ref="S73:S76"/>
    <mergeCell ref="T73:T76"/>
    <mergeCell ref="U73:U76"/>
    <mergeCell ref="V73:V76"/>
    <mergeCell ref="R70:R72"/>
    <mergeCell ref="S70:S72"/>
    <mergeCell ref="T70:T72"/>
    <mergeCell ref="U70:U72"/>
    <mergeCell ref="V70:V72"/>
    <mergeCell ref="R80:R83"/>
    <mergeCell ref="S80:S83"/>
    <mergeCell ref="T80:T83"/>
    <mergeCell ref="U80:U83"/>
    <mergeCell ref="V80:V83"/>
    <mergeCell ref="R77:R78"/>
    <mergeCell ref="S77:S78"/>
    <mergeCell ref="T77:T78"/>
    <mergeCell ref="U77:U78"/>
    <mergeCell ref="V77:V78"/>
    <mergeCell ref="R86:R89"/>
    <mergeCell ref="S86:S89"/>
    <mergeCell ref="T86:T89"/>
    <mergeCell ref="U86:U89"/>
    <mergeCell ref="V86:V89"/>
    <mergeCell ref="R84:R85"/>
    <mergeCell ref="S84:S85"/>
    <mergeCell ref="T84:T85"/>
    <mergeCell ref="V84:V85"/>
    <mergeCell ref="U84:U85"/>
    <mergeCell ref="R93:R95"/>
    <mergeCell ref="S93:S95"/>
    <mergeCell ref="T93:T95"/>
    <mergeCell ref="U93:U95"/>
    <mergeCell ref="V93:V95"/>
    <mergeCell ref="R90:R92"/>
    <mergeCell ref="S90:S92"/>
    <mergeCell ref="T90:T92"/>
    <mergeCell ref="U90:U92"/>
    <mergeCell ref="V90:V92"/>
    <mergeCell ref="R99:R101"/>
    <mergeCell ref="S99:S101"/>
    <mergeCell ref="T99:T101"/>
    <mergeCell ref="U99:U101"/>
    <mergeCell ref="V99:V101"/>
    <mergeCell ref="R96:R97"/>
    <mergeCell ref="S96:S97"/>
    <mergeCell ref="T96:T97"/>
    <mergeCell ref="U96:U97"/>
    <mergeCell ref="V96:V97"/>
    <mergeCell ref="R110:R111"/>
    <mergeCell ref="S110:S111"/>
    <mergeCell ref="T110:T111"/>
    <mergeCell ref="U110:U111"/>
    <mergeCell ref="V110:V111"/>
    <mergeCell ref="R112:R114"/>
    <mergeCell ref="S112:S114"/>
    <mergeCell ref="T112:T114"/>
    <mergeCell ref="U112:U114"/>
    <mergeCell ref="V112:V114"/>
    <mergeCell ref="R137:R140"/>
    <mergeCell ref="S137:S140"/>
    <mergeCell ref="T137:T140"/>
    <mergeCell ref="U137:U140"/>
    <mergeCell ref="V137:V140"/>
    <mergeCell ref="R115:R117"/>
    <mergeCell ref="S115:S117"/>
    <mergeCell ref="T115:T117"/>
    <mergeCell ref="U115:U117"/>
    <mergeCell ref="V115:V117"/>
    <mergeCell ref="R118:R120"/>
    <mergeCell ref="S118:S120"/>
    <mergeCell ref="T118:T120"/>
    <mergeCell ref="U118:U120"/>
    <mergeCell ref="V118:V120"/>
    <mergeCell ref="R121:R124"/>
    <mergeCell ref="S121:S124"/>
    <mergeCell ref="T121:T124"/>
    <mergeCell ref="U121:U124"/>
    <mergeCell ref="V121:V124"/>
    <mergeCell ref="R125:R128"/>
    <mergeCell ref="S125:S128"/>
    <mergeCell ref="T125:T128"/>
    <mergeCell ref="U125:U128"/>
    <mergeCell ref="R175:R176"/>
    <mergeCell ref="S175:S176"/>
    <mergeCell ref="T175:T176"/>
    <mergeCell ref="U175:U176"/>
    <mergeCell ref="V175:V176"/>
    <mergeCell ref="R167:R170"/>
    <mergeCell ref="S167:S170"/>
    <mergeCell ref="T167:T170"/>
    <mergeCell ref="U167:U170"/>
    <mergeCell ref="V167:V170"/>
    <mergeCell ref="R171:R174"/>
    <mergeCell ref="S171:S174"/>
    <mergeCell ref="T171:T174"/>
    <mergeCell ref="U171:U174"/>
    <mergeCell ref="V171:V174"/>
    <mergeCell ref="R177:R178"/>
    <mergeCell ref="S177:S178"/>
    <mergeCell ref="T177:T178"/>
    <mergeCell ref="U177:U178"/>
    <mergeCell ref="V177:V178"/>
    <mergeCell ref="R179:R183"/>
    <mergeCell ref="S179:S183"/>
    <mergeCell ref="T179:T183"/>
    <mergeCell ref="U179:U183"/>
    <mergeCell ref="V179:V183"/>
    <mergeCell ref="R239:R240"/>
    <mergeCell ref="S239:S240"/>
    <mergeCell ref="T239:T240"/>
    <mergeCell ref="U239:U240"/>
    <mergeCell ref="V239:V240"/>
    <mergeCell ref="R241:R242"/>
    <mergeCell ref="S241:S242"/>
    <mergeCell ref="T241:T242"/>
    <mergeCell ref="U241:U242"/>
    <mergeCell ref="V241:V242"/>
    <mergeCell ref="R243:R245"/>
    <mergeCell ref="S243:S245"/>
    <mergeCell ref="T243:T245"/>
    <mergeCell ref="U243:U245"/>
    <mergeCell ref="V243:V245"/>
    <mergeCell ref="R246:R248"/>
    <mergeCell ref="S246:S248"/>
    <mergeCell ref="T246:T248"/>
    <mergeCell ref="U246:U248"/>
    <mergeCell ref="V246:V248"/>
    <mergeCell ref="R249:R250"/>
    <mergeCell ref="S249:S250"/>
    <mergeCell ref="T249:T250"/>
    <mergeCell ref="U249:U250"/>
    <mergeCell ref="V249:V250"/>
    <mergeCell ref="R251:R252"/>
    <mergeCell ref="S251:S252"/>
    <mergeCell ref="T251:T252"/>
    <mergeCell ref="U251:U252"/>
    <mergeCell ref="V251:V252"/>
    <mergeCell ref="R278:R279"/>
    <mergeCell ref="S278:S279"/>
    <mergeCell ref="T278:T279"/>
    <mergeCell ref="U278:U279"/>
    <mergeCell ref="V278:V279"/>
    <mergeCell ref="R253:R255"/>
    <mergeCell ref="S253:S255"/>
    <mergeCell ref="T253:T255"/>
    <mergeCell ref="U253:U255"/>
    <mergeCell ref="V253:V255"/>
    <mergeCell ref="R257:R259"/>
    <mergeCell ref="S257:S259"/>
    <mergeCell ref="T257:T259"/>
    <mergeCell ref="U257:U259"/>
    <mergeCell ref="V257:V259"/>
    <mergeCell ref="R260:R261"/>
    <mergeCell ref="S260:S261"/>
    <mergeCell ref="T260:T261"/>
    <mergeCell ref="U260:U261"/>
    <mergeCell ref="V260:V261"/>
    <mergeCell ref="R263:R265"/>
    <mergeCell ref="S263:S265"/>
    <mergeCell ref="T263:T265"/>
    <mergeCell ref="U263:U265"/>
  </mergeCells>
  <conditionalFormatting sqref="E4:E13 N4:O298">
    <cfRule type="expression" dxfId="26" priority="3">
      <formula>$E4="M"</formula>
    </cfRule>
    <cfRule type="expression" dxfId="25" priority="4">
      <formula>$E4="C"</formula>
    </cfRule>
  </conditionalFormatting>
  <dataValidations count="1">
    <dataValidation type="textLength" operator="equal" allowBlank="1" showInputMessage="1" showErrorMessage="1" sqref="F1:F1048576 G77" xr:uid="{00000000-0002-0000-0D00-000000000000}">
      <formula1>4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AW70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:L7"/>
    </sheetView>
  </sheetViews>
  <sheetFormatPr defaultRowHeight="15" x14ac:dyDescent="0.25"/>
  <cols>
    <col min="1" max="1" width="8.5703125" bestFit="1" customWidth="1"/>
    <col min="2" max="2" width="13.85546875" customWidth="1"/>
    <col min="3" max="3" width="5" bestFit="1" customWidth="1"/>
    <col min="4" max="4" width="7.7109375" customWidth="1"/>
    <col min="5" max="6" width="5.28515625" customWidth="1"/>
    <col min="7" max="7" width="6.85546875" customWidth="1"/>
    <col min="8" max="8" width="7.140625" customWidth="1"/>
    <col min="9" max="9" width="7" customWidth="1"/>
    <col min="10" max="10" width="8.28515625" customWidth="1"/>
    <col min="11" max="12" width="5.28515625" customWidth="1"/>
    <col min="13" max="13" width="8.5703125" hidden="1" customWidth="1"/>
    <col min="14" max="14" width="11.85546875" hidden="1" customWidth="1"/>
    <col min="15" max="15" width="6.7109375" hidden="1" customWidth="1"/>
    <col min="16" max="17" width="5.28515625" hidden="1" customWidth="1"/>
    <col min="18" max="18" width="9.5703125" customWidth="1"/>
    <col min="19" max="19" width="6.85546875" customWidth="1"/>
    <col min="20" max="20" width="7.5703125" customWidth="1"/>
    <col min="21" max="21" width="6.85546875" customWidth="1"/>
    <col min="22" max="22" width="7.42578125" customWidth="1"/>
    <col min="23" max="23" width="10.85546875" bestFit="1" customWidth="1"/>
    <col min="24" max="24" width="7.140625" customWidth="1"/>
    <col min="25" max="26" width="5.28515625" customWidth="1"/>
    <col min="27" max="27" width="6.85546875" customWidth="1"/>
    <col min="28" max="28" width="8.28515625" bestFit="1" customWidth="1"/>
    <col min="29" max="29" width="9.28515625" customWidth="1"/>
    <col min="30" max="30" width="6" bestFit="1" customWidth="1"/>
    <col min="31" max="31" width="5.28515625" customWidth="1"/>
    <col min="32" max="32" width="6.85546875" customWidth="1"/>
    <col min="33" max="33" width="7.5703125" customWidth="1"/>
    <col min="34" max="34" width="7.140625" customWidth="1"/>
    <col min="35" max="36" width="5.28515625" customWidth="1"/>
    <col min="37" max="37" width="6.85546875" customWidth="1"/>
    <col min="38" max="38" width="7.140625" customWidth="1"/>
    <col min="39" max="39" width="7.8554687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28515625" bestFit="1" customWidth="1"/>
    <col min="45" max="49" width="8.7109375" bestFit="1" customWidth="1"/>
  </cols>
  <sheetData>
    <row r="1" spans="1:49" ht="15.75" thickBot="1" x14ac:dyDescent="0.3">
      <c r="B1" s="14" t="s">
        <v>13</v>
      </c>
      <c r="C1" s="15"/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9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62">
        <v>3610</v>
      </c>
      <c r="E4" s="38">
        <v>3.7</v>
      </c>
      <c r="F4" s="38">
        <v>8.3000000000000007</v>
      </c>
      <c r="G4" s="34">
        <f t="shared" ref="G4:G7" si="0">+D4*E4%</f>
        <v>133.57000000000002</v>
      </c>
      <c r="H4" s="35">
        <f t="shared" ref="H4:H7" si="1">+D4*F4%</f>
        <v>299.63</v>
      </c>
      <c r="I4" s="26">
        <f>J4/1.03</f>
        <v>1124.1999999999998</v>
      </c>
      <c r="J4" s="27">
        <v>1157.9259999999999</v>
      </c>
      <c r="K4" s="28">
        <v>3.9138943248532301</v>
      </c>
      <c r="L4" s="28">
        <v>8.4477850916207107</v>
      </c>
      <c r="M4" s="29"/>
      <c r="N4" s="30"/>
      <c r="O4" s="31"/>
      <c r="P4" s="28"/>
      <c r="Q4" s="32"/>
      <c r="R4" s="53">
        <f t="shared" ref="R4:R13" si="2">O4+J4</f>
        <v>1157.9259999999999</v>
      </c>
      <c r="S4" s="34">
        <f t="shared" ref="S4:S13" si="3">(J4*K4%)+(O4*P4%)</f>
        <v>45.320000000000007</v>
      </c>
      <c r="T4" s="35">
        <f t="shared" ref="T4:T13" si="4">(J4*L4%)+(O4*Q4%)</f>
        <v>97.81910000000002</v>
      </c>
      <c r="U4" s="36"/>
      <c r="V4" s="37"/>
      <c r="W4" s="38"/>
      <c r="X4" s="39"/>
      <c r="Y4" s="40"/>
      <c r="Z4" s="40"/>
      <c r="AA4" s="34">
        <f t="shared" ref="AA4:AA13" si="5">X4*Y4%</f>
        <v>0</v>
      </c>
      <c r="AB4" s="35">
        <f t="shared" ref="AB4:AB13" si="6">X4*Z4%</f>
        <v>0</v>
      </c>
      <c r="AC4" s="271"/>
      <c r="AD4" s="145"/>
      <c r="AE4" s="145"/>
      <c r="AF4" s="34">
        <f t="shared" ref="AF4:AF13" si="7">AC4*AD4%</f>
        <v>0</v>
      </c>
      <c r="AG4" s="34">
        <f t="shared" ref="AG4:AG13" si="8">AC4*AE4%</f>
        <v>0</v>
      </c>
      <c r="AH4" s="43">
        <v>4767.8999999999996</v>
      </c>
      <c r="AI4" s="38">
        <v>3.75</v>
      </c>
      <c r="AJ4" s="38">
        <v>8.33</v>
      </c>
      <c r="AK4" s="34">
        <f t="shared" ref="AK4:AK41" si="9">AH4*AI4%</f>
        <v>178.79624999999999</v>
      </c>
      <c r="AL4" s="44">
        <f t="shared" ref="AL4:AL41" si="10">AH4*AJ4%</f>
        <v>397.16606999999999</v>
      </c>
      <c r="AM4" s="45">
        <f>+D4+R4-AC4-AH4</f>
        <v>2.5999999999839929E-2</v>
      </c>
      <c r="AN4" s="46">
        <f t="shared" ref="AN4:AO19" si="11">+G4+S4-AF4-AK4</f>
        <v>9.3750000000056843E-2</v>
      </c>
      <c r="AO4" s="46">
        <f t="shared" si="11"/>
        <v>0.28303000000005341</v>
      </c>
      <c r="AP4" s="47">
        <f>(AN4+AO4)/(S4+T4)</f>
        <v>2.632264699164031E-3</v>
      </c>
      <c r="AQ4" s="48">
        <f t="shared" ref="AQ4:AQ41" si="12">($AP$1*AN4+$AQ$1*AO4)</f>
        <v>127.0965000000416</v>
      </c>
      <c r="AR4" s="49">
        <f>(D4+J4+O4)-(X4+AH4)</f>
        <v>2.5999999999839929E-2</v>
      </c>
      <c r="AS4" s="49"/>
    </row>
    <row r="5" spans="1:49" x14ac:dyDescent="0.25">
      <c r="A5" t="str">
        <f t="shared" ref="A5:A13" si="13">CONCATENATE(B5,C5)</f>
        <v>46174E</v>
      </c>
      <c r="B5" s="22">
        <f>+B4</f>
        <v>46174</v>
      </c>
      <c r="C5" s="23" t="s">
        <v>55</v>
      </c>
      <c r="D5" s="50">
        <f t="shared" ref="D5:F5" si="14">AH4</f>
        <v>4767.8999999999996</v>
      </c>
      <c r="E5" s="34">
        <f t="shared" si="14"/>
        <v>3.75</v>
      </c>
      <c r="F5" s="34">
        <f t="shared" si="14"/>
        <v>8.33</v>
      </c>
      <c r="G5" s="34">
        <f t="shared" si="0"/>
        <v>178.79624999999999</v>
      </c>
      <c r="H5" s="35">
        <f t="shared" si="1"/>
        <v>397.16606999999999</v>
      </c>
      <c r="I5" s="26">
        <f t="shared" ref="I5:I65" si="15">J5/1.03</f>
        <v>814.6</v>
      </c>
      <c r="J5" s="27">
        <v>839.03800000000001</v>
      </c>
      <c r="K5" s="28">
        <v>3.5526638841149025</v>
      </c>
      <c r="L5" s="32">
        <v>8.2322612325067528</v>
      </c>
      <c r="M5" s="29"/>
      <c r="N5" s="30"/>
      <c r="O5" s="31"/>
      <c r="P5" s="28"/>
      <c r="Q5" s="32"/>
      <c r="R5" s="53">
        <f t="shared" si="2"/>
        <v>839.03800000000001</v>
      </c>
      <c r="S5" s="34">
        <f t="shared" si="3"/>
        <v>29.808199999999996</v>
      </c>
      <c r="T5" s="35">
        <f t="shared" si="4"/>
        <v>69.07180000000001</v>
      </c>
      <c r="U5" s="36"/>
      <c r="V5" s="37"/>
      <c r="W5" s="38"/>
      <c r="X5" s="39"/>
      <c r="Y5" s="40"/>
      <c r="Z5" s="40"/>
      <c r="AA5" s="34">
        <f t="shared" si="5"/>
        <v>0</v>
      </c>
      <c r="AB5" s="35">
        <f t="shared" si="6"/>
        <v>0</v>
      </c>
      <c r="AC5" s="271"/>
      <c r="AD5" s="145"/>
      <c r="AE5" s="145"/>
      <c r="AF5" s="34">
        <f t="shared" si="7"/>
        <v>0</v>
      </c>
      <c r="AG5" s="34">
        <f t="shared" si="8"/>
        <v>0</v>
      </c>
      <c r="AH5" s="43">
        <v>5606.93</v>
      </c>
      <c r="AI5" s="38">
        <v>3.72</v>
      </c>
      <c r="AJ5" s="38">
        <v>8.31</v>
      </c>
      <c r="AK5" s="34">
        <f t="shared" si="9"/>
        <v>208.57779600000003</v>
      </c>
      <c r="AL5" s="44">
        <f t="shared" si="10"/>
        <v>465.93588300000005</v>
      </c>
      <c r="AM5" s="45">
        <f t="shared" ref="AM5:AM41" si="16">+D5+R5-AC5-AH5</f>
        <v>7.9999999998108251E-3</v>
      </c>
      <c r="AN5" s="51">
        <f t="shared" si="11"/>
        <v>2.6653999999950884E-2</v>
      </c>
      <c r="AO5" s="51">
        <f t="shared" si="11"/>
        <v>0.30198699999994005</v>
      </c>
      <c r="AP5" s="47">
        <f t="shared" ref="AP5:AP41" si="17">(AN5+AO5)/(S5+T5)</f>
        <v>3.3236347087367609E-3</v>
      </c>
      <c r="AQ5" s="48">
        <f t="shared" si="12"/>
        <v>102.59039999995991</v>
      </c>
      <c r="AR5" s="49">
        <f t="shared" ref="AR5:AR41" si="18">(D5+J5+O5)-(X5+AH5)</f>
        <v>7.9999999998108251E-3</v>
      </c>
      <c r="AS5" s="49"/>
    </row>
    <row r="6" spans="1:49" x14ac:dyDescent="0.25">
      <c r="A6" t="str">
        <f t="shared" si="13"/>
        <v>46144M</v>
      </c>
      <c r="B6" s="22">
        <v>46144</v>
      </c>
      <c r="C6" s="23" t="s">
        <v>54</v>
      </c>
      <c r="D6" s="50">
        <f t="shared" ref="D6" si="19">AH5</f>
        <v>5606.93</v>
      </c>
      <c r="E6" s="34">
        <f t="shared" ref="E6" si="20">AI5</f>
        <v>3.72</v>
      </c>
      <c r="F6" s="34">
        <f t="shared" ref="F6" si="21">AJ5</f>
        <v>8.31</v>
      </c>
      <c r="G6" s="34">
        <f t="shared" si="0"/>
        <v>208.57779600000003</v>
      </c>
      <c r="H6" s="35">
        <f t="shared" si="1"/>
        <v>465.93588300000005</v>
      </c>
      <c r="I6" s="26">
        <f t="shared" si="15"/>
        <v>881.69999999999993</v>
      </c>
      <c r="J6" s="27">
        <v>908.15099999999995</v>
      </c>
      <c r="K6" s="28">
        <v>3.9582624475445161</v>
      </c>
      <c r="L6" s="32">
        <v>8.3701939435182027</v>
      </c>
      <c r="M6" s="29"/>
      <c r="N6" s="30"/>
      <c r="O6" s="31"/>
      <c r="P6" s="28"/>
      <c r="Q6" s="32"/>
      <c r="R6" s="53">
        <f t="shared" si="2"/>
        <v>908.15099999999995</v>
      </c>
      <c r="S6" s="34">
        <f t="shared" si="3"/>
        <v>35.946999999999996</v>
      </c>
      <c r="T6" s="35">
        <f t="shared" si="4"/>
        <v>76.013999999999996</v>
      </c>
      <c r="U6" s="36"/>
      <c r="V6" s="37"/>
      <c r="W6" s="38"/>
      <c r="X6" s="39">
        <v>1145</v>
      </c>
      <c r="Y6" s="40">
        <v>4.2</v>
      </c>
      <c r="Z6" s="40">
        <v>8.5</v>
      </c>
      <c r="AA6" s="34">
        <f t="shared" si="5"/>
        <v>48.09</v>
      </c>
      <c r="AB6" s="35">
        <f t="shared" si="6"/>
        <v>97.325000000000003</v>
      </c>
      <c r="AC6" s="271">
        <v>1145</v>
      </c>
      <c r="AD6" s="145">
        <v>4.21</v>
      </c>
      <c r="AE6" s="145">
        <v>8.5500000000000007</v>
      </c>
      <c r="AF6" s="34">
        <f t="shared" si="7"/>
        <v>48.204499999999996</v>
      </c>
      <c r="AG6" s="34">
        <f t="shared" si="8"/>
        <v>97.897500000000008</v>
      </c>
      <c r="AH6" s="43">
        <v>5350</v>
      </c>
      <c r="AI6" s="38">
        <v>3.7</v>
      </c>
      <c r="AJ6" s="38">
        <v>8.3000000000000007</v>
      </c>
      <c r="AK6" s="34">
        <f t="shared" si="9"/>
        <v>197.95000000000002</v>
      </c>
      <c r="AL6" s="44">
        <f t="shared" si="10"/>
        <v>444.05</v>
      </c>
      <c r="AM6" s="54">
        <f t="shared" si="16"/>
        <v>20.081000000000131</v>
      </c>
      <c r="AN6" s="51">
        <f t="shared" si="11"/>
        <v>-1.6297039999999754</v>
      </c>
      <c r="AO6" s="51">
        <f t="shared" si="11"/>
        <v>2.3829999999520624E-3</v>
      </c>
      <c r="AP6" s="47">
        <f t="shared" si="17"/>
        <v>-1.4534712980413032E-2</v>
      </c>
      <c r="AQ6" s="48">
        <f t="shared" si="12"/>
        <v>-732.65190000000325</v>
      </c>
      <c r="AR6" s="49">
        <f t="shared" si="18"/>
        <v>20.081000000000131</v>
      </c>
      <c r="AS6" s="49"/>
    </row>
    <row r="7" spans="1:49" x14ac:dyDescent="0.25">
      <c r="A7" t="str">
        <f t="shared" si="13"/>
        <v>46144E</v>
      </c>
      <c r="B7" s="22">
        <f t="shared" ref="B7" si="22">+B6</f>
        <v>46144</v>
      </c>
      <c r="C7" s="23" t="s">
        <v>55</v>
      </c>
      <c r="D7" s="50">
        <f t="shared" ref="D7" si="23">AH6</f>
        <v>5350</v>
      </c>
      <c r="E7" s="34">
        <f t="shared" ref="E7" si="24">AI6</f>
        <v>3.7</v>
      </c>
      <c r="F7" s="34">
        <f t="shared" ref="F7" si="25">AJ6</f>
        <v>8.3000000000000007</v>
      </c>
      <c r="G7" s="34">
        <f t="shared" si="0"/>
        <v>197.95000000000002</v>
      </c>
      <c r="H7" s="35">
        <f t="shared" si="1"/>
        <v>444.05</v>
      </c>
      <c r="I7" s="26">
        <f t="shared" si="15"/>
        <v>1228.2</v>
      </c>
      <c r="J7" s="27">
        <v>1265.046</v>
      </c>
      <c r="K7" s="28">
        <v>3.7274059599413785</v>
      </c>
      <c r="L7" s="32">
        <v>8.3097215437225209</v>
      </c>
      <c r="M7" s="29"/>
      <c r="N7" s="30"/>
      <c r="O7" s="31"/>
      <c r="P7" s="28"/>
      <c r="Q7" s="32"/>
      <c r="R7" s="53">
        <f t="shared" ref="R7" si="26">O7+J7</f>
        <v>1265.046</v>
      </c>
      <c r="S7" s="34">
        <f t="shared" ref="S7" si="27">(J7*K7%)+(O7*P7%)</f>
        <v>47.153400000000019</v>
      </c>
      <c r="T7" s="35">
        <f t="shared" ref="T7" si="28">(J7*L7%)+(O7*Q7%)</f>
        <v>105.12179999999999</v>
      </c>
      <c r="U7" s="36"/>
      <c r="V7" s="37"/>
      <c r="W7" s="38"/>
      <c r="X7" s="39"/>
      <c r="Y7" s="40"/>
      <c r="Z7" s="40"/>
      <c r="AA7" s="34">
        <f t="shared" si="5"/>
        <v>0</v>
      </c>
      <c r="AB7" s="35">
        <f t="shared" si="6"/>
        <v>0</v>
      </c>
      <c r="AC7" s="271"/>
      <c r="AD7" s="145"/>
      <c r="AE7" s="145"/>
      <c r="AF7" s="34">
        <f t="shared" si="7"/>
        <v>0</v>
      </c>
      <c r="AG7" s="34">
        <f t="shared" si="8"/>
        <v>0</v>
      </c>
      <c r="AH7" s="43">
        <v>6600</v>
      </c>
      <c r="AI7" s="38">
        <v>3.72</v>
      </c>
      <c r="AJ7" s="38">
        <v>8.3000000000000007</v>
      </c>
      <c r="AK7" s="34">
        <f t="shared" si="9"/>
        <v>245.52000000000004</v>
      </c>
      <c r="AL7" s="44">
        <f t="shared" si="10"/>
        <v>547.80000000000007</v>
      </c>
      <c r="AM7" s="54">
        <f t="shared" si="16"/>
        <v>15.046000000000276</v>
      </c>
      <c r="AN7" s="51">
        <f t="shared" si="11"/>
        <v>-0.41660000000001673</v>
      </c>
      <c r="AO7" s="51">
        <f t="shared" si="11"/>
        <v>1.3717999999998938</v>
      </c>
      <c r="AP7" s="47">
        <f t="shared" si="17"/>
        <v>6.2728533602311931E-3</v>
      </c>
      <c r="AQ7" s="48">
        <f t="shared" si="12"/>
        <v>224.0699999999606</v>
      </c>
      <c r="AR7" s="49">
        <f t="shared" si="18"/>
        <v>15.046000000000276</v>
      </c>
      <c r="AS7" s="49"/>
    </row>
    <row r="8" spans="1:49" x14ac:dyDescent="0.25">
      <c r="A8" t="str">
        <f t="shared" si="13"/>
        <v>46145M</v>
      </c>
      <c r="B8" s="22">
        <v>46145</v>
      </c>
      <c r="C8" s="23" t="s">
        <v>54</v>
      </c>
      <c r="D8" s="50"/>
      <c r="E8" s="34"/>
      <c r="F8" s="34"/>
      <c r="G8" s="34">
        <f t="shared" ref="G8:G41" si="29">+D8*E8%</f>
        <v>0</v>
      </c>
      <c r="H8" s="35">
        <f t="shared" ref="H8:H41" si="30">+D8*F8%</f>
        <v>0</v>
      </c>
      <c r="I8" s="26">
        <f t="shared" si="15"/>
        <v>0</v>
      </c>
      <c r="J8" s="27"/>
      <c r="K8" s="28"/>
      <c r="L8" s="32"/>
      <c r="M8" s="29"/>
      <c r="N8" s="30"/>
      <c r="O8" s="31"/>
      <c r="P8" s="28"/>
      <c r="Q8" s="32"/>
      <c r="R8" s="53">
        <f t="shared" si="2"/>
        <v>0</v>
      </c>
      <c r="S8" s="34">
        <f t="shared" si="3"/>
        <v>0</v>
      </c>
      <c r="T8" s="35">
        <f t="shared" si="4"/>
        <v>0</v>
      </c>
      <c r="U8" s="36"/>
      <c r="V8" s="37"/>
      <c r="W8" s="38"/>
      <c r="X8" s="39"/>
      <c r="Y8" s="40"/>
      <c r="Z8" s="40"/>
      <c r="AA8" s="34">
        <f t="shared" si="5"/>
        <v>0</v>
      </c>
      <c r="AB8" s="35">
        <f t="shared" si="6"/>
        <v>0</v>
      </c>
      <c r="AC8" s="273"/>
      <c r="AD8" s="130"/>
      <c r="AE8" s="130"/>
      <c r="AF8" s="34">
        <f t="shared" si="7"/>
        <v>0</v>
      </c>
      <c r="AG8" s="34">
        <f t="shared" si="8"/>
        <v>0</v>
      </c>
      <c r="AH8" s="43"/>
      <c r="AI8" s="38"/>
      <c r="AJ8" s="38"/>
      <c r="AK8" s="34">
        <f t="shared" si="9"/>
        <v>0</v>
      </c>
      <c r="AL8" s="44">
        <f t="shared" si="10"/>
        <v>0</v>
      </c>
      <c r="AM8" s="45">
        <f t="shared" si="16"/>
        <v>0</v>
      </c>
      <c r="AN8" s="46">
        <f t="shared" si="11"/>
        <v>0</v>
      </c>
      <c r="AO8" s="46">
        <f t="shared" si="11"/>
        <v>0</v>
      </c>
      <c r="AP8" s="47" t="e">
        <f t="shared" si="17"/>
        <v>#DIV/0!</v>
      </c>
      <c r="AQ8" s="48">
        <f t="shared" si="12"/>
        <v>0</v>
      </c>
      <c r="AR8" s="49">
        <f t="shared" si="18"/>
        <v>0</v>
      </c>
      <c r="AS8" s="49"/>
    </row>
    <row r="9" spans="1:49" x14ac:dyDescent="0.25">
      <c r="A9" t="str">
        <f t="shared" si="13"/>
        <v>46145E</v>
      </c>
      <c r="B9" s="22">
        <f t="shared" ref="B9" si="31">+B8</f>
        <v>46145</v>
      </c>
      <c r="C9" s="23" t="s">
        <v>55</v>
      </c>
      <c r="D9" s="50">
        <f t="shared" ref="D9" si="32">AH8</f>
        <v>0</v>
      </c>
      <c r="E9" s="34">
        <f t="shared" ref="E9" si="33">AI8</f>
        <v>0</v>
      </c>
      <c r="F9" s="34">
        <f t="shared" ref="F9" si="34">AJ8</f>
        <v>0</v>
      </c>
      <c r="G9" s="34">
        <f t="shared" si="29"/>
        <v>0</v>
      </c>
      <c r="H9" s="35">
        <f t="shared" si="30"/>
        <v>0</v>
      </c>
      <c r="I9" s="26">
        <f t="shared" si="15"/>
        <v>0</v>
      </c>
      <c r="J9" s="27"/>
      <c r="K9" s="28"/>
      <c r="L9" s="32"/>
      <c r="M9" s="29"/>
      <c r="N9" s="30"/>
      <c r="O9" s="31"/>
      <c r="P9" s="28"/>
      <c r="Q9" s="32"/>
      <c r="R9" s="53">
        <f t="shared" si="2"/>
        <v>0</v>
      </c>
      <c r="S9" s="34">
        <f t="shared" si="3"/>
        <v>0</v>
      </c>
      <c r="T9" s="35">
        <f t="shared" si="4"/>
        <v>0</v>
      </c>
      <c r="U9" s="36"/>
      <c r="V9" s="37"/>
      <c r="W9" s="38"/>
      <c r="X9" s="39"/>
      <c r="Y9" s="40"/>
      <c r="Z9" s="40"/>
      <c r="AA9" s="34">
        <f t="shared" si="5"/>
        <v>0</v>
      </c>
      <c r="AB9" s="35">
        <f t="shared" si="6"/>
        <v>0</v>
      </c>
      <c r="AC9" s="273"/>
      <c r="AD9" s="130"/>
      <c r="AE9" s="130"/>
      <c r="AF9" s="34">
        <f t="shared" si="7"/>
        <v>0</v>
      </c>
      <c r="AG9" s="34">
        <f t="shared" si="8"/>
        <v>0</v>
      </c>
      <c r="AH9" s="43"/>
      <c r="AI9" s="38"/>
      <c r="AJ9" s="38"/>
      <c r="AK9" s="34">
        <f t="shared" si="9"/>
        <v>0</v>
      </c>
      <c r="AL9" s="44">
        <f t="shared" si="10"/>
        <v>0</v>
      </c>
      <c r="AM9" s="45">
        <f t="shared" si="16"/>
        <v>0</v>
      </c>
      <c r="AN9" s="46">
        <f t="shared" si="11"/>
        <v>0</v>
      </c>
      <c r="AO9" s="46">
        <f t="shared" si="11"/>
        <v>0</v>
      </c>
      <c r="AP9" s="47" t="e">
        <f t="shared" si="17"/>
        <v>#DIV/0!</v>
      </c>
      <c r="AQ9" s="48">
        <f t="shared" si="12"/>
        <v>0</v>
      </c>
      <c r="AR9" s="49">
        <f t="shared" si="18"/>
        <v>0</v>
      </c>
      <c r="AS9" s="49"/>
    </row>
    <row r="10" spans="1:49" x14ac:dyDescent="0.25">
      <c r="A10" t="str">
        <f t="shared" si="13"/>
        <v>46146M</v>
      </c>
      <c r="B10" s="22">
        <v>46146</v>
      </c>
      <c r="C10" s="23" t="s">
        <v>54</v>
      </c>
      <c r="D10" s="50">
        <f t="shared" ref="D10" si="35">AH9</f>
        <v>0</v>
      </c>
      <c r="E10" s="34">
        <f t="shared" ref="E10" si="36">AI9</f>
        <v>0</v>
      </c>
      <c r="F10" s="34">
        <f t="shared" ref="F10" si="37">AJ9</f>
        <v>0</v>
      </c>
      <c r="G10" s="34">
        <f t="shared" si="29"/>
        <v>0</v>
      </c>
      <c r="H10" s="35">
        <f t="shared" si="30"/>
        <v>0</v>
      </c>
      <c r="I10" s="26">
        <f t="shared" si="15"/>
        <v>0</v>
      </c>
      <c r="J10" s="27"/>
      <c r="K10" s="28"/>
      <c r="L10" s="32"/>
      <c r="M10" s="29"/>
      <c r="N10" s="30"/>
      <c r="O10" s="31"/>
      <c r="P10" s="28"/>
      <c r="Q10" s="32"/>
      <c r="R10" s="53">
        <f t="shared" si="2"/>
        <v>0</v>
      </c>
      <c r="S10" s="34">
        <f t="shared" si="3"/>
        <v>0</v>
      </c>
      <c r="T10" s="35">
        <f t="shared" si="4"/>
        <v>0</v>
      </c>
      <c r="U10" s="36"/>
      <c r="V10" s="37"/>
      <c r="W10" s="38"/>
      <c r="X10" s="39"/>
      <c r="Y10" s="40"/>
      <c r="Z10" s="40"/>
      <c r="AA10" s="34">
        <f t="shared" si="5"/>
        <v>0</v>
      </c>
      <c r="AB10" s="35">
        <f t="shared" si="6"/>
        <v>0</v>
      </c>
      <c r="AC10" s="302"/>
      <c r="AD10" s="292"/>
      <c r="AE10" s="292"/>
      <c r="AF10" s="34">
        <f t="shared" si="7"/>
        <v>0</v>
      </c>
      <c r="AG10" s="34">
        <f t="shared" si="8"/>
        <v>0</v>
      </c>
      <c r="AH10" s="43"/>
      <c r="AI10" s="38"/>
      <c r="AJ10" s="38"/>
      <c r="AK10" s="34">
        <f t="shared" si="9"/>
        <v>0</v>
      </c>
      <c r="AL10" s="44">
        <f t="shared" si="10"/>
        <v>0</v>
      </c>
      <c r="AM10" s="45">
        <f t="shared" si="16"/>
        <v>0</v>
      </c>
      <c r="AN10" s="46">
        <f t="shared" si="11"/>
        <v>0</v>
      </c>
      <c r="AO10" s="46">
        <f t="shared" si="11"/>
        <v>0</v>
      </c>
      <c r="AP10" s="47" t="e">
        <f t="shared" si="17"/>
        <v>#DIV/0!</v>
      </c>
      <c r="AQ10" s="48">
        <f t="shared" si="12"/>
        <v>0</v>
      </c>
      <c r="AR10" s="49">
        <f t="shared" si="18"/>
        <v>0</v>
      </c>
      <c r="AS10" s="49"/>
    </row>
    <row r="11" spans="1:49" x14ac:dyDescent="0.25">
      <c r="A11" t="str">
        <f t="shared" si="13"/>
        <v>46146E</v>
      </c>
      <c r="B11" s="22">
        <f t="shared" ref="B11" si="38">+B10</f>
        <v>46146</v>
      </c>
      <c r="C11" s="23" t="s">
        <v>55</v>
      </c>
      <c r="D11" s="50">
        <f t="shared" ref="D11" si="39">AH10</f>
        <v>0</v>
      </c>
      <c r="E11" s="34">
        <f t="shared" ref="E11" si="40">AI10</f>
        <v>0</v>
      </c>
      <c r="F11" s="34">
        <f t="shared" ref="F11" si="41">AJ10</f>
        <v>0</v>
      </c>
      <c r="G11" s="34">
        <f t="shared" si="29"/>
        <v>0</v>
      </c>
      <c r="H11" s="35">
        <f t="shared" si="30"/>
        <v>0</v>
      </c>
      <c r="I11" s="26">
        <f t="shared" si="15"/>
        <v>0</v>
      </c>
      <c r="J11" s="27"/>
      <c r="K11" s="28"/>
      <c r="L11" s="32"/>
      <c r="M11" s="29"/>
      <c r="N11" s="30"/>
      <c r="O11" s="31"/>
      <c r="P11" s="28"/>
      <c r="Q11" s="32"/>
      <c r="R11" s="53">
        <f t="shared" si="2"/>
        <v>0</v>
      </c>
      <c r="S11" s="34">
        <f t="shared" si="3"/>
        <v>0</v>
      </c>
      <c r="T11" s="35">
        <f t="shared" si="4"/>
        <v>0</v>
      </c>
      <c r="U11" s="36"/>
      <c r="V11" s="37"/>
      <c r="W11" s="38"/>
      <c r="X11" s="39"/>
      <c r="Y11" s="40"/>
      <c r="Z11" s="40"/>
      <c r="AA11" s="34">
        <f t="shared" si="5"/>
        <v>0</v>
      </c>
      <c r="AB11" s="35">
        <f t="shared" si="6"/>
        <v>0</v>
      </c>
      <c r="AC11" s="273"/>
      <c r="AD11" s="130"/>
      <c r="AE11" s="130"/>
      <c r="AF11" s="34">
        <f t="shared" si="7"/>
        <v>0</v>
      </c>
      <c r="AG11" s="34">
        <f t="shared" si="8"/>
        <v>0</v>
      </c>
      <c r="AH11" s="43"/>
      <c r="AI11" s="38"/>
      <c r="AJ11" s="38"/>
      <c r="AK11" s="34">
        <f t="shared" si="9"/>
        <v>0</v>
      </c>
      <c r="AL11" s="44">
        <f t="shared" si="10"/>
        <v>0</v>
      </c>
      <c r="AM11" s="45">
        <f t="shared" si="16"/>
        <v>0</v>
      </c>
      <c r="AN11" s="46">
        <f t="shared" si="11"/>
        <v>0</v>
      </c>
      <c r="AO11" s="46">
        <f t="shared" si="11"/>
        <v>0</v>
      </c>
      <c r="AP11" s="47" t="e">
        <f t="shared" si="17"/>
        <v>#DIV/0!</v>
      </c>
      <c r="AQ11" s="48">
        <f t="shared" si="12"/>
        <v>0</v>
      </c>
      <c r="AR11" s="49">
        <f t="shared" si="18"/>
        <v>0</v>
      </c>
      <c r="AS11" s="57"/>
    </row>
    <row r="12" spans="1:49" x14ac:dyDescent="0.25">
      <c r="A12" t="str">
        <f t="shared" si="13"/>
        <v>46147M</v>
      </c>
      <c r="B12" s="22">
        <v>46147</v>
      </c>
      <c r="C12" s="23" t="s">
        <v>54</v>
      </c>
      <c r="D12" s="50">
        <f t="shared" ref="D12" si="42">AH11</f>
        <v>0</v>
      </c>
      <c r="E12" s="34">
        <f t="shared" ref="E12" si="43">AI11</f>
        <v>0</v>
      </c>
      <c r="F12" s="34">
        <f t="shared" ref="F12" si="44">AJ11</f>
        <v>0</v>
      </c>
      <c r="G12" s="34">
        <f t="shared" si="29"/>
        <v>0</v>
      </c>
      <c r="H12" s="35">
        <f t="shared" si="30"/>
        <v>0</v>
      </c>
      <c r="I12" s="26">
        <f t="shared" si="15"/>
        <v>0</v>
      </c>
      <c r="J12" s="27"/>
      <c r="K12" s="28"/>
      <c r="L12" s="32"/>
      <c r="M12" s="29"/>
      <c r="N12" s="30"/>
      <c r="O12" s="31"/>
      <c r="P12" s="28"/>
      <c r="Q12" s="32"/>
      <c r="R12" s="53">
        <f t="shared" si="2"/>
        <v>0</v>
      </c>
      <c r="S12" s="34">
        <f t="shared" si="3"/>
        <v>0</v>
      </c>
      <c r="T12" s="35">
        <f t="shared" si="4"/>
        <v>0</v>
      </c>
      <c r="U12" s="36"/>
      <c r="V12" s="37"/>
      <c r="W12" s="38"/>
      <c r="X12" s="39"/>
      <c r="Y12" s="40"/>
      <c r="Z12" s="40"/>
      <c r="AA12" s="34">
        <f t="shared" si="5"/>
        <v>0</v>
      </c>
      <c r="AB12" s="35">
        <f t="shared" si="6"/>
        <v>0</v>
      </c>
      <c r="AC12" s="271"/>
      <c r="AD12" s="145"/>
      <c r="AE12" s="145"/>
      <c r="AF12" s="34">
        <f t="shared" si="7"/>
        <v>0</v>
      </c>
      <c r="AG12" s="34">
        <f t="shared" si="8"/>
        <v>0</v>
      </c>
      <c r="AH12" s="43"/>
      <c r="AI12" s="38"/>
      <c r="AJ12" s="38"/>
      <c r="AK12" s="34">
        <f t="shared" si="9"/>
        <v>0</v>
      </c>
      <c r="AL12" s="44">
        <f t="shared" si="10"/>
        <v>0</v>
      </c>
      <c r="AM12" s="45">
        <f t="shared" si="16"/>
        <v>0</v>
      </c>
      <c r="AN12" s="46">
        <f t="shared" si="11"/>
        <v>0</v>
      </c>
      <c r="AO12" s="46">
        <f t="shared" si="11"/>
        <v>0</v>
      </c>
      <c r="AP12" s="47" t="e">
        <f t="shared" si="17"/>
        <v>#DIV/0!</v>
      </c>
      <c r="AQ12" s="48">
        <f t="shared" si="12"/>
        <v>0</v>
      </c>
      <c r="AR12" s="49">
        <f t="shared" si="18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3"/>
        <v>46147E</v>
      </c>
      <c r="B13" s="22">
        <f t="shared" ref="B13" si="45">+B12</f>
        <v>46147</v>
      </c>
      <c r="C13" s="23" t="s">
        <v>55</v>
      </c>
      <c r="D13" s="50">
        <f t="shared" ref="D13" si="46">AH12</f>
        <v>0</v>
      </c>
      <c r="E13" s="34">
        <f t="shared" ref="E13" si="47">AI12</f>
        <v>0</v>
      </c>
      <c r="F13" s="34">
        <f t="shared" ref="F13" si="48">AJ12</f>
        <v>0</v>
      </c>
      <c r="G13" s="34">
        <f t="shared" si="29"/>
        <v>0</v>
      </c>
      <c r="H13" s="35">
        <f t="shared" si="30"/>
        <v>0</v>
      </c>
      <c r="I13" s="26">
        <f t="shared" si="15"/>
        <v>0</v>
      </c>
      <c r="J13" s="27"/>
      <c r="K13" s="28"/>
      <c r="L13" s="32"/>
      <c r="M13" s="29"/>
      <c r="N13" s="30"/>
      <c r="O13" s="31"/>
      <c r="P13" s="28"/>
      <c r="Q13" s="32"/>
      <c r="R13" s="53">
        <f t="shared" si="2"/>
        <v>0</v>
      </c>
      <c r="S13" s="34">
        <f t="shared" si="3"/>
        <v>0</v>
      </c>
      <c r="T13" s="35">
        <f t="shared" si="4"/>
        <v>0</v>
      </c>
      <c r="U13" s="132"/>
      <c r="V13" s="37"/>
      <c r="W13" s="38"/>
      <c r="X13" s="39"/>
      <c r="Y13" s="40"/>
      <c r="Z13" s="40"/>
      <c r="AA13" s="34">
        <f t="shared" si="5"/>
        <v>0</v>
      </c>
      <c r="AB13" s="35">
        <f t="shared" si="6"/>
        <v>0</v>
      </c>
      <c r="AC13" s="271"/>
      <c r="AD13" s="145"/>
      <c r="AE13" s="145"/>
      <c r="AF13" s="34">
        <f t="shared" si="7"/>
        <v>0</v>
      </c>
      <c r="AG13" s="34">
        <f t="shared" si="8"/>
        <v>0</v>
      </c>
      <c r="AH13" s="43"/>
      <c r="AI13" s="38"/>
      <c r="AJ13" s="38"/>
      <c r="AK13" s="34">
        <f t="shared" si="9"/>
        <v>0</v>
      </c>
      <c r="AL13" s="44">
        <f t="shared" si="10"/>
        <v>0</v>
      </c>
      <c r="AM13" s="45">
        <f t="shared" si="16"/>
        <v>0</v>
      </c>
      <c r="AN13" s="46">
        <f t="shared" si="11"/>
        <v>0</v>
      </c>
      <c r="AO13" s="46">
        <f t="shared" si="11"/>
        <v>0</v>
      </c>
      <c r="AP13" s="47" t="e">
        <f t="shared" si="17"/>
        <v>#DIV/0!</v>
      </c>
      <c r="AQ13" s="48">
        <f t="shared" si="12"/>
        <v>0</v>
      </c>
      <c r="AR13" s="49">
        <f t="shared" si="18"/>
        <v>0</v>
      </c>
      <c r="AS13" s="49">
        <f>SUM(J4:J13)</f>
        <v>4170.1610000000001</v>
      </c>
      <c r="AT13" s="58">
        <f>SUM(AM4:AM13)</f>
        <v>35.161000000000058</v>
      </c>
      <c r="AU13" s="58">
        <f t="shared" ref="AU13:AV13" si="49">SUM(AN4:AN13)</f>
        <v>-1.9258999999999844</v>
      </c>
      <c r="AV13" s="58">
        <f t="shared" si="49"/>
        <v>1.9591999999998393</v>
      </c>
      <c r="AW13" s="58">
        <f>-SUM(AQ4:AQ13)</f>
        <v>278.89500000004114</v>
      </c>
    </row>
    <row r="14" spans="1:49" x14ac:dyDescent="0.25">
      <c r="B14" s="22">
        <v>46148</v>
      </c>
      <c r="C14" s="23" t="s">
        <v>54</v>
      </c>
      <c r="D14" s="50">
        <f t="shared" ref="D14" si="50">AH13</f>
        <v>0</v>
      </c>
      <c r="E14" s="34">
        <f t="shared" ref="E14" si="51">AI13</f>
        <v>0</v>
      </c>
      <c r="F14" s="34">
        <f t="shared" ref="F14" si="52">AJ13</f>
        <v>0</v>
      </c>
      <c r="G14" s="34">
        <f t="shared" si="29"/>
        <v>0</v>
      </c>
      <c r="H14" s="35">
        <f t="shared" si="30"/>
        <v>0</v>
      </c>
      <c r="I14" s="26">
        <f t="shared" si="15"/>
        <v>0</v>
      </c>
      <c r="J14" s="27"/>
      <c r="K14" s="28"/>
      <c r="L14" s="32"/>
      <c r="M14" s="29"/>
      <c r="N14" s="30"/>
      <c r="O14" s="31"/>
      <c r="P14" s="28"/>
      <c r="Q14" s="32"/>
      <c r="R14" s="53">
        <f t="shared" ref="R14:R27" si="53">O14+J14</f>
        <v>0</v>
      </c>
      <c r="S14" s="34">
        <f t="shared" ref="S14:S27" si="54">(J14*K14%)+(O14*P14%)</f>
        <v>0</v>
      </c>
      <c r="T14" s="35">
        <f t="shared" ref="T14:T27" si="55">(J14*L14%)+(O14*Q14%)</f>
        <v>0</v>
      </c>
      <c r="U14" s="36"/>
      <c r="V14" s="37"/>
      <c r="W14" s="38"/>
      <c r="X14" s="39"/>
      <c r="Y14" s="40"/>
      <c r="Z14" s="40"/>
      <c r="AA14" s="34">
        <f t="shared" ref="AA14:AA27" si="56">X14*Y14%</f>
        <v>0</v>
      </c>
      <c r="AB14" s="35">
        <f t="shared" ref="AB14:AB27" si="57">X14*Z14%</f>
        <v>0</v>
      </c>
      <c r="AC14" s="271"/>
      <c r="AD14" s="145"/>
      <c r="AE14" s="145"/>
      <c r="AF14" s="34">
        <f t="shared" ref="AF14:AF27" si="58">AC14*AD14%</f>
        <v>0</v>
      </c>
      <c r="AG14" s="34">
        <f t="shared" ref="AG14:AG27" si="59">AC14*AE14%</f>
        <v>0</v>
      </c>
      <c r="AH14" s="43"/>
      <c r="AI14" s="38"/>
      <c r="AJ14" s="38"/>
      <c r="AK14" s="34">
        <f t="shared" si="9"/>
        <v>0</v>
      </c>
      <c r="AL14" s="44">
        <f t="shared" si="10"/>
        <v>0</v>
      </c>
      <c r="AM14" s="45">
        <f t="shared" si="16"/>
        <v>0</v>
      </c>
      <c r="AN14" s="46">
        <f t="shared" si="11"/>
        <v>0</v>
      </c>
      <c r="AO14" s="46">
        <f t="shared" si="11"/>
        <v>0</v>
      </c>
      <c r="AP14" s="47" t="e">
        <f t="shared" si="17"/>
        <v>#DIV/0!</v>
      </c>
      <c r="AQ14" s="48">
        <f t="shared" si="12"/>
        <v>0</v>
      </c>
      <c r="AR14" s="49">
        <f t="shared" si="18"/>
        <v>0</v>
      </c>
      <c r="AS14" s="49"/>
    </row>
    <row r="15" spans="1:49" x14ac:dyDescent="0.25">
      <c r="B15" s="22">
        <f t="shared" ref="B15" si="60">+B14</f>
        <v>46148</v>
      </c>
      <c r="C15" s="23" t="s">
        <v>55</v>
      </c>
      <c r="D15" s="50">
        <f t="shared" ref="D15" si="61">AH14</f>
        <v>0</v>
      </c>
      <c r="E15" s="34">
        <f t="shared" ref="E15" si="62">AI14</f>
        <v>0</v>
      </c>
      <c r="F15" s="34">
        <f t="shared" ref="F15" si="63">AJ14</f>
        <v>0</v>
      </c>
      <c r="G15" s="34">
        <f t="shared" si="29"/>
        <v>0</v>
      </c>
      <c r="H15" s="35">
        <f t="shared" si="30"/>
        <v>0</v>
      </c>
      <c r="I15" s="26">
        <f t="shared" si="15"/>
        <v>0</v>
      </c>
      <c r="J15" s="27"/>
      <c r="K15" s="28"/>
      <c r="L15" s="32"/>
      <c r="M15" s="29"/>
      <c r="N15" s="30"/>
      <c r="O15" s="31"/>
      <c r="P15" s="28"/>
      <c r="Q15" s="32"/>
      <c r="R15" s="53">
        <f t="shared" si="53"/>
        <v>0</v>
      </c>
      <c r="S15" s="34">
        <f t="shared" si="54"/>
        <v>0</v>
      </c>
      <c r="T15" s="35">
        <f t="shared" si="55"/>
        <v>0</v>
      </c>
      <c r="U15" s="36"/>
      <c r="V15" s="37"/>
      <c r="W15" s="38"/>
      <c r="X15" s="39"/>
      <c r="Y15" s="40"/>
      <c r="Z15" s="40"/>
      <c r="AA15" s="34">
        <f t="shared" si="56"/>
        <v>0</v>
      </c>
      <c r="AB15" s="35">
        <f t="shared" si="57"/>
        <v>0</v>
      </c>
      <c r="AC15" s="271"/>
      <c r="AD15" s="145"/>
      <c r="AE15" s="145"/>
      <c r="AF15" s="34">
        <f t="shared" si="58"/>
        <v>0</v>
      </c>
      <c r="AG15" s="34">
        <f t="shared" si="59"/>
        <v>0</v>
      </c>
      <c r="AH15" s="43"/>
      <c r="AI15" s="38"/>
      <c r="AJ15" s="38"/>
      <c r="AK15" s="34">
        <f t="shared" si="9"/>
        <v>0</v>
      </c>
      <c r="AL15" s="44">
        <f t="shared" si="10"/>
        <v>0</v>
      </c>
      <c r="AM15" s="45">
        <f t="shared" si="16"/>
        <v>0</v>
      </c>
      <c r="AN15" s="46">
        <f t="shared" si="11"/>
        <v>0</v>
      </c>
      <c r="AO15" s="46">
        <f t="shared" si="11"/>
        <v>0</v>
      </c>
      <c r="AP15" s="47" t="e">
        <f t="shared" si="17"/>
        <v>#DIV/0!</v>
      </c>
      <c r="AQ15" s="48">
        <f t="shared" si="12"/>
        <v>0</v>
      </c>
      <c r="AR15" s="49">
        <f t="shared" si="18"/>
        <v>0</v>
      </c>
      <c r="AS15" s="49"/>
    </row>
    <row r="16" spans="1:49" x14ac:dyDescent="0.25">
      <c r="B16" s="22">
        <v>46149</v>
      </c>
      <c r="C16" s="23" t="s">
        <v>54</v>
      </c>
      <c r="D16" s="50">
        <f t="shared" ref="D16" si="64">AH15</f>
        <v>0</v>
      </c>
      <c r="E16" s="34">
        <f t="shared" ref="E16" si="65">AI15</f>
        <v>0</v>
      </c>
      <c r="F16" s="34">
        <f t="shared" ref="F16" si="66">AJ15</f>
        <v>0</v>
      </c>
      <c r="G16" s="34">
        <f t="shared" si="29"/>
        <v>0</v>
      </c>
      <c r="H16" s="35">
        <f t="shared" si="30"/>
        <v>0</v>
      </c>
      <c r="I16" s="26">
        <f t="shared" si="15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53"/>
        <v>0</v>
      </c>
      <c r="S16" s="34">
        <f t="shared" si="54"/>
        <v>0</v>
      </c>
      <c r="T16" s="35">
        <f t="shared" si="55"/>
        <v>0</v>
      </c>
      <c r="U16" s="36"/>
      <c r="V16" s="37"/>
      <c r="W16" s="38"/>
      <c r="X16" s="39"/>
      <c r="Y16" s="40"/>
      <c r="Z16" s="40"/>
      <c r="AA16" s="34">
        <f t="shared" si="56"/>
        <v>0</v>
      </c>
      <c r="AB16" s="35">
        <f t="shared" si="57"/>
        <v>0</v>
      </c>
      <c r="AC16" s="273"/>
      <c r="AD16" s="130"/>
      <c r="AE16" s="130"/>
      <c r="AF16" s="34">
        <f t="shared" si="58"/>
        <v>0</v>
      </c>
      <c r="AG16" s="34">
        <f t="shared" si="59"/>
        <v>0</v>
      </c>
      <c r="AH16" s="43"/>
      <c r="AI16" s="38"/>
      <c r="AJ16" s="38"/>
      <c r="AK16" s="34">
        <f t="shared" si="9"/>
        <v>0</v>
      </c>
      <c r="AL16" s="44">
        <f t="shared" si="10"/>
        <v>0</v>
      </c>
      <c r="AM16" s="45">
        <f t="shared" si="16"/>
        <v>0</v>
      </c>
      <c r="AN16" s="46">
        <f t="shared" si="11"/>
        <v>0</v>
      </c>
      <c r="AO16" s="46">
        <f t="shared" si="11"/>
        <v>0</v>
      </c>
      <c r="AP16" s="47" t="e">
        <f t="shared" si="17"/>
        <v>#DIV/0!</v>
      </c>
      <c r="AQ16" s="48">
        <f t="shared" si="12"/>
        <v>0</v>
      </c>
      <c r="AR16" s="49">
        <f t="shared" si="18"/>
        <v>0</v>
      </c>
      <c r="AS16" s="49"/>
    </row>
    <row r="17" spans="1:49" x14ac:dyDescent="0.25">
      <c r="B17" s="22">
        <f t="shared" ref="B17" si="67">+B16</f>
        <v>46149</v>
      </c>
      <c r="C17" s="23" t="s">
        <v>55</v>
      </c>
      <c r="D17" s="50">
        <f t="shared" ref="D17" si="68">AH16</f>
        <v>0</v>
      </c>
      <c r="E17" s="34">
        <f t="shared" ref="E17" si="69">AI16</f>
        <v>0</v>
      </c>
      <c r="F17" s="34">
        <f t="shared" ref="F17" si="70">AJ16</f>
        <v>0</v>
      </c>
      <c r="G17" s="34">
        <f t="shared" si="29"/>
        <v>0</v>
      </c>
      <c r="H17" s="35">
        <f t="shared" si="30"/>
        <v>0</v>
      </c>
      <c r="I17" s="26">
        <f t="shared" si="15"/>
        <v>0</v>
      </c>
      <c r="J17" s="27"/>
      <c r="K17" s="28"/>
      <c r="L17" s="32"/>
      <c r="M17" s="29"/>
      <c r="N17" s="30"/>
      <c r="O17" s="31"/>
      <c r="P17" s="28"/>
      <c r="Q17" s="32"/>
      <c r="R17" s="53">
        <f t="shared" si="53"/>
        <v>0</v>
      </c>
      <c r="S17" s="34">
        <f t="shared" si="54"/>
        <v>0</v>
      </c>
      <c r="T17" s="35">
        <f t="shared" si="55"/>
        <v>0</v>
      </c>
      <c r="U17" s="36"/>
      <c r="V17" s="37"/>
      <c r="W17" s="38"/>
      <c r="X17" s="39"/>
      <c r="Y17" s="40"/>
      <c r="Z17" s="40"/>
      <c r="AA17" s="34">
        <f t="shared" si="56"/>
        <v>0</v>
      </c>
      <c r="AB17" s="35">
        <f t="shared" si="57"/>
        <v>0</v>
      </c>
      <c r="AC17" s="271"/>
      <c r="AD17" s="145"/>
      <c r="AE17" s="145"/>
      <c r="AF17" s="34">
        <f t="shared" si="58"/>
        <v>0</v>
      </c>
      <c r="AG17" s="34">
        <f t="shared" si="59"/>
        <v>0</v>
      </c>
      <c r="AH17" s="43"/>
      <c r="AI17" s="38"/>
      <c r="AJ17" s="38"/>
      <c r="AK17" s="34">
        <f t="shared" si="9"/>
        <v>0</v>
      </c>
      <c r="AL17" s="44">
        <f t="shared" si="10"/>
        <v>0</v>
      </c>
      <c r="AM17" s="45">
        <f t="shared" si="16"/>
        <v>0</v>
      </c>
      <c r="AN17" s="46">
        <f t="shared" si="11"/>
        <v>0</v>
      </c>
      <c r="AO17" s="46">
        <f t="shared" si="11"/>
        <v>0</v>
      </c>
      <c r="AP17" s="47" t="e">
        <f t="shared" si="17"/>
        <v>#DIV/0!</v>
      </c>
      <c r="AQ17" s="48">
        <f t="shared" si="12"/>
        <v>0</v>
      </c>
      <c r="AR17" s="49">
        <f t="shared" si="18"/>
        <v>0</v>
      </c>
      <c r="AS17" s="49"/>
    </row>
    <row r="18" spans="1:49" x14ac:dyDescent="0.25">
      <c r="B18" s="22">
        <v>46150</v>
      </c>
      <c r="C18" s="23" t="s">
        <v>54</v>
      </c>
      <c r="D18" s="50">
        <f t="shared" ref="D18" si="71">AH17</f>
        <v>0</v>
      </c>
      <c r="E18" s="34">
        <f t="shared" ref="E18" si="72">AI17</f>
        <v>0</v>
      </c>
      <c r="F18" s="34">
        <f t="shared" ref="F18" si="73">AJ17</f>
        <v>0</v>
      </c>
      <c r="G18" s="34">
        <f t="shared" si="29"/>
        <v>0</v>
      </c>
      <c r="H18" s="35">
        <f t="shared" si="30"/>
        <v>0</v>
      </c>
      <c r="I18" s="26">
        <f t="shared" si="15"/>
        <v>0</v>
      </c>
      <c r="J18" s="27"/>
      <c r="K18" s="28"/>
      <c r="L18" s="32"/>
      <c r="M18" s="29"/>
      <c r="N18" s="30"/>
      <c r="O18" s="31"/>
      <c r="P18" s="28"/>
      <c r="Q18" s="32"/>
      <c r="R18" s="53">
        <f t="shared" si="53"/>
        <v>0</v>
      </c>
      <c r="S18" s="34">
        <f t="shared" si="54"/>
        <v>0</v>
      </c>
      <c r="T18" s="35">
        <f t="shared" si="55"/>
        <v>0</v>
      </c>
      <c r="U18" s="36"/>
      <c r="V18" s="37"/>
      <c r="W18" s="38"/>
      <c r="X18" s="39"/>
      <c r="Y18" s="40"/>
      <c r="Z18" s="40"/>
      <c r="AA18" s="34">
        <f t="shared" si="56"/>
        <v>0</v>
      </c>
      <c r="AB18" s="35">
        <f t="shared" si="57"/>
        <v>0</v>
      </c>
      <c r="AC18" s="271"/>
      <c r="AD18" s="145"/>
      <c r="AE18" s="145"/>
      <c r="AF18" s="34">
        <f t="shared" si="58"/>
        <v>0</v>
      </c>
      <c r="AG18" s="34">
        <f t="shared" si="59"/>
        <v>0</v>
      </c>
      <c r="AH18" s="43"/>
      <c r="AI18" s="38"/>
      <c r="AJ18" s="38"/>
      <c r="AK18" s="34">
        <f t="shared" si="9"/>
        <v>0</v>
      </c>
      <c r="AL18" s="44">
        <f t="shared" si="10"/>
        <v>0</v>
      </c>
      <c r="AM18" s="45">
        <f t="shared" si="16"/>
        <v>0</v>
      </c>
      <c r="AN18" s="51">
        <f t="shared" si="11"/>
        <v>0</v>
      </c>
      <c r="AO18" s="51">
        <f t="shared" si="11"/>
        <v>0</v>
      </c>
      <c r="AP18" s="47" t="e">
        <f t="shared" si="17"/>
        <v>#DIV/0!</v>
      </c>
      <c r="AQ18" s="48">
        <f t="shared" si="12"/>
        <v>0</v>
      </c>
      <c r="AR18" s="49">
        <f t="shared" si="18"/>
        <v>0</v>
      </c>
      <c r="AS18" s="49"/>
    </row>
    <row r="19" spans="1:49" x14ac:dyDescent="0.25">
      <c r="B19" s="22">
        <f t="shared" ref="B19" si="74">+B18</f>
        <v>46150</v>
      </c>
      <c r="C19" s="23" t="s">
        <v>55</v>
      </c>
      <c r="D19" s="50">
        <f t="shared" ref="D19" si="75">AH18</f>
        <v>0</v>
      </c>
      <c r="E19" s="34">
        <f t="shared" ref="E19" si="76">AI18</f>
        <v>0</v>
      </c>
      <c r="F19" s="34">
        <f t="shared" ref="F19" si="77">AJ18</f>
        <v>0</v>
      </c>
      <c r="G19" s="34">
        <f t="shared" si="29"/>
        <v>0</v>
      </c>
      <c r="H19" s="35">
        <f t="shared" si="30"/>
        <v>0</v>
      </c>
      <c r="I19" s="26">
        <f t="shared" si="15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53"/>
        <v>0</v>
      </c>
      <c r="S19" s="34">
        <f t="shared" si="54"/>
        <v>0</v>
      </c>
      <c r="T19" s="35">
        <f t="shared" si="55"/>
        <v>0</v>
      </c>
      <c r="U19" s="36"/>
      <c r="V19" s="37"/>
      <c r="W19" s="38"/>
      <c r="X19" s="39"/>
      <c r="Y19" s="40"/>
      <c r="Z19" s="40"/>
      <c r="AA19" s="34">
        <f t="shared" si="56"/>
        <v>0</v>
      </c>
      <c r="AB19" s="35">
        <f t="shared" si="57"/>
        <v>0</v>
      </c>
      <c r="AC19" s="273"/>
      <c r="AD19" s="130"/>
      <c r="AE19" s="130"/>
      <c r="AF19" s="34">
        <f t="shared" si="58"/>
        <v>0</v>
      </c>
      <c r="AG19" s="34">
        <f t="shared" si="59"/>
        <v>0</v>
      </c>
      <c r="AH19" s="43"/>
      <c r="AI19" s="38"/>
      <c r="AJ19" s="38"/>
      <c r="AK19" s="34">
        <f t="shared" si="9"/>
        <v>0</v>
      </c>
      <c r="AL19" s="44">
        <f t="shared" si="10"/>
        <v>0</v>
      </c>
      <c r="AM19" s="45">
        <f t="shared" si="16"/>
        <v>0</v>
      </c>
      <c r="AN19" s="51">
        <f t="shared" si="11"/>
        <v>0</v>
      </c>
      <c r="AO19" s="51">
        <f t="shared" si="11"/>
        <v>0</v>
      </c>
      <c r="AP19" s="47" t="e">
        <f t="shared" si="17"/>
        <v>#DIV/0!</v>
      </c>
      <c r="AQ19" s="48">
        <f t="shared" si="12"/>
        <v>0</v>
      </c>
      <c r="AR19" s="49">
        <f t="shared" si="18"/>
        <v>0</v>
      </c>
      <c r="AS19" s="49"/>
    </row>
    <row r="20" spans="1:49" x14ac:dyDescent="0.25">
      <c r="B20" s="22">
        <v>46151</v>
      </c>
      <c r="C20" s="23" t="s">
        <v>54</v>
      </c>
      <c r="D20" s="50">
        <f t="shared" ref="D20" si="78">AH19</f>
        <v>0</v>
      </c>
      <c r="E20" s="34">
        <f t="shared" ref="E20" si="79">AI19</f>
        <v>0</v>
      </c>
      <c r="F20" s="34">
        <f t="shared" ref="F20" si="80">AJ19</f>
        <v>0</v>
      </c>
      <c r="G20" s="34">
        <f t="shared" ref="G20" si="81">+D20*E20%</f>
        <v>0</v>
      </c>
      <c r="H20" s="35">
        <f t="shared" si="30"/>
        <v>0</v>
      </c>
      <c r="I20" s="26">
        <f t="shared" si="15"/>
        <v>0</v>
      </c>
      <c r="J20" s="27"/>
      <c r="K20" s="28"/>
      <c r="L20" s="32"/>
      <c r="M20" s="29"/>
      <c r="N20" s="131"/>
      <c r="O20" s="31"/>
      <c r="P20" s="28"/>
      <c r="Q20" s="32"/>
      <c r="R20" s="53">
        <f t="shared" si="53"/>
        <v>0</v>
      </c>
      <c r="S20" s="34">
        <f t="shared" si="54"/>
        <v>0</v>
      </c>
      <c r="T20" s="35">
        <f t="shared" si="55"/>
        <v>0</v>
      </c>
      <c r="U20" s="36"/>
      <c r="V20" s="37"/>
      <c r="W20" s="38"/>
      <c r="X20" s="39"/>
      <c r="Y20" s="40"/>
      <c r="Z20" s="40"/>
      <c r="AA20" s="34">
        <f t="shared" si="56"/>
        <v>0</v>
      </c>
      <c r="AB20" s="35">
        <f t="shared" si="57"/>
        <v>0</v>
      </c>
      <c r="AC20" s="273"/>
      <c r="AD20" s="130"/>
      <c r="AE20" s="130"/>
      <c r="AF20" s="34">
        <f t="shared" si="58"/>
        <v>0</v>
      </c>
      <c r="AG20" s="34">
        <f t="shared" si="59"/>
        <v>0</v>
      </c>
      <c r="AH20" s="43"/>
      <c r="AI20" s="38"/>
      <c r="AJ20" s="38"/>
      <c r="AK20" s="34">
        <f t="shared" si="9"/>
        <v>0</v>
      </c>
      <c r="AL20" s="44">
        <f t="shared" si="10"/>
        <v>0</v>
      </c>
      <c r="AM20" s="45">
        <f t="shared" si="16"/>
        <v>0</v>
      </c>
      <c r="AN20" s="51">
        <f t="shared" ref="AN20:AO35" si="82">+G20+S20-AF20-AK20</f>
        <v>0</v>
      </c>
      <c r="AO20" s="51">
        <f t="shared" si="82"/>
        <v>0</v>
      </c>
      <c r="AP20" s="47" t="e">
        <f t="shared" si="17"/>
        <v>#DIV/0!</v>
      </c>
      <c r="AQ20" s="48">
        <f t="shared" si="12"/>
        <v>0</v>
      </c>
      <c r="AR20" s="49">
        <f t="shared" si="18"/>
        <v>0</v>
      </c>
      <c r="AS20" s="49"/>
    </row>
    <row r="21" spans="1:49" x14ac:dyDescent="0.25">
      <c r="B21" s="22">
        <f t="shared" ref="B21" si="83">+B20</f>
        <v>46151</v>
      </c>
      <c r="C21" s="23" t="s">
        <v>55</v>
      </c>
      <c r="D21" s="50">
        <f t="shared" ref="D21" si="84">AH20</f>
        <v>0</v>
      </c>
      <c r="E21" s="34">
        <f t="shared" ref="E21" si="85">AI20</f>
        <v>0</v>
      </c>
      <c r="F21" s="34">
        <f t="shared" ref="F21" si="86">AJ20</f>
        <v>0</v>
      </c>
      <c r="G21" s="34">
        <f t="shared" si="29"/>
        <v>0</v>
      </c>
      <c r="H21" s="35">
        <f t="shared" si="30"/>
        <v>0</v>
      </c>
      <c r="I21" s="26">
        <f t="shared" si="15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si="53"/>
        <v>0</v>
      </c>
      <c r="S21" s="34">
        <f t="shared" si="54"/>
        <v>0</v>
      </c>
      <c r="T21" s="35">
        <f t="shared" si="55"/>
        <v>0</v>
      </c>
      <c r="U21" s="36"/>
      <c r="V21" s="37"/>
      <c r="W21" s="38"/>
      <c r="X21" s="39"/>
      <c r="Y21" s="40"/>
      <c r="Z21" s="40"/>
      <c r="AA21" s="34">
        <f t="shared" si="56"/>
        <v>0</v>
      </c>
      <c r="AB21" s="35">
        <f t="shared" si="57"/>
        <v>0</v>
      </c>
      <c r="AC21" s="273"/>
      <c r="AD21" s="130"/>
      <c r="AE21" s="130"/>
      <c r="AF21" s="34">
        <f t="shared" si="58"/>
        <v>0</v>
      </c>
      <c r="AG21" s="34">
        <f t="shared" si="59"/>
        <v>0</v>
      </c>
      <c r="AH21" s="43"/>
      <c r="AI21" s="38"/>
      <c r="AJ21" s="38"/>
      <c r="AK21" s="34">
        <f t="shared" si="9"/>
        <v>0</v>
      </c>
      <c r="AL21" s="44">
        <f t="shared" si="10"/>
        <v>0</v>
      </c>
      <c r="AM21" s="45">
        <f t="shared" si="16"/>
        <v>0</v>
      </c>
      <c r="AN21" s="51">
        <f t="shared" si="82"/>
        <v>0</v>
      </c>
      <c r="AO21" s="51">
        <f t="shared" si="82"/>
        <v>0</v>
      </c>
      <c r="AP21" s="47" t="e">
        <f t="shared" si="17"/>
        <v>#DIV/0!</v>
      </c>
      <c r="AQ21" s="48">
        <f t="shared" si="12"/>
        <v>0</v>
      </c>
      <c r="AR21" s="49">
        <f t="shared" si="18"/>
        <v>0</v>
      </c>
      <c r="AS21" s="49"/>
    </row>
    <row r="22" spans="1:49" x14ac:dyDescent="0.25">
      <c r="B22" s="22">
        <v>46152</v>
      </c>
      <c r="C22" s="23" t="s">
        <v>54</v>
      </c>
      <c r="D22" s="50">
        <f t="shared" ref="D22" si="87">AH21</f>
        <v>0</v>
      </c>
      <c r="E22" s="34">
        <f t="shared" ref="E22" si="88">AI21</f>
        <v>0</v>
      </c>
      <c r="F22" s="34">
        <f t="shared" ref="F22" si="89">AJ21</f>
        <v>0</v>
      </c>
      <c r="G22" s="34">
        <f t="shared" si="29"/>
        <v>0</v>
      </c>
      <c r="H22" s="35">
        <f t="shared" si="30"/>
        <v>0</v>
      </c>
      <c r="I22" s="26">
        <f t="shared" si="15"/>
        <v>0</v>
      </c>
      <c r="J22" s="27"/>
      <c r="K22" s="28"/>
      <c r="L22" s="32"/>
      <c r="M22" s="29"/>
      <c r="N22" s="131"/>
      <c r="O22" s="31"/>
      <c r="P22" s="28"/>
      <c r="Q22" s="32"/>
      <c r="R22" s="53">
        <f t="shared" si="53"/>
        <v>0</v>
      </c>
      <c r="S22" s="34">
        <f t="shared" si="54"/>
        <v>0</v>
      </c>
      <c r="T22" s="35">
        <f t="shared" si="55"/>
        <v>0</v>
      </c>
      <c r="U22" s="36"/>
      <c r="V22" s="37"/>
      <c r="W22" s="38"/>
      <c r="X22" s="39"/>
      <c r="Y22" s="40"/>
      <c r="Z22" s="40"/>
      <c r="AA22" s="34">
        <f t="shared" si="56"/>
        <v>0</v>
      </c>
      <c r="AB22" s="35">
        <f t="shared" si="57"/>
        <v>0</v>
      </c>
      <c r="AC22" s="273"/>
      <c r="AD22" s="130"/>
      <c r="AE22" s="130"/>
      <c r="AF22" s="34">
        <f t="shared" si="58"/>
        <v>0</v>
      </c>
      <c r="AG22" s="34">
        <f t="shared" si="59"/>
        <v>0</v>
      </c>
      <c r="AH22" s="43"/>
      <c r="AI22" s="38"/>
      <c r="AJ22" s="38"/>
      <c r="AK22" s="34">
        <f t="shared" si="9"/>
        <v>0</v>
      </c>
      <c r="AL22" s="44">
        <f t="shared" si="10"/>
        <v>0</v>
      </c>
      <c r="AM22" s="45">
        <f t="shared" si="16"/>
        <v>0</v>
      </c>
      <c r="AN22" s="51">
        <f t="shared" si="82"/>
        <v>0</v>
      </c>
      <c r="AO22" s="51">
        <f t="shared" si="82"/>
        <v>0</v>
      </c>
      <c r="AP22" s="47" t="e">
        <f t="shared" si="17"/>
        <v>#DIV/0!</v>
      </c>
      <c r="AQ22" s="48">
        <f t="shared" si="12"/>
        <v>0</v>
      </c>
      <c r="AR22" s="49">
        <f t="shared" si="18"/>
        <v>0</v>
      </c>
      <c r="AS22" s="49"/>
    </row>
    <row r="23" spans="1:49" x14ac:dyDescent="0.25">
      <c r="B23" s="22">
        <f t="shared" ref="B23" si="90">+B22</f>
        <v>46152</v>
      </c>
      <c r="C23" s="23" t="s">
        <v>55</v>
      </c>
      <c r="D23" s="50">
        <f t="shared" ref="D23:F25" si="91">AH22</f>
        <v>0</v>
      </c>
      <c r="E23" s="34">
        <f t="shared" si="91"/>
        <v>0</v>
      </c>
      <c r="F23" s="34">
        <f t="shared" si="91"/>
        <v>0</v>
      </c>
      <c r="G23" s="34">
        <f t="shared" si="29"/>
        <v>0</v>
      </c>
      <c r="H23" s="35">
        <f t="shared" si="30"/>
        <v>0</v>
      </c>
      <c r="I23" s="26">
        <f t="shared" si="15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53"/>
        <v>0</v>
      </c>
      <c r="S23" s="34">
        <f t="shared" si="54"/>
        <v>0</v>
      </c>
      <c r="T23" s="35">
        <f t="shared" si="55"/>
        <v>0</v>
      </c>
      <c r="U23" s="36"/>
      <c r="V23" s="37"/>
      <c r="W23" s="38"/>
      <c r="X23" s="39"/>
      <c r="Y23" s="40"/>
      <c r="Z23" s="40"/>
      <c r="AA23" s="34">
        <f t="shared" si="56"/>
        <v>0</v>
      </c>
      <c r="AB23" s="35">
        <f t="shared" si="57"/>
        <v>0</v>
      </c>
      <c r="AC23" s="271"/>
      <c r="AD23" s="145"/>
      <c r="AE23" s="145"/>
      <c r="AF23" s="34">
        <f t="shared" si="58"/>
        <v>0</v>
      </c>
      <c r="AG23" s="34">
        <f t="shared" si="59"/>
        <v>0</v>
      </c>
      <c r="AH23" s="43"/>
      <c r="AI23" s="38"/>
      <c r="AJ23" s="38"/>
      <c r="AK23" s="34">
        <f t="shared" si="9"/>
        <v>0</v>
      </c>
      <c r="AL23" s="44">
        <f t="shared" si="10"/>
        <v>0</v>
      </c>
      <c r="AM23" s="45">
        <f t="shared" si="16"/>
        <v>0</v>
      </c>
      <c r="AN23" s="51">
        <f t="shared" si="82"/>
        <v>0</v>
      </c>
      <c r="AO23" s="51">
        <f t="shared" si="82"/>
        <v>0</v>
      </c>
      <c r="AP23" s="47" t="e">
        <f t="shared" si="17"/>
        <v>#DIV/0!</v>
      </c>
      <c r="AQ23" s="48">
        <f t="shared" si="12"/>
        <v>0</v>
      </c>
      <c r="AR23" s="49">
        <f t="shared" si="18"/>
        <v>0</v>
      </c>
      <c r="AS23" s="49"/>
    </row>
    <row r="24" spans="1:49" x14ac:dyDescent="0.25">
      <c r="A24">
        <v>1650</v>
      </c>
      <c r="B24" s="22">
        <v>46153</v>
      </c>
      <c r="C24" s="23" t="s">
        <v>54</v>
      </c>
      <c r="D24" s="50">
        <f t="shared" ref="D24" si="92">AH23</f>
        <v>0</v>
      </c>
      <c r="E24" s="34">
        <f t="shared" ref="E24" si="93">AI23</f>
        <v>0</v>
      </c>
      <c r="F24" s="34">
        <f t="shared" ref="F24" si="94">AJ23</f>
        <v>0</v>
      </c>
      <c r="G24" s="34">
        <f t="shared" si="29"/>
        <v>0</v>
      </c>
      <c r="H24" s="35">
        <f t="shared" si="30"/>
        <v>0</v>
      </c>
      <c r="I24" s="26">
        <f t="shared" si="15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53"/>
        <v>0</v>
      </c>
      <c r="S24" s="34">
        <f t="shared" si="54"/>
        <v>0</v>
      </c>
      <c r="T24" s="35">
        <f t="shared" si="55"/>
        <v>0</v>
      </c>
      <c r="U24" s="36"/>
      <c r="V24" s="37"/>
      <c r="W24" s="38"/>
      <c r="X24" s="39"/>
      <c r="Y24" s="40"/>
      <c r="Z24" s="40"/>
      <c r="AA24" s="34">
        <f t="shared" si="56"/>
        <v>0</v>
      </c>
      <c r="AB24" s="35">
        <f t="shared" si="57"/>
        <v>0</v>
      </c>
      <c r="AC24" s="273"/>
      <c r="AD24" s="130"/>
      <c r="AE24" s="130"/>
      <c r="AF24" s="34">
        <f t="shared" si="58"/>
        <v>0</v>
      </c>
      <c r="AG24" s="34">
        <f t="shared" si="59"/>
        <v>0</v>
      </c>
      <c r="AH24" s="43"/>
      <c r="AI24" s="38"/>
      <c r="AJ24" s="38"/>
      <c r="AK24" s="34">
        <f t="shared" si="9"/>
        <v>0</v>
      </c>
      <c r="AL24" s="44">
        <f t="shared" si="10"/>
        <v>0</v>
      </c>
      <c r="AM24" s="45">
        <f t="shared" si="16"/>
        <v>0</v>
      </c>
      <c r="AN24" s="51">
        <f t="shared" si="82"/>
        <v>0</v>
      </c>
      <c r="AO24" s="51">
        <f t="shared" si="82"/>
        <v>0</v>
      </c>
      <c r="AP24" s="47" t="e">
        <f t="shared" si="17"/>
        <v>#DIV/0!</v>
      </c>
      <c r="AQ24" s="48">
        <f t="shared" si="12"/>
        <v>0</v>
      </c>
      <c r="AR24" s="49">
        <f t="shared" si="18"/>
        <v>0</v>
      </c>
      <c r="AS24" s="49"/>
    </row>
    <row r="25" spans="1:49" x14ac:dyDescent="0.25">
      <c r="B25" s="22">
        <f t="shared" ref="B25" si="95">+B24</f>
        <v>46153</v>
      </c>
      <c r="C25" s="23" t="s">
        <v>55</v>
      </c>
      <c r="D25" s="50">
        <f t="shared" si="91"/>
        <v>0</v>
      </c>
      <c r="E25" s="34">
        <f t="shared" si="91"/>
        <v>0</v>
      </c>
      <c r="F25" s="34">
        <f t="shared" si="91"/>
        <v>0</v>
      </c>
      <c r="G25" s="34">
        <f t="shared" si="29"/>
        <v>0</v>
      </c>
      <c r="H25" s="35">
        <f t="shared" si="30"/>
        <v>0</v>
      </c>
      <c r="I25" s="26">
        <f t="shared" si="15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53"/>
        <v>0</v>
      </c>
      <c r="S25" s="34">
        <f t="shared" si="54"/>
        <v>0</v>
      </c>
      <c r="T25" s="35">
        <f t="shared" si="55"/>
        <v>0</v>
      </c>
      <c r="U25" s="36"/>
      <c r="V25" s="37"/>
      <c r="W25" s="38"/>
      <c r="X25" s="39"/>
      <c r="Y25" s="40"/>
      <c r="Z25" s="40"/>
      <c r="AA25" s="34">
        <f t="shared" si="56"/>
        <v>0</v>
      </c>
      <c r="AB25" s="35">
        <f t="shared" si="57"/>
        <v>0</v>
      </c>
      <c r="AC25" s="273"/>
      <c r="AD25" s="130"/>
      <c r="AE25" s="130"/>
      <c r="AF25" s="34">
        <f t="shared" si="58"/>
        <v>0</v>
      </c>
      <c r="AG25" s="34">
        <f t="shared" si="59"/>
        <v>0</v>
      </c>
      <c r="AH25" s="43"/>
      <c r="AI25" s="38"/>
      <c r="AJ25" s="38"/>
      <c r="AK25" s="34">
        <f t="shared" si="9"/>
        <v>0</v>
      </c>
      <c r="AL25" s="44">
        <f t="shared" si="10"/>
        <v>0</v>
      </c>
      <c r="AM25" s="45">
        <f t="shared" si="16"/>
        <v>0</v>
      </c>
      <c r="AN25" s="51">
        <f t="shared" si="82"/>
        <v>0</v>
      </c>
      <c r="AO25" s="51">
        <f t="shared" si="82"/>
        <v>0</v>
      </c>
      <c r="AP25" s="47" t="e">
        <f t="shared" si="17"/>
        <v>#DIV/0!</v>
      </c>
      <c r="AQ25" s="48">
        <f t="shared" si="12"/>
        <v>0</v>
      </c>
      <c r="AR25" s="49">
        <f t="shared" si="18"/>
        <v>0</v>
      </c>
      <c r="AS25" s="49"/>
    </row>
    <row r="26" spans="1:49" x14ac:dyDescent="0.25">
      <c r="B26" s="22">
        <v>46154</v>
      </c>
      <c r="C26" s="23" t="s">
        <v>54</v>
      </c>
      <c r="D26" s="50">
        <f t="shared" ref="D26" si="96">AH25</f>
        <v>0</v>
      </c>
      <c r="E26" s="34">
        <f t="shared" ref="E26" si="97">AI25</f>
        <v>0</v>
      </c>
      <c r="F26" s="34">
        <f t="shared" ref="F26" si="98">AJ25</f>
        <v>0</v>
      </c>
      <c r="G26" s="34">
        <f t="shared" si="29"/>
        <v>0</v>
      </c>
      <c r="H26" s="35">
        <f t="shared" si="30"/>
        <v>0</v>
      </c>
      <c r="I26" s="26">
        <f t="shared" si="15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si="53"/>
        <v>0</v>
      </c>
      <c r="S26" s="34">
        <f t="shared" si="54"/>
        <v>0</v>
      </c>
      <c r="T26" s="35">
        <f t="shared" si="55"/>
        <v>0</v>
      </c>
      <c r="U26" s="36"/>
      <c r="V26" s="37"/>
      <c r="W26" s="38"/>
      <c r="X26" s="39"/>
      <c r="Y26" s="40"/>
      <c r="Z26" s="40"/>
      <c r="AA26" s="34">
        <f t="shared" si="56"/>
        <v>0</v>
      </c>
      <c r="AB26" s="35">
        <f t="shared" si="57"/>
        <v>0</v>
      </c>
      <c r="AC26" s="273"/>
      <c r="AD26" s="130"/>
      <c r="AE26" s="130"/>
      <c r="AF26" s="34">
        <f t="shared" si="58"/>
        <v>0</v>
      </c>
      <c r="AG26" s="34">
        <f t="shared" si="59"/>
        <v>0</v>
      </c>
      <c r="AH26" s="43"/>
      <c r="AI26" s="38"/>
      <c r="AJ26" s="38"/>
      <c r="AK26" s="34">
        <f t="shared" si="9"/>
        <v>0</v>
      </c>
      <c r="AL26" s="44">
        <f t="shared" si="10"/>
        <v>0</v>
      </c>
      <c r="AM26" s="45">
        <f t="shared" si="16"/>
        <v>0</v>
      </c>
      <c r="AN26" s="51">
        <f t="shared" si="82"/>
        <v>0</v>
      </c>
      <c r="AO26" s="51">
        <f t="shared" si="82"/>
        <v>0</v>
      </c>
      <c r="AP26" s="47" t="e">
        <f t="shared" si="17"/>
        <v>#DIV/0!</v>
      </c>
      <c r="AQ26" s="48">
        <f t="shared" si="12"/>
        <v>0</v>
      </c>
      <c r="AR26" s="49">
        <f t="shared" si="18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1:49" x14ac:dyDescent="0.25">
      <c r="B27" s="22">
        <f t="shared" ref="B27" si="99">+B26</f>
        <v>46154</v>
      </c>
      <c r="C27" s="23" t="s">
        <v>55</v>
      </c>
      <c r="D27" s="50">
        <f t="shared" ref="D27" si="100">AH26</f>
        <v>0</v>
      </c>
      <c r="E27" s="34">
        <f t="shared" ref="E27" si="101">AI26</f>
        <v>0</v>
      </c>
      <c r="F27" s="34">
        <f t="shared" ref="F27" si="102">AJ26</f>
        <v>0</v>
      </c>
      <c r="G27" s="34">
        <f t="shared" si="29"/>
        <v>0</v>
      </c>
      <c r="H27" s="35">
        <f t="shared" si="30"/>
        <v>0</v>
      </c>
      <c r="I27" s="26">
        <f t="shared" si="15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53"/>
        <v>0</v>
      </c>
      <c r="S27" s="34">
        <f t="shared" si="54"/>
        <v>0</v>
      </c>
      <c r="T27" s="35">
        <f t="shared" si="55"/>
        <v>0</v>
      </c>
      <c r="U27" s="36"/>
      <c r="V27" s="37"/>
      <c r="W27" s="38"/>
      <c r="X27" s="39"/>
      <c r="Y27" s="40"/>
      <c r="Z27" s="40"/>
      <c r="AA27" s="34">
        <f t="shared" si="56"/>
        <v>0</v>
      </c>
      <c r="AB27" s="35">
        <f t="shared" si="57"/>
        <v>0</v>
      </c>
      <c r="AC27" s="271"/>
      <c r="AD27" s="145"/>
      <c r="AE27" s="145"/>
      <c r="AF27" s="34">
        <f t="shared" si="58"/>
        <v>0</v>
      </c>
      <c r="AG27" s="34">
        <f t="shared" si="59"/>
        <v>0</v>
      </c>
      <c r="AH27" s="43"/>
      <c r="AI27" s="38"/>
      <c r="AJ27" s="38"/>
      <c r="AK27" s="34">
        <f t="shared" si="9"/>
        <v>0</v>
      </c>
      <c r="AL27" s="44">
        <f t="shared" si="10"/>
        <v>0</v>
      </c>
      <c r="AM27" s="45">
        <f t="shared" si="16"/>
        <v>0</v>
      </c>
      <c r="AN27" s="51">
        <f t="shared" si="82"/>
        <v>0</v>
      </c>
      <c r="AO27" s="51">
        <f t="shared" si="82"/>
        <v>0</v>
      </c>
      <c r="AP27" s="47" t="e">
        <f t="shared" si="17"/>
        <v>#DIV/0!</v>
      </c>
      <c r="AQ27" s="48">
        <f t="shared" si="12"/>
        <v>0</v>
      </c>
      <c r="AR27" s="49">
        <f t="shared" si="18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1:49" x14ac:dyDescent="0.25">
      <c r="B28" s="22">
        <v>46155</v>
      </c>
      <c r="C28" s="23" t="s">
        <v>54</v>
      </c>
      <c r="D28" s="50">
        <f t="shared" ref="D28" si="103">AH27</f>
        <v>0</v>
      </c>
      <c r="E28" s="34">
        <f t="shared" ref="E28" si="104">AI27</f>
        <v>0</v>
      </c>
      <c r="F28" s="34">
        <f t="shared" ref="F28" si="105">AJ27</f>
        <v>0</v>
      </c>
      <c r="G28" s="34">
        <f t="shared" si="29"/>
        <v>0</v>
      </c>
      <c r="H28" s="35">
        <f t="shared" si="30"/>
        <v>0</v>
      </c>
      <c r="I28" s="26">
        <f t="shared" si="15"/>
        <v>0</v>
      </c>
      <c r="J28" s="27"/>
      <c r="K28" s="28"/>
      <c r="L28" s="32"/>
      <c r="M28" s="29"/>
      <c r="N28" s="30"/>
      <c r="O28" s="31"/>
      <c r="P28" s="28"/>
      <c r="Q28" s="32"/>
      <c r="R28" s="53">
        <f t="shared" ref="R28:R41" si="106">O28+J28</f>
        <v>0</v>
      </c>
      <c r="S28" s="34">
        <f t="shared" ref="S28:S41" si="107">(J28*K28%)+(O28*P28%)</f>
        <v>0</v>
      </c>
      <c r="T28" s="35">
        <f t="shared" ref="T28:T41" si="108">(J28*L28%)+(O28*Q28%)</f>
        <v>0</v>
      </c>
      <c r="U28" s="36"/>
      <c r="V28" s="37"/>
      <c r="W28" s="38"/>
      <c r="X28" s="39"/>
      <c r="Y28" s="40"/>
      <c r="Z28" s="40"/>
      <c r="AA28" s="34">
        <f t="shared" ref="AA28:AA40" si="109">X28*Y28%</f>
        <v>0</v>
      </c>
      <c r="AB28" s="35">
        <f t="shared" ref="AB28:AB40" si="110">X28*Z28%</f>
        <v>0</v>
      </c>
      <c r="AC28" s="273"/>
      <c r="AD28" s="130"/>
      <c r="AE28" s="130"/>
      <c r="AF28" s="34">
        <f t="shared" ref="AF28:AF41" si="111">AC28*AD28%</f>
        <v>0</v>
      </c>
      <c r="AG28" s="34">
        <f t="shared" ref="AG28:AG41" si="112">AC28*AE28%</f>
        <v>0</v>
      </c>
      <c r="AH28" s="43"/>
      <c r="AI28" s="38"/>
      <c r="AJ28" s="38"/>
      <c r="AK28" s="34">
        <f t="shared" si="9"/>
        <v>0</v>
      </c>
      <c r="AL28" s="44">
        <f t="shared" si="10"/>
        <v>0</v>
      </c>
      <c r="AM28" s="45">
        <f t="shared" si="16"/>
        <v>0</v>
      </c>
      <c r="AN28" s="46">
        <f t="shared" si="82"/>
        <v>0</v>
      </c>
      <c r="AO28" s="46">
        <f t="shared" si="82"/>
        <v>0</v>
      </c>
      <c r="AP28" s="47" t="e">
        <f t="shared" si="17"/>
        <v>#DIV/0!</v>
      </c>
      <c r="AQ28" s="48">
        <f t="shared" si="12"/>
        <v>0</v>
      </c>
      <c r="AR28" s="49">
        <f t="shared" si="18"/>
        <v>0</v>
      </c>
    </row>
    <row r="29" spans="1:49" x14ac:dyDescent="0.25">
      <c r="B29" s="22">
        <f t="shared" ref="B29" si="113">+B28</f>
        <v>46155</v>
      </c>
      <c r="C29" s="23" t="s">
        <v>55</v>
      </c>
      <c r="D29" s="50">
        <f t="shared" ref="D29" si="114">AH28</f>
        <v>0</v>
      </c>
      <c r="E29" s="34">
        <f t="shared" ref="E29" si="115">AI28</f>
        <v>0</v>
      </c>
      <c r="F29" s="34">
        <f t="shared" ref="F29" si="116">AJ28</f>
        <v>0</v>
      </c>
      <c r="G29" s="34">
        <f t="shared" si="29"/>
        <v>0</v>
      </c>
      <c r="H29" s="35">
        <f t="shared" si="30"/>
        <v>0</v>
      </c>
      <c r="I29" s="26">
        <f t="shared" si="15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106"/>
        <v>0</v>
      </c>
      <c r="S29" s="34">
        <f t="shared" si="107"/>
        <v>0</v>
      </c>
      <c r="T29" s="35">
        <f t="shared" si="108"/>
        <v>0</v>
      </c>
      <c r="U29" s="36"/>
      <c r="V29" s="37"/>
      <c r="W29" s="38"/>
      <c r="X29" s="39"/>
      <c r="Y29" s="40"/>
      <c r="Z29" s="40"/>
      <c r="AA29" s="34">
        <f t="shared" si="109"/>
        <v>0</v>
      </c>
      <c r="AB29" s="35">
        <f t="shared" si="110"/>
        <v>0</v>
      </c>
      <c r="AC29" s="273"/>
      <c r="AD29" s="130"/>
      <c r="AE29" s="130"/>
      <c r="AF29" s="34">
        <f t="shared" si="111"/>
        <v>0</v>
      </c>
      <c r="AG29" s="34">
        <f t="shared" si="112"/>
        <v>0</v>
      </c>
      <c r="AH29" s="43"/>
      <c r="AI29" s="38"/>
      <c r="AJ29" s="38"/>
      <c r="AK29" s="34">
        <f t="shared" si="9"/>
        <v>0</v>
      </c>
      <c r="AL29" s="44">
        <f t="shared" si="10"/>
        <v>0</v>
      </c>
      <c r="AM29" s="45">
        <f t="shared" si="16"/>
        <v>0</v>
      </c>
      <c r="AN29" s="46">
        <f t="shared" si="82"/>
        <v>0</v>
      </c>
      <c r="AO29" s="46">
        <f t="shared" si="82"/>
        <v>0</v>
      </c>
      <c r="AP29" s="47" t="e">
        <f t="shared" si="17"/>
        <v>#DIV/0!</v>
      </c>
      <c r="AQ29" s="48">
        <f t="shared" si="12"/>
        <v>0</v>
      </c>
      <c r="AR29" s="49">
        <f t="shared" si="18"/>
        <v>0</v>
      </c>
    </row>
    <row r="30" spans="1:49" x14ac:dyDescent="0.25">
      <c r="B30" s="22">
        <v>46156</v>
      </c>
      <c r="C30" s="23" t="s">
        <v>54</v>
      </c>
      <c r="D30" s="50">
        <f t="shared" ref="D30" si="117">AH29</f>
        <v>0</v>
      </c>
      <c r="E30" s="34">
        <f t="shared" ref="E30" si="118">AI29</f>
        <v>0</v>
      </c>
      <c r="F30" s="34">
        <f t="shared" ref="F30" si="119">AJ29</f>
        <v>0</v>
      </c>
      <c r="G30" s="34">
        <f t="shared" si="29"/>
        <v>0</v>
      </c>
      <c r="H30" s="35">
        <f t="shared" si="30"/>
        <v>0</v>
      </c>
      <c r="I30" s="26">
        <f t="shared" si="15"/>
        <v>0</v>
      </c>
      <c r="J30" s="134"/>
      <c r="K30" s="135"/>
      <c r="L30" s="136"/>
      <c r="M30" s="29"/>
      <c r="N30" s="131"/>
      <c r="O30" s="31"/>
      <c r="P30" s="28"/>
      <c r="Q30" s="32"/>
      <c r="R30" s="53">
        <f t="shared" si="106"/>
        <v>0</v>
      </c>
      <c r="S30" s="34">
        <f t="shared" si="107"/>
        <v>0</v>
      </c>
      <c r="T30" s="35">
        <f t="shared" si="108"/>
        <v>0</v>
      </c>
      <c r="U30" s="36"/>
      <c r="V30" s="37"/>
      <c r="W30" s="38"/>
      <c r="X30" s="39"/>
      <c r="Y30" s="40"/>
      <c r="Z30" s="40"/>
      <c r="AA30" s="34">
        <f t="shared" si="109"/>
        <v>0</v>
      </c>
      <c r="AB30" s="35">
        <f t="shared" si="110"/>
        <v>0</v>
      </c>
      <c r="AC30" s="271"/>
      <c r="AD30" s="145"/>
      <c r="AE30" s="145"/>
      <c r="AF30" s="34">
        <f t="shared" si="111"/>
        <v>0</v>
      </c>
      <c r="AG30" s="34">
        <f t="shared" si="112"/>
        <v>0</v>
      </c>
      <c r="AH30" s="43"/>
      <c r="AI30" s="38"/>
      <c r="AJ30" s="38"/>
      <c r="AK30" s="34">
        <f t="shared" si="9"/>
        <v>0</v>
      </c>
      <c r="AL30" s="44">
        <f t="shared" si="10"/>
        <v>0</v>
      </c>
      <c r="AM30" s="45">
        <f t="shared" ref="AM30" si="120">+D30+R30-AC30-AH30</f>
        <v>0</v>
      </c>
      <c r="AN30" s="46">
        <f t="shared" ref="AN30" si="121">+G30+S30-AF30-AK30</f>
        <v>0</v>
      </c>
      <c r="AO30" s="46">
        <f t="shared" ref="AO30" si="122">+H30+T30-AG30-AL30</f>
        <v>0</v>
      </c>
      <c r="AP30" s="47" t="e">
        <f t="shared" si="17"/>
        <v>#DIV/0!</v>
      </c>
      <c r="AQ30" s="48">
        <f t="shared" si="12"/>
        <v>0</v>
      </c>
      <c r="AR30" s="49">
        <f t="shared" si="18"/>
        <v>0</v>
      </c>
    </row>
    <row r="31" spans="1:49" x14ac:dyDescent="0.25">
      <c r="B31" s="22">
        <f t="shared" ref="B31" si="123">+B30</f>
        <v>46156</v>
      </c>
      <c r="C31" s="23" t="s">
        <v>55</v>
      </c>
      <c r="D31" s="50">
        <f t="shared" ref="D31" si="124">AH30</f>
        <v>0</v>
      </c>
      <c r="E31" s="34">
        <f t="shared" ref="E31" si="125">AI30</f>
        <v>0</v>
      </c>
      <c r="F31" s="34">
        <f t="shared" ref="F31" si="126">AJ30</f>
        <v>0</v>
      </c>
      <c r="G31" s="34">
        <f t="shared" si="29"/>
        <v>0</v>
      </c>
      <c r="H31" s="35">
        <f t="shared" si="30"/>
        <v>0</v>
      </c>
      <c r="I31" s="26">
        <f t="shared" si="15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106"/>
        <v>0</v>
      </c>
      <c r="S31" s="34">
        <f t="shared" si="107"/>
        <v>0</v>
      </c>
      <c r="T31" s="35">
        <f t="shared" si="108"/>
        <v>0</v>
      </c>
      <c r="U31" s="36"/>
      <c r="V31" s="37"/>
      <c r="W31" s="38"/>
      <c r="X31" s="39"/>
      <c r="Y31" s="40"/>
      <c r="Z31" s="40"/>
      <c r="AA31" s="34">
        <f t="shared" si="109"/>
        <v>0</v>
      </c>
      <c r="AB31" s="35">
        <f t="shared" si="110"/>
        <v>0</v>
      </c>
      <c r="AC31" s="273"/>
      <c r="AD31" s="130"/>
      <c r="AE31" s="130"/>
      <c r="AF31" s="34">
        <f t="shared" si="111"/>
        <v>0</v>
      </c>
      <c r="AG31" s="34">
        <f t="shared" si="112"/>
        <v>0</v>
      </c>
      <c r="AH31" s="43"/>
      <c r="AI31" s="38"/>
      <c r="AJ31" s="38"/>
      <c r="AK31" s="34">
        <f t="shared" si="9"/>
        <v>0</v>
      </c>
      <c r="AL31" s="44">
        <f t="shared" si="10"/>
        <v>0</v>
      </c>
      <c r="AM31" s="45">
        <f t="shared" si="16"/>
        <v>0</v>
      </c>
      <c r="AN31" s="51">
        <f t="shared" si="82"/>
        <v>0</v>
      </c>
      <c r="AO31" s="51">
        <f t="shared" si="82"/>
        <v>0</v>
      </c>
      <c r="AP31" s="47" t="e">
        <f t="shared" si="17"/>
        <v>#DIV/0!</v>
      </c>
      <c r="AQ31" s="48">
        <f t="shared" si="12"/>
        <v>0</v>
      </c>
      <c r="AR31" s="49">
        <f t="shared" si="18"/>
        <v>0</v>
      </c>
    </row>
    <row r="32" spans="1:49" x14ac:dyDescent="0.25">
      <c r="B32" s="22">
        <v>46157</v>
      </c>
      <c r="C32" s="23" t="s">
        <v>54</v>
      </c>
      <c r="D32" s="50">
        <f t="shared" ref="D32" si="127">AH31</f>
        <v>0</v>
      </c>
      <c r="E32" s="34">
        <f t="shared" ref="E32" si="128">AI31</f>
        <v>0</v>
      </c>
      <c r="F32" s="34">
        <f t="shared" ref="F32" si="129">AJ31</f>
        <v>0</v>
      </c>
      <c r="G32" s="34">
        <f t="shared" si="29"/>
        <v>0</v>
      </c>
      <c r="H32" s="35">
        <f t="shared" si="30"/>
        <v>0</v>
      </c>
      <c r="I32" s="26">
        <f t="shared" si="15"/>
        <v>0</v>
      </c>
      <c r="J32" s="27"/>
      <c r="K32" s="28"/>
      <c r="L32" s="32"/>
      <c r="M32" s="29"/>
      <c r="N32" s="30"/>
      <c r="O32" s="31"/>
      <c r="P32" s="28"/>
      <c r="Q32" s="32"/>
      <c r="R32" s="53">
        <f t="shared" si="106"/>
        <v>0</v>
      </c>
      <c r="S32" s="34">
        <f t="shared" si="107"/>
        <v>0</v>
      </c>
      <c r="T32" s="35">
        <f t="shared" si="108"/>
        <v>0</v>
      </c>
      <c r="U32" s="36"/>
      <c r="V32" s="37"/>
      <c r="W32" s="38"/>
      <c r="X32" s="39"/>
      <c r="Y32" s="40"/>
      <c r="Z32" s="40"/>
      <c r="AA32" s="34">
        <f t="shared" si="109"/>
        <v>0</v>
      </c>
      <c r="AB32" s="35">
        <f t="shared" si="110"/>
        <v>0</v>
      </c>
      <c r="AC32" s="273"/>
      <c r="AD32" s="130"/>
      <c r="AE32" s="130"/>
      <c r="AF32" s="34">
        <f t="shared" si="111"/>
        <v>0</v>
      </c>
      <c r="AG32" s="34">
        <f t="shared" si="112"/>
        <v>0</v>
      </c>
      <c r="AH32" s="43"/>
      <c r="AI32" s="38"/>
      <c r="AJ32" s="38"/>
      <c r="AK32" s="34">
        <f t="shared" si="9"/>
        <v>0</v>
      </c>
      <c r="AL32" s="44">
        <f t="shared" si="10"/>
        <v>0</v>
      </c>
      <c r="AM32" s="45">
        <f t="shared" si="16"/>
        <v>0</v>
      </c>
      <c r="AN32" s="51">
        <f t="shared" si="82"/>
        <v>0</v>
      </c>
      <c r="AO32" s="51">
        <f t="shared" si="82"/>
        <v>0</v>
      </c>
      <c r="AP32" s="47" t="e">
        <f t="shared" si="17"/>
        <v>#DIV/0!</v>
      </c>
      <c r="AQ32" s="48">
        <f t="shared" si="12"/>
        <v>0</v>
      </c>
      <c r="AR32" s="49">
        <f t="shared" si="18"/>
        <v>0</v>
      </c>
    </row>
    <row r="33" spans="2:49" x14ac:dyDescent="0.25">
      <c r="B33" s="22">
        <f t="shared" ref="B33" si="130">+B32</f>
        <v>46157</v>
      </c>
      <c r="C33" s="23" t="s">
        <v>55</v>
      </c>
      <c r="D33" s="50">
        <f t="shared" ref="D33" si="131">AH32</f>
        <v>0</v>
      </c>
      <c r="E33" s="34">
        <f t="shared" ref="E33" si="132">AI32</f>
        <v>0</v>
      </c>
      <c r="F33" s="34">
        <f t="shared" ref="F33" si="133">AJ32</f>
        <v>0</v>
      </c>
      <c r="G33" s="34">
        <f t="shared" si="29"/>
        <v>0</v>
      </c>
      <c r="H33" s="35">
        <f t="shared" si="30"/>
        <v>0</v>
      </c>
      <c r="I33" s="26">
        <f t="shared" si="15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106"/>
        <v>0</v>
      </c>
      <c r="S33" s="34">
        <f t="shared" si="107"/>
        <v>0</v>
      </c>
      <c r="T33" s="35">
        <f t="shared" si="108"/>
        <v>0</v>
      </c>
      <c r="U33" s="36"/>
      <c r="V33" s="37"/>
      <c r="W33" s="38"/>
      <c r="X33" s="39"/>
      <c r="Y33" s="40"/>
      <c r="Z33" s="40"/>
      <c r="AA33" s="34">
        <f t="shared" si="109"/>
        <v>0</v>
      </c>
      <c r="AB33" s="35">
        <f t="shared" si="110"/>
        <v>0</v>
      </c>
      <c r="AC33" s="273"/>
      <c r="AD33" s="130"/>
      <c r="AE33" s="130"/>
      <c r="AF33" s="34">
        <f t="shared" si="111"/>
        <v>0</v>
      </c>
      <c r="AG33" s="34">
        <f t="shared" si="112"/>
        <v>0</v>
      </c>
      <c r="AH33" s="43"/>
      <c r="AI33" s="38"/>
      <c r="AJ33" s="38"/>
      <c r="AK33" s="34">
        <f t="shared" si="9"/>
        <v>0</v>
      </c>
      <c r="AL33" s="44">
        <f t="shared" si="10"/>
        <v>0</v>
      </c>
      <c r="AM33" s="45">
        <f t="shared" ref="AM33" si="134">+D33+R33-AC33-AH33</f>
        <v>0</v>
      </c>
      <c r="AN33" s="51">
        <f t="shared" ref="AN33" si="135">+G33+S33-AF33-AK33</f>
        <v>0</v>
      </c>
      <c r="AO33" s="51">
        <f t="shared" ref="AO33" si="136">+H33+T33-AG33-AL33</f>
        <v>0</v>
      </c>
      <c r="AP33" s="47" t="e">
        <f t="shared" si="17"/>
        <v>#DIV/0!</v>
      </c>
      <c r="AQ33" s="48">
        <f t="shared" si="12"/>
        <v>0</v>
      </c>
      <c r="AR33" s="49">
        <f t="shared" si="18"/>
        <v>0</v>
      </c>
    </row>
    <row r="34" spans="2:49" x14ac:dyDescent="0.25">
      <c r="B34" s="22">
        <v>46158</v>
      </c>
      <c r="C34" s="23" t="s">
        <v>54</v>
      </c>
      <c r="D34" s="50">
        <f t="shared" ref="D34" si="137">AH33</f>
        <v>0</v>
      </c>
      <c r="E34" s="34">
        <f t="shared" ref="E34" si="138">AI33</f>
        <v>0</v>
      </c>
      <c r="F34" s="34">
        <f t="shared" ref="F34" si="139">AJ33</f>
        <v>0</v>
      </c>
      <c r="G34" s="34">
        <f t="shared" si="29"/>
        <v>0</v>
      </c>
      <c r="H34" s="35">
        <f t="shared" si="30"/>
        <v>0</v>
      </c>
      <c r="I34" s="26">
        <f t="shared" si="15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106"/>
        <v>0</v>
      </c>
      <c r="S34" s="34">
        <f t="shared" si="107"/>
        <v>0</v>
      </c>
      <c r="T34" s="35">
        <f t="shared" si="108"/>
        <v>0</v>
      </c>
      <c r="U34" s="36"/>
      <c r="V34" s="37"/>
      <c r="W34" s="38"/>
      <c r="X34" s="39"/>
      <c r="Y34" s="40"/>
      <c r="Z34" s="40"/>
      <c r="AA34" s="34">
        <f t="shared" si="109"/>
        <v>0</v>
      </c>
      <c r="AB34" s="35">
        <f t="shared" si="110"/>
        <v>0</v>
      </c>
      <c r="AC34" s="273"/>
      <c r="AD34" s="130"/>
      <c r="AE34" s="130"/>
      <c r="AF34" s="34">
        <f t="shared" si="111"/>
        <v>0</v>
      </c>
      <c r="AG34" s="34">
        <f t="shared" si="112"/>
        <v>0</v>
      </c>
      <c r="AH34" s="43"/>
      <c r="AI34" s="38"/>
      <c r="AJ34" s="38"/>
      <c r="AK34" s="34">
        <f t="shared" si="9"/>
        <v>0</v>
      </c>
      <c r="AL34" s="44">
        <f t="shared" si="10"/>
        <v>0</v>
      </c>
      <c r="AM34" s="45">
        <f t="shared" si="16"/>
        <v>0</v>
      </c>
      <c r="AN34" s="51">
        <f t="shared" si="82"/>
        <v>0</v>
      </c>
      <c r="AO34" s="51">
        <f t="shared" si="82"/>
        <v>0</v>
      </c>
      <c r="AP34" s="47" t="e">
        <f t="shared" si="17"/>
        <v>#DIV/0!</v>
      </c>
      <c r="AQ34" s="48">
        <f t="shared" si="12"/>
        <v>0</v>
      </c>
      <c r="AR34" s="49">
        <f t="shared" si="18"/>
        <v>0</v>
      </c>
    </row>
    <row r="35" spans="2:49" x14ac:dyDescent="0.25">
      <c r="B35" s="22">
        <f t="shared" ref="B35" si="140">+B34</f>
        <v>46158</v>
      </c>
      <c r="C35" s="23" t="s">
        <v>55</v>
      </c>
      <c r="D35" s="50">
        <f t="shared" ref="D35" si="141">AH34</f>
        <v>0</v>
      </c>
      <c r="E35" s="34">
        <f t="shared" ref="E35" si="142">AI34</f>
        <v>0</v>
      </c>
      <c r="F35" s="34">
        <f t="shared" ref="F35" si="143">AJ34</f>
        <v>0</v>
      </c>
      <c r="G35" s="34">
        <f t="shared" si="29"/>
        <v>0</v>
      </c>
      <c r="H35" s="35">
        <f t="shared" si="30"/>
        <v>0</v>
      </c>
      <c r="I35" s="26">
        <f t="shared" si="15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106"/>
        <v>0</v>
      </c>
      <c r="S35" s="34">
        <f t="shared" si="107"/>
        <v>0</v>
      </c>
      <c r="T35" s="35">
        <f t="shared" si="108"/>
        <v>0</v>
      </c>
      <c r="U35" s="36"/>
      <c r="V35" s="37"/>
      <c r="W35" s="38"/>
      <c r="X35" s="39"/>
      <c r="Y35" s="40"/>
      <c r="Z35" s="40"/>
      <c r="AA35" s="34">
        <f t="shared" si="109"/>
        <v>0</v>
      </c>
      <c r="AB35" s="35">
        <f t="shared" si="110"/>
        <v>0</v>
      </c>
      <c r="AC35" s="273"/>
      <c r="AD35" s="130"/>
      <c r="AE35" s="130"/>
      <c r="AF35" s="34">
        <f t="shared" si="111"/>
        <v>0</v>
      </c>
      <c r="AG35" s="34">
        <f t="shared" si="112"/>
        <v>0</v>
      </c>
      <c r="AH35" s="43"/>
      <c r="AI35" s="38"/>
      <c r="AJ35" s="38"/>
      <c r="AK35" s="34">
        <f t="shared" si="9"/>
        <v>0</v>
      </c>
      <c r="AL35" s="44">
        <f t="shared" si="10"/>
        <v>0</v>
      </c>
      <c r="AM35" s="45">
        <f t="shared" si="16"/>
        <v>0</v>
      </c>
      <c r="AN35" s="51">
        <f t="shared" si="82"/>
        <v>0</v>
      </c>
      <c r="AO35" s="51">
        <f t="shared" si="82"/>
        <v>0</v>
      </c>
      <c r="AP35" s="47" t="e">
        <f t="shared" si="17"/>
        <v>#DIV/0!</v>
      </c>
      <c r="AQ35" s="48">
        <f t="shared" si="12"/>
        <v>0</v>
      </c>
      <c r="AR35" s="49">
        <f t="shared" si="18"/>
        <v>0</v>
      </c>
    </row>
    <row r="36" spans="2:49" x14ac:dyDescent="0.25">
      <c r="B36" s="22">
        <v>46159</v>
      </c>
      <c r="C36" s="23" t="s">
        <v>54</v>
      </c>
      <c r="D36" s="50">
        <f t="shared" ref="D36" si="144">AH35</f>
        <v>0</v>
      </c>
      <c r="E36" s="34">
        <f t="shared" ref="E36" si="145">AI35</f>
        <v>0</v>
      </c>
      <c r="F36" s="34">
        <f t="shared" ref="F36" si="146">AJ35</f>
        <v>0</v>
      </c>
      <c r="G36" s="34">
        <f t="shared" si="29"/>
        <v>0</v>
      </c>
      <c r="H36" s="35">
        <f t="shared" si="30"/>
        <v>0</v>
      </c>
      <c r="I36" s="26">
        <f t="shared" si="15"/>
        <v>0</v>
      </c>
      <c r="J36" s="27"/>
      <c r="K36" s="28"/>
      <c r="L36" s="32"/>
      <c r="M36" s="29"/>
      <c r="N36" s="30"/>
      <c r="O36" s="31"/>
      <c r="P36" s="28"/>
      <c r="Q36" s="32"/>
      <c r="R36" s="53">
        <f t="shared" si="106"/>
        <v>0</v>
      </c>
      <c r="S36" s="34">
        <f t="shared" si="107"/>
        <v>0</v>
      </c>
      <c r="T36" s="35">
        <f t="shared" si="108"/>
        <v>0</v>
      </c>
      <c r="U36" s="36"/>
      <c r="V36" s="37"/>
      <c r="W36" s="38"/>
      <c r="X36" s="39"/>
      <c r="Y36" s="40"/>
      <c r="Z36" s="40"/>
      <c r="AA36" s="34">
        <f t="shared" si="109"/>
        <v>0</v>
      </c>
      <c r="AB36" s="35">
        <f t="shared" si="110"/>
        <v>0</v>
      </c>
      <c r="AC36" s="273"/>
      <c r="AD36" s="130"/>
      <c r="AE36" s="130"/>
      <c r="AF36" s="34">
        <f t="shared" si="111"/>
        <v>0</v>
      </c>
      <c r="AG36" s="34">
        <f t="shared" si="112"/>
        <v>0</v>
      </c>
      <c r="AH36" s="43"/>
      <c r="AI36" s="38"/>
      <c r="AJ36" s="38"/>
      <c r="AK36" s="34">
        <f t="shared" si="9"/>
        <v>0</v>
      </c>
      <c r="AL36" s="44">
        <f t="shared" si="10"/>
        <v>0</v>
      </c>
      <c r="AM36" s="45">
        <f t="shared" si="16"/>
        <v>0</v>
      </c>
      <c r="AN36" s="51">
        <f t="shared" ref="AN36:AO41" si="147">+G36+S36-AF36-AK36</f>
        <v>0</v>
      </c>
      <c r="AO36" s="51">
        <f t="shared" si="147"/>
        <v>0</v>
      </c>
      <c r="AP36" s="47" t="e">
        <f t="shared" si="17"/>
        <v>#DIV/0!</v>
      </c>
      <c r="AQ36" s="48">
        <f t="shared" si="12"/>
        <v>0</v>
      </c>
      <c r="AR36" s="49">
        <f t="shared" si="18"/>
        <v>0</v>
      </c>
    </row>
    <row r="37" spans="2:49" x14ac:dyDescent="0.25">
      <c r="B37" s="22">
        <f t="shared" ref="B37" si="148">+B36</f>
        <v>46159</v>
      </c>
      <c r="C37" s="23" t="s">
        <v>55</v>
      </c>
      <c r="D37" s="50">
        <f t="shared" ref="D37" si="149">AH36</f>
        <v>0</v>
      </c>
      <c r="E37" s="34">
        <f t="shared" ref="E37" si="150">AI36</f>
        <v>0</v>
      </c>
      <c r="F37" s="34">
        <f t="shared" ref="F37" si="151">AJ36</f>
        <v>0</v>
      </c>
      <c r="G37" s="34">
        <f t="shared" si="29"/>
        <v>0</v>
      </c>
      <c r="H37" s="35">
        <f t="shared" si="30"/>
        <v>0</v>
      </c>
      <c r="I37" s="26">
        <f t="shared" si="15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106"/>
        <v>0</v>
      </c>
      <c r="S37" s="34">
        <f t="shared" si="107"/>
        <v>0</v>
      </c>
      <c r="T37" s="35">
        <f t="shared" si="108"/>
        <v>0</v>
      </c>
      <c r="U37" s="36"/>
      <c r="V37" s="37"/>
      <c r="W37" s="38"/>
      <c r="X37" s="39"/>
      <c r="Y37" s="40"/>
      <c r="Z37" s="40"/>
      <c r="AA37" s="34">
        <f t="shared" si="109"/>
        <v>0</v>
      </c>
      <c r="AB37" s="35">
        <f t="shared" si="110"/>
        <v>0</v>
      </c>
      <c r="AC37" s="271"/>
      <c r="AD37" s="145"/>
      <c r="AE37" s="145"/>
      <c r="AF37" s="34">
        <f t="shared" si="111"/>
        <v>0</v>
      </c>
      <c r="AG37" s="34">
        <f t="shared" si="112"/>
        <v>0</v>
      </c>
      <c r="AH37" s="43"/>
      <c r="AI37" s="38"/>
      <c r="AJ37" s="38"/>
      <c r="AK37" s="34">
        <f t="shared" si="9"/>
        <v>0</v>
      </c>
      <c r="AL37" s="44">
        <f t="shared" si="10"/>
        <v>0</v>
      </c>
      <c r="AM37" s="45">
        <f t="shared" si="16"/>
        <v>0</v>
      </c>
      <c r="AN37" s="51">
        <f t="shared" si="147"/>
        <v>0</v>
      </c>
      <c r="AO37" s="51">
        <f t="shared" si="147"/>
        <v>0</v>
      </c>
      <c r="AP37" s="47" t="e">
        <f t="shared" si="17"/>
        <v>#DIV/0!</v>
      </c>
      <c r="AQ37" s="48">
        <f t="shared" si="12"/>
        <v>0</v>
      </c>
      <c r="AR37" s="49">
        <f t="shared" si="18"/>
        <v>0</v>
      </c>
    </row>
    <row r="38" spans="2:49" x14ac:dyDescent="0.25">
      <c r="B38" s="22">
        <v>46160</v>
      </c>
      <c r="C38" s="23" t="s">
        <v>54</v>
      </c>
      <c r="D38" s="50">
        <f t="shared" ref="D38:D39" si="152">AH37</f>
        <v>0</v>
      </c>
      <c r="E38" s="34">
        <f t="shared" ref="E38:E39" si="153">AI37</f>
        <v>0</v>
      </c>
      <c r="F38" s="34">
        <f t="shared" ref="F38:F39" si="154">AJ37</f>
        <v>0</v>
      </c>
      <c r="G38" s="34">
        <f t="shared" ref="G38:G40" si="155">+D38*E38%</f>
        <v>0</v>
      </c>
      <c r="H38" s="35">
        <f t="shared" si="30"/>
        <v>0</v>
      </c>
      <c r="I38" s="26">
        <f t="shared" si="15"/>
        <v>0</v>
      </c>
      <c r="J38" s="27"/>
      <c r="K38" s="28"/>
      <c r="L38" s="32"/>
      <c r="M38" s="29"/>
      <c r="N38" s="30"/>
      <c r="O38" s="31"/>
      <c r="P38" s="28"/>
      <c r="Q38" s="32"/>
      <c r="R38" s="53">
        <f t="shared" si="106"/>
        <v>0</v>
      </c>
      <c r="S38" s="34">
        <f t="shared" si="107"/>
        <v>0</v>
      </c>
      <c r="T38" s="35">
        <f t="shared" si="108"/>
        <v>0</v>
      </c>
      <c r="U38" s="36"/>
      <c r="V38" s="37"/>
      <c r="W38" s="38"/>
      <c r="X38" s="39"/>
      <c r="Y38" s="40"/>
      <c r="Z38" s="40"/>
      <c r="AA38" s="34">
        <f t="shared" si="109"/>
        <v>0</v>
      </c>
      <c r="AB38" s="35">
        <f t="shared" si="110"/>
        <v>0</v>
      </c>
      <c r="AC38" s="271"/>
      <c r="AD38" s="145"/>
      <c r="AE38" s="145"/>
      <c r="AF38" s="34">
        <f t="shared" si="111"/>
        <v>0</v>
      </c>
      <c r="AG38" s="34">
        <f t="shared" si="112"/>
        <v>0</v>
      </c>
      <c r="AH38" s="43"/>
      <c r="AI38" s="38"/>
      <c r="AJ38" s="38"/>
      <c r="AK38" s="34">
        <f t="shared" si="9"/>
        <v>0</v>
      </c>
      <c r="AL38" s="44">
        <f t="shared" si="10"/>
        <v>0</v>
      </c>
      <c r="AM38" s="45">
        <f t="shared" si="16"/>
        <v>0</v>
      </c>
      <c r="AN38" s="51">
        <f t="shared" si="147"/>
        <v>0</v>
      </c>
      <c r="AO38" s="51">
        <f t="shared" si="147"/>
        <v>0</v>
      </c>
      <c r="AP38" s="47" t="e">
        <f t="shared" si="17"/>
        <v>#DIV/0!</v>
      </c>
      <c r="AQ38" s="48">
        <f t="shared" si="12"/>
        <v>0</v>
      </c>
      <c r="AR38" s="49">
        <f t="shared" si="18"/>
        <v>0</v>
      </c>
    </row>
    <row r="39" spans="2:49" x14ac:dyDescent="0.25">
      <c r="B39" s="22">
        <f t="shared" ref="B39" si="156">+B38</f>
        <v>46160</v>
      </c>
      <c r="C39" s="23" t="s">
        <v>55</v>
      </c>
      <c r="D39" s="50">
        <f t="shared" si="152"/>
        <v>0</v>
      </c>
      <c r="E39" s="34">
        <f t="shared" si="153"/>
        <v>0</v>
      </c>
      <c r="F39" s="34">
        <f t="shared" si="154"/>
        <v>0</v>
      </c>
      <c r="G39" s="34">
        <f t="shared" si="155"/>
        <v>0</v>
      </c>
      <c r="H39" s="35">
        <f t="shared" si="30"/>
        <v>0</v>
      </c>
      <c r="I39" s="26">
        <f t="shared" si="15"/>
        <v>0</v>
      </c>
      <c r="J39" s="27"/>
      <c r="K39" s="28"/>
      <c r="L39" s="32"/>
      <c r="M39" s="29"/>
      <c r="N39" s="30"/>
      <c r="O39" s="31"/>
      <c r="P39" s="28"/>
      <c r="Q39" s="32"/>
      <c r="R39" s="53">
        <f t="shared" si="106"/>
        <v>0</v>
      </c>
      <c r="S39" s="34">
        <f t="shared" si="107"/>
        <v>0</v>
      </c>
      <c r="T39" s="35">
        <f t="shared" si="108"/>
        <v>0</v>
      </c>
      <c r="U39" s="36"/>
      <c r="W39" s="37"/>
      <c r="X39" s="39"/>
      <c r="Y39" s="40"/>
      <c r="Z39" s="40"/>
      <c r="AA39" s="34">
        <f t="shared" si="109"/>
        <v>0</v>
      </c>
      <c r="AB39" s="35">
        <f t="shared" si="110"/>
        <v>0</v>
      </c>
      <c r="AC39" s="273"/>
      <c r="AD39" s="130"/>
      <c r="AE39" s="130"/>
      <c r="AF39" s="34">
        <f t="shared" si="111"/>
        <v>0</v>
      </c>
      <c r="AG39" s="34">
        <f t="shared" si="112"/>
        <v>0</v>
      </c>
      <c r="AH39" s="43"/>
      <c r="AI39" s="38"/>
      <c r="AJ39" s="38"/>
      <c r="AK39" s="34">
        <f t="shared" si="9"/>
        <v>0</v>
      </c>
      <c r="AL39" s="44">
        <f t="shared" si="10"/>
        <v>0</v>
      </c>
      <c r="AM39" s="45">
        <f t="shared" si="16"/>
        <v>0</v>
      </c>
      <c r="AN39" s="51">
        <f t="shared" si="147"/>
        <v>0</v>
      </c>
      <c r="AO39" s="51">
        <f t="shared" si="147"/>
        <v>0</v>
      </c>
      <c r="AP39" s="47" t="e">
        <f t="shared" si="17"/>
        <v>#DIV/0!</v>
      </c>
      <c r="AQ39" s="48">
        <f t="shared" si="12"/>
        <v>0</v>
      </c>
      <c r="AR39" s="49">
        <f t="shared" si="18"/>
        <v>0</v>
      </c>
    </row>
    <row r="40" spans="2:49" x14ac:dyDescent="0.25">
      <c r="B40" s="22">
        <v>46161</v>
      </c>
      <c r="C40" s="23" t="s">
        <v>54</v>
      </c>
      <c r="D40" s="50">
        <f t="shared" ref="D40" si="157">AH39</f>
        <v>0</v>
      </c>
      <c r="E40" s="34">
        <f t="shared" ref="E40" si="158">AI39</f>
        <v>0</v>
      </c>
      <c r="F40" s="34">
        <f t="shared" ref="F40" si="159">AJ39</f>
        <v>0</v>
      </c>
      <c r="G40" s="34">
        <f t="shared" si="155"/>
        <v>0</v>
      </c>
      <c r="H40" s="35">
        <f t="shared" si="30"/>
        <v>0</v>
      </c>
      <c r="I40" s="26">
        <f t="shared" si="15"/>
        <v>0</v>
      </c>
      <c r="J40" s="27"/>
      <c r="K40" s="28"/>
      <c r="L40" s="32"/>
      <c r="M40" s="29"/>
      <c r="N40" s="30"/>
      <c r="O40" s="31"/>
      <c r="P40" s="28"/>
      <c r="Q40" s="32"/>
      <c r="R40" s="53">
        <f t="shared" si="106"/>
        <v>0</v>
      </c>
      <c r="S40" s="34">
        <f t="shared" si="107"/>
        <v>0</v>
      </c>
      <c r="T40" s="35">
        <f t="shared" si="108"/>
        <v>0</v>
      </c>
      <c r="U40" s="36"/>
      <c r="V40" s="37"/>
      <c r="W40" s="38"/>
      <c r="X40" s="39"/>
      <c r="Y40" s="40"/>
      <c r="Z40" s="40"/>
      <c r="AA40" s="34">
        <f t="shared" si="109"/>
        <v>0</v>
      </c>
      <c r="AB40" s="35">
        <f t="shared" si="110"/>
        <v>0</v>
      </c>
      <c r="AC40" s="273"/>
      <c r="AD40" s="130"/>
      <c r="AE40" s="130"/>
      <c r="AF40" s="34">
        <f t="shared" si="111"/>
        <v>0</v>
      </c>
      <c r="AG40" s="34">
        <f t="shared" si="112"/>
        <v>0</v>
      </c>
      <c r="AH40" s="43"/>
      <c r="AI40" s="38"/>
      <c r="AJ40" s="38"/>
      <c r="AK40" s="34">
        <f t="shared" si="9"/>
        <v>0</v>
      </c>
      <c r="AL40" s="44">
        <f t="shared" si="10"/>
        <v>0</v>
      </c>
      <c r="AM40" s="45">
        <f t="shared" si="16"/>
        <v>0</v>
      </c>
      <c r="AN40" s="51">
        <f t="shared" si="147"/>
        <v>0</v>
      </c>
      <c r="AO40" s="51">
        <f t="shared" si="147"/>
        <v>0</v>
      </c>
      <c r="AP40" s="47" t="e">
        <f t="shared" si="17"/>
        <v>#DIV/0!</v>
      </c>
      <c r="AQ40" s="48">
        <f t="shared" si="12"/>
        <v>0</v>
      </c>
      <c r="AR40" s="49">
        <f t="shared" si="18"/>
        <v>0</v>
      </c>
    </row>
    <row r="41" spans="2:49" x14ac:dyDescent="0.25">
      <c r="B41" s="22">
        <f t="shared" ref="B41" si="160">+B40</f>
        <v>46161</v>
      </c>
      <c r="C41" s="23" t="s">
        <v>55</v>
      </c>
      <c r="D41" s="50">
        <f t="shared" ref="D41:F41" si="161">AH40</f>
        <v>0</v>
      </c>
      <c r="E41" s="34">
        <f t="shared" si="161"/>
        <v>0</v>
      </c>
      <c r="F41" s="34">
        <f t="shared" si="161"/>
        <v>0</v>
      </c>
      <c r="G41" s="34">
        <f t="shared" si="29"/>
        <v>0</v>
      </c>
      <c r="H41" s="35">
        <f t="shared" si="30"/>
        <v>0</v>
      </c>
      <c r="I41" s="26">
        <f t="shared" si="15"/>
        <v>0</v>
      </c>
      <c r="J41" s="27"/>
      <c r="K41" s="28"/>
      <c r="L41" s="32"/>
      <c r="M41" s="29"/>
      <c r="N41" s="30"/>
      <c r="O41" s="31"/>
      <c r="P41" s="28"/>
      <c r="Q41" s="32"/>
      <c r="R41" s="53">
        <f t="shared" si="106"/>
        <v>0</v>
      </c>
      <c r="S41" s="34">
        <f t="shared" si="107"/>
        <v>0</v>
      </c>
      <c r="T41" s="35">
        <f t="shared" si="108"/>
        <v>0</v>
      </c>
      <c r="U41" s="36"/>
      <c r="V41" s="37"/>
      <c r="W41" s="38"/>
      <c r="X41" s="39"/>
      <c r="Y41" s="40"/>
      <c r="Z41" s="40"/>
      <c r="AA41" s="34">
        <f t="shared" ref="AA41:AA42" si="162">X41*Y41%</f>
        <v>0</v>
      </c>
      <c r="AB41" s="35">
        <f t="shared" ref="AB41:AB42" si="163">X41*Z41%</f>
        <v>0</v>
      </c>
      <c r="AC41" s="271"/>
      <c r="AD41" s="145"/>
      <c r="AE41" s="145"/>
      <c r="AF41" s="34">
        <f t="shared" si="111"/>
        <v>0</v>
      </c>
      <c r="AG41" s="34">
        <f t="shared" si="112"/>
        <v>0</v>
      </c>
      <c r="AH41" s="43"/>
      <c r="AI41" s="38"/>
      <c r="AJ41" s="38"/>
      <c r="AK41" s="34">
        <f t="shared" si="9"/>
        <v>0</v>
      </c>
      <c r="AL41" s="44">
        <f t="shared" si="10"/>
        <v>0</v>
      </c>
      <c r="AM41" s="45">
        <f t="shared" si="16"/>
        <v>0</v>
      </c>
      <c r="AN41" s="51">
        <f t="shared" si="147"/>
        <v>0</v>
      </c>
      <c r="AO41" s="51">
        <f t="shared" si="147"/>
        <v>0</v>
      </c>
      <c r="AP41" s="47" t="e">
        <f t="shared" si="17"/>
        <v>#DIV/0!</v>
      </c>
      <c r="AQ41" s="48">
        <f t="shared" si="12"/>
        <v>0</v>
      </c>
      <c r="AR41" s="49">
        <f t="shared" si="18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v>46162</v>
      </c>
      <c r="C42" s="23" t="s">
        <v>54</v>
      </c>
      <c r="D42" s="50">
        <f t="shared" ref="D42" si="164">AH41</f>
        <v>0</v>
      </c>
      <c r="E42" s="34">
        <f t="shared" ref="E42" si="165">AI41</f>
        <v>0</v>
      </c>
      <c r="F42" s="34">
        <f t="shared" ref="F42" si="166">AJ41</f>
        <v>0</v>
      </c>
      <c r="G42" s="34">
        <f t="shared" ref="G42:G65" si="167">+D42*E42%</f>
        <v>0</v>
      </c>
      <c r="H42" s="35">
        <f t="shared" ref="H42:H65" si="168">+D42*F42%</f>
        <v>0</v>
      </c>
      <c r="I42" s="26">
        <f t="shared" si="15"/>
        <v>0</v>
      </c>
      <c r="J42" s="27"/>
      <c r="K42" s="28"/>
      <c r="L42" s="28"/>
      <c r="M42" s="29"/>
      <c r="N42" s="30"/>
      <c r="O42" s="31"/>
      <c r="P42" s="28"/>
      <c r="Q42" s="32"/>
      <c r="R42" s="64">
        <f t="shared" ref="R42:R65" si="169">O42+J42</f>
        <v>0</v>
      </c>
      <c r="S42" s="34">
        <f t="shared" ref="S42:S65" si="170">(J42*K42%)+(O42*P42%)</f>
        <v>0</v>
      </c>
      <c r="T42" s="34">
        <f t="shared" ref="T42:T65" si="171">(J42*L42%)+(O42*Q42%)</f>
        <v>0</v>
      </c>
      <c r="U42" s="37"/>
      <c r="V42" s="37"/>
      <c r="W42" s="38"/>
      <c r="X42" s="39"/>
      <c r="Y42" s="40"/>
      <c r="Z42" s="40"/>
      <c r="AA42" s="34">
        <f t="shared" si="162"/>
        <v>0</v>
      </c>
      <c r="AB42" s="35">
        <f t="shared" si="163"/>
        <v>0</v>
      </c>
      <c r="AC42" s="273"/>
      <c r="AD42" s="130"/>
      <c r="AE42" s="130"/>
      <c r="AF42" s="34">
        <f t="shared" ref="AF42:AF65" si="172">AC42*AD42%</f>
        <v>0</v>
      </c>
      <c r="AG42" s="34">
        <f t="shared" ref="AG42:AG65" si="173">AC42*AE42%</f>
        <v>0</v>
      </c>
      <c r="AH42" s="62"/>
      <c r="AI42" s="38"/>
      <c r="AJ42" s="38"/>
      <c r="AK42" s="34">
        <f t="shared" ref="AK42:AK65" si="174">AH42*AI42%</f>
        <v>0</v>
      </c>
      <c r="AL42" s="44">
        <f t="shared" ref="AL42:AL65" si="175">AH42*AJ42%</f>
        <v>0</v>
      </c>
      <c r="AM42" s="45">
        <f t="shared" ref="AM42:AM65" si="176">+D42+R42-AC42-AH42</f>
        <v>0</v>
      </c>
      <c r="AN42" s="51">
        <f t="shared" ref="AN42:AN65" si="177">+G42+S42-AF42-AK42</f>
        <v>0</v>
      </c>
      <c r="AO42" s="51">
        <f t="shared" ref="AO42:AO65" si="178">+H42+T42-AG42-AL42</f>
        <v>0</v>
      </c>
      <c r="AP42" s="47" t="e">
        <f t="shared" ref="AP42:AP65" si="179">(AN42+AO42)/(S42+T42)</f>
        <v>#DIV/0!</v>
      </c>
      <c r="AQ42" s="48">
        <f t="shared" ref="AQ42:AQ65" si="180">($AP$1*AN42+$AQ$1*AO42)</f>
        <v>0</v>
      </c>
      <c r="AR42" s="49">
        <f t="shared" ref="AR42:AR65" si="181">(D42+J42+O42)-(X42+AH42)</f>
        <v>0</v>
      </c>
      <c r="AS42" s="49"/>
      <c r="AT42" s="52"/>
      <c r="AU42" s="52"/>
      <c r="AV42" s="52"/>
      <c r="AW42" s="52"/>
    </row>
    <row r="43" spans="2:49" x14ac:dyDescent="0.25">
      <c r="B43" s="22">
        <f t="shared" ref="B43" si="182">+B42</f>
        <v>46162</v>
      </c>
      <c r="C43" s="23" t="s">
        <v>55</v>
      </c>
      <c r="D43" s="50">
        <f t="shared" ref="D43:D57" si="183">AH42</f>
        <v>0</v>
      </c>
      <c r="E43" s="34">
        <f t="shared" ref="E43:E57" si="184">AI42</f>
        <v>0</v>
      </c>
      <c r="F43" s="34">
        <f t="shared" ref="F43:F57" si="185">AJ42</f>
        <v>0</v>
      </c>
      <c r="G43" s="34">
        <f t="shared" si="167"/>
        <v>0</v>
      </c>
      <c r="H43" s="35">
        <f t="shared" si="168"/>
        <v>0</v>
      </c>
      <c r="I43" s="26">
        <f t="shared" si="15"/>
        <v>0</v>
      </c>
      <c r="J43" s="27"/>
      <c r="K43" s="28"/>
      <c r="L43" s="28"/>
      <c r="M43" s="29"/>
      <c r="N43" s="30"/>
      <c r="O43" s="31"/>
      <c r="P43" s="28"/>
      <c r="Q43" s="32"/>
      <c r="R43" s="64">
        <f t="shared" si="169"/>
        <v>0</v>
      </c>
      <c r="S43" s="34">
        <f t="shared" si="170"/>
        <v>0</v>
      </c>
      <c r="T43" s="34">
        <f t="shared" si="171"/>
        <v>0</v>
      </c>
      <c r="U43" s="36"/>
      <c r="V43" s="37"/>
      <c r="W43" s="38"/>
      <c r="X43" s="39"/>
      <c r="Y43" s="40"/>
      <c r="Z43" s="40"/>
      <c r="AA43" s="34">
        <f t="shared" ref="AA43:AA65" si="186">X43*Y43%</f>
        <v>0</v>
      </c>
      <c r="AB43" s="35">
        <f t="shared" ref="AB43:AB65" si="187">X43*Z43%</f>
        <v>0</v>
      </c>
      <c r="AC43" s="271"/>
      <c r="AD43" s="145"/>
      <c r="AE43" s="145"/>
      <c r="AF43" s="34">
        <f t="shared" si="172"/>
        <v>0</v>
      </c>
      <c r="AG43" s="34">
        <f t="shared" si="173"/>
        <v>0</v>
      </c>
      <c r="AH43" s="62"/>
      <c r="AI43" s="38"/>
      <c r="AJ43" s="38"/>
      <c r="AK43" s="34">
        <f t="shared" si="174"/>
        <v>0</v>
      </c>
      <c r="AL43" s="44">
        <f t="shared" si="175"/>
        <v>0</v>
      </c>
      <c r="AM43" s="45">
        <f t="shared" si="176"/>
        <v>0</v>
      </c>
      <c r="AN43" s="51">
        <f t="shared" si="177"/>
        <v>0</v>
      </c>
      <c r="AO43" s="51">
        <f t="shared" si="178"/>
        <v>0</v>
      </c>
      <c r="AP43" s="47" t="e">
        <f t="shared" si="179"/>
        <v>#DIV/0!</v>
      </c>
      <c r="AQ43" s="48">
        <f t="shared" si="180"/>
        <v>0</v>
      </c>
      <c r="AR43" s="49">
        <f t="shared" si="181"/>
        <v>0</v>
      </c>
      <c r="AS43" s="49"/>
      <c r="AT43" s="52"/>
      <c r="AU43" s="52"/>
      <c r="AV43" s="52"/>
      <c r="AW43" s="52"/>
    </row>
    <row r="44" spans="2:49" x14ac:dyDescent="0.25">
      <c r="B44" s="22">
        <v>46163</v>
      </c>
      <c r="C44" s="23" t="s">
        <v>54</v>
      </c>
      <c r="D44" s="50">
        <f t="shared" ref="D44" si="188">AH43</f>
        <v>0</v>
      </c>
      <c r="E44" s="34">
        <f t="shared" ref="E44" si="189">AI43</f>
        <v>0</v>
      </c>
      <c r="F44" s="34">
        <f t="shared" ref="F44" si="190">AJ43</f>
        <v>0</v>
      </c>
      <c r="G44" s="34">
        <f t="shared" si="167"/>
        <v>0</v>
      </c>
      <c r="H44" s="35">
        <f t="shared" si="168"/>
        <v>0</v>
      </c>
      <c r="I44" s="26">
        <f t="shared" si="15"/>
        <v>0</v>
      </c>
      <c r="J44" s="27"/>
      <c r="K44" s="28"/>
      <c r="L44" s="28"/>
      <c r="M44" s="29"/>
      <c r="N44" s="30"/>
      <c r="O44" s="31"/>
      <c r="P44" s="28"/>
      <c r="Q44" s="32"/>
      <c r="R44" s="64">
        <f t="shared" si="169"/>
        <v>0</v>
      </c>
      <c r="S44" s="34">
        <f t="shared" si="170"/>
        <v>0</v>
      </c>
      <c r="T44" s="34">
        <f t="shared" si="171"/>
        <v>0</v>
      </c>
      <c r="U44" s="37"/>
      <c r="V44" s="37"/>
      <c r="W44" s="38"/>
      <c r="X44" s="39"/>
      <c r="Y44" s="40"/>
      <c r="Z44" s="40"/>
      <c r="AA44" s="34">
        <f t="shared" si="186"/>
        <v>0</v>
      </c>
      <c r="AB44" s="35">
        <f t="shared" si="187"/>
        <v>0</v>
      </c>
      <c r="AC44" s="273"/>
      <c r="AD44" s="130"/>
      <c r="AE44" s="130"/>
      <c r="AF44" s="34">
        <f t="shared" si="172"/>
        <v>0</v>
      </c>
      <c r="AG44" s="34">
        <f t="shared" si="173"/>
        <v>0</v>
      </c>
      <c r="AH44" s="62"/>
      <c r="AI44" s="38"/>
      <c r="AJ44" s="38"/>
      <c r="AK44" s="34">
        <f t="shared" si="174"/>
        <v>0</v>
      </c>
      <c r="AL44" s="44">
        <f t="shared" si="175"/>
        <v>0</v>
      </c>
      <c r="AM44" s="45">
        <f t="shared" si="176"/>
        <v>0</v>
      </c>
      <c r="AN44" s="51">
        <f t="shared" si="177"/>
        <v>0</v>
      </c>
      <c r="AO44" s="51">
        <f t="shared" si="178"/>
        <v>0</v>
      </c>
      <c r="AP44" s="47" t="e">
        <f t="shared" si="179"/>
        <v>#DIV/0!</v>
      </c>
      <c r="AQ44" s="48">
        <f t="shared" si="180"/>
        <v>0</v>
      </c>
      <c r="AR44" s="49">
        <f t="shared" si="181"/>
        <v>0</v>
      </c>
      <c r="AS44" s="49"/>
      <c r="AT44" s="52"/>
      <c r="AU44" s="52"/>
      <c r="AV44" s="52"/>
      <c r="AW44" s="52"/>
    </row>
    <row r="45" spans="2:49" x14ac:dyDescent="0.25">
      <c r="B45" s="22">
        <f t="shared" ref="B45" si="191">+B44</f>
        <v>46163</v>
      </c>
      <c r="C45" s="23" t="s">
        <v>55</v>
      </c>
      <c r="D45" s="50">
        <f t="shared" ref="D45" si="192">AH44</f>
        <v>0</v>
      </c>
      <c r="E45" s="34">
        <f t="shared" ref="E45" si="193">AI44</f>
        <v>0</v>
      </c>
      <c r="F45" s="34">
        <f t="shared" ref="F45" si="194">AJ44</f>
        <v>0</v>
      </c>
      <c r="G45" s="34">
        <f t="shared" si="167"/>
        <v>0</v>
      </c>
      <c r="H45" s="35">
        <f t="shared" si="168"/>
        <v>0</v>
      </c>
      <c r="I45" s="26">
        <f t="shared" si="15"/>
        <v>0</v>
      </c>
      <c r="J45" s="27"/>
      <c r="K45" s="28"/>
      <c r="L45" s="28"/>
      <c r="M45" s="29"/>
      <c r="N45" s="30"/>
      <c r="O45" s="31"/>
      <c r="P45" s="28"/>
      <c r="Q45" s="32"/>
      <c r="R45" s="64">
        <f t="shared" si="169"/>
        <v>0</v>
      </c>
      <c r="S45" s="34">
        <f t="shared" si="170"/>
        <v>0</v>
      </c>
      <c r="T45" s="34">
        <f t="shared" si="171"/>
        <v>0</v>
      </c>
      <c r="U45" s="37"/>
      <c r="V45" s="37"/>
      <c r="W45" s="38"/>
      <c r="X45" s="39"/>
      <c r="Y45" s="40"/>
      <c r="Z45" s="40"/>
      <c r="AA45" s="34">
        <f t="shared" si="186"/>
        <v>0</v>
      </c>
      <c r="AB45" s="35">
        <f t="shared" si="187"/>
        <v>0</v>
      </c>
      <c r="AC45" s="273"/>
      <c r="AD45" s="130"/>
      <c r="AE45" s="130"/>
      <c r="AF45" s="34">
        <f t="shared" si="172"/>
        <v>0</v>
      </c>
      <c r="AG45" s="34">
        <f t="shared" si="173"/>
        <v>0</v>
      </c>
      <c r="AH45" s="62"/>
      <c r="AI45" s="38"/>
      <c r="AJ45" s="38"/>
      <c r="AK45" s="34">
        <f t="shared" si="174"/>
        <v>0</v>
      </c>
      <c r="AL45" s="44">
        <f t="shared" si="175"/>
        <v>0</v>
      </c>
      <c r="AM45" s="45">
        <f t="shared" si="176"/>
        <v>0</v>
      </c>
      <c r="AN45" s="51">
        <f t="shared" si="177"/>
        <v>0</v>
      </c>
      <c r="AO45" s="51">
        <f t="shared" si="178"/>
        <v>0</v>
      </c>
      <c r="AP45" s="47" t="e">
        <f t="shared" si="179"/>
        <v>#DIV/0!</v>
      </c>
      <c r="AQ45" s="48">
        <f t="shared" si="180"/>
        <v>0</v>
      </c>
      <c r="AR45" s="49">
        <f t="shared" si="181"/>
        <v>0</v>
      </c>
      <c r="AS45" s="49"/>
      <c r="AT45" s="52"/>
      <c r="AU45" s="52"/>
      <c r="AV45" s="52"/>
      <c r="AW45" s="52"/>
    </row>
    <row r="46" spans="2:49" x14ac:dyDescent="0.25">
      <c r="B46" s="22">
        <v>46164</v>
      </c>
      <c r="C46" s="23" t="s">
        <v>54</v>
      </c>
      <c r="D46" s="50">
        <f t="shared" ref="D46" si="195">AH45</f>
        <v>0</v>
      </c>
      <c r="E46" s="34">
        <f t="shared" ref="E46" si="196">AI45</f>
        <v>0</v>
      </c>
      <c r="F46" s="34">
        <f t="shared" ref="F46" si="197">AJ45</f>
        <v>0</v>
      </c>
      <c r="G46" s="34">
        <f t="shared" si="167"/>
        <v>0</v>
      </c>
      <c r="H46" s="35">
        <f t="shared" si="168"/>
        <v>0</v>
      </c>
      <c r="I46" s="26">
        <f t="shared" si="15"/>
        <v>0</v>
      </c>
      <c r="J46" s="27"/>
      <c r="K46" s="28"/>
      <c r="L46" s="28"/>
      <c r="M46" s="29"/>
      <c r="N46" s="30"/>
      <c r="O46" s="31"/>
      <c r="P46" s="28"/>
      <c r="Q46" s="32"/>
      <c r="R46" s="64">
        <f t="shared" si="169"/>
        <v>0</v>
      </c>
      <c r="S46" s="34">
        <f t="shared" si="170"/>
        <v>0</v>
      </c>
      <c r="T46" s="34">
        <f t="shared" si="171"/>
        <v>0</v>
      </c>
      <c r="U46" s="132"/>
      <c r="V46" s="37"/>
      <c r="W46" s="38"/>
      <c r="X46" s="39"/>
      <c r="Y46" s="40"/>
      <c r="Z46" s="40"/>
      <c r="AA46" s="34">
        <f t="shared" si="186"/>
        <v>0</v>
      </c>
      <c r="AB46" s="35">
        <f t="shared" si="187"/>
        <v>0</v>
      </c>
      <c r="AC46" s="271"/>
      <c r="AD46" s="145"/>
      <c r="AE46" s="145"/>
      <c r="AF46" s="34">
        <f t="shared" si="172"/>
        <v>0</v>
      </c>
      <c r="AG46" s="34">
        <f t="shared" si="173"/>
        <v>0</v>
      </c>
      <c r="AH46" s="62"/>
      <c r="AI46" s="38"/>
      <c r="AJ46" s="38"/>
      <c r="AK46" s="34">
        <f t="shared" si="174"/>
        <v>0</v>
      </c>
      <c r="AL46" s="44">
        <f t="shared" si="175"/>
        <v>0</v>
      </c>
      <c r="AM46" s="45">
        <f t="shared" si="176"/>
        <v>0</v>
      </c>
      <c r="AN46" s="51">
        <f t="shared" si="177"/>
        <v>0</v>
      </c>
      <c r="AO46" s="51">
        <f t="shared" si="178"/>
        <v>0</v>
      </c>
      <c r="AP46" s="47" t="e">
        <f t="shared" si="179"/>
        <v>#DIV/0!</v>
      </c>
      <c r="AQ46" s="48">
        <f t="shared" si="180"/>
        <v>0</v>
      </c>
      <c r="AR46" s="49">
        <f t="shared" si="181"/>
        <v>0</v>
      </c>
      <c r="AS46" s="49"/>
      <c r="AT46" s="52">
        <f>9120+926</f>
        <v>10046</v>
      </c>
      <c r="AU46" s="52"/>
      <c r="AV46" s="52"/>
      <c r="AW46" s="52"/>
    </row>
    <row r="47" spans="2:49" x14ac:dyDescent="0.25">
      <c r="B47" s="22">
        <f t="shared" ref="B47" si="198">+B46</f>
        <v>46164</v>
      </c>
      <c r="C47" s="23" t="s">
        <v>55</v>
      </c>
      <c r="D47" s="50">
        <f t="shared" ref="D47" si="199">AH46</f>
        <v>0</v>
      </c>
      <c r="E47" s="34">
        <f t="shared" ref="E47" si="200">AI46</f>
        <v>0</v>
      </c>
      <c r="F47" s="34">
        <f t="shared" ref="F47" si="201">AJ46</f>
        <v>0</v>
      </c>
      <c r="G47" s="34">
        <f t="shared" si="167"/>
        <v>0</v>
      </c>
      <c r="H47" s="35">
        <f t="shared" si="168"/>
        <v>0</v>
      </c>
      <c r="I47" s="26">
        <f t="shared" si="15"/>
        <v>0</v>
      </c>
      <c r="J47" s="27"/>
      <c r="K47" s="28"/>
      <c r="L47" s="28"/>
      <c r="M47" s="29"/>
      <c r="N47" s="30"/>
      <c r="O47" s="31"/>
      <c r="P47" s="28"/>
      <c r="Q47" s="32"/>
      <c r="R47" s="64">
        <f t="shared" si="169"/>
        <v>0</v>
      </c>
      <c r="S47" s="34">
        <f t="shared" si="170"/>
        <v>0</v>
      </c>
      <c r="T47" s="34">
        <f t="shared" si="171"/>
        <v>0</v>
      </c>
      <c r="U47" s="37"/>
      <c r="V47" s="37"/>
      <c r="W47" s="38"/>
      <c r="X47" s="39"/>
      <c r="Y47" s="40"/>
      <c r="Z47" s="40"/>
      <c r="AA47" s="34">
        <f t="shared" si="186"/>
        <v>0</v>
      </c>
      <c r="AB47" s="35">
        <f t="shared" si="187"/>
        <v>0</v>
      </c>
      <c r="AC47" s="273"/>
      <c r="AD47" s="130"/>
      <c r="AE47" s="130"/>
      <c r="AF47" s="34">
        <f t="shared" si="172"/>
        <v>0</v>
      </c>
      <c r="AG47" s="34">
        <f t="shared" si="173"/>
        <v>0</v>
      </c>
      <c r="AH47" s="62"/>
      <c r="AI47" s="38"/>
      <c r="AJ47" s="38"/>
      <c r="AK47" s="34">
        <f t="shared" si="174"/>
        <v>0</v>
      </c>
      <c r="AL47" s="44">
        <f t="shared" si="175"/>
        <v>0</v>
      </c>
      <c r="AM47" s="45">
        <f t="shared" si="176"/>
        <v>0</v>
      </c>
      <c r="AN47" s="51">
        <f t="shared" si="177"/>
        <v>0</v>
      </c>
      <c r="AO47" s="51">
        <f t="shared" si="178"/>
        <v>0</v>
      </c>
      <c r="AP47" s="47" t="e">
        <f t="shared" si="179"/>
        <v>#DIV/0!</v>
      </c>
      <c r="AQ47" s="48">
        <f t="shared" si="180"/>
        <v>0</v>
      </c>
      <c r="AR47" s="49">
        <f t="shared" si="181"/>
        <v>0</v>
      </c>
      <c r="AS47" s="49"/>
      <c r="AT47" s="52"/>
      <c r="AU47" s="52"/>
      <c r="AV47" s="52"/>
      <c r="AW47" s="52"/>
    </row>
    <row r="48" spans="2:49" x14ac:dyDescent="0.25">
      <c r="B48" s="22">
        <v>46165</v>
      </c>
      <c r="C48" s="23" t="s">
        <v>54</v>
      </c>
      <c r="D48" s="50">
        <f t="shared" ref="D48" si="202">AH47</f>
        <v>0</v>
      </c>
      <c r="E48" s="34">
        <f t="shared" ref="E48" si="203">AI47</f>
        <v>0</v>
      </c>
      <c r="F48" s="34">
        <f t="shared" ref="F48" si="204">AJ47</f>
        <v>0</v>
      </c>
      <c r="G48" s="34">
        <f t="shared" si="167"/>
        <v>0</v>
      </c>
      <c r="H48" s="35">
        <f t="shared" si="168"/>
        <v>0</v>
      </c>
      <c r="I48" s="26">
        <f t="shared" si="15"/>
        <v>0</v>
      </c>
      <c r="J48" s="27"/>
      <c r="K48" s="28"/>
      <c r="L48" s="28"/>
      <c r="M48" s="29"/>
      <c r="N48" s="30"/>
      <c r="O48" s="31"/>
      <c r="P48" s="28"/>
      <c r="Q48" s="32"/>
      <c r="R48" s="64">
        <f t="shared" si="169"/>
        <v>0</v>
      </c>
      <c r="S48" s="34">
        <f t="shared" si="170"/>
        <v>0</v>
      </c>
      <c r="T48" s="34">
        <f t="shared" si="171"/>
        <v>0</v>
      </c>
      <c r="U48" s="36"/>
      <c r="V48" s="37"/>
      <c r="W48" s="38"/>
      <c r="X48" s="39"/>
      <c r="Y48" s="40"/>
      <c r="Z48" s="40"/>
      <c r="AA48" s="34">
        <f t="shared" si="186"/>
        <v>0</v>
      </c>
      <c r="AB48" s="35">
        <f t="shared" si="187"/>
        <v>0</v>
      </c>
      <c r="AC48" s="273"/>
      <c r="AD48" s="130"/>
      <c r="AE48" s="130"/>
      <c r="AF48" s="34">
        <f t="shared" si="172"/>
        <v>0</v>
      </c>
      <c r="AG48" s="34">
        <f t="shared" si="173"/>
        <v>0</v>
      </c>
      <c r="AH48" s="62"/>
      <c r="AI48" s="38"/>
      <c r="AJ48" s="38"/>
      <c r="AK48" s="34">
        <f t="shared" si="174"/>
        <v>0</v>
      </c>
      <c r="AL48" s="44">
        <f t="shared" si="175"/>
        <v>0</v>
      </c>
      <c r="AM48" s="45">
        <f t="shared" si="176"/>
        <v>0</v>
      </c>
      <c r="AN48" s="51">
        <f t="shared" si="177"/>
        <v>0</v>
      </c>
      <c r="AO48" s="51">
        <f t="shared" si="178"/>
        <v>0</v>
      </c>
      <c r="AP48" s="47" t="e">
        <f t="shared" si="179"/>
        <v>#DIV/0!</v>
      </c>
      <c r="AQ48" s="48">
        <f t="shared" si="180"/>
        <v>0</v>
      </c>
      <c r="AR48" s="49">
        <f t="shared" si="181"/>
        <v>0</v>
      </c>
      <c r="AS48" s="49"/>
      <c r="AT48" s="52"/>
      <c r="AU48" s="52"/>
      <c r="AV48" s="52"/>
      <c r="AW48" s="52"/>
    </row>
    <row r="49" spans="2:49" x14ac:dyDescent="0.25">
      <c r="B49" s="22">
        <f t="shared" ref="B49" si="205">+B48</f>
        <v>46165</v>
      </c>
      <c r="C49" s="23" t="s">
        <v>55</v>
      </c>
      <c r="D49" s="50">
        <f t="shared" si="183"/>
        <v>0</v>
      </c>
      <c r="E49" s="34">
        <f t="shared" si="184"/>
        <v>0</v>
      </c>
      <c r="F49" s="34">
        <f t="shared" si="185"/>
        <v>0</v>
      </c>
      <c r="G49" s="34">
        <f t="shared" si="167"/>
        <v>0</v>
      </c>
      <c r="H49" s="35">
        <f t="shared" si="168"/>
        <v>0</v>
      </c>
      <c r="I49" s="26">
        <f t="shared" si="15"/>
        <v>0</v>
      </c>
      <c r="J49" s="27"/>
      <c r="K49" s="28"/>
      <c r="L49" s="28"/>
      <c r="M49" s="29"/>
      <c r="N49" s="30"/>
      <c r="O49" s="31"/>
      <c r="P49" s="28"/>
      <c r="Q49" s="32"/>
      <c r="R49" s="64">
        <f t="shared" si="169"/>
        <v>0</v>
      </c>
      <c r="S49" s="34">
        <f t="shared" si="170"/>
        <v>0</v>
      </c>
      <c r="T49" s="34">
        <f t="shared" si="171"/>
        <v>0</v>
      </c>
      <c r="U49" s="36"/>
      <c r="V49" s="37"/>
      <c r="W49" s="38"/>
      <c r="X49" s="39"/>
      <c r="Y49" s="40"/>
      <c r="Z49" s="40"/>
      <c r="AA49" s="34">
        <f t="shared" si="186"/>
        <v>0</v>
      </c>
      <c r="AB49" s="35">
        <f t="shared" si="187"/>
        <v>0</v>
      </c>
      <c r="AC49" s="273"/>
      <c r="AD49" s="130"/>
      <c r="AE49" s="130"/>
      <c r="AF49" s="34">
        <f t="shared" si="172"/>
        <v>0</v>
      </c>
      <c r="AG49" s="34">
        <f t="shared" si="173"/>
        <v>0</v>
      </c>
      <c r="AH49" s="62"/>
      <c r="AI49" s="38"/>
      <c r="AJ49" s="38"/>
      <c r="AK49" s="34">
        <f t="shared" si="174"/>
        <v>0</v>
      </c>
      <c r="AL49" s="44">
        <f t="shared" si="175"/>
        <v>0</v>
      </c>
      <c r="AM49" s="45">
        <f t="shared" si="176"/>
        <v>0</v>
      </c>
      <c r="AN49" s="51">
        <f t="shared" si="177"/>
        <v>0</v>
      </c>
      <c r="AO49" s="51">
        <f t="shared" si="178"/>
        <v>0</v>
      </c>
      <c r="AP49" s="47" t="e">
        <f t="shared" si="179"/>
        <v>#DIV/0!</v>
      </c>
      <c r="AQ49" s="48">
        <f t="shared" si="180"/>
        <v>0</v>
      </c>
      <c r="AR49" s="49">
        <f t="shared" si="181"/>
        <v>0</v>
      </c>
      <c r="AS49" s="49"/>
      <c r="AT49" s="52"/>
      <c r="AU49" s="52"/>
      <c r="AV49" s="52"/>
      <c r="AW49" s="52"/>
    </row>
    <row r="50" spans="2:49" x14ac:dyDescent="0.25">
      <c r="B50" s="22">
        <v>46166</v>
      </c>
      <c r="C50" s="23" t="s">
        <v>54</v>
      </c>
      <c r="D50" s="50">
        <f t="shared" ref="D50" si="206">AH49</f>
        <v>0</v>
      </c>
      <c r="E50" s="34">
        <f t="shared" ref="E50" si="207">AI49</f>
        <v>0</v>
      </c>
      <c r="F50" s="34">
        <f t="shared" ref="F50" si="208">AJ49</f>
        <v>0</v>
      </c>
      <c r="G50" s="34">
        <f t="shared" si="167"/>
        <v>0</v>
      </c>
      <c r="H50" s="35">
        <f t="shared" si="168"/>
        <v>0</v>
      </c>
      <c r="I50" s="26">
        <f t="shared" si="15"/>
        <v>0</v>
      </c>
      <c r="J50" s="27"/>
      <c r="K50" s="28"/>
      <c r="L50" s="28"/>
      <c r="M50" s="29"/>
      <c r="N50" s="30"/>
      <c r="O50" s="31"/>
      <c r="P50" s="28"/>
      <c r="Q50" s="32"/>
      <c r="R50" s="64">
        <f t="shared" si="169"/>
        <v>0</v>
      </c>
      <c r="S50" s="34">
        <f t="shared" si="170"/>
        <v>0</v>
      </c>
      <c r="T50" s="34">
        <f t="shared" si="171"/>
        <v>0</v>
      </c>
      <c r="U50" s="36"/>
      <c r="V50" s="37"/>
      <c r="W50" s="38"/>
      <c r="X50" s="39"/>
      <c r="Y50" s="40"/>
      <c r="Z50" s="40"/>
      <c r="AA50" s="34">
        <f t="shared" si="186"/>
        <v>0</v>
      </c>
      <c r="AB50" s="35">
        <f t="shared" si="187"/>
        <v>0</v>
      </c>
      <c r="AC50" s="271"/>
      <c r="AD50" s="145"/>
      <c r="AE50" s="145"/>
      <c r="AF50" s="34">
        <f t="shared" si="172"/>
        <v>0</v>
      </c>
      <c r="AG50" s="34">
        <f t="shared" si="173"/>
        <v>0</v>
      </c>
      <c r="AH50" s="62"/>
      <c r="AI50" s="38"/>
      <c r="AJ50" s="38"/>
      <c r="AK50" s="34">
        <f t="shared" si="174"/>
        <v>0</v>
      </c>
      <c r="AL50" s="44">
        <f t="shared" si="175"/>
        <v>0</v>
      </c>
      <c r="AM50" s="45">
        <f t="shared" si="176"/>
        <v>0</v>
      </c>
      <c r="AN50" s="51">
        <f t="shared" si="177"/>
        <v>0</v>
      </c>
      <c r="AO50" s="51">
        <f t="shared" si="178"/>
        <v>0</v>
      </c>
      <c r="AP50" s="47" t="e">
        <f t="shared" si="179"/>
        <v>#DIV/0!</v>
      </c>
      <c r="AQ50" s="48">
        <f t="shared" si="180"/>
        <v>0</v>
      </c>
      <c r="AR50" s="49">
        <f t="shared" si="181"/>
        <v>0</v>
      </c>
      <c r="AS50" s="49"/>
      <c r="AT50" s="52"/>
      <c r="AU50" s="52"/>
      <c r="AV50" s="52"/>
      <c r="AW50" s="52"/>
    </row>
    <row r="51" spans="2:49" x14ac:dyDescent="0.25">
      <c r="B51" s="22">
        <f t="shared" ref="B51" si="209">+B50</f>
        <v>46166</v>
      </c>
      <c r="C51" s="23" t="s">
        <v>55</v>
      </c>
      <c r="D51" s="50">
        <f t="shared" ref="D51" si="210">AH50</f>
        <v>0</v>
      </c>
      <c r="E51" s="34">
        <f t="shared" ref="E51" si="211">AI50</f>
        <v>0</v>
      </c>
      <c r="F51" s="34">
        <f t="shared" ref="F51" si="212">AJ50</f>
        <v>0</v>
      </c>
      <c r="G51" s="34">
        <f t="shared" ref="G51" si="213">+D51*E51%</f>
        <v>0</v>
      </c>
      <c r="H51" s="35">
        <f t="shared" si="168"/>
        <v>0</v>
      </c>
      <c r="I51" s="26">
        <f t="shared" si="15"/>
        <v>0</v>
      </c>
      <c r="J51" s="27"/>
      <c r="K51" s="28"/>
      <c r="L51" s="28"/>
      <c r="M51" s="29"/>
      <c r="N51" s="30"/>
      <c r="O51" s="31"/>
      <c r="P51" s="28"/>
      <c r="Q51" s="32"/>
      <c r="R51" s="64">
        <f t="shared" si="169"/>
        <v>0</v>
      </c>
      <c r="S51" s="34">
        <f t="shared" si="170"/>
        <v>0</v>
      </c>
      <c r="T51" s="34">
        <f t="shared" si="171"/>
        <v>0</v>
      </c>
      <c r="U51" s="36"/>
      <c r="V51" s="37"/>
      <c r="W51" s="38"/>
      <c r="X51" s="39"/>
      <c r="Y51" s="40"/>
      <c r="Z51" s="40"/>
      <c r="AA51" s="34">
        <f t="shared" si="186"/>
        <v>0</v>
      </c>
      <c r="AB51" s="35">
        <f t="shared" si="187"/>
        <v>0</v>
      </c>
      <c r="AC51" s="273"/>
      <c r="AD51" s="130"/>
      <c r="AE51" s="130"/>
      <c r="AF51" s="34">
        <f t="shared" si="172"/>
        <v>0</v>
      </c>
      <c r="AG51" s="34">
        <f t="shared" si="173"/>
        <v>0</v>
      </c>
      <c r="AH51" s="62"/>
      <c r="AI51" s="38"/>
      <c r="AJ51" s="38"/>
      <c r="AK51" s="34">
        <f t="shared" si="174"/>
        <v>0</v>
      </c>
      <c r="AL51" s="44">
        <f t="shared" si="175"/>
        <v>0</v>
      </c>
      <c r="AM51" s="45">
        <f t="shared" si="176"/>
        <v>0</v>
      </c>
      <c r="AN51" s="51">
        <f t="shared" si="177"/>
        <v>0</v>
      </c>
      <c r="AO51" s="51">
        <f t="shared" si="178"/>
        <v>0</v>
      </c>
      <c r="AP51" s="47" t="e">
        <f t="shared" si="179"/>
        <v>#DIV/0!</v>
      </c>
      <c r="AQ51" s="48">
        <f t="shared" si="180"/>
        <v>0</v>
      </c>
      <c r="AR51" s="49">
        <f t="shared" si="181"/>
        <v>0</v>
      </c>
      <c r="AS51" s="49"/>
      <c r="AT51" s="52"/>
      <c r="AU51" s="52"/>
      <c r="AV51" s="52"/>
      <c r="AW51" s="52"/>
    </row>
    <row r="52" spans="2:49" x14ac:dyDescent="0.25">
      <c r="B52" s="22">
        <v>46167</v>
      </c>
      <c r="C52" s="23" t="s">
        <v>54</v>
      </c>
      <c r="D52" s="50">
        <f t="shared" ref="D52" si="214">AH51</f>
        <v>0</v>
      </c>
      <c r="E52" s="34">
        <f t="shared" ref="E52" si="215">AI51</f>
        <v>0</v>
      </c>
      <c r="F52" s="34">
        <f t="shared" ref="F52" si="216">AJ51</f>
        <v>0</v>
      </c>
      <c r="G52" s="34">
        <f t="shared" si="167"/>
        <v>0</v>
      </c>
      <c r="H52" s="35">
        <f t="shared" si="168"/>
        <v>0</v>
      </c>
      <c r="I52" s="26">
        <f t="shared" si="15"/>
        <v>0</v>
      </c>
      <c r="J52" s="27"/>
      <c r="K52" s="28"/>
      <c r="L52" s="28"/>
      <c r="M52" s="29"/>
      <c r="N52" s="30"/>
      <c r="O52" s="31"/>
      <c r="P52" s="28"/>
      <c r="Q52" s="32"/>
      <c r="R52" s="64">
        <f t="shared" si="169"/>
        <v>0</v>
      </c>
      <c r="S52" s="34">
        <f t="shared" si="170"/>
        <v>0</v>
      </c>
      <c r="T52" s="34">
        <f t="shared" si="171"/>
        <v>0</v>
      </c>
      <c r="U52" s="37"/>
      <c r="V52" s="37"/>
      <c r="W52" s="38"/>
      <c r="X52" s="39"/>
      <c r="Y52" s="40"/>
      <c r="Z52" s="40"/>
      <c r="AA52" s="34">
        <f t="shared" si="186"/>
        <v>0</v>
      </c>
      <c r="AB52" s="35">
        <f t="shared" si="187"/>
        <v>0</v>
      </c>
      <c r="AC52" s="271"/>
      <c r="AD52" s="145"/>
      <c r="AE52" s="145"/>
      <c r="AF52" s="34">
        <f t="shared" si="172"/>
        <v>0</v>
      </c>
      <c r="AG52" s="34">
        <f t="shared" si="173"/>
        <v>0</v>
      </c>
      <c r="AH52" s="62"/>
      <c r="AI52" s="38"/>
      <c r="AJ52" s="38"/>
      <c r="AK52" s="34">
        <f t="shared" si="174"/>
        <v>0</v>
      </c>
      <c r="AL52" s="44">
        <f t="shared" si="175"/>
        <v>0</v>
      </c>
      <c r="AM52" s="45">
        <f t="shared" si="176"/>
        <v>0</v>
      </c>
      <c r="AN52" s="51">
        <f t="shared" si="177"/>
        <v>0</v>
      </c>
      <c r="AO52" s="51">
        <f t="shared" si="178"/>
        <v>0</v>
      </c>
      <c r="AP52" s="47" t="e">
        <f t="shared" si="179"/>
        <v>#DIV/0!</v>
      </c>
      <c r="AQ52" s="48">
        <f t="shared" si="180"/>
        <v>0</v>
      </c>
      <c r="AR52" s="49">
        <f t="shared" si="181"/>
        <v>0</v>
      </c>
      <c r="AS52" s="49"/>
      <c r="AT52" s="52"/>
      <c r="AU52" s="52"/>
      <c r="AV52" s="52"/>
      <c r="AW52" s="52"/>
    </row>
    <row r="53" spans="2:49" x14ac:dyDescent="0.25">
      <c r="B53" s="22">
        <f t="shared" ref="B53" si="217">+B52</f>
        <v>46167</v>
      </c>
      <c r="C53" s="23" t="s">
        <v>55</v>
      </c>
      <c r="D53" s="50">
        <f t="shared" ref="D53" si="218">AH52</f>
        <v>0</v>
      </c>
      <c r="E53" s="34">
        <f t="shared" ref="E53" si="219">AI52</f>
        <v>0</v>
      </c>
      <c r="F53" s="34">
        <f t="shared" ref="F53" si="220">AJ52</f>
        <v>0</v>
      </c>
      <c r="G53" s="34">
        <f t="shared" ref="G53" si="221">+D53*E53%</f>
        <v>0</v>
      </c>
      <c r="H53" s="35">
        <f t="shared" si="168"/>
        <v>0</v>
      </c>
      <c r="I53" s="26">
        <f t="shared" si="15"/>
        <v>0</v>
      </c>
      <c r="J53" s="28"/>
      <c r="K53" s="61"/>
      <c r="L53" s="61"/>
      <c r="M53" s="29"/>
      <c r="N53" s="306"/>
      <c r="O53" s="307"/>
      <c r="P53" s="308"/>
      <c r="Q53" s="309"/>
      <c r="R53" s="64">
        <f t="shared" si="169"/>
        <v>0</v>
      </c>
      <c r="S53" s="34">
        <f t="shared" si="170"/>
        <v>0</v>
      </c>
      <c r="T53" s="34">
        <f t="shared" si="171"/>
        <v>0</v>
      </c>
      <c r="U53" s="37"/>
      <c r="V53" s="37"/>
      <c r="W53" s="38"/>
      <c r="X53" s="304"/>
      <c r="Y53" s="305"/>
      <c r="Z53" s="305"/>
      <c r="AA53" s="34">
        <f t="shared" si="186"/>
        <v>0</v>
      </c>
      <c r="AB53" s="35">
        <f t="shared" si="187"/>
        <v>0</v>
      </c>
      <c r="AC53" s="273"/>
      <c r="AD53" s="130"/>
      <c r="AE53" s="130"/>
      <c r="AF53" s="34">
        <f t="shared" si="172"/>
        <v>0</v>
      </c>
      <c r="AG53" s="34">
        <f t="shared" si="173"/>
        <v>0</v>
      </c>
      <c r="AH53" s="62"/>
      <c r="AI53" s="38"/>
      <c r="AJ53" s="38"/>
      <c r="AK53" s="34">
        <f t="shared" si="174"/>
        <v>0</v>
      </c>
      <c r="AL53" s="44">
        <f t="shared" si="175"/>
        <v>0</v>
      </c>
      <c r="AM53" s="45">
        <f t="shared" si="176"/>
        <v>0</v>
      </c>
      <c r="AN53" s="51">
        <f t="shared" si="177"/>
        <v>0</v>
      </c>
      <c r="AO53" s="51">
        <f t="shared" si="178"/>
        <v>0</v>
      </c>
      <c r="AP53" s="47" t="e">
        <f t="shared" si="179"/>
        <v>#DIV/0!</v>
      </c>
      <c r="AQ53" s="48">
        <f t="shared" si="180"/>
        <v>0</v>
      </c>
      <c r="AR53" s="49">
        <f t="shared" si="181"/>
        <v>0</v>
      </c>
      <c r="AS53" s="49"/>
      <c r="AT53" s="52"/>
      <c r="AU53" s="52"/>
      <c r="AV53" s="52"/>
      <c r="AW53" s="52"/>
    </row>
    <row r="54" spans="2:49" x14ac:dyDescent="0.25">
      <c r="B54" s="22">
        <v>46168</v>
      </c>
      <c r="C54" s="23" t="s">
        <v>54</v>
      </c>
      <c r="D54" s="50">
        <f t="shared" ref="D54" si="222">AH53</f>
        <v>0</v>
      </c>
      <c r="E54" s="34">
        <f t="shared" ref="E54" si="223">AI53</f>
        <v>0</v>
      </c>
      <c r="F54" s="34">
        <f t="shared" ref="F54" si="224">AJ53</f>
        <v>0</v>
      </c>
      <c r="G54" s="34">
        <f t="shared" si="167"/>
        <v>0</v>
      </c>
      <c r="H54" s="35">
        <f t="shared" si="168"/>
        <v>0</v>
      </c>
      <c r="I54" s="26">
        <f t="shared" si="15"/>
        <v>0</v>
      </c>
      <c r="J54" s="27"/>
      <c r="K54" s="28"/>
      <c r="L54" s="28"/>
      <c r="M54" s="29"/>
      <c r="N54" s="306"/>
      <c r="O54" s="307"/>
      <c r="P54" s="308"/>
      <c r="Q54" s="309"/>
      <c r="R54" s="64">
        <f t="shared" si="169"/>
        <v>0</v>
      </c>
      <c r="S54" s="34">
        <f t="shared" si="170"/>
        <v>0</v>
      </c>
      <c r="T54" s="34">
        <f t="shared" si="171"/>
        <v>0</v>
      </c>
      <c r="U54" s="37"/>
      <c r="V54" s="37"/>
      <c r="W54" s="38"/>
      <c r="X54" s="39"/>
      <c r="Y54" s="40"/>
      <c r="Z54" s="40"/>
      <c r="AA54" s="34">
        <f t="shared" si="186"/>
        <v>0</v>
      </c>
      <c r="AB54" s="35">
        <f t="shared" si="187"/>
        <v>0</v>
      </c>
      <c r="AC54" s="271"/>
      <c r="AD54" s="145"/>
      <c r="AE54" s="145"/>
      <c r="AF54" s="34">
        <f t="shared" si="172"/>
        <v>0</v>
      </c>
      <c r="AG54" s="34">
        <f t="shared" si="173"/>
        <v>0</v>
      </c>
      <c r="AH54" s="62"/>
      <c r="AI54" s="38"/>
      <c r="AJ54" s="38"/>
      <c r="AK54" s="34">
        <f t="shared" si="174"/>
        <v>0</v>
      </c>
      <c r="AL54" s="44">
        <f t="shared" si="175"/>
        <v>0</v>
      </c>
      <c r="AM54" s="45">
        <f t="shared" si="176"/>
        <v>0</v>
      </c>
      <c r="AN54" s="51">
        <f t="shared" si="177"/>
        <v>0</v>
      </c>
      <c r="AO54" s="51">
        <f t="shared" si="178"/>
        <v>0</v>
      </c>
      <c r="AP54" s="47" t="e">
        <f t="shared" si="179"/>
        <v>#DIV/0!</v>
      </c>
      <c r="AQ54" s="48">
        <f t="shared" si="180"/>
        <v>0</v>
      </c>
      <c r="AR54" s="49">
        <f t="shared" si="181"/>
        <v>0</v>
      </c>
      <c r="AS54" s="49"/>
      <c r="AT54" s="52"/>
      <c r="AU54" s="52"/>
      <c r="AV54" s="52"/>
      <c r="AW54" s="52"/>
    </row>
    <row r="55" spans="2:49" x14ac:dyDescent="0.25">
      <c r="B55" s="22">
        <f t="shared" ref="B55" si="225">+B54</f>
        <v>46168</v>
      </c>
      <c r="C55" s="23" t="s">
        <v>55</v>
      </c>
      <c r="D55" s="50">
        <f t="shared" ref="D55" si="226">AH54</f>
        <v>0</v>
      </c>
      <c r="E55" s="34">
        <f t="shared" ref="E55" si="227">AI54</f>
        <v>0</v>
      </c>
      <c r="F55" s="34">
        <f t="shared" ref="F55" si="228">AJ54</f>
        <v>0</v>
      </c>
      <c r="G55" s="34">
        <f t="shared" si="167"/>
        <v>0</v>
      </c>
      <c r="H55" s="35">
        <f t="shared" si="168"/>
        <v>0</v>
      </c>
      <c r="I55" s="26">
        <f t="shared" si="15"/>
        <v>0</v>
      </c>
      <c r="J55" s="27"/>
      <c r="K55" s="28"/>
      <c r="L55" s="28"/>
      <c r="M55" s="29"/>
      <c r="N55" s="306"/>
      <c r="O55" s="307"/>
      <c r="P55" s="308"/>
      <c r="Q55" s="309"/>
      <c r="R55" s="64">
        <f t="shared" si="169"/>
        <v>0</v>
      </c>
      <c r="S55" s="34">
        <f t="shared" si="170"/>
        <v>0</v>
      </c>
      <c r="T55" s="34">
        <f t="shared" si="171"/>
        <v>0</v>
      </c>
      <c r="U55" s="37"/>
      <c r="V55" s="37"/>
      <c r="W55" s="38"/>
      <c r="X55" s="39"/>
      <c r="Y55" s="40"/>
      <c r="Z55" s="40"/>
      <c r="AA55" s="34">
        <f t="shared" ref="AA55:AA56" si="229">X55*Y55%</f>
        <v>0</v>
      </c>
      <c r="AB55" s="35">
        <f t="shared" ref="AB55:AB56" si="230">X55*Z55%</f>
        <v>0</v>
      </c>
      <c r="AC55" s="273"/>
      <c r="AD55" s="130"/>
      <c r="AE55" s="130"/>
      <c r="AF55" s="34">
        <f t="shared" si="172"/>
        <v>0</v>
      </c>
      <c r="AG55" s="34">
        <f t="shared" si="173"/>
        <v>0</v>
      </c>
      <c r="AH55" s="62"/>
      <c r="AI55" s="38"/>
      <c r="AJ55" s="38"/>
      <c r="AK55" s="34">
        <f t="shared" si="174"/>
        <v>0</v>
      </c>
      <c r="AL55" s="44">
        <f t="shared" si="175"/>
        <v>0</v>
      </c>
      <c r="AM55" s="45">
        <f t="shared" si="176"/>
        <v>0</v>
      </c>
      <c r="AN55" s="51">
        <f t="shared" si="177"/>
        <v>0</v>
      </c>
      <c r="AO55" s="51">
        <f t="shared" si="178"/>
        <v>0</v>
      </c>
      <c r="AP55" s="47" t="e">
        <f t="shared" si="179"/>
        <v>#DIV/0!</v>
      </c>
      <c r="AQ55" s="48">
        <f t="shared" si="180"/>
        <v>0</v>
      </c>
      <c r="AR55" s="49">
        <f t="shared" si="181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v>46169</v>
      </c>
      <c r="C56" s="23" t="s">
        <v>54</v>
      </c>
      <c r="D56" s="50">
        <f t="shared" ref="D56" si="231">AH55</f>
        <v>0</v>
      </c>
      <c r="E56" s="34">
        <f t="shared" ref="E56" si="232">AI55</f>
        <v>0</v>
      </c>
      <c r="F56" s="34">
        <f t="shared" ref="F56" si="233">AJ55</f>
        <v>0</v>
      </c>
      <c r="G56" s="34">
        <f t="shared" si="167"/>
        <v>0</v>
      </c>
      <c r="H56" s="35">
        <f t="shared" si="168"/>
        <v>0</v>
      </c>
      <c r="I56" s="26">
        <f t="shared" si="15"/>
        <v>0</v>
      </c>
      <c r="J56" s="28"/>
      <c r="K56" s="61"/>
      <c r="L56" s="61"/>
      <c r="M56" s="29"/>
      <c r="N56" s="306"/>
      <c r="O56" s="307"/>
      <c r="P56" s="308"/>
      <c r="Q56" s="309"/>
      <c r="R56" s="64">
        <f t="shared" si="169"/>
        <v>0</v>
      </c>
      <c r="S56" s="34">
        <f t="shared" si="170"/>
        <v>0</v>
      </c>
      <c r="T56" s="34">
        <f t="shared" si="171"/>
        <v>0</v>
      </c>
      <c r="U56" s="37"/>
      <c r="V56" s="37"/>
      <c r="W56" s="38"/>
      <c r="X56" s="39"/>
      <c r="Y56" s="40"/>
      <c r="Z56" s="40"/>
      <c r="AA56" s="34">
        <f t="shared" si="229"/>
        <v>0</v>
      </c>
      <c r="AB56" s="35">
        <f t="shared" si="230"/>
        <v>0</v>
      </c>
      <c r="AC56" s="273"/>
      <c r="AD56" s="130"/>
      <c r="AE56" s="130"/>
      <c r="AF56" s="34">
        <f t="shared" si="172"/>
        <v>0</v>
      </c>
      <c r="AG56" s="34">
        <f t="shared" si="173"/>
        <v>0</v>
      </c>
      <c r="AH56" s="62"/>
      <c r="AI56" s="38"/>
      <c r="AJ56" s="38"/>
      <c r="AK56" s="34">
        <f t="shared" si="174"/>
        <v>0</v>
      </c>
      <c r="AL56" s="44">
        <f t="shared" si="175"/>
        <v>0</v>
      </c>
      <c r="AM56" s="45">
        <f t="shared" si="176"/>
        <v>0</v>
      </c>
      <c r="AN56" s="51">
        <f t="shared" si="177"/>
        <v>0</v>
      </c>
      <c r="AO56" s="51">
        <f t="shared" si="178"/>
        <v>0</v>
      </c>
      <c r="AP56" s="47" t="e">
        <f t="shared" si="179"/>
        <v>#DIV/0!</v>
      </c>
      <c r="AQ56" s="48">
        <f t="shared" si="180"/>
        <v>0</v>
      </c>
      <c r="AR56" s="49">
        <f t="shared" si="181"/>
        <v>0</v>
      </c>
      <c r="AS56" s="49"/>
      <c r="AT56" s="52"/>
      <c r="AU56" s="52"/>
      <c r="AV56" s="52"/>
      <c r="AW56" s="52"/>
    </row>
    <row r="57" spans="2:49" x14ac:dyDescent="0.25">
      <c r="B57" s="22">
        <f t="shared" ref="B57" si="234">+B56</f>
        <v>46169</v>
      </c>
      <c r="C57" s="23" t="s">
        <v>55</v>
      </c>
      <c r="D57" s="50">
        <f t="shared" si="183"/>
        <v>0</v>
      </c>
      <c r="E57" s="34">
        <f t="shared" si="184"/>
        <v>0</v>
      </c>
      <c r="F57" s="34">
        <f t="shared" si="185"/>
        <v>0</v>
      </c>
      <c r="G57" s="34">
        <f t="shared" si="167"/>
        <v>0</v>
      </c>
      <c r="H57" s="35">
        <f t="shared" si="168"/>
        <v>0</v>
      </c>
      <c r="I57" s="26">
        <f t="shared" si="15"/>
        <v>0</v>
      </c>
      <c r="J57" s="27"/>
      <c r="K57" s="28"/>
      <c r="L57" s="28"/>
      <c r="M57" s="29"/>
      <c r="N57" s="30"/>
      <c r="O57" s="31"/>
      <c r="P57" s="28"/>
      <c r="Q57" s="32"/>
      <c r="R57" s="64">
        <f t="shared" si="169"/>
        <v>0</v>
      </c>
      <c r="S57" s="34">
        <f t="shared" si="170"/>
        <v>0</v>
      </c>
      <c r="T57" s="34">
        <f t="shared" si="171"/>
        <v>0</v>
      </c>
      <c r="U57" s="37"/>
      <c r="V57" s="37"/>
      <c r="W57" s="38"/>
      <c r="X57" s="304"/>
      <c r="Y57" s="305"/>
      <c r="Z57" s="305"/>
      <c r="AA57" s="34">
        <f t="shared" si="186"/>
        <v>0</v>
      </c>
      <c r="AB57" s="35">
        <f t="shared" si="187"/>
        <v>0</v>
      </c>
      <c r="AC57" s="273"/>
      <c r="AD57" s="130"/>
      <c r="AE57" s="130"/>
      <c r="AF57" s="34">
        <f t="shared" si="172"/>
        <v>0</v>
      </c>
      <c r="AG57" s="34">
        <f t="shared" si="173"/>
        <v>0</v>
      </c>
      <c r="AH57" s="62"/>
      <c r="AI57" s="38"/>
      <c r="AJ57" s="38"/>
      <c r="AK57" s="34">
        <f t="shared" si="174"/>
        <v>0</v>
      </c>
      <c r="AL57" s="44">
        <f t="shared" si="175"/>
        <v>0</v>
      </c>
      <c r="AM57" s="45">
        <f t="shared" si="176"/>
        <v>0</v>
      </c>
      <c r="AN57" s="51">
        <f t="shared" si="177"/>
        <v>0</v>
      </c>
      <c r="AO57" s="51">
        <f t="shared" si="178"/>
        <v>0</v>
      </c>
      <c r="AP57" s="47" t="e">
        <f t="shared" si="179"/>
        <v>#DIV/0!</v>
      </c>
      <c r="AQ57" s="48">
        <f t="shared" si="180"/>
        <v>0</v>
      </c>
      <c r="AR57" s="49">
        <f t="shared" si="181"/>
        <v>0</v>
      </c>
      <c r="AS57" s="49"/>
      <c r="AT57" s="52"/>
      <c r="AU57" s="52"/>
      <c r="AV57" s="52"/>
      <c r="AW57" s="52"/>
    </row>
    <row r="58" spans="2:49" x14ac:dyDescent="0.25">
      <c r="B58" s="22">
        <v>46170</v>
      </c>
      <c r="C58" s="23" t="s">
        <v>54</v>
      </c>
      <c r="D58" s="50">
        <f t="shared" ref="D58" si="235">AH57</f>
        <v>0</v>
      </c>
      <c r="E58" s="34">
        <f t="shared" ref="E58" si="236">AI57</f>
        <v>0</v>
      </c>
      <c r="F58" s="34">
        <f t="shared" ref="F58" si="237">AJ57</f>
        <v>0</v>
      </c>
      <c r="G58" s="34">
        <f t="shared" si="167"/>
        <v>0</v>
      </c>
      <c r="H58" s="35">
        <f t="shared" si="168"/>
        <v>0</v>
      </c>
      <c r="I58" s="26">
        <f t="shared" si="15"/>
        <v>0</v>
      </c>
      <c r="J58" s="27"/>
      <c r="K58" s="28"/>
      <c r="L58" s="28"/>
      <c r="M58" s="29"/>
      <c r="N58" s="30"/>
      <c r="O58" s="31"/>
      <c r="P58" s="28"/>
      <c r="Q58" s="32"/>
      <c r="R58" s="64">
        <f t="shared" si="169"/>
        <v>0</v>
      </c>
      <c r="S58" s="34">
        <f t="shared" si="170"/>
        <v>0</v>
      </c>
      <c r="T58" s="34">
        <f t="shared" si="171"/>
        <v>0</v>
      </c>
      <c r="U58" s="37"/>
      <c r="V58" s="37"/>
      <c r="W58" s="38"/>
      <c r="X58" s="39"/>
      <c r="Y58" s="40"/>
      <c r="Z58" s="40"/>
      <c r="AA58" s="34">
        <f t="shared" si="186"/>
        <v>0</v>
      </c>
      <c r="AB58" s="35">
        <f t="shared" si="187"/>
        <v>0</v>
      </c>
      <c r="AC58" s="273"/>
      <c r="AD58" s="130"/>
      <c r="AE58" s="130"/>
      <c r="AF58" s="34">
        <f t="shared" si="172"/>
        <v>0</v>
      </c>
      <c r="AG58" s="34">
        <f t="shared" si="173"/>
        <v>0</v>
      </c>
      <c r="AH58" s="62"/>
      <c r="AI58" s="38"/>
      <c r="AJ58" s="38"/>
      <c r="AK58" s="34">
        <f t="shared" si="174"/>
        <v>0</v>
      </c>
      <c r="AL58" s="44">
        <f t="shared" si="175"/>
        <v>0</v>
      </c>
      <c r="AM58" s="45">
        <f t="shared" si="176"/>
        <v>0</v>
      </c>
      <c r="AN58" s="51">
        <f t="shared" si="177"/>
        <v>0</v>
      </c>
      <c r="AO58" s="51">
        <f t="shared" si="178"/>
        <v>0</v>
      </c>
      <c r="AP58" s="47" t="e">
        <f t="shared" si="179"/>
        <v>#DIV/0!</v>
      </c>
      <c r="AQ58" s="48">
        <f t="shared" si="180"/>
        <v>0</v>
      </c>
      <c r="AR58" s="49">
        <f t="shared" si="181"/>
        <v>0</v>
      </c>
      <c r="AS58" s="49"/>
      <c r="AT58" s="52"/>
      <c r="AU58" s="52"/>
      <c r="AV58" s="52"/>
      <c r="AW58" s="52"/>
    </row>
    <row r="59" spans="2:49" x14ac:dyDescent="0.25">
      <c r="B59" s="22">
        <f t="shared" ref="B59" si="238">+B58</f>
        <v>46170</v>
      </c>
      <c r="C59" s="23" t="s">
        <v>55</v>
      </c>
      <c r="D59" s="50">
        <f t="shared" ref="D59" si="239">AH58</f>
        <v>0</v>
      </c>
      <c r="E59" s="34">
        <f t="shared" ref="E59" si="240">AI58</f>
        <v>0</v>
      </c>
      <c r="F59" s="34">
        <f t="shared" ref="F59" si="241">AJ58</f>
        <v>0</v>
      </c>
      <c r="G59" s="34">
        <f t="shared" si="167"/>
        <v>0</v>
      </c>
      <c r="H59" s="35">
        <f t="shared" si="168"/>
        <v>0</v>
      </c>
      <c r="I59" s="26">
        <f t="shared" si="15"/>
        <v>0</v>
      </c>
      <c r="J59" s="27"/>
      <c r="K59" s="28"/>
      <c r="L59" s="28"/>
      <c r="M59" s="29"/>
      <c r="N59" s="30"/>
      <c r="O59" s="31"/>
      <c r="P59" s="28"/>
      <c r="Q59" s="32"/>
      <c r="R59" s="64">
        <f t="shared" si="169"/>
        <v>0</v>
      </c>
      <c r="S59" s="34">
        <f t="shared" si="170"/>
        <v>0</v>
      </c>
      <c r="T59" s="34">
        <f t="shared" si="171"/>
        <v>0</v>
      </c>
      <c r="U59" s="37"/>
      <c r="V59" s="37"/>
      <c r="W59" s="38"/>
      <c r="X59" s="39"/>
      <c r="Y59" s="40"/>
      <c r="Z59" s="40"/>
      <c r="AA59" s="34">
        <f>X59*Y59%</f>
        <v>0</v>
      </c>
      <c r="AB59" s="35">
        <f t="shared" si="187"/>
        <v>0</v>
      </c>
      <c r="AC59" s="271"/>
      <c r="AD59" s="145"/>
      <c r="AE59" s="145"/>
      <c r="AF59" s="34">
        <f t="shared" si="172"/>
        <v>0</v>
      </c>
      <c r="AG59" s="34">
        <f t="shared" si="173"/>
        <v>0</v>
      </c>
      <c r="AH59" s="62"/>
      <c r="AI59" s="38"/>
      <c r="AJ59" s="38"/>
      <c r="AK59" s="34">
        <f t="shared" si="174"/>
        <v>0</v>
      </c>
      <c r="AL59" s="44">
        <f t="shared" si="175"/>
        <v>0</v>
      </c>
      <c r="AM59" s="45">
        <f t="shared" si="176"/>
        <v>0</v>
      </c>
      <c r="AN59" s="51">
        <f t="shared" si="177"/>
        <v>0</v>
      </c>
      <c r="AO59" s="51">
        <f t="shared" si="178"/>
        <v>0</v>
      </c>
      <c r="AP59" s="47" t="e">
        <f t="shared" si="179"/>
        <v>#DIV/0!</v>
      </c>
      <c r="AQ59" s="48">
        <f t="shared" si="180"/>
        <v>0</v>
      </c>
      <c r="AR59" s="49">
        <f t="shared" si="181"/>
        <v>0</v>
      </c>
      <c r="AS59" s="49"/>
      <c r="AT59" s="52"/>
      <c r="AU59" s="52"/>
      <c r="AV59" s="52"/>
      <c r="AW59" s="52"/>
    </row>
    <row r="60" spans="2:49" x14ac:dyDescent="0.25">
      <c r="B60" s="22">
        <v>46171</v>
      </c>
      <c r="C60" s="23" t="s">
        <v>54</v>
      </c>
      <c r="D60" s="50">
        <f t="shared" ref="D60:D65" si="242">AH59</f>
        <v>0</v>
      </c>
      <c r="E60" s="34">
        <f t="shared" ref="E60:E65" si="243">AI59</f>
        <v>0</v>
      </c>
      <c r="F60" s="34">
        <f t="shared" ref="F60:F65" si="244">AJ59</f>
        <v>0</v>
      </c>
      <c r="G60" s="34">
        <f t="shared" si="167"/>
        <v>0</v>
      </c>
      <c r="H60" s="35">
        <f t="shared" si="168"/>
        <v>0</v>
      </c>
      <c r="I60" s="26">
        <f t="shared" si="15"/>
        <v>0</v>
      </c>
      <c r="J60" s="27"/>
      <c r="K60" s="28"/>
      <c r="L60" s="28"/>
      <c r="M60" s="29"/>
      <c r="N60" s="30"/>
      <c r="O60" s="31"/>
      <c r="P60" s="28"/>
      <c r="Q60" s="32"/>
      <c r="R60" s="64">
        <f t="shared" si="169"/>
        <v>0</v>
      </c>
      <c r="S60" s="34">
        <f t="shared" si="170"/>
        <v>0</v>
      </c>
      <c r="T60" s="34">
        <f t="shared" si="171"/>
        <v>0</v>
      </c>
      <c r="U60" s="37"/>
      <c r="V60" s="37"/>
      <c r="W60" s="38"/>
      <c r="X60" s="39"/>
      <c r="Y60" s="40"/>
      <c r="Z60" s="40"/>
      <c r="AA60" s="34">
        <f t="shared" si="186"/>
        <v>0</v>
      </c>
      <c r="AB60" s="35">
        <f t="shared" si="187"/>
        <v>0</v>
      </c>
      <c r="AC60" s="271"/>
      <c r="AD60" s="145"/>
      <c r="AE60" s="145"/>
      <c r="AF60" s="34">
        <f t="shared" si="172"/>
        <v>0</v>
      </c>
      <c r="AG60" s="34">
        <f t="shared" si="173"/>
        <v>0</v>
      </c>
      <c r="AH60" s="62"/>
      <c r="AI60" s="38"/>
      <c r="AJ60" s="38"/>
      <c r="AK60" s="34">
        <f t="shared" si="174"/>
        <v>0</v>
      </c>
      <c r="AL60" s="44">
        <f t="shared" si="175"/>
        <v>0</v>
      </c>
      <c r="AM60" s="45">
        <f t="shared" si="176"/>
        <v>0</v>
      </c>
      <c r="AN60" s="51">
        <f t="shared" si="177"/>
        <v>0</v>
      </c>
      <c r="AO60" s="51">
        <f t="shared" si="178"/>
        <v>0</v>
      </c>
      <c r="AP60" s="47" t="e">
        <f t="shared" si="179"/>
        <v>#DIV/0!</v>
      </c>
      <c r="AQ60" s="48">
        <f t="shared" si="180"/>
        <v>0</v>
      </c>
      <c r="AR60" s="49">
        <f t="shared" si="181"/>
        <v>0</v>
      </c>
      <c r="AS60" s="49"/>
      <c r="AT60" s="52"/>
      <c r="AU60" s="52"/>
      <c r="AV60" s="52"/>
      <c r="AW60" s="52"/>
    </row>
    <row r="61" spans="2:49" x14ac:dyDescent="0.25">
      <c r="B61" s="22">
        <f t="shared" ref="B61" si="245">+B60</f>
        <v>46171</v>
      </c>
      <c r="C61" s="23" t="s">
        <v>55</v>
      </c>
      <c r="D61" s="50">
        <f t="shared" si="242"/>
        <v>0</v>
      </c>
      <c r="E61" s="34">
        <f t="shared" si="243"/>
        <v>0</v>
      </c>
      <c r="F61" s="34">
        <f t="shared" si="244"/>
        <v>0</v>
      </c>
      <c r="G61" s="34">
        <f t="shared" si="167"/>
        <v>0</v>
      </c>
      <c r="H61" s="35">
        <f t="shared" si="168"/>
        <v>0</v>
      </c>
      <c r="I61" s="26">
        <f t="shared" si="15"/>
        <v>0</v>
      </c>
      <c r="J61" s="27"/>
      <c r="K61" s="28"/>
      <c r="L61" s="28"/>
      <c r="M61" s="29"/>
      <c r="N61" s="30"/>
      <c r="O61" s="31"/>
      <c r="P61" s="28"/>
      <c r="Q61" s="32"/>
      <c r="R61" s="64">
        <f t="shared" ref="R61" si="246">O61+J61</f>
        <v>0</v>
      </c>
      <c r="S61" s="34">
        <f t="shared" ref="S61" si="247">(J61*K61%)+(O61*P61%)</f>
        <v>0</v>
      </c>
      <c r="T61" s="34">
        <f t="shared" ref="T61" si="248">(J61*L61%)+(O61*Q61%)</f>
        <v>0</v>
      </c>
      <c r="U61" s="37"/>
      <c r="V61" s="37"/>
      <c r="W61" s="38"/>
      <c r="X61" s="39"/>
      <c r="Y61" s="40"/>
      <c r="Z61" s="40"/>
      <c r="AA61" s="34">
        <f t="shared" si="186"/>
        <v>0</v>
      </c>
      <c r="AB61" s="35">
        <f t="shared" si="187"/>
        <v>0</v>
      </c>
      <c r="AC61" s="271"/>
      <c r="AD61" s="145"/>
      <c r="AE61" s="145"/>
      <c r="AF61" s="34">
        <f t="shared" si="172"/>
        <v>0</v>
      </c>
      <c r="AG61" s="34">
        <f t="shared" si="173"/>
        <v>0</v>
      </c>
      <c r="AH61" s="62"/>
      <c r="AI61" s="38"/>
      <c r="AJ61" s="38"/>
      <c r="AK61" s="34">
        <f t="shared" si="174"/>
        <v>0</v>
      </c>
      <c r="AL61" s="44">
        <f t="shared" si="175"/>
        <v>0</v>
      </c>
      <c r="AM61" s="45">
        <f t="shared" si="176"/>
        <v>0</v>
      </c>
      <c r="AN61" s="51">
        <f t="shared" si="177"/>
        <v>0</v>
      </c>
      <c r="AO61" s="51">
        <f t="shared" si="178"/>
        <v>0</v>
      </c>
      <c r="AP61" s="47" t="e">
        <f t="shared" si="179"/>
        <v>#DIV/0!</v>
      </c>
      <c r="AQ61" s="48">
        <f t="shared" si="180"/>
        <v>0</v>
      </c>
      <c r="AR61" s="49">
        <f t="shared" si="181"/>
        <v>0</v>
      </c>
      <c r="AS61" s="49"/>
      <c r="AT61" s="52"/>
      <c r="AU61" s="52"/>
      <c r="AV61" s="52"/>
      <c r="AW61" s="52"/>
    </row>
    <row r="62" spans="2:49" x14ac:dyDescent="0.25">
      <c r="B62" s="22">
        <v>46172</v>
      </c>
      <c r="C62" s="23" t="s">
        <v>54</v>
      </c>
      <c r="D62" s="50">
        <f t="shared" ref="D62" si="249">AH61</f>
        <v>0</v>
      </c>
      <c r="E62" s="34">
        <f t="shared" ref="E62" si="250">AI61</f>
        <v>0</v>
      </c>
      <c r="F62" s="34">
        <f t="shared" ref="F62" si="251">AJ61</f>
        <v>0</v>
      </c>
      <c r="G62" s="34">
        <f t="shared" si="167"/>
        <v>0</v>
      </c>
      <c r="H62" s="35">
        <f t="shared" si="168"/>
        <v>0</v>
      </c>
      <c r="I62" s="26">
        <f t="shared" si="15"/>
        <v>0</v>
      </c>
      <c r="J62" s="27"/>
      <c r="K62" s="28"/>
      <c r="L62" s="28"/>
      <c r="M62" s="29"/>
      <c r="N62" s="30"/>
      <c r="O62" s="31"/>
      <c r="P62" s="28"/>
      <c r="Q62" s="32"/>
      <c r="R62" s="64">
        <f t="shared" ref="R62" si="252">O62+J62</f>
        <v>0</v>
      </c>
      <c r="S62" s="34">
        <f t="shared" ref="S62" si="253">(J62*K62%)+(O62*P62%)</f>
        <v>0</v>
      </c>
      <c r="T62" s="34">
        <f t="shared" ref="T62" si="254">(J62*L62%)+(O62*Q62%)</f>
        <v>0</v>
      </c>
      <c r="U62" s="37"/>
      <c r="V62" s="37"/>
      <c r="W62" s="38"/>
      <c r="X62" s="39"/>
      <c r="Y62" s="40"/>
      <c r="Z62" s="40"/>
      <c r="AA62" s="34">
        <f t="shared" si="186"/>
        <v>0</v>
      </c>
      <c r="AB62" s="35">
        <f t="shared" si="187"/>
        <v>0</v>
      </c>
      <c r="AC62" s="273"/>
      <c r="AD62" s="130"/>
      <c r="AE62" s="130"/>
      <c r="AF62" s="34">
        <f t="shared" si="172"/>
        <v>0</v>
      </c>
      <c r="AG62" s="34">
        <f t="shared" si="173"/>
        <v>0</v>
      </c>
      <c r="AH62" s="62"/>
      <c r="AI62" s="38"/>
      <c r="AJ62" s="38"/>
      <c r="AK62" s="34">
        <f t="shared" si="174"/>
        <v>0</v>
      </c>
      <c r="AL62" s="44">
        <f t="shared" si="175"/>
        <v>0</v>
      </c>
      <c r="AM62" s="45">
        <f t="shared" si="176"/>
        <v>0</v>
      </c>
      <c r="AN62" s="51">
        <f t="shared" si="177"/>
        <v>0</v>
      </c>
      <c r="AO62" s="51">
        <f t="shared" si="178"/>
        <v>0</v>
      </c>
      <c r="AP62" s="47" t="e">
        <f t="shared" si="179"/>
        <v>#DIV/0!</v>
      </c>
      <c r="AQ62" s="48">
        <f t="shared" si="180"/>
        <v>0</v>
      </c>
      <c r="AR62" s="49">
        <f t="shared" si="181"/>
        <v>0</v>
      </c>
      <c r="AS62" s="49"/>
      <c r="AT62" s="52"/>
      <c r="AU62" s="52"/>
      <c r="AV62" s="52"/>
      <c r="AW62" s="52"/>
    </row>
    <row r="63" spans="2:49" x14ac:dyDescent="0.25">
      <c r="B63" s="22">
        <f t="shared" ref="B63" si="255">+B62</f>
        <v>46172</v>
      </c>
      <c r="C63" s="23" t="s">
        <v>55</v>
      </c>
      <c r="D63" s="50">
        <f t="shared" si="242"/>
        <v>0</v>
      </c>
      <c r="E63" s="34">
        <f t="shared" si="243"/>
        <v>0</v>
      </c>
      <c r="F63" s="34">
        <f t="shared" si="244"/>
        <v>0</v>
      </c>
      <c r="G63" s="34">
        <f t="shared" si="167"/>
        <v>0</v>
      </c>
      <c r="H63" s="35">
        <f t="shared" si="168"/>
        <v>0</v>
      </c>
      <c r="I63" s="26">
        <f t="shared" si="15"/>
        <v>0</v>
      </c>
      <c r="J63" s="27"/>
      <c r="K63" s="28"/>
      <c r="L63" s="28"/>
      <c r="M63" s="29"/>
      <c r="N63" s="30"/>
      <c r="O63" s="31"/>
      <c r="P63" s="28"/>
      <c r="Q63" s="32"/>
      <c r="R63" s="64">
        <f t="shared" si="169"/>
        <v>0</v>
      </c>
      <c r="S63" s="34">
        <f t="shared" si="170"/>
        <v>0</v>
      </c>
      <c r="T63" s="34">
        <f t="shared" si="171"/>
        <v>0</v>
      </c>
      <c r="U63" s="37"/>
      <c r="V63" s="37"/>
      <c r="W63" s="38"/>
      <c r="X63" s="39"/>
      <c r="Y63" s="40"/>
      <c r="Z63" s="40"/>
      <c r="AA63" s="34">
        <f t="shared" si="186"/>
        <v>0</v>
      </c>
      <c r="AB63" s="35">
        <f t="shared" si="187"/>
        <v>0</v>
      </c>
      <c r="AC63" s="273"/>
      <c r="AD63" s="130"/>
      <c r="AE63" s="130"/>
      <c r="AF63" s="34">
        <f t="shared" si="172"/>
        <v>0</v>
      </c>
      <c r="AG63" s="34">
        <f t="shared" si="173"/>
        <v>0</v>
      </c>
      <c r="AH63" s="62"/>
      <c r="AI63" s="38"/>
      <c r="AJ63" s="38"/>
      <c r="AK63" s="34">
        <f t="shared" si="174"/>
        <v>0</v>
      </c>
      <c r="AL63" s="44">
        <f t="shared" si="175"/>
        <v>0</v>
      </c>
      <c r="AM63" s="45">
        <f t="shared" si="176"/>
        <v>0</v>
      </c>
      <c r="AN63" s="51">
        <f t="shared" si="177"/>
        <v>0</v>
      </c>
      <c r="AO63" s="51">
        <f t="shared" si="178"/>
        <v>0</v>
      </c>
      <c r="AP63" s="47" t="e">
        <f t="shared" si="179"/>
        <v>#DIV/0!</v>
      </c>
      <c r="AQ63" s="48">
        <f t="shared" si="180"/>
        <v>0</v>
      </c>
      <c r="AR63" s="49">
        <f t="shared" si="181"/>
        <v>0</v>
      </c>
      <c r="AS63" s="49"/>
      <c r="AT63" s="52"/>
      <c r="AU63" s="52"/>
      <c r="AV63" s="52"/>
      <c r="AW63" s="52"/>
    </row>
    <row r="64" spans="2:49" x14ac:dyDescent="0.25">
      <c r="B64" s="22">
        <v>46173</v>
      </c>
      <c r="C64" s="23" t="s">
        <v>54</v>
      </c>
      <c r="D64" s="50"/>
      <c r="E64" s="34"/>
      <c r="F64" s="34"/>
      <c r="G64" s="34">
        <f t="shared" si="167"/>
        <v>0</v>
      </c>
      <c r="H64" s="35">
        <f t="shared" si="168"/>
        <v>0</v>
      </c>
      <c r="I64" s="26">
        <f t="shared" si="15"/>
        <v>0</v>
      </c>
      <c r="J64" s="27"/>
      <c r="K64" s="28"/>
      <c r="L64" s="28"/>
      <c r="M64" s="29"/>
      <c r="N64" s="30"/>
      <c r="O64" s="31"/>
      <c r="P64" s="28"/>
      <c r="Q64" s="32"/>
      <c r="R64" s="64">
        <f t="shared" si="169"/>
        <v>0</v>
      </c>
      <c r="S64" s="34">
        <f t="shared" si="170"/>
        <v>0</v>
      </c>
      <c r="T64" s="34">
        <f t="shared" si="171"/>
        <v>0</v>
      </c>
      <c r="U64" s="37"/>
      <c r="V64" s="37"/>
      <c r="W64" s="38"/>
      <c r="X64" s="39"/>
      <c r="Y64" s="40"/>
      <c r="Z64" s="40"/>
      <c r="AA64" s="34">
        <f t="shared" si="186"/>
        <v>0</v>
      </c>
      <c r="AB64" s="35">
        <f t="shared" si="187"/>
        <v>0</v>
      </c>
      <c r="AC64" s="273"/>
      <c r="AD64" s="130"/>
      <c r="AE64" s="130"/>
      <c r="AF64" s="34">
        <f t="shared" si="172"/>
        <v>0</v>
      </c>
      <c r="AG64" s="34">
        <f t="shared" si="173"/>
        <v>0</v>
      </c>
      <c r="AH64" s="62"/>
      <c r="AI64" s="38"/>
      <c r="AJ64" s="38"/>
      <c r="AK64" s="34">
        <f t="shared" si="174"/>
        <v>0</v>
      </c>
      <c r="AL64" s="44">
        <f t="shared" si="175"/>
        <v>0</v>
      </c>
      <c r="AM64" s="45">
        <f t="shared" si="176"/>
        <v>0</v>
      </c>
      <c r="AN64" s="51">
        <f t="shared" si="177"/>
        <v>0</v>
      </c>
      <c r="AO64" s="51">
        <f t="shared" si="178"/>
        <v>0</v>
      </c>
      <c r="AP64" s="47" t="e">
        <f t="shared" si="179"/>
        <v>#DIV/0!</v>
      </c>
      <c r="AQ64" s="48">
        <f t="shared" si="180"/>
        <v>0</v>
      </c>
      <c r="AR64" s="49">
        <f t="shared" si="181"/>
        <v>0</v>
      </c>
      <c r="AS64" s="49"/>
      <c r="AT64" s="52"/>
      <c r="AU64" s="52"/>
      <c r="AV64" s="52"/>
      <c r="AW64" s="52"/>
    </row>
    <row r="65" spans="2:49" x14ac:dyDescent="0.25">
      <c r="B65" s="22">
        <f t="shared" ref="B65" si="256">+B64</f>
        <v>46173</v>
      </c>
      <c r="C65" s="23" t="s">
        <v>55</v>
      </c>
      <c r="D65" s="50">
        <f t="shared" si="242"/>
        <v>0</v>
      </c>
      <c r="E65" s="34">
        <f t="shared" si="243"/>
        <v>0</v>
      </c>
      <c r="F65" s="34">
        <f t="shared" si="244"/>
        <v>0</v>
      </c>
      <c r="G65" s="34">
        <f t="shared" si="167"/>
        <v>0</v>
      </c>
      <c r="H65" s="35">
        <f t="shared" si="168"/>
        <v>0</v>
      </c>
      <c r="I65" s="26">
        <f t="shared" si="15"/>
        <v>0</v>
      </c>
      <c r="J65" s="27"/>
      <c r="K65" s="28"/>
      <c r="L65" s="28"/>
      <c r="M65" s="29"/>
      <c r="N65" s="30"/>
      <c r="O65" s="31"/>
      <c r="P65" s="28"/>
      <c r="Q65" s="32"/>
      <c r="R65" s="64">
        <f t="shared" si="169"/>
        <v>0</v>
      </c>
      <c r="S65" s="34">
        <f t="shared" si="170"/>
        <v>0</v>
      </c>
      <c r="T65" s="34">
        <f t="shared" si="171"/>
        <v>0</v>
      </c>
      <c r="U65" s="37"/>
      <c r="V65" s="37"/>
      <c r="W65" s="38"/>
      <c r="X65" s="39"/>
      <c r="Y65" s="40"/>
      <c r="Z65" s="40"/>
      <c r="AA65" s="34">
        <f t="shared" si="186"/>
        <v>0</v>
      </c>
      <c r="AB65" s="35">
        <f t="shared" si="187"/>
        <v>0</v>
      </c>
      <c r="AC65" s="273"/>
      <c r="AD65" s="130"/>
      <c r="AE65" s="130"/>
      <c r="AF65" s="34">
        <f t="shared" si="172"/>
        <v>0</v>
      </c>
      <c r="AG65" s="34">
        <f t="shared" si="173"/>
        <v>0</v>
      </c>
      <c r="AH65" s="62"/>
      <c r="AI65" s="38"/>
      <c r="AJ65" s="38"/>
      <c r="AK65" s="34">
        <f t="shared" si="174"/>
        <v>0</v>
      </c>
      <c r="AL65" s="44">
        <f t="shared" si="175"/>
        <v>0</v>
      </c>
      <c r="AM65" s="45">
        <f t="shared" si="176"/>
        <v>0</v>
      </c>
      <c r="AN65" s="51">
        <f t="shared" si="177"/>
        <v>0</v>
      </c>
      <c r="AO65" s="51">
        <f t="shared" si="178"/>
        <v>0</v>
      </c>
      <c r="AP65" s="47" t="e">
        <f t="shared" si="179"/>
        <v>#DIV/0!</v>
      </c>
      <c r="AQ65" s="48">
        <f t="shared" si="180"/>
        <v>0</v>
      </c>
      <c r="AR65" s="49">
        <f t="shared" si="181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4170.1610000000001</v>
      </c>
      <c r="K66">
        <f>SUMPRODUCT(J4:J65,K4:K65)/J66</f>
        <v>3.7943043446044409</v>
      </c>
      <c r="L66">
        <f>SUMPRODUCT(J4:J65,L4:L65)/J66</f>
        <v>8.3456418109516637</v>
      </c>
      <c r="X66" s="49">
        <f>SUM(X6:X65)</f>
        <v>1145</v>
      </c>
      <c r="AC66" s="152">
        <f>SUM(AC6:AC65)</f>
        <v>1145</v>
      </c>
      <c r="AM66" s="55">
        <f>-SUM(AM4:AM65)</f>
        <v>-35.161000000000058</v>
      </c>
      <c r="AN66" s="55">
        <f>-SUM(AN4:AN65)</f>
        <v>1.9258999999999844</v>
      </c>
      <c r="AO66" s="55">
        <f>-SUM(AO4:AO65)</f>
        <v>-1.9591999999998393</v>
      </c>
      <c r="AQ66" s="55">
        <f>-SUM(AQ4:AQ65)</f>
        <v>278.89500000004114</v>
      </c>
    </row>
    <row r="67" spans="2:49" x14ac:dyDescent="0.25">
      <c r="J67" s="49">
        <f>J66</f>
        <v>4170.1610000000001</v>
      </c>
      <c r="K67">
        <f>J67*K66%</f>
        <v>158.2286</v>
      </c>
      <c r="L67" s="49">
        <f>J67*L66%</f>
        <v>348.02670000000001</v>
      </c>
    </row>
    <row r="70" spans="2:49" x14ac:dyDescent="0.25">
      <c r="W70">
        <f>9383+1200</f>
        <v>10583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4" priority="1" operator="lessThan">
      <formula>0.1</formula>
    </cfRule>
    <cfRule type="cellIs" dxfId="23" priority="2" operator="greaterThan">
      <formula>0.1</formula>
    </cfRule>
  </conditionalFormatting>
  <conditionalFormatting sqref="AP1:AQ1">
    <cfRule type="cellIs" dxfId="22" priority="3" operator="lessThan">
      <formula>1</formula>
    </cfRule>
  </conditionalFormatting>
  <conditionalFormatting sqref="AQ4:AQ65">
    <cfRule type="cellIs" dxfId="21" priority="8" operator="lessThan">
      <formula>0</formula>
    </cfRule>
    <cfRule type="cellIs" dxfId="20" priority="9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AB19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183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8" width="8.28515625" customWidth="1"/>
    <col min="19" max="19" width="8.85546875" bestFit="1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86"/>
      <c r="E3" s="86"/>
      <c r="F3" s="86"/>
      <c r="G3" s="86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0"/>
      <c r="O4" s="77"/>
      <c r="P4" s="89"/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0"/>
      <c r="O7" s="77"/>
      <c r="P7" s="89"/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67"/>
      <c r="B8" s="72"/>
      <c r="C8" s="73"/>
      <c r="D8" s="74"/>
      <c r="E8" s="68"/>
      <c r="F8" s="68"/>
      <c r="G8" s="75"/>
      <c r="H8" s="68"/>
      <c r="I8" s="68"/>
      <c r="J8" s="68"/>
      <c r="K8" s="68"/>
      <c r="L8" s="68"/>
      <c r="M8" s="76"/>
      <c r="N8" s="77"/>
      <c r="O8" s="77"/>
      <c r="P8" s="78"/>
      <c r="Q8" s="79"/>
      <c r="R8" s="80"/>
      <c r="S8" s="80"/>
      <c r="T8" s="80"/>
      <c r="U8" s="80"/>
      <c r="V8" s="81"/>
      <c r="W8" s="82"/>
      <c r="X8" s="82"/>
      <c r="Y8" s="82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8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94"/>
      <c r="L11" s="94"/>
      <c r="M11" s="87"/>
      <c r="N11" s="80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0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8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88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8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7"/>
      <c r="AA21" s="97"/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0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7"/>
      <c r="AA22" s="97"/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94"/>
      <c r="I23" s="94"/>
      <c r="J23" s="94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5"/>
      <c r="W23" s="96"/>
      <c r="X23" s="97"/>
      <c r="Y23" s="97"/>
      <c r="Z23" s="97"/>
      <c r="AA23" s="97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94"/>
      <c r="I24" s="94"/>
      <c r="J24" s="94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/>
      <c r="U24" s="80"/>
      <c r="V24" s="95"/>
      <c r="W24" s="96"/>
      <c r="X24" s="97"/>
      <c r="Y24" s="97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94"/>
      <c r="I25" s="94"/>
      <c r="J25" s="94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/>
      <c r="U25" s="80"/>
      <c r="V25" s="95"/>
      <c r="W25" s="96"/>
      <c r="X25" s="97"/>
      <c r="Y25" s="97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2"/>
      <c r="AA26" s="92"/>
      <c r="AB26" s="93"/>
    </row>
    <row r="27" spans="1:28" x14ac:dyDescent="0.25">
      <c r="A27" s="83"/>
      <c r="B27" s="84" t="s">
        <v>73</v>
      </c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88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8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/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0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0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98"/>
      <c r="E45" s="86"/>
      <c r="F45" s="86"/>
      <c r="G45" s="86"/>
      <c r="H45" s="86"/>
      <c r="I45" s="86"/>
      <c r="J45" s="86"/>
      <c r="K45" s="86"/>
      <c r="L45" s="86"/>
      <c r="M45" s="87"/>
      <c r="N45" s="80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8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/>
      <c r="L48" s="86"/>
      <c r="M48" s="87"/>
      <c r="N48" s="88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86"/>
      <c r="I50" s="86"/>
      <c r="J50" s="86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0"/>
      <c r="W50" s="91"/>
      <c r="X50" s="92"/>
      <c r="Y50" s="92"/>
      <c r="Z50" s="92"/>
      <c r="AA50" s="92"/>
      <c r="AB50" s="93"/>
    </row>
    <row r="51" spans="1:28" x14ac:dyDescent="0.25">
      <c r="A51" s="83"/>
      <c r="B51" s="84" t="s">
        <v>73</v>
      </c>
      <c r="C51" s="85"/>
      <c r="D51" s="98"/>
      <c r="E51" s="86"/>
      <c r="F51" s="86"/>
      <c r="G51" s="86"/>
      <c r="H51" s="86"/>
      <c r="I51" s="86"/>
      <c r="J51" s="86"/>
      <c r="K51" s="86"/>
      <c r="L51" s="86"/>
      <c r="M51" s="87"/>
      <c r="N51" s="80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8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0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/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/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86"/>
      <c r="E66" s="86"/>
      <c r="F66" s="86"/>
      <c r="G66" s="86"/>
      <c r="H66" s="94"/>
      <c r="I66" s="94"/>
      <c r="J66" s="94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5"/>
      <c r="W66" s="96"/>
      <c r="X66" s="97"/>
      <c r="Y66" s="97"/>
      <c r="Z66" s="97"/>
      <c r="AA66" s="97"/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94"/>
      <c r="I67" s="94"/>
      <c r="J67" s="94"/>
      <c r="K67" s="86"/>
      <c r="L67" s="86"/>
      <c r="M67" s="87"/>
      <c r="N67" s="80"/>
      <c r="O67" s="77"/>
      <c r="P67" s="89">
        <f>V67</f>
        <v>0</v>
      </c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5"/>
      <c r="W67" s="96"/>
      <c r="X67" s="97"/>
      <c r="Y67" s="97"/>
      <c r="Z67" s="97"/>
      <c r="AA67" s="97"/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98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98"/>
      <c r="E70" s="86"/>
      <c r="F70" s="86"/>
      <c r="G70" s="86"/>
      <c r="H70" s="86"/>
      <c r="I70" s="86"/>
      <c r="J70" s="86"/>
      <c r="K70" s="86"/>
      <c r="L70" s="86"/>
      <c r="M70" s="87"/>
      <c r="N70" s="88"/>
      <c r="O70" s="77"/>
      <c r="P70" s="89">
        <f>V70</f>
        <v>0</v>
      </c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86"/>
      <c r="E72" s="86"/>
      <c r="F72" s="86"/>
      <c r="G72" s="86"/>
      <c r="H72" s="86"/>
      <c r="I72" s="86"/>
      <c r="J72" s="86"/>
      <c r="K72" s="86"/>
      <c r="L72" s="86"/>
      <c r="M72" s="149"/>
      <c r="N72" s="149"/>
      <c r="O72" s="149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86"/>
      <c r="I74" s="86"/>
      <c r="J74" s="86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0"/>
      <c r="W74" s="91"/>
      <c r="X74" s="92"/>
      <c r="Y74" s="92"/>
      <c r="Z74" s="92"/>
      <c r="AA74" s="92"/>
      <c r="AB74" s="93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73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8"/>
      <c r="O82" s="77"/>
      <c r="P82" s="89">
        <f>V82</f>
        <v>0</v>
      </c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>
        <f>V85</f>
        <v>0</v>
      </c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86"/>
      <c r="I86" s="86"/>
      <c r="J86" s="86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0"/>
      <c r="W86" s="91"/>
      <c r="X86" s="92"/>
      <c r="Y86" s="92"/>
      <c r="Z86" s="92"/>
      <c r="AA86" s="92"/>
      <c r="AB86" s="93"/>
    </row>
    <row r="87" spans="1:28" x14ac:dyDescent="0.25">
      <c r="A87" s="83"/>
      <c r="B87" s="84" t="s">
        <v>73</v>
      </c>
      <c r="C87" s="85"/>
      <c r="D87" s="98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/>
      <c r="AA87" s="92"/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>
        <f>V88</f>
        <v>0</v>
      </c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/>
      <c r="AA88" s="92"/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86"/>
      <c r="I89" s="86"/>
      <c r="J89" s="86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0"/>
      <c r="W89" s="91"/>
      <c r="X89" s="92"/>
      <c r="Y89" s="92"/>
      <c r="Z89" s="92"/>
      <c r="AA89" s="92"/>
      <c r="AB89" s="93"/>
    </row>
    <row r="90" spans="1:28" x14ac:dyDescent="0.25">
      <c r="A90" s="83"/>
      <c r="B90" s="84" t="s">
        <v>76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>
        <f>V91</f>
        <v>0</v>
      </c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77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8"/>
      <c r="O94" s="77"/>
      <c r="P94" s="89">
        <f>V94</f>
        <v>0</v>
      </c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>
        <f>V97</f>
        <v>0</v>
      </c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77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>
        <f>V100</f>
        <v>0</v>
      </c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98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8"/>
      <c r="O103" s="77"/>
      <c r="P103" s="89">
        <f>V103</f>
        <v>0</v>
      </c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>
        <f>V106</f>
        <v>0</v>
      </c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>
        <f>V112</f>
        <v>0</v>
      </c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>
        <f>V114</f>
        <v>0</v>
      </c>
      <c r="Q114" s="79">
        <f>W114-H114</f>
        <v>0</v>
      </c>
      <c r="R114" s="80" t="e">
        <f>T114/Q114%</f>
        <v>#DIV/0!</v>
      </c>
      <c r="S114" s="80" t="e">
        <f>U114/Q114%</f>
        <v>#DIV/0!</v>
      </c>
      <c r="T114" s="80">
        <f>Z114-K114</f>
        <v>0</v>
      </c>
      <c r="U114" s="80">
        <f>AA114-L114</f>
        <v>0</v>
      </c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>
        <f>V115</f>
        <v>0</v>
      </c>
      <c r="Q115" s="79">
        <f>W115-H115</f>
        <v>0</v>
      </c>
      <c r="R115" s="80" t="e">
        <f>T115/Q115%</f>
        <v>#DIV/0!</v>
      </c>
      <c r="S115" s="80" t="e">
        <f>U115/Q115%</f>
        <v>#DIV/0!</v>
      </c>
      <c r="T115" s="80">
        <f>Z115-K115</f>
        <v>0</v>
      </c>
      <c r="U115" s="80">
        <f>AA115-L115</f>
        <v>0</v>
      </c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>
        <f>V118</f>
        <v>0</v>
      </c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8"/>
      <c r="O121" s="77"/>
      <c r="P121" s="89">
        <f>V121</f>
        <v>0</v>
      </c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0"/>
      <c r="W122" s="91"/>
      <c r="X122" s="92"/>
      <c r="Y122" s="92"/>
      <c r="Z122" s="92"/>
      <c r="AA122" s="92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>
        <f>V123</f>
        <v>0</v>
      </c>
      <c r="Q123" s="79">
        <f>W123-H123</f>
        <v>0</v>
      </c>
      <c r="R123" s="80" t="e">
        <f>T123/Q123%</f>
        <v>#DIV/0!</v>
      </c>
      <c r="S123" s="80" t="e">
        <f>U123/Q123%</f>
        <v>#DIV/0!</v>
      </c>
      <c r="T123" s="80">
        <f>Z123-K123</f>
        <v>0</v>
      </c>
      <c r="U123" s="80">
        <f>AA123-L123</f>
        <v>0</v>
      </c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>
        <f>V124</f>
        <v>0</v>
      </c>
      <c r="Q124" s="79">
        <f>W124-H124</f>
        <v>0</v>
      </c>
      <c r="R124" s="80" t="e">
        <f>T124/Q124%</f>
        <v>#DIV/0!</v>
      </c>
      <c r="S124" s="80" t="e">
        <f>U124/Q124%</f>
        <v>#DIV/0!</v>
      </c>
      <c r="T124" s="80">
        <f>Z124-K124</f>
        <v>0</v>
      </c>
      <c r="U124" s="80">
        <f>AA124-L124</f>
        <v>0</v>
      </c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>
        <f>V126</f>
        <v>0</v>
      </c>
      <c r="Q126" s="79">
        <f>W126-H126</f>
        <v>0</v>
      </c>
      <c r="R126" s="80" t="e">
        <f>T126/Q126%</f>
        <v>#DIV/0!</v>
      </c>
      <c r="S126" s="80" t="e">
        <f>U126/Q126%</f>
        <v>#DIV/0!</v>
      </c>
      <c r="T126" s="80">
        <f>Z126-K126</f>
        <v>0</v>
      </c>
      <c r="U126" s="80">
        <f>AA126-L126</f>
        <v>0</v>
      </c>
      <c r="V126" s="90"/>
      <c r="W126" s="91"/>
      <c r="X126" s="92"/>
      <c r="Y126" s="92"/>
      <c r="Z126" s="92">
        <f>W126*X126%</f>
        <v>0</v>
      </c>
      <c r="AA126" s="92">
        <f>W126*Y126%</f>
        <v>0</v>
      </c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>
        <f>W127-H127</f>
        <v>0</v>
      </c>
      <c r="R127" s="80" t="e">
        <f>T127/Q127%</f>
        <v>#DIV/0!</v>
      </c>
      <c r="S127" s="80" t="e">
        <f>U127/Q127%</f>
        <v>#DIV/0!</v>
      </c>
      <c r="T127" s="80">
        <f>Z127-K127</f>
        <v>0</v>
      </c>
      <c r="U127" s="80">
        <f>AA127-L127</f>
        <v>0</v>
      </c>
      <c r="V127" s="90"/>
      <c r="W127" s="91"/>
      <c r="X127" s="92"/>
      <c r="Y127" s="92"/>
      <c r="Z127" s="92">
        <f>W127*X127%</f>
        <v>0</v>
      </c>
      <c r="AA127" s="92">
        <f>W127*Y127%</f>
        <v>0</v>
      </c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86"/>
      <c r="I128" s="86"/>
      <c r="J128" s="86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>
        <f>V129</f>
        <v>0</v>
      </c>
      <c r="Q129" s="79">
        <f>W129-H129</f>
        <v>0</v>
      </c>
      <c r="R129" s="80" t="e">
        <f>T129/Q129%</f>
        <v>#DIV/0!</v>
      </c>
      <c r="S129" s="80" t="e">
        <f>U129/Q129%</f>
        <v>#DIV/0!</v>
      </c>
      <c r="T129" s="80">
        <f>Z129-K129</f>
        <v>0</v>
      </c>
      <c r="U129" s="80">
        <f>AA129-L129</f>
        <v>0</v>
      </c>
      <c r="V129" s="90"/>
      <c r="W129" s="91"/>
      <c r="X129" s="92"/>
      <c r="Y129" s="92"/>
      <c r="Z129" s="92">
        <f>W129*X129%</f>
        <v>0</v>
      </c>
      <c r="AA129" s="92">
        <f>W129*Y129%</f>
        <v>0</v>
      </c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>
        <f>V130</f>
        <v>0</v>
      </c>
      <c r="Q130" s="79">
        <f>W130-H130</f>
        <v>0</v>
      </c>
      <c r="R130" s="80" t="e">
        <f>T130/Q130%</f>
        <v>#DIV/0!</v>
      </c>
      <c r="S130" s="80" t="e">
        <f>U130/Q130%</f>
        <v>#DIV/0!</v>
      </c>
      <c r="T130" s="80">
        <f>Z130-K130</f>
        <v>0</v>
      </c>
      <c r="U130" s="80">
        <f>AA130-L130</f>
        <v>0</v>
      </c>
      <c r="V130" s="90"/>
      <c r="W130" s="91"/>
      <c r="X130" s="92"/>
      <c r="Y130" s="92"/>
      <c r="Z130" s="92">
        <f>W130*X130%</f>
        <v>0</v>
      </c>
      <c r="AA130" s="92">
        <f>W130*Y130%</f>
        <v>0</v>
      </c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>
        <f>V132</f>
        <v>0</v>
      </c>
      <c r="Q132" s="79">
        <f>W132-H132</f>
        <v>0</v>
      </c>
      <c r="R132" s="80" t="e">
        <f>T132/Q132%</f>
        <v>#DIV/0!</v>
      </c>
      <c r="S132" s="80" t="e">
        <f>U132/Q132%</f>
        <v>#DIV/0!</v>
      </c>
      <c r="T132" s="80">
        <f>Z132-K132</f>
        <v>0</v>
      </c>
      <c r="U132" s="80">
        <f>AA132-L132</f>
        <v>0</v>
      </c>
      <c r="V132" s="90"/>
      <c r="W132" s="91"/>
      <c r="X132" s="92"/>
      <c r="Y132" s="92"/>
      <c r="Z132" s="92">
        <f>W132*X132%</f>
        <v>0</v>
      </c>
      <c r="AA132" s="92">
        <f>W132*Y132%</f>
        <v>0</v>
      </c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>
        <f>V133</f>
        <v>0</v>
      </c>
      <c r="Q133" s="79">
        <f>W133-H133</f>
        <v>0</v>
      </c>
      <c r="R133" s="80" t="e">
        <f>T133/Q133%</f>
        <v>#DIV/0!</v>
      </c>
      <c r="S133" s="80" t="e">
        <f>U133/Q133%</f>
        <v>#DIV/0!</v>
      </c>
      <c r="T133" s="80">
        <f>Z133-K133</f>
        <v>0</v>
      </c>
      <c r="U133" s="80">
        <f>AA133-L133</f>
        <v>0</v>
      </c>
      <c r="V133" s="90"/>
      <c r="W133" s="91"/>
      <c r="X133" s="92"/>
      <c r="Y133" s="92"/>
      <c r="Z133" s="92">
        <f>W133*X133%</f>
        <v>0</v>
      </c>
      <c r="AA133" s="92">
        <f>W133*Y133%</f>
        <v>0</v>
      </c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0"/>
      <c r="W134" s="91"/>
      <c r="X134" s="92"/>
      <c r="Y134" s="92"/>
      <c r="Z134" s="92"/>
      <c r="AA134" s="92"/>
      <c r="AB134" s="93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>
        <f>V135</f>
        <v>0</v>
      </c>
      <c r="Q135" s="79">
        <f>W135-H135</f>
        <v>0</v>
      </c>
      <c r="R135" s="80" t="e">
        <f>T135/Q135%</f>
        <v>#DIV/0!</v>
      </c>
      <c r="S135" s="80" t="e">
        <f>U135/Q135%</f>
        <v>#DIV/0!</v>
      </c>
      <c r="T135" s="80">
        <f>Z135-K135</f>
        <v>0</v>
      </c>
      <c r="U135" s="80">
        <f>AA135-L135</f>
        <v>0</v>
      </c>
      <c r="V135" s="90"/>
      <c r="W135" s="91"/>
      <c r="X135" s="92"/>
      <c r="Y135" s="92"/>
      <c r="Z135" s="92">
        <f>W135*X135%</f>
        <v>0</v>
      </c>
      <c r="AA135" s="92">
        <f>W135*Y135%</f>
        <v>0</v>
      </c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>
        <f>V136</f>
        <v>0</v>
      </c>
      <c r="Q136" s="79">
        <f>W136-H136</f>
        <v>0</v>
      </c>
      <c r="R136" s="80" t="e">
        <f>T136/Q136%</f>
        <v>#DIV/0!</v>
      </c>
      <c r="S136" s="80" t="e">
        <f>U136/Q136%</f>
        <v>#DIV/0!</v>
      </c>
      <c r="T136" s="80">
        <f>Z136-K136</f>
        <v>0</v>
      </c>
      <c r="U136" s="80">
        <f>AA136-L136</f>
        <v>0</v>
      </c>
      <c r="V136" s="90"/>
      <c r="W136" s="91"/>
      <c r="X136" s="92"/>
      <c r="Y136" s="92"/>
      <c r="Z136" s="92">
        <f>W136*X136%</f>
        <v>0</v>
      </c>
      <c r="AA136" s="92">
        <f>W136*Y136%</f>
        <v>0</v>
      </c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0"/>
      <c r="W137" s="91"/>
      <c r="X137" s="92"/>
      <c r="Y137" s="92"/>
      <c r="Z137" s="92"/>
      <c r="AA137" s="92"/>
      <c r="AB137" s="93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>
        <f>V138</f>
        <v>0</v>
      </c>
      <c r="Q138" s="79">
        <f>W138-H138</f>
        <v>0</v>
      </c>
      <c r="R138" s="80" t="e">
        <f>T138/Q138%</f>
        <v>#DIV/0!</v>
      </c>
      <c r="S138" s="80" t="e">
        <f>U138/Q138%</f>
        <v>#DIV/0!</v>
      </c>
      <c r="T138" s="80">
        <f>Z138-K138</f>
        <v>0</v>
      </c>
      <c r="U138" s="80">
        <f>AA138-L138</f>
        <v>0</v>
      </c>
      <c r="V138" s="90"/>
      <c r="W138" s="91"/>
      <c r="X138" s="92"/>
      <c r="Y138" s="92"/>
      <c r="Z138" s="92">
        <f>W138*X138%</f>
        <v>0</v>
      </c>
      <c r="AA138" s="92">
        <f>W138*Y138%</f>
        <v>0</v>
      </c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>
        <f>W139-H139</f>
        <v>0</v>
      </c>
      <c r="R139" s="80" t="e">
        <f>T139/Q139%</f>
        <v>#DIV/0!</v>
      </c>
      <c r="S139" s="80" t="e">
        <f>U139/Q139%</f>
        <v>#DIV/0!</v>
      </c>
      <c r="T139" s="80">
        <f>Z139-K139</f>
        <v>0</v>
      </c>
      <c r="U139" s="80">
        <f>AA139-L139</f>
        <v>0</v>
      </c>
      <c r="V139" s="90"/>
      <c r="W139" s="91"/>
      <c r="X139" s="92"/>
      <c r="Y139" s="92"/>
      <c r="Z139" s="92">
        <f>W139*X139%</f>
        <v>0</v>
      </c>
      <c r="AA139" s="92">
        <f>W139*Y139%</f>
        <v>0</v>
      </c>
      <c r="AB139" s="93" t="s">
        <v>74</v>
      </c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73</v>
      </c>
      <c r="C141" s="85"/>
      <c r="D141" s="98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>
        <f>V141</f>
        <v>0</v>
      </c>
      <c r="Q141" s="79">
        <f>W141-H141</f>
        <v>0</v>
      </c>
      <c r="R141" s="80" t="e">
        <f>T141/Q141%</f>
        <v>#DIV/0!</v>
      </c>
      <c r="S141" s="80" t="e">
        <f>U141/Q141%</f>
        <v>#DIV/0!</v>
      </c>
      <c r="T141" s="80">
        <f>Z141-K141</f>
        <v>0</v>
      </c>
      <c r="U141" s="80">
        <f>AA141-L141</f>
        <v>0</v>
      </c>
      <c r="V141" s="90"/>
      <c r="W141" s="91"/>
      <c r="X141" s="92"/>
      <c r="Y141" s="92"/>
      <c r="Z141" s="92">
        <f>W141*X141%</f>
        <v>0</v>
      </c>
      <c r="AA141" s="92">
        <f>W141*Y141%</f>
        <v>0</v>
      </c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>
        <f>W142-H142</f>
        <v>0</v>
      </c>
      <c r="R142" s="80" t="e">
        <f>T142/Q142%</f>
        <v>#DIV/0!</v>
      </c>
      <c r="S142" s="80" t="e">
        <f>U142/Q142%</f>
        <v>#DIV/0!</v>
      </c>
      <c r="T142" s="80">
        <f>Z142-K142</f>
        <v>0</v>
      </c>
      <c r="U142" s="80">
        <f>AA142-L142</f>
        <v>0</v>
      </c>
      <c r="V142" s="90"/>
      <c r="W142" s="91"/>
      <c r="X142" s="92"/>
      <c r="Y142" s="92"/>
      <c r="Z142" s="92">
        <f>W142*X142%</f>
        <v>0</v>
      </c>
      <c r="AA142" s="92">
        <f>W142*Y142%</f>
        <v>0</v>
      </c>
      <c r="AB142" s="93" t="s">
        <v>74</v>
      </c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>
        <f>V144</f>
        <v>0</v>
      </c>
      <c r="Q144" s="79">
        <f>W144-H144</f>
        <v>0</v>
      </c>
      <c r="R144" s="80" t="e">
        <f>T144/Q144%</f>
        <v>#DIV/0!</v>
      </c>
      <c r="S144" s="80" t="e">
        <f>U144/Q144%</f>
        <v>#DIV/0!</v>
      </c>
      <c r="T144" s="80">
        <f>Z144-K144</f>
        <v>0</v>
      </c>
      <c r="U144" s="80">
        <f>AA144-L144</f>
        <v>0</v>
      </c>
      <c r="V144" s="90"/>
      <c r="W144" s="91"/>
      <c r="X144" s="92"/>
      <c r="Y144" s="92"/>
      <c r="Z144" s="92">
        <f>W144*X144%</f>
        <v>0</v>
      </c>
      <c r="AA144" s="92">
        <f>W144*Y144%</f>
        <v>0</v>
      </c>
      <c r="AB144" s="93" t="s">
        <v>74</v>
      </c>
    </row>
    <row r="145" spans="1:28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8"/>
      <c r="O145" s="77"/>
      <c r="P145" s="89">
        <f>V145</f>
        <v>0</v>
      </c>
      <c r="Q145" s="79">
        <f>W145-H145</f>
        <v>0</v>
      </c>
      <c r="R145" s="80" t="e">
        <f>T145/Q145%</f>
        <v>#DIV/0!</v>
      </c>
      <c r="S145" s="80" t="e">
        <f>U145/Q145%</f>
        <v>#DIV/0!</v>
      </c>
      <c r="T145" s="80">
        <f>Z145-K145</f>
        <v>0</v>
      </c>
      <c r="U145" s="80">
        <f>AA145-L145</f>
        <v>0</v>
      </c>
      <c r="V145" s="90"/>
      <c r="W145" s="91"/>
      <c r="X145" s="92"/>
      <c r="Y145" s="92"/>
      <c r="Z145" s="92">
        <f>W145*X145%</f>
        <v>0</v>
      </c>
      <c r="AA145" s="92">
        <f>W145*Y145%</f>
        <v>0</v>
      </c>
      <c r="AB145" s="93" t="s">
        <v>74</v>
      </c>
    </row>
    <row r="146" spans="1:28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94"/>
      <c r="L146" s="94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</row>
    <row r="147" spans="1:28" x14ac:dyDescent="0.25">
      <c r="A147" s="83"/>
      <c r="B147" s="84" t="s">
        <v>73</v>
      </c>
      <c r="C147" s="85"/>
      <c r="D147" s="86"/>
      <c r="E147" s="86"/>
      <c r="F147" s="86"/>
      <c r="G147" s="86"/>
      <c r="H147" s="86"/>
      <c r="I147" s="86"/>
      <c r="J147" s="86"/>
      <c r="K147" s="86"/>
      <c r="L147" s="86"/>
      <c r="M147" s="87"/>
      <c r="N147" s="88"/>
      <c r="O147" s="77"/>
      <c r="P147" s="89">
        <f>V147</f>
        <v>0</v>
      </c>
      <c r="Q147" s="79">
        <f>W147-H147</f>
        <v>0</v>
      </c>
      <c r="R147" s="80" t="e">
        <f>T147/Q147%</f>
        <v>#DIV/0!</v>
      </c>
      <c r="S147" s="80" t="e">
        <f>U147/Q147%</f>
        <v>#DIV/0!</v>
      </c>
      <c r="T147" s="80">
        <f>Z147-K147</f>
        <v>0</v>
      </c>
      <c r="U147" s="80">
        <f>AA147-L147</f>
        <v>0</v>
      </c>
      <c r="V147" s="90"/>
      <c r="W147" s="91"/>
      <c r="X147" s="92"/>
      <c r="Y147" s="92"/>
      <c r="Z147" s="92">
        <f>W147*X147%</f>
        <v>0</v>
      </c>
      <c r="AA147" s="92">
        <f>W147*Y147%</f>
        <v>0</v>
      </c>
      <c r="AB147" s="93" t="s">
        <v>74</v>
      </c>
    </row>
    <row r="148" spans="1:28" x14ac:dyDescent="0.25">
      <c r="A148" s="83"/>
      <c r="B148" s="84" t="s">
        <v>75</v>
      </c>
      <c r="C148" s="85"/>
      <c r="D148" s="86"/>
      <c r="E148" s="86"/>
      <c r="F148" s="86"/>
      <c r="G148" s="86"/>
      <c r="H148" s="86"/>
      <c r="I148" s="86"/>
      <c r="J148" s="86"/>
      <c r="K148" s="86"/>
      <c r="L148" s="86"/>
      <c r="M148" s="87"/>
      <c r="N148" s="80"/>
      <c r="O148" s="77"/>
      <c r="P148" s="89"/>
      <c r="Q148" s="79">
        <f>W148-H148</f>
        <v>0</v>
      </c>
      <c r="R148" s="80" t="e">
        <f>T148/Q148%</f>
        <v>#DIV/0!</v>
      </c>
      <c r="S148" s="80" t="e">
        <f>U148/Q148%</f>
        <v>#DIV/0!</v>
      </c>
      <c r="T148" s="80">
        <f>Z148-K148</f>
        <v>0</v>
      </c>
      <c r="U148" s="80">
        <f>AA148-L148</f>
        <v>0</v>
      </c>
      <c r="V148" s="90"/>
      <c r="W148" s="91"/>
      <c r="X148" s="92"/>
      <c r="Y148" s="92"/>
      <c r="Z148" s="92">
        <f>W148*X148%</f>
        <v>0</v>
      </c>
      <c r="AA148" s="92">
        <f>W148*Y148%</f>
        <v>0</v>
      </c>
      <c r="AB148" s="93" t="s">
        <v>74</v>
      </c>
    </row>
    <row r="149" spans="1:28" x14ac:dyDescent="0.25">
      <c r="A149" s="83"/>
      <c r="B149" s="84"/>
      <c r="C149" s="85"/>
      <c r="D149" s="86"/>
      <c r="E149" s="86"/>
      <c r="F149" s="86"/>
      <c r="G149" s="86"/>
      <c r="H149" s="86"/>
      <c r="I149" s="86"/>
      <c r="J149" s="86"/>
      <c r="K149" s="86"/>
      <c r="L149" s="86"/>
      <c r="M149" s="87"/>
      <c r="N149" s="80"/>
      <c r="O149" s="77"/>
      <c r="P149" s="89"/>
      <c r="Q149" s="79"/>
      <c r="R149" s="80"/>
      <c r="S149" s="80"/>
      <c r="T149" s="80"/>
      <c r="U149" s="80"/>
      <c r="V149" s="90"/>
      <c r="W149" s="91"/>
      <c r="X149" s="92"/>
      <c r="Y149" s="92"/>
      <c r="Z149" s="92"/>
      <c r="AA149" s="92"/>
      <c r="AB149" s="93"/>
    </row>
    <row r="150" spans="1:28" x14ac:dyDescent="0.25">
      <c r="A150" s="83"/>
      <c r="B150" s="84" t="s">
        <v>73</v>
      </c>
      <c r="C150" s="85"/>
      <c r="D150" s="86"/>
      <c r="E150" s="86"/>
      <c r="F150" s="86"/>
      <c r="G150" s="86"/>
      <c r="H150" s="86"/>
      <c r="I150" s="86"/>
      <c r="J150" s="86"/>
      <c r="K150" s="86"/>
      <c r="L150" s="86"/>
      <c r="M150" s="87"/>
      <c r="N150" s="88"/>
      <c r="O150" s="77"/>
      <c r="P150" s="89">
        <f>V150</f>
        <v>0</v>
      </c>
      <c r="Q150" s="79">
        <f>W150-H150</f>
        <v>0</v>
      </c>
      <c r="R150" s="80" t="e">
        <f>T150/Q150%</f>
        <v>#DIV/0!</v>
      </c>
      <c r="S150" s="80" t="e">
        <f>U150/Q150%</f>
        <v>#DIV/0!</v>
      </c>
      <c r="T150" s="80">
        <f>Z150-K150</f>
        <v>0</v>
      </c>
      <c r="U150" s="80">
        <f>AA150-L150</f>
        <v>0</v>
      </c>
      <c r="V150" s="90"/>
      <c r="W150" s="91"/>
      <c r="X150" s="92"/>
      <c r="Y150" s="92"/>
      <c r="Z150" s="92">
        <f>W150*X150%</f>
        <v>0</v>
      </c>
      <c r="AA150" s="92">
        <f>W150*Y150%</f>
        <v>0</v>
      </c>
      <c r="AB150" s="93" t="s">
        <v>74</v>
      </c>
    </row>
    <row r="151" spans="1:28" x14ac:dyDescent="0.25">
      <c r="A151" s="83"/>
      <c r="B151" s="84" t="s">
        <v>75</v>
      </c>
      <c r="C151" s="85"/>
      <c r="D151" s="86"/>
      <c r="E151" s="86"/>
      <c r="F151" s="86"/>
      <c r="G151" s="86"/>
      <c r="H151" s="86"/>
      <c r="I151" s="86"/>
      <c r="J151" s="86"/>
      <c r="K151" s="86"/>
      <c r="L151" s="86"/>
      <c r="M151" s="87"/>
      <c r="N151" s="80"/>
      <c r="O151" s="77"/>
      <c r="P151" s="89"/>
      <c r="Q151" s="79">
        <f>W151-H151</f>
        <v>0</v>
      </c>
      <c r="R151" s="80" t="e">
        <f>T151/Q151%</f>
        <v>#DIV/0!</v>
      </c>
      <c r="S151" s="80" t="e">
        <f>U151/Q151%</f>
        <v>#DIV/0!</v>
      </c>
      <c r="T151" s="80">
        <f>Z151-K151</f>
        <v>0</v>
      </c>
      <c r="U151" s="80">
        <f>AA151-L151</f>
        <v>0</v>
      </c>
      <c r="V151" s="90"/>
      <c r="W151" s="91"/>
      <c r="X151" s="92"/>
      <c r="Y151" s="92"/>
      <c r="Z151" s="92">
        <f>W151*X151%</f>
        <v>0</v>
      </c>
      <c r="AA151" s="92">
        <f>W151*Y151%</f>
        <v>0</v>
      </c>
      <c r="AB151" s="93" t="s">
        <v>74</v>
      </c>
    </row>
    <row r="152" spans="1:28" x14ac:dyDescent="0.25">
      <c r="A152" s="83"/>
      <c r="B152" s="84"/>
      <c r="C152" s="85"/>
      <c r="D152" s="86"/>
      <c r="E152" s="86"/>
      <c r="F152" s="86"/>
      <c r="G152" s="86"/>
      <c r="H152" s="94"/>
      <c r="I152" s="94"/>
      <c r="J152" s="94"/>
      <c r="K152" s="86"/>
      <c r="L152" s="86"/>
      <c r="M152" s="87"/>
      <c r="N152" s="80"/>
      <c r="O152" s="77"/>
      <c r="P152" s="89"/>
      <c r="Q152" s="79"/>
      <c r="R152" s="80"/>
      <c r="S152" s="80"/>
      <c r="T152" s="80"/>
      <c r="U152" s="80"/>
      <c r="V152" s="95"/>
      <c r="W152" s="96"/>
      <c r="X152" s="97"/>
      <c r="Y152" s="97"/>
      <c r="Z152" s="97"/>
      <c r="AA152" s="97"/>
    </row>
    <row r="153" spans="1:28" x14ac:dyDescent="0.25">
      <c r="A153" s="83"/>
      <c r="B153" s="84" t="s">
        <v>73</v>
      </c>
      <c r="C153" s="85"/>
      <c r="D153" s="86"/>
      <c r="E153" s="86"/>
      <c r="F153" s="86"/>
      <c r="G153" s="86"/>
      <c r="H153" s="86"/>
      <c r="I153" s="86"/>
      <c r="J153" s="86"/>
      <c r="K153" s="86"/>
      <c r="L153" s="86"/>
      <c r="M153" s="87"/>
      <c r="N153" s="88"/>
      <c r="O153" s="77"/>
      <c r="P153" s="89">
        <f>V153</f>
        <v>0</v>
      </c>
      <c r="Q153" s="79">
        <f>W153-H153</f>
        <v>0</v>
      </c>
      <c r="R153" s="80" t="e">
        <f>T153/Q153%</f>
        <v>#DIV/0!</v>
      </c>
      <c r="S153" s="80" t="e">
        <f>U153/Q153%</f>
        <v>#DIV/0!</v>
      </c>
      <c r="T153" s="80">
        <f>Z153-K153</f>
        <v>0</v>
      </c>
      <c r="U153" s="80">
        <f>AA153-L153</f>
        <v>0</v>
      </c>
      <c r="V153" s="90"/>
      <c r="W153" s="91"/>
      <c r="X153" s="92"/>
      <c r="Y153" s="92"/>
      <c r="Z153" s="92">
        <f>W153*X153%</f>
        <v>0</v>
      </c>
      <c r="AA153" s="92">
        <f>W153*Y153%</f>
        <v>0</v>
      </c>
      <c r="AB153" s="93" t="s">
        <v>74</v>
      </c>
    </row>
    <row r="154" spans="1:28" x14ac:dyDescent="0.25">
      <c r="A154" s="83"/>
      <c r="B154" s="84" t="s">
        <v>75</v>
      </c>
      <c r="C154" s="85"/>
      <c r="D154" s="86"/>
      <c r="E154" s="86"/>
      <c r="F154" s="86"/>
      <c r="G154" s="86"/>
      <c r="H154" s="86"/>
      <c r="I154" s="86"/>
      <c r="J154" s="86"/>
      <c r="K154" s="86"/>
      <c r="L154" s="86"/>
      <c r="M154" s="87"/>
      <c r="N154" s="80"/>
      <c r="O154" s="77"/>
      <c r="P154" s="89"/>
      <c r="Q154" s="79">
        <f>W154-H154</f>
        <v>0</v>
      </c>
      <c r="R154" s="80" t="e">
        <f>T154/Q154%</f>
        <v>#DIV/0!</v>
      </c>
      <c r="S154" s="80" t="e">
        <f>U154/Q154%</f>
        <v>#DIV/0!</v>
      </c>
      <c r="T154" s="80">
        <f>Z154-K154</f>
        <v>0</v>
      </c>
      <c r="U154" s="80">
        <f>AA154-L154</f>
        <v>0</v>
      </c>
      <c r="V154" s="90"/>
      <c r="W154" s="91"/>
      <c r="X154" s="92"/>
      <c r="Y154" s="92"/>
      <c r="Z154" s="92">
        <f>W154*X154%</f>
        <v>0</v>
      </c>
      <c r="AA154" s="92">
        <f>W154*Y154%</f>
        <v>0</v>
      </c>
      <c r="AB154" s="93" t="s">
        <v>74</v>
      </c>
    </row>
    <row r="155" spans="1:28" x14ac:dyDescent="0.25">
      <c r="A155" s="83"/>
      <c r="B155" s="84"/>
      <c r="C155" s="85"/>
      <c r="D155" s="86"/>
      <c r="E155" s="86"/>
      <c r="F155" s="86"/>
      <c r="G155" s="86"/>
      <c r="H155" s="94"/>
      <c r="I155" s="94"/>
      <c r="J155" s="94"/>
      <c r="K155" s="86"/>
      <c r="L155" s="86"/>
      <c r="M155" s="87"/>
      <c r="N155" s="80"/>
      <c r="O155" s="77"/>
      <c r="P155" s="89"/>
      <c r="Q155" s="79"/>
      <c r="R155" s="80"/>
      <c r="S155" s="80"/>
      <c r="T155" s="80"/>
      <c r="U155" s="80"/>
      <c r="V155" s="95"/>
      <c r="W155" s="96"/>
      <c r="X155" s="97"/>
      <c r="Y155" s="97"/>
      <c r="Z155" s="97"/>
      <c r="AA155" s="97"/>
    </row>
    <row r="156" spans="1:28" x14ac:dyDescent="0.25">
      <c r="A156" s="83"/>
      <c r="B156" s="84" t="s">
        <v>73</v>
      </c>
      <c r="C156" s="85"/>
      <c r="D156" s="86"/>
      <c r="E156" s="86"/>
      <c r="F156" s="86"/>
      <c r="G156" s="86"/>
      <c r="H156" s="86"/>
      <c r="I156" s="86"/>
      <c r="J156" s="86"/>
      <c r="K156" s="86"/>
      <c r="L156" s="86"/>
      <c r="M156" s="87"/>
      <c r="N156" s="88"/>
      <c r="O156" s="77"/>
      <c r="P156" s="89">
        <f>V156</f>
        <v>0</v>
      </c>
      <c r="Q156" s="79">
        <f>W156-H156</f>
        <v>0</v>
      </c>
      <c r="R156" s="80" t="e">
        <f>T156/Q156%</f>
        <v>#DIV/0!</v>
      </c>
      <c r="S156" s="80" t="e">
        <f>U156/Q156%</f>
        <v>#DIV/0!</v>
      </c>
      <c r="T156" s="80">
        <f>Z156-K156</f>
        <v>0</v>
      </c>
      <c r="U156" s="80">
        <f>AA156-L156</f>
        <v>0</v>
      </c>
      <c r="V156" s="90"/>
      <c r="W156" s="91"/>
      <c r="X156" s="92"/>
      <c r="Y156" s="92"/>
      <c r="Z156" s="92">
        <f>W156*X156%</f>
        <v>0</v>
      </c>
      <c r="AA156" s="92">
        <f>W156*Y156%</f>
        <v>0</v>
      </c>
      <c r="AB156" s="93" t="s">
        <v>74</v>
      </c>
    </row>
    <row r="157" spans="1:28" x14ac:dyDescent="0.25">
      <c r="A157" s="83"/>
      <c r="B157" s="84" t="s">
        <v>75</v>
      </c>
      <c r="C157" s="85"/>
      <c r="D157" s="86"/>
      <c r="E157" s="86"/>
      <c r="F157" s="86"/>
      <c r="G157" s="86"/>
      <c r="H157" s="86"/>
      <c r="I157" s="86"/>
      <c r="J157" s="86"/>
      <c r="K157" s="86"/>
      <c r="L157" s="86"/>
      <c r="M157" s="87"/>
      <c r="N157" s="80"/>
      <c r="O157" s="77"/>
      <c r="P157" s="89"/>
      <c r="Q157" s="79">
        <f>W157-H157</f>
        <v>0</v>
      </c>
      <c r="R157" s="80" t="e">
        <f>T157/Q157%</f>
        <v>#DIV/0!</v>
      </c>
      <c r="S157" s="80" t="e">
        <f>U157/Q157%</f>
        <v>#DIV/0!</v>
      </c>
      <c r="T157" s="80">
        <f>Z157-K157</f>
        <v>0</v>
      </c>
      <c r="U157" s="80">
        <f>AA157-L157</f>
        <v>0</v>
      </c>
      <c r="V157" s="90"/>
      <c r="W157" s="91"/>
      <c r="X157" s="92"/>
      <c r="Y157" s="92"/>
      <c r="Z157" s="92">
        <f>W157*X157%</f>
        <v>0</v>
      </c>
      <c r="AA157" s="92">
        <f>W157*Y157%</f>
        <v>0</v>
      </c>
      <c r="AB157" s="93" t="s">
        <v>74</v>
      </c>
    </row>
    <row r="158" spans="1:28" x14ac:dyDescent="0.25">
      <c r="A158" s="83"/>
      <c r="B158" s="84"/>
      <c r="C158" s="85"/>
      <c r="D158" s="86"/>
      <c r="E158" s="86"/>
      <c r="F158" s="86"/>
      <c r="G158" s="86"/>
      <c r="H158" s="94"/>
      <c r="I158" s="94"/>
      <c r="J158" s="94"/>
      <c r="K158" s="86"/>
      <c r="L158" s="86"/>
      <c r="M158" s="87"/>
      <c r="N158" s="80"/>
      <c r="O158" s="77"/>
      <c r="P158" s="89"/>
      <c r="Q158" s="79"/>
      <c r="R158" s="80"/>
      <c r="S158" s="80"/>
      <c r="T158" s="80"/>
      <c r="U158" s="80"/>
      <c r="V158" s="95"/>
      <c r="W158" s="96"/>
      <c r="X158" s="97"/>
      <c r="Y158" s="97"/>
      <c r="Z158" s="97"/>
      <c r="AA158" s="97"/>
    </row>
    <row r="159" spans="1:28" x14ac:dyDescent="0.25">
      <c r="A159" s="83"/>
      <c r="B159" s="84" t="s">
        <v>73</v>
      </c>
      <c r="C159" s="85"/>
      <c r="D159" s="86"/>
      <c r="E159" s="86"/>
      <c r="F159" s="86"/>
      <c r="G159" s="86"/>
      <c r="H159" s="86"/>
      <c r="I159" s="86"/>
      <c r="J159" s="86"/>
      <c r="K159" s="86"/>
      <c r="L159" s="86"/>
      <c r="M159" s="87"/>
      <c r="N159" s="88"/>
      <c r="O159" s="77"/>
      <c r="P159" s="89">
        <f>V159</f>
        <v>0</v>
      </c>
      <c r="Q159" s="79">
        <f>W159-H159</f>
        <v>0</v>
      </c>
      <c r="R159" s="80" t="e">
        <f>T159/Q159%</f>
        <v>#DIV/0!</v>
      </c>
      <c r="S159" s="80" t="e">
        <f>U159/Q159%</f>
        <v>#DIV/0!</v>
      </c>
      <c r="T159" s="80">
        <f>Z159-K159</f>
        <v>0</v>
      </c>
      <c r="U159" s="80">
        <f>AA159-L159</f>
        <v>0</v>
      </c>
      <c r="V159" s="90"/>
      <c r="W159" s="91"/>
      <c r="X159" s="92"/>
      <c r="Y159" s="92"/>
      <c r="Z159" s="92">
        <f>W159*X159%</f>
        <v>0</v>
      </c>
      <c r="AA159" s="92">
        <f>W159*Y159%</f>
        <v>0</v>
      </c>
      <c r="AB159" s="93" t="s">
        <v>74</v>
      </c>
    </row>
    <row r="160" spans="1:28" x14ac:dyDescent="0.25">
      <c r="A160" s="83"/>
      <c r="B160" s="84" t="s">
        <v>75</v>
      </c>
      <c r="C160" s="85"/>
      <c r="D160" s="86"/>
      <c r="E160" s="86"/>
      <c r="F160" s="86"/>
      <c r="G160" s="86"/>
      <c r="H160" s="86"/>
      <c r="I160" s="86"/>
      <c r="J160" s="86"/>
      <c r="K160" s="86"/>
      <c r="L160" s="86"/>
      <c r="M160" s="87"/>
      <c r="N160" s="80"/>
      <c r="O160" s="77"/>
      <c r="P160" s="89"/>
      <c r="Q160" s="79">
        <f>W160-H160</f>
        <v>0</v>
      </c>
      <c r="R160" s="80" t="e">
        <f>T160/Q160%</f>
        <v>#DIV/0!</v>
      </c>
      <c r="S160" s="80" t="e">
        <f>U160/Q160%</f>
        <v>#DIV/0!</v>
      </c>
      <c r="T160" s="80">
        <f>Z160-K160</f>
        <v>0</v>
      </c>
      <c r="U160" s="80">
        <f>AA160-L160</f>
        <v>0</v>
      </c>
      <c r="V160" s="90"/>
      <c r="W160" s="91"/>
      <c r="X160" s="92"/>
      <c r="Y160" s="92"/>
      <c r="Z160" s="92">
        <f>W160*X160%</f>
        <v>0</v>
      </c>
      <c r="AA160" s="92">
        <f>W160*Y160%</f>
        <v>0</v>
      </c>
      <c r="AB160" s="93" t="s">
        <v>74</v>
      </c>
    </row>
    <row r="161" spans="1:28" x14ac:dyDescent="0.25">
      <c r="A161" s="83"/>
      <c r="B161" s="84"/>
      <c r="C161" s="85"/>
      <c r="D161" s="86"/>
      <c r="E161" s="86"/>
      <c r="F161" s="86"/>
      <c r="G161" s="86"/>
      <c r="H161" s="94"/>
      <c r="I161" s="94"/>
      <c r="J161" s="94"/>
      <c r="K161" s="86"/>
      <c r="L161" s="86"/>
      <c r="M161" s="87"/>
      <c r="N161" s="80"/>
      <c r="O161" s="77"/>
      <c r="P161" s="89"/>
      <c r="Q161" s="79"/>
      <c r="R161" s="80"/>
      <c r="S161" s="80"/>
      <c r="T161" s="80"/>
      <c r="U161" s="80"/>
      <c r="V161" s="95"/>
      <c r="W161" s="96"/>
      <c r="X161" s="97"/>
      <c r="Y161" s="97"/>
      <c r="Z161" s="97"/>
      <c r="AA161" s="97"/>
    </row>
    <row r="162" spans="1:28" x14ac:dyDescent="0.25">
      <c r="A162" s="83"/>
      <c r="B162" s="84" t="s">
        <v>73</v>
      </c>
      <c r="C162" s="85"/>
      <c r="D162" s="86"/>
      <c r="E162" s="86"/>
      <c r="F162" s="86"/>
      <c r="G162" s="86"/>
      <c r="H162" s="86"/>
      <c r="I162" s="86"/>
      <c r="J162" s="86"/>
      <c r="K162" s="86"/>
      <c r="L162" s="86"/>
      <c r="M162" s="87"/>
      <c r="N162" s="88"/>
      <c r="O162" s="77"/>
      <c r="P162" s="89">
        <f>V162</f>
        <v>0</v>
      </c>
      <c r="Q162" s="79">
        <f>W162-H162</f>
        <v>0</v>
      </c>
      <c r="R162" s="80" t="e">
        <f>T162/Q162%</f>
        <v>#DIV/0!</v>
      </c>
      <c r="S162" s="80" t="e">
        <f>U162/Q162%</f>
        <v>#DIV/0!</v>
      </c>
      <c r="T162" s="80">
        <f>Z162-K162</f>
        <v>0</v>
      </c>
      <c r="U162" s="80">
        <f>AA162-L162</f>
        <v>0</v>
      </c>
      <c r="V162" s="90"/>
      <c r="W162" s="91"/>
      <c r="X162" s="92"/>
      <c r="Y162" s="92"/>
      <c r="Z162" s="92">
        <f>W162*X162%</f>
        <v>0</v>
      </c>
      <c r="AA162" s="92">
        <f>W162*Y162%</f>
        <v>0</v>
      </c>
      <c r="AB162" s="93" t="s">
        <v>74</v>
      </c>
    </row>
    <row r="163" spans="1:28" x14ac:dyDescent="0.25">
      <c r="A163" s="83"/>
      <c r="B163" s="84" t="s">
        <v>75</v>
      </c>
      <c r="C163" s="85"/>
      <c r="D163" s="86"/>
      <c r="E163" s="86"/>
      <c r="F163" s="86"/>
      <c r="G163" s="86"/>
      <c r="H163" s="86"/>
      <c r="I163" s="86"/>
      <c r="J163" s="86"/>
      <c r="K163" s="86"/>
      <c r="L163" s="86"/>
      <c r="M163" s="87"/>
      <c r="N163" s="80"/>
      <c r="O163" s="77"/>
      <c r="P163" s="89"/>
      <c r="Q163" s="79">
        <f>W163-H163</f>
        <v>0</v>
      </c>
      <c r="R163" s="80" t="e">
        <f>T163/Q163%</f>
        <v>#DIV/0!</v>
      </c>
      <c r="S163" s="80" t="e">
        <f>U163/Q163%</f>
        <v>#DIV/0!</v>
      </c>
      <c r="T163" s="80">
        <f>Z163-K163</f>
        <v>0</v>
      </c>
      <c r="U163" s="80">
        <f>AA163-L163</f>
        <v>0</v>
      </c>
      <c r="V163" s="90"/>
      <c r="W163" s="91"/>
      <c r="X163" s="92"/>
      <c r="Y163" s="92"/>
      <c r="Z163" s="92">
        <f>W163*X163%</f>
        <v>0</v>
      </c>
      <c r="AA163" s="92">
        <f>W163*Y163%</f>
        <v>0</v>
      </c>
      <c r="AB163" s="93" t="s">
        <v>74</v>
      </c>
    </row>
    <row r="164" spans="1:28" x14ac:dyDescent="0.25">
      <c r="A164" s="83"/>
      <c r="B164" s="84"/>
      <c r="C164" s="85"/>
      <c r="D164" s="86"/>
      <c r="E164" s="86"/>
      <c r="F164" s="86"/>
      <c r="G164" s="86"/>
      <c r="H164" s="94"/>
      <c r="I164" s="94"/>
      <c r="J164" s="94"/>
      <c r="K164" s="86"/>
      <c r="L164" s="86"/>
      <c r="M164" s="87"/>
      <c r="N164" s="80"/>
      <c r="O164" s="77"/>
      <c r="P164" s="89"/>
      <c r="Q164" s="79"/>
      <c r="R164" s="80"/>
      <c r="S164" s="80"/>
      <c r="T164" s="80"/>
      <c r="U164" s="80"/>
      <c r="V164" s="95"/>
      <c r="W164" s="96"/>
      <c r="X164" s="97"/>
      <c r="Y164" s="97"/>
      <c r="Z164" s="97"/>
      <c r="AA164" s="97"/>
    </row>
    <row r="165" spans="1:28" x14ac:dyDescent="0.25">
      <c r="A165" s="83"/>
      <c r="B165" s="84" t="s">
        <v>73</v>
      </c>
      <c r="C165" s="85"/>
      <c r="D165" s="98"/>
      <c r="E165" s="86"/>
      <c r="F165" s="86"/>
      <c r="G165" s="86"/>
      <c r="H165" s="86"/>
      <c r="I165" s="86"/>
      <c r="J165" s="86"/>
      <c r="K165" s="86"/>
      <c r="L165" s="86"/>
      <c r="M165" s="87"/>
      <c r="N165" s="88"/>
      <c r="O165" s="77"/>
      <c r="P165" s="89">
        <f>V165</f>
        <v>0</v>
      </c>
      <c r="Q165" s="79">
        <f>W165-H165</f>
        <v>0</v>
      </c>
      <c r="R165" s="80" t="e">
        <f>T165/Q165%</f>
        <v>#DIV/0!</v>
      </c>
      <c r="S165" s="80" t="e">
        <f>U165/Q165%</f>
        <v>#DIV/0!</v>
      </c>
      <c r="T165" s="80">
        <f>Z165-K165</f>
        <v>0</v>
      </c>
      <c r="U165" s="80">
        <f>AA165-L165</f>
        <v>0</v>
      </c>
      <c r="V165" s="90"/>
      <c r="W165" s="91"/>
      <c r="X165" s="92"/>
      <c r="Y165" s="92"/>
      <c r="Z165" s="92">
        <f>W165*X165%</f>
        <v>0</v>
      </c>
      <c r="AA165" s="92">
        <f>W165*Y165%</f>
        <v>0</v>
      </c>
      <c r="AB165" s="93" t="s">
        <v>74</v>
      </c>
    </row>
    <row r="166" spans="1:28" x14ac:dyDescent="0.25">
      <c r="A166" s="83"/>
      <c r="B166" s="84" t="s">
        <v>75</v>
      </c>
      <c r="C166" s="85"/>
      <c r="D166" s="86"/>
      <c r="E166" s="86"/>
      <c r="F166" s="86"/>
      <c r="G166" s="86"/>
      <c r="H166" s="86"/>
      <c r="I166" s="86"/>
      <c r="J166" s="86"/>
      <c r="K166" s="86"/>
      <c r="L166" s="86"/>
      <c r="M166" s="87"/>
      <c r="N166" s="80"/>
      <c r="O166" s="77"/>
      <c r="P166" s="89"/>
      <c r="Q166" s="79">
        <f>W166-H166</f>
        <v>0</v>
      </c>
      <c r="R166" s="80" t="e">
        <f>T166/Q166%</f>
        <v>#DIV/0!</v>
      </c>
      <c r="S166" s="80" t="e">
        <f>U166/Q166%</f>
        <v>#DIV/0!</v>
      </c>
      <c r="T166" s="80">
        <f>Z166-K166</f>
        <v>0</v>
      </c>
      <c r="U166" s="80">
        <f>AA166-L166</f>
        <v>0</v>
      </c>
      <c r="V166" s="90"/>
      <c r="W166" s="91"/>
      <c r="X166" s="92"/>
      <c r="Y166" s="92"/>
      <c r="Z166" s="92">
        <f>W166*X166%</f>
        <v>0</v>
      </c>
      <c r="AA166" s="92">
        <f>W166*Y166%</f>
        <v>0</v>
      </c>
      <c r="AB166" s="93" t="s">
        <v>74</v>
      </c>
    </row>
    <row r="167" spans="1:28" x14ac:dyDescent="0.25">
      <c r="A167" s="83"/>
      <c r="B167" s="84"/>
      <c r="C167" s="85"/>
      <c r="D167" s="86"/>
      <c r="E167" s="86"/>
      <c r="F167" s="86"/>
      <c r="G167" s="86"/>
      <c r="H167" s="94"/>
      <c r="I167" s="94"/>
      <c r="J167" s="94"/>
      <c r="K167" s="86"/>
      <c r="L167" s="86"/>
      <c r="M167" s="87"/>
      <c r="N167" s="80"/>
      <c r="O167" s="77"/>
      <c r="P167" s="89"/>
      <c r="Q167" s="79"/>
      <c r="R167" s="80"/>
      <c r="S167" s="80"/>
      <c r="T167" s="80"/>
      <c r="U167" s="80"/>
      <c r="V167" s="95"/>
      <c r="W167" s="96"/>
      <c r="X167" s="97"/>
      <c r="Y167" s="97"/>
      <c r="Z167" s="97"/>
      <c r="AA167" s="97"/>
    </row>
    <row r="168" spans="1:28" x14ac:dyDescent="0.25">
      <c r="A168" s="83"/>
      <c r="B168" s="84" t="s">
        <v>73</v>
      </c>
      <c r="C168" s="85"/>
      <c r="D168" s="86"/>
      <c r="E168" s="86"/>
      <c r="F168" s="86"/>
      <c r="G168" s="86"/>
      <c r="H168" s="86"/>
      <c r="I168" s="86"/>
      <c r="J168" s="86"/>
      <c r="K168" s="86"/>
      <c r="L168" s="86"/>
      <c r="M168" s="87"/>
      <c r="N168" s="88"/>
      <c r="O168" s="77"/>
      <c r="P168" s="89">
        <f>V168</f>
        <v>0</v>
      </c>
      <c r="Q168" s="79">
        <f>W168-H168</f>
        <v>0</v>
      </c>
      <c r="R168" s="80" t="e">
        <f>T168/Q168%</f>
        <v>#DIV/0!</v>
      </c>
      <c r="S168" s="80" t="e">
        <f>U168/Q168%</f>
        <v>#DIV/0!</v>
      </c>
      <c r="T168" s="80">
        <f>Z168-K168</f>
        <v>0</v>
      </c>
      <c r="U168" s="80">
        <f>AA168-L168</f>
        <v>0</v>
      </c>
      <c r="V168" s="90"/>
      <c r="W168" s="91"/>
      <c r="X168" s="92"/>
      <c r="Y168" s="92"/>
      <c r="Z168" s="92">
        <f>W168*X168%</f>
        <v>0</v>
      </c>
      <c r="AA168" s="92">
        <f>W168*Y168%</f>
        <v>0</v>
      </c>
      <c r="AB168" s="93" t="s">
        <v>74</v>
      </c>
    </row>
    <row r="169" spans="1:28" x14ac:dyDescent="0.25">
      <c r="A169" s="83"/>
      <c r="B169" s="84" t="s">
        <v>75</v>
      </c>
      <c r="C169" s="85"/>
      <c r="D169" s="86"/>
      <c r="E169" s="86"/>
      <c r="F169" s="86"/>
      <c r="G169" s="86"/>
      <c r="H169" s="86"/>
      <c r="I169" s="86"/>
      <c r="J169" s="86"/>
      <c r="K169" s="86"/>
      <c r="L169" s="86"/>
      <c r="M169" s="87"/>
      <c r="N169" s="80"/>
      <c r="O169" s="77"/>
      <c r="P169" s="89"/>
      <c r="Q169" s="79">
        <f>W169-H169</f>
        <v>0</v>
      </c>
      <c r="R169" s="80" t="e">
        <f>T169/Q169%</f>
        <v>#DIV/0!</v>
      </c>
      <c r="S169" s="80" t="e">
        <f>U169/Q169%</f>
        <v>#DIV/0!</v>
      </c>
      <c r="T169" s="80">
        <f>Z169-K169</f>
        <v>0</v>
      </c>
      <c r="U169" s="80">
        <f>AA169-L169</f>
        <v>0</v>
      </c>
      <c r="V169" s="90"/>
      <c r="W169" s="91"/>
      <c r="X169" s="92"/>
      <c r="Y169" s="92"/>
      <c r="Z169" s="92">
        <f>W169*X169%</f>
        <v>0</v>
      </c>
      <c r="AA169" s="92">
        <f>W169*Y169%</f>
        <v>0</v>
      </c>
      <c r="AB169" s="93" t="s">
        <v>74</v>
      </c>
    </row>
    <row r="170" spans="1:28" x14ac:dyDescent="0.25">
      <c r="A170" s="83"/>
      <c r="B170" s="84"/>
      <c r="C170" s="85"/>
      <c r="D170" s="86"/>
      <c r="E170" s="86"/>
      <c r="F170" s="86"/>
      <c r="G170" s="86"/>
      <c r="H170" s="86"/>
      <c r="I170" s="86"/>
      <c r="J170" s="86"/>
      <c r="K170" s="86"/>
      <c r="L170" s="86"/>
      <c r="M170" s="87"/>
      <c r="N170" s="80"/>
      <c r="O170" s="77"/>
      <c r="P170" s="89"/>
      <c r="Q170" s="79"/>
      <c r="R170" s="80"/>
      <c r="S170" s="80"/>
      <c r="T170" s="80"/>
      <c r="U170" s="80"/>
      <c r="V170" s="90"/>
      <c r="W170" s="91"/>
      <c r="X170" s="92"/>
      <c r="Y170" s="92"/>
      <c r="Z170" s="92"/>
      <c r="AA170" s="92"/>
      <c r="AB170" s="93"/>
    </row>
    <row r="171" spans="1:28" x14ac:dyDescent="0.25">
      <c r="A171" s="83"/>
      <c r="B171" s="84" t="s">
        <v>73</v>
      </c>
      <c r="C171" s="85"/>
      <c r="D171" s="86"/>
      <c r="E171" s="86"/>
      <c r="F171" s="86"/>
      <c r="G171" s="86"/>
      <c r="H171" s="86"/>
      <c r="I171" s="86"/>
      <c r="J171" s="86"/>
      <c r="K171" s="86"/>
      <c r="L171" s="86"/>
      <c r="M171" s="87"/>
      <c r="N171" s="88"/>
      <c r="O171" s="77"/>
      <c r="P171" s="89">
        <f>V171</f>
        <v>0</v>
      </c>
      <c r="Q171" s="79">
        <f>W171-H171</f>
        <v>0</v>
      </c>
      <c r="R171" s="80" t="e">
        <f>T171/Q171%</f>
        <v>#DIV/0!</v>
      </c>
      <c r="S171" s="80" t="e">
        <f>U171/Q171%</f>
        <v>#DIV/0!</v>
      </c>
      <c r="T171" s="80">
        <f>Z171-K171</f>
        <v>0</v>
      </c>
      <c r="U171" s="80">
        <f>AA171-L171</f>
        <v>0</v>
      </c>
      <c r="V171" s="90"/>
      <c r="W171" s="91"/>
      <c r="X171" s="92"/>
      <c r="Y171" s="92"/>
      <c r="Z171" s="92">
        <f>W171*X171%</f>
        <v>0</v>
      </c>
      <c r="AA171" s="92">
        <f>W171*Y171%</f>
        <v>0</v>
      </c>
      <c r="AB171" s="93" t="s">
        <v>74</v>
      </c>
    </row>
    <row r="172" spans="1:28" x14ac:dyDescent="0.25">
      <c r="A172" s="83"/>
      <c r="B172" s="84" t="s">
        <v>75</v>
      </c>
      <c r="C172" s="85"/>
      <c r="D172" s="86"/>
      <c r="E172" s="86"/>
      <c r="F172" s="86"/>
      <c r="G172" s="86"/>
      <c r="H172" s="86"/>
      <c r="I172" s="86"/>
      <c r="J172" s="86"/>
      <c r="K172" s="86"/>
      <c r="L172" s="86"/>
      <c r="M172" s="87"/>
      <c r="N172" s="80"/>
      <c r="O172" s="77"/>
      <c r="P172" s="89"/>
      <c r="Q172" s="79">
        <f>W172-H172</f>
        <v>0</v>
      </c>
      <c r="R172" s="80" t="e">
        <f>T172/Q172%</f>
        <v>#DIV/0!</v>
      </c>
      <c r="S172" s="80" t="e">
        <f>U172/Q172%</f>
        <v>#DIV/0!</v>
      </c>
      <c r="T172" s="80">
        <f>Z172-K172</f>
        <v>0</v>
      </c>
      <c r="U172" s="80">
        <f>AA172-L172</f>
        <v>0</v>
      </c>
      <c r="V172" s="90"/>
      <c r="W172" s="91"/>
      <c r="X172" s="92"/>
      <c r="Y172" s="92"/>
      <c r="Z172" s="92">
        <f>W172*X172%</f>
        <v>0</v>
      </c>
      <c r="AA172" s="92">
        <f>W172*Y172%</f>
        <v>0</v>
      </c>
      <c r="AB172" s="93" t="s">
        <v>74</v>
      </c>
    </row>
    <row r="173" spans="1:28" x14ac:dyDescent="0.25">
      <c r="A173" s="83"/>
      <c r="B173" s="84"/>
      <c r="C173" s="85"/>
      <c r="D173" s="86"/>
      <c r="E173" s="86"/>
      <c r="F173" s="86"/>
      <c r="G173" s="86"/>
      <c r="H173" s="94"/>
      <c r="I173" s="94"/>
      <c r="J173" s="94"/>
      <c r="K173" s="86"/>
      <c r="L173" s="86"/>
      <c r="M173" s="87"/>
      <c r="N173" s="80"/>
      <c r="O173" s="77"/>
      <c r="P173" s="89"/>
      <c r="Q173" s="79"/>
      <c r="R173" s="80"/>
      <c r="S173" s="80"/>
      <c r="T173" s="80"/>
      <c r="U173" s="80"/>
      <c r="V173" s="95"/>
      <c r="W173" s="96"/>
      <c r="X173" s="97"/>
      <c r="Y173" s="97"/>
      <c r="Z173" s="97"/>
      <c r="AA173" s="97"/>
    </row>
    <row r="174" spans="1:28" x14ac:dyDescent="0.25">
      <c r="A174" s="83"/>
      <c r="B174" s="84" t="s">
        <v>73</v>
      </c>
      <c r="C174" s="85"/>
      <c r="D174" s="86"/>
      <c r="E174" s="86"/>
      <c r="F174" s="86"/>
      <c r="G174" s="86"/>
      <c r="H174" s="86"/>
      <c r="I174" s="86"/>
      <c r="J174" s="86"/>
      <c r="K174" s="86"/>
      <c r="L174" s="86"/>
      <c r="M174" s="87"/>
      <c r="N174" s="88"/>
      <c r="O174" s="77"/>
      <c r="P174" s="89">
        <f>V174</f>
        <v>0</v>
      </c>
      <c r="Q174" s="79">
        <f>W174-H174</f>
        <v>0</v>
      </c>
      <c r="R174" s="80" t="e">
        <f>T174/Q174%</f>
        <v>#DIV/0!</v>
      </c>
      <c r="S174" s="80" t="e">
        <f>U174/Q174%</f>
        <v>#DIV/0!</v>
      </c>
      <c r="T174" s="80">
        <f>Z174-K174</f>
        <v>0</v>
      </c>
      <c r="U174" s="80">
        <f>AA174-L174</f>
        <v>0</v>
      </c>
      <c r="V174" s="90"/>
      <c r="W174" s="91"/>
      <c r="X174" s="92"/>
      <c r="Y174" s="92"/>
      <c r="Z174" s="92">
        <f>W174*X174%</f>
        <v>0</v>
      </c>
      <c r="AA174" s="92">
        <f>W174*Y174%</f>
        <v>0</v>
      </c>
      <c r="AB174" s="93" t="s">
        <v>74</v>
      </c>
    </row>
    <row r="175" spans="1:28" x14ac:dyDescent="0.25">
      <c r="A175" s="83"/>
      <c r="B175" s="84" t="s">
        <v>75</v>
      </c>
      <c r="C175" s="85"/>
      <c r="D175" s="86"/>
      <c r="E175" s="86"/>
      <c r="F175" s="86"/>
      <c r="G175" s="86"/>
      <c r="H175" s="86"/>
      <c r="I175" s="86"/>
      <c r="J175" s="86"/>
      <c r="K175" s="86"/>
      <c r="L175" s="86"/>
      <c r="M175" s="87"/>
      <c r="N175" s="80"/>
      <c r="O175" s="77"/>
      <c r="P175" s="89"/>
      <c r="Q175" s="79">
        <f>W175-H175</f>
        <v>0</v>
      </c>
      <c r="R175" s="80" t="e">
        <f>T175/Q175%</f>
        <v>#DIV/0!</v>
      </c>
      <c r="S175" s="80" t="e">
        <f>U175/Q175%</f>
        <v>#DIV/0!</v>
      </c>
      <c r="T175" s="80">
        <f>Z175-K175</f>
        <v>0</v>
      </c>
      <c r="U175" s="80">
        <f>AA175-L175</f>
        <v>0</v>
      </c>
      <c r="V175" s="90"/>
      <c r="W175" s="91"/>
      <c r="X175" s="92"/>
      <c r="Y175" s="92"/>
      <c r="Z175" s="92">
        <f>W175*X175%</f>
        <v>0</v>
      </c>
      <c r="AA175" s="92">
        <f>W175*Y175%</f>
        <v>0</v>
      </c>
      <c r="AB175" s="93" t="s">
        <v>74</v>
      </c>
    </row>
    <row r="176" spans="1:28" x14ac:dyDescent="0.25">
      <c r="A176" s="83"/>
      <c r="B176" s="84"/>
      <c r="C176" s="85"/>
      <c r="D176" s="86"/>
      <c r="E176" s="86"/>
      <c r="F176" s="86"/>
      <c r="G176" s="86"/>
      <c r="H176" s="94"/>
      <c r="I176" s="94"/>
      <c r="J176" s="94"/>
      <c r="K176" s="86"/>
      <c r="L176" s="86"/>
      <c r="M176" s="87"/>
      <c r="N176" s="80"/>
      <c r="O176" s="77"/>
      <c r="P176" s="89"/>
      <c r="Q176" s="79"/>
      <c r="R176" s="80"/>
      <c r="S176" s="80"/>
      <c r="T176" s="80"/>
      <c r="U176" s="80"/>
      <c r="V176" s="95"/>
      <c r="W176" s="96"/>
      <c r="X176" s="97"/>
      <c r="Y176" s="97"/>
      <c r="Z176" s="97"/>
      <c r="AA176" s="97"/>
    </row>
    <row r="177" spans="1:28" x14ac:dyDescent="0.25">
      <c r="A177" s="83"/>
      <c r="B177" s="84" t="s">
        <v>73</v>
      </c>
      <c r="C177" s="85"/>
      <c r="D177" s="86"/>
      <c r="E177" s="86"/>
      <c r="F177" s="86"/>
      <c r="G177" s="86"/>
      <c r="H177" s="86"/>
      <c r="I177" s="86"/>
      <c r="J177" s="86"/>
      <c r="K177" s="86"/>
      <c r="L177" s="86"/>
      <c r="M177" s="87"/>
      <c r="N177" s="88"/>
      <c r="O177" s="77"/>
      <c r="P177" s="89">
        <f>V177</f>
        <v>0</v>
      </c>
      <c r="Q177" s="79">
        <f>W177-H177</f>
        <v>0</v>
      </c>
      <c r="R177" s="80" t="e">
        <f>T177/Q177%</f>
        <v>#DIV/0!</v>
      </c>
      <c r="S177" s="80" t="e">
        <f>U177/Q177%</f>
        <v>#DIV/0!</v>
      </c>
      <c r="T177" s="80">
        <f>Z177-K177</f>
        <v>0</v>
      </c>
      <c r="U177" s="80">
        <f>AA177-L177</f>
        <v>0</v>
      </c>
      <c r="V177" s="90"/>
      <c r="W177" s="91"/>
      <c r="X177" s="92"/>
      <c r="Y177" s="92"/>
      <c r="Z177" s="92">
        <f>W177*X177%</f>
        <v>0</v>
      </c>
      <c r="AA177" s="92">
        <f>W177*Y177%</f>
        <v>0</v>
      </c>
      <c r="AB177" s="93" t="s">
        <v>74</v>
      </c>
    </row>
    <row r="178" spans="1:28" x14ac:dyDescent="0.25">
      <c r="A178" s="83"/>
      <c r="B178" s="84" t="s">
        <v>75</v>
      </c>
      <c r="C178" s="85"/>
      <c r="D178" s="86"/>
      <c r="E178" s="86"/>
      <c r="F178" s="86"/>
      <c r="G178" s="86"/>
      <c r="H178" s="86"/>
      <c r="I178" s="86"/>
      <c r="J178" s="86"/>
      <c r="K178" s="86"/>
      <c r="L178" s="86"/>
      <c r="M178" s="87"/>
      <c r="N178" s="80"/>
      <c r="O178" s="77"/>
      <c r="P178" s="89"/>
      <c r="Q178" s="79">
        <f>W178-H178</f>
        <v>0</v>
      </c>
      <c r="R178" s="80" t="e">
        <f>T178/Q178%</f>
        <v>#DIV/0!</v>
      </c>
      <c r="S178" s="80" t="e">
        <f>U178/Q178%</f>
        <v>#DIV/0!</v>
      </c>
      <c r="T178" s="80">
        <f>Z178-K178</f>
        <v>0</v>
      </c>
      <c r="U178" s="80">
        <f>AA178-L178</f>
        <v>0</v>
      </c>
      <c r="V178" s="90"/>
      <c r="W178" s="91"/>
      <c r="X178" s="92"/>
      <c r="Y178" s="92"/>
      <c r="Z178" s="92">
        <f>W178*X178%</f>
        <v>0</v>
      </c>
      <c r="AA178" s="92">
        <f>W178*Y178%</f>
        <v>0</v>
      </c>
      <c r="AB178" s="93" t="s">
        <v>74</v>
      </c>
    </row>
    <row r="179" spans="1:28" x14ac:dyDescent="0.25">
      <c r="A179" s="83"/>
      <c r="B179" s="84"/>
      <c r="C179" s="85"/>
      <c r="D179" s="86"/>
      <c r="E179" s="86"/>
      <c r="F179" s="86"/>
      <c r="G179" s="86"/>
      <c r="H179" s="94"/>
      <c r="I179" s="94"/>
      <c r="J179" s="94"/>
      <c r="K179" s="86"/>
      <c r="L179" s="86"/>
      <c r="M179" s="87"/>
      <c r="N179" s="80"/>
      <c r="O179" s="77"/>
      <c r="P179" s="89"/>
      <c r="Q179" s="79"/>
      <c r="R179" s="80"/>
      <c r="S179" s="80"/>
      <c r="T179" s="80"/>
      <c r="U179" s="80"/>
      <c r="V179" s="95"/>
      <c r="W179" s="96"/>
      <c r="X179" s="97"/>
      <c r="Y179" s="97"/>
      <c r="Z179" s="97"/>
      <c r="AA179" s="97"/>
    </row>
    <row r="180" spans="1:28" x14ac:dyDescent="0.25">
      <c r="A180" s="83"/>
      <c r="B180" s="84" t="s">
        <v>73</v>
      </c>
      <c r="C180" s="85"/>
      <c r="D180" s="86"/>
      <c r="E180" s="86"/>
      <c r="F180" s="86"/>
      <c r="G180" s="86"/>
      <c r="H180" s="86"/>
      <c r="I180" s="86"/>
      <c r="J180" s="86"/>
      <c r="K180" s="86"/>
      <c r="L180" s="86"/>
      <c r="M180" s="87"/>
      <c r="N180" s="88"/>
      <c r="O180" s="77"/>
      <c r="P180" s="89">
        <f>V180</f>
        <v>0</v>
      </c>
      <c r="Q180" s="79">
        <f>W180-H180</f>
        <v>0</v>
      </c>
      <c r="R180" s="80" t="e">
        <f>T180/Q180%</f>
        <v>#DIV/0!</v>
      </c>
      <c r="S180" s="80" t="e">
        <f>U180/Q180%</f>
        <v>#DIV/0!</v>
      </c>
      <c r="T180" s="80">
        <f>Z180-K180</f>
        <v>0</v>
      </c>
      <c r="U180" s="80">
        <f>AA180-L180</f>
        <v>0</v>
      </c>
      <c r="V180" s="90"/>
      <c r="W180" s="91"/>
      <c r="X180" s="92"/>
      <c r="Y180" s="92"/>
      <c r="Z180" s="92">
        <f>W180*X180%</f>
        <v>0</v>
      </c>
      <c r="AA180" s="92">
        <f>W180*Y180%</f>
        <v>0</v>
      </c>
      <c r="AB180" s="93" t="s">
        <v>74</v>
      </c>
    </row>
    <row r="181" spans="1:28" x14ac:dyDescent="0.25">
      <c r="A181" s="83"/>
      <c r="B181" s="84" t="s">
        <v>75</v>
      </c>
      <c r="C181" s="85"/>
      <c r="D181" s="86"/>
      <c r="E181" s="86"/>
      <c r="F181" s="86"/>
      <c r="G181" s="86"/>
      <c r="H181" s="86"/>
      <c r="I181" s="86"/>
      <c r="J181" s="86"/>
      <c r="K181" s="86"/>
      <c r="L181" s="86"/>
      <c r="M181" s="87"/>
      <c r="N181" s="80"/>
      <c r="O181" s="77"/>
      <c r="P181" s="89"/>
      <c r="Q181" s="79">
        <f>W181-H181</f>
        <v>0</v>
      </c>
      <c r="R181" s="80" t="e">
        <f>T181/Q181%</f>
        <v>#DIV/0!</v>
      </c>
      <c r="S181" s="80" t="e">
        <f>U181/Q181%</f>
        <v>#DIV/0!</v>
      </c>
      <c r="T181" s="80">
        <f>Z181-K181</f>
        <v>0</v>
      </c>
      <c r="U181" s="80">
        <f>AA181-L181</f>
        <v>0</v>
      </c>
      <c r="V181" s="90"/>
      <c r="W181" s="91"/>
      <c r="X181" s="92"/>
      <c r="Y181" s="92"/>
      <c r="Z181" s="92">
        <f>W181*X181%</f>
        <v>0</v>
      </c>
      <c r="AA181" s="92">
        <f>W181*Y181%</f>
        <v>0</v>
      </c>
      <c r="AB181" s="93" t="s">
        <v>74</v>
      </c>
    </row>
    <row r="182" spans="1:28" x14ac:dyDescent="0.25">
      <c r="A182" s="83"/>
      <c r="B182" s="84"/>
      <c r="C182" s="85"/>
      <c r="D182" s="86"/>
      <c r="E182" s="86"/>
      <c r="F182" s="86"/>
      <c r="G182" s="86"/>
      <c r="H182" s="86"/>
      <c r="I182" s="86"/>
      <c r="J182" s="86"/>
      <c r="K182" s="86"/>
      <c r="L182" s="86"/>
      <c r="M182" s="87"/>
      <c r="N182" s="80"/>
      <c r="O182" s="77"/>
      <c r="P182" s="89"/>
      <c r="Q182" s="79"/>
      <c r="R182" s="80"/>
      <c r="S182" s="80"/>
      <c r="T182" s="80"/>
      <c r="U182" s="80"/>
      <c r="V182" s="90"/>
      <c r="W182" s="91"/>
      <c r="X182" s="92"/>
      <c r="Y182" s="92"/>
      <c r="Z182" s="92"/>
      <c r="AA182" s="92"/>
      <c r="AB182" s="93"/>
    </row>
    <row r="183" spans="1:28" x14ac:dyDescent="0.25">
      <c r="A183" s="83"/>
      <c r="B183" s="84" t="s">
        <v>73</v>
      </c>
      <c r="C183" s="85"/>
      <c r="D183" s="86"/>
      <c r="E183" s="86"/>
      <c r="F183" s="86"/>
      <c r="G183" s="86"/>
      <c r="H183" s="86"/>
      <c r="I183" s="86"/>
      <c r="J183" s="86"/>
      <c r="K183" s="86"/>
      <c r="L183" s="86"/>
      <c r="M183" s="87"/>
      <c r="N183" s="88"/>
      <c r="O183" s="77"/>
      <c r="P183" s="89">
        <f>V183</f>
        <v>0</v>
      </c>
      <c r="Q183" s="79">
        <f>W183-H183</f>
        <v>0</v>
      </c>
      <c r="R183" s="80" t="e">
        <f>T183/Q183%</f>
        <v>#DIV/0!</v>
      </c>
      <c r="S183" s="80" t="e">
        <f>U183/Q183%</f>
        <v>#DIV/0!</v>
      </c>
      <c r="T183" s="80">
        <f>Z183-K183</f>
        <v>0</v>
      </c>
      <c r="U183" s="80">
        <f>AA183-L183</f>
        <v>0</v>
      </c>
      <c r="V183" s="90"/>
      <c r="W183" s="91"/>
      <c r="X183" s="92"/>
      <c r="Y183" s="92"/>
      <c r="Z183" s="92">
        <f>W183*X183%</f>
        <v>0</v>
      </c>
      <c r="AA183" s="92">
        <f>W183*Y183%</f>
        <v>0</v>
      </c>
      <c r="AB183" s="93" t="s">
        <v>74</v>
      </c>
    </row>
    <row r="184" spans="1:28" x14ac:dyDescent="0.25">
      <c r="A184" s="83"/>
      <c r="B184" s="84" t="s">
        <v>75</v>
      </c>
      <c r="C184" s="85"/>
      <c r="D184" s="86"/>
      <c r="E184" s="86"/>
      <c r="F184" s="86"/>
      <c r="G184" s="86"/>
      <c r="H184" s="86"/>
      <c r="I184" s="86"/>
      <c r="J184" s="86"/>
      <c r="K184" s="86"/>
      <c r="L184" s="86"/>
      <c r="M184" s="87"/>
      <c r="N184" s="80"/>
      <c r="O184" s="77"/>
      <c r="P184" s="89"/>
      <c r="Q184" s="79">
        <f>W184-H184</f>
        <v>0</v>
      </c>
      <c r="R184" s="80" t="e">
        <f>T184/Q184%</f>
        <v>#DIV/0!</v>
      </c>
      <c r="S184" s="80" t="e">
        <f>U184/Q184%</f>
        <v>#DIV/0!</v>
      </c>
      <c r="T184" s="80">
        <f>Z184-K184</f>
        <v>0</v>
      </c>
      <c r="U184" s="80">
        <f>AA184-L184</f>
        <v>0</v>
      </c>
      <c r="V184" s="90"/>
      <c r="W184" s="91"/>
      <c r="X184" s="92"/>
      <c r="Y184" s="92"/>
      <c r="Z184" s="92">
        <f>W184*X184%</f>
        <v>0</v>
      </c>
      <c r="AA184" s="92">
        <f>W184*Y184%</f>
        <v>0</v>
      </c>
      <c r="AB184" s="93" t="s">
        <v>74</v>
      </c>
    </row>
    <row r="185" spans="1:28" x14ac:dyDescent="0.25">
      <c r="A185" s="83"/>
      <c r="B185" s="84"/>
      <c r="C185" s="85"/>
      <c r="D185" s="86"/>
      <c r="E185" s="86"/>
      <c r="F185" s="86"/>
      <c r="G185" s="86"/>
      <c r="H185" s="94"/>
      <c r="I185" s="94"/>
      <c r="J185" s="94"/>
      <c r="K185" s="86"/>
      <c r="L185" s="86"/>
      <c r="M185" s="87"/>
      <c r="N185" s="88"/>
      <c r="O185" s="77"/>
      <c r="P185" s="89"/>
      <c r="Q185" s="79"/>
      <c r="R185" s="80"/>
      <c r="S185" s="80"/>
      <c r="T185" s="80"/>
      <c r="U185" s="80"/>
      <c r="V185" s="90"/>
      <c r="W185" s="91"/>
      <c r="X185" s="92"/>
      <c r="Y185" s="92"/>
      <c r="Z185" s="92"/>
      <c r="AA185" s="92"/>
      <c r="AB185" s="93"/>
    </row>
    <row r="186" spans="1:28" x14ac:dyDescent="0.25">
      <c r="A186" s="83"/>
      <c r="B186" s="84" t="s">
        <v>76</v>
      </c>
      <c r="C186" s="85"/>
      <c r="D186" s="86"/>
      <c r="E186" s="86"/>
      <c r="F186" s="86"/>
      <c r="G186" s="86"/>
      <c r="H186" s="86"/>
      <c r="I186" s="86"/>
      <c r="J186" s="86"/>
      <c r="K186" s="86"/>
      <c r="L186" s="86"/>
      <c r="M186" s="87"/>
      <c r="N186" s="88"/>
      <c r="O186" s="77"/>
      <c r="P186" s="89">
        <f>V186</f>
        <v>0</v>
      </c>
      <c r="Q186" s="79">
        <f>W186-H186</f>
        <v>0</v>
      </c>
      <c r="R186" s="80" t="e">
        <f>T186/Q186%</f>
        <v>#DIV/0!</v>
      </c>
      <c r="S186" s="80" t="e">
        <f>U186/Q186%</f>
        <v>#DIV/0!</v>
      </c>
      <c r="T186" s="80">
        <f>Z186-K186</f>
        <v>0</v>
      </c>
      <c r="U186" s="80">
        <f>AA186-L186</f>
        <v>0</v>
      </c>
      <c r="V186" s="90"/>
      <c r="W186" s="91"/>
      <c r="X186" s="92"/>
      <c r="Y186" s="92"/>
      <c r="Z186" s="92">
        <f>W186*X186%</f>
        <v>0</v>
      </c>
      <c r="AA186" s="92">
        <f>W186*Y186%</f>
        <v>0</v>
      </c>
      <c r="AB186" s="93" t="s">
        <v>74</v>
      </c>
    </row>
    <row r="187" spans="1:28" x14ac:dyDescent="0.25">
      <c r="A187" s="83"/>
      <c r="B187" s="84" t="s">
        <v>75</v>
      </c>
      <c r="C187" s="85"/>
      <c r="D187" s="86"/>
      <c r="E187" s="86"/>
      <c r="F187" s="86"/>
      <c r="G187" s="86"/>
      <c r="H187" s="86"/>
      <c r="I187" s="86"/>
      <c r="J187" s="86"/>
      <c r="K187" s="86"/>
      <c r="L187" s="86"/>
      <c r="M187" s="87"/>
      <c r="N187" s="80"/>
      <c r="O187" s="77"/>
      <c r="P187" s="89"/>
      <c r="Q187" s="79">
        <f>W187-H187</f>
        <v>0</v>
      </c>
      <c r="R187" s="80" t="e">
        <f>T187/Q187%</f>
        <v>#DIV/0!</v>
      </c>
      <c r="S187" s="80" t="e">
        <f>U187/Q187%</f>
        <v>#DIV/0!</v>
      </c>
      <c r="T187" s="80">
        <f>Z187-K187</f>
        <v>0</v>
      </c>
      <c r="U187" s="80">
        <f>AA187-L187</f>
        <v>0</v>
      </c>
      <c r="V187" s="90"/>
      <c r="W187" s="91"/>
      <c r="X187" s="92"/>
      <c r="Y187" s="92"/>
      <c r="Z187" s="92">
        <f>W187*X187%</f>
        <v>0</v>
      </c>
      <c r="AA187" s="92">
        <f>W187*Y187%</f>
        <v>0</v>
      </c>
      <c r="AB187" s="93" t="s">
        <v>74</v>
      </c>
    </row>
    <row r="188" spans="1:28" x14ac:dyDescent="0.25">
      <c r="A188" s="83"/>
      <c r="B188" s="84"/>
      <c r="C188" s="85"/>
      <c r="D188" s="86"/>
      <c r="E188" s="86"/>
      <c r="F188" s="86"/>
      <c r="G188" s="86"/>
      <c r="H188" s="94"/>
      <c r="I188" s="94"/>
      <c r="J188" s="94"/>
      <c r="K188" s="86"/>
      <c r="L188" s="86"/>
      <c r="M188" s="87"/>
      <c r="N188" s="80"/>
      <c r="O188" s="77"/>
      <c r="P188" s="89"/>
      <c r="Q188" s="79"/>
      <c r="R188" s="80"/>
      <c r="S188" s="80"/>
      <c r="T188" s="80"/>
      <c r="U188" s="80"/>
      <c r="V188" s="95"/>
      <c r="W188" s="96"/>
      <c r="X188" s="97"/>
      <c r="Y188" s="97"/>
      <c r="Z188" s="97"/>
      <c r="AA188" s="97"/>
    </row>
    <row r="189" spans="1:28" x14ac:dyDescent="0.25">
      <c r="A189" s="83"/>
      <c r="B189" s="84" t="s">
        <v>77</v>
      </c>
      <c r="C189" s="85"/>
      <c r="D189" s="86"/>
      <c r="E189" s="86"/>
      <c r="F189" s="86"/>
      <c r="G189" s="86"/>
      <c r="H189" s="86"/>
      <c r="I189" s="86"/>
      <c r="J189" s="86"/>
      <c r="K189" s="86"/>
      <c r="L189" s="86"/>
      <c r="M189" s="87"/>
      <c r="N189" s="88"/>
      <c r="O189" s="77"/>
      <c r="P189" s="89">
        <f>V189</f>
        <v>0</v>
      </c>
      <c r="Q189" s="79">
        <f>W189-H189</f>
        <v>0</v>
      </c>
      <c r="R189" s="80" t="e">
        <f>T189/Q189%</f>
        <v>#DIV/0!</v>
      </c>
      <c r="S189" s="80" t="e">
        <f>U189/Q189%</f>
        <v>#DIV/0!</v>
      </c>
      <c r="T189" s="80">
        <f>Z189-K189</f>
        <v>0</v>
      </c>
      <c r="U189" s="80">
        <f>AA189-L189</f>
        <v>0</v>
      </c>
      <c r="V189" s="90"/>
      <c r="W189" s="91"/>
      <c r="X189" s="92"/>
      <c r="Y189" s="92"/>
      <c r="Z189" s="92">
        <f>W189*X189%</f>
        <v>0</v>
      </c>
      <c r="AA189" s="92">
        <f>W189*Y189%</f>
        <v>0</v>
      </c>
      <c r="AB189" s="93" t="s">
        <v>74</v>
      </c>
    </row>
    <row r="190" spans="1:28" x14ac:dyDescent="0.25">
      <c r="A190" s="83"/>
      <c r="B190" s="84" t="s">
        <v>75</v>
      </c>
      <c r="C190" s="85"/>
      <c r="D190" s="86"/>
      <c r="E190" s="86"/>
      <c r="F190" s="86"/>
      <c r="G190" s="86"/>
      <c r="H190" s="86"/>
      <c r="I190" s="86"/>
      <c r="J190" s="86"/>
      <c r="K190" s="86"/>
      <c r="L190" s="86"/>
      <c r="M190" s="87"/>
      <c r="N190" s="80"/>
      <c r="O190" s="77"/>
      <c r="P190" s="89"/>
      <c r="Q190" s="79">
        <f>W190-H190</f>
        <v>0</v>
      </c>
      <c r="R190" s="80" t="e">
        <f>T190/Q190%</f>
        <v>#DIV/0!</v>
      </c>
      <c r="S190" s="80" t="e">
        <f>U190/Q190%</f>
        <v>#DIV/0!</v>
      </c>
      <c r="T190" s="80">
        <f>Z190-K190</f>
        <v>0</v>
      </c>
      <c r="U190" s="80">
        <f>AA190-L190</f>
        <v>0</v>
      </c>
      <c r="V190" s="90"/>
      <c r="W190" s="91"/>
      <c r="X190" s="92"/>
      <c r="Y190" s="92"/>
      <c r="Z190" s="92">
        <f>W190*X190%</f>
        <v>0</v>
      </c>
      <c r="AA190" s="92">
        <f>W190*Y190%</f>
        <v>0</v>
      </c>
      <c r="AB190" s="93" t="s">
        <v>74</v>
      </c>
    </row>
    <row r="191" spans="1:28" x14ac:dyDescent="0.25">
      <c r="A191" s="83"/>
      <c r="B191" s="84"/>
      <c r="C191" s="85"/>
      <c r="D191" s="86"/>
      <c r="E191" s="86"/>
      <c r="F191" s="86"/>
      <c r="G191" s="86"/>
      <c r="H191" s="94"/>
      <c r="I191" s="94"/>
      <c r="J191" s="94"/>
      <c r="K191" s="86"/>
      <c r="L191" s="86"/>
      <c r="M191" s="87"/>
      <c r="N191" s="80"/>
      <c r="O191" s="77"/>
      <c r="P191" s="89"/>
      <c r="Q191" s="79"/>
      <c r="R191" s="80"/>
      <c r="S191" s="80"/>
      <c r="T191" s="80"/>
      <c r="U191" s="80"/>
      <c r="V191" s="95"/>
      <c r="W191" s="96"/>
      <c r="X191" s="97"/>
      <c r="Y191" s="97"/>
      <c r="Z191" s="97"/>
      <c r="AA191" s="97"/>
    </row>
    <row r="192" spans="1:28" x14ac:dyDescent="0.25">
      <c r="A192" s="83"/>
      <c r="B192" s="84" t="s">
        <v>73</v>
      </c>
      <c r="C192" s="85"/>
      <c r="D192" s="86"/>
      <c r="E192" s="86"/>
      <c r="F192" s="86"/>
      <c r="G192" s="86"/>
      <c r="H192" s="86"/>
      <c r="I192" s="86"/>
      <c r="J192" s="86"/>
      <c r="K192" s="86"/>
      <c r="L192" s="86"/>
      <c r="M192" s="87"/>
      <c r="N192" s="88"/>
      <c r="O192" s="77"/>
      <c r="P192" s="89">
        <f>V192</f>
        <v>0</v>
      </c>
      <c r="Q192" s="79">
        <f>W192-H192</f>
        <v>0</v>
      </c>
      <c r="R192" s="80" t="e">
        <f>T192/Q192%</f>
        <v>#DIV/0!</v>
      </c>
      <c r="S192" s="80" t="e">
        <f>U192/Q192%</f>
        <v>#DIV/0!</v>
      </c>
      <c r="T192" s="80">
        <f>Z192-K192</f>
        <v>0</v>
      </c>
      <c r="U192" s="80">
        <f>AA192-L192</f>
        <v>0</v>
      </c>
      <c r="V192" s="90"/>
      <c r="W192" s="91"/>
      <c r="X192" s="92"/>
      <c r="Y192" s="92"/>
      <c r="Z192" s="92">
        <f>W192*X192%</f>
        <v>0</v>
      </c>
      <c r="AA192" s="92">
        <f>W192*Y192%</f>
        <v>0</v>
      </c>
      <c r="AB192" s="93" t="s">
        <v>74</v>
      </c>
    </row>
    <row r="193" spans="1:28" x14ac:dyDescent="0.25">
      <c r="A193" s="83"/>
      <c r="B193" s="84" t="s">
        <v>75</v>
      </c>
      <c r="C193" s="85"/>
      <c r="D193" s="86"/>
      <c r="E193" s="86"/>
      <c r="F193" s="86"/>
      <c r="G193" s="86"/>
      <c r="H193" s="86"/>
      <c r="I193" s="86"/>
      <c r="J193" s="86"/>
      <c r="K193" s="86"/>
      <c r="L193" s="86"/>
      <c r="M193" s="87"/>
      <c r="N193" s="80"/>
      <c r="O193" s="77"/>
      <c r="P193" s="89"/>
      <c r="Q193" s="79">
        <f>W193-H193</f>
        <v>0</v>
      </c>
      <c r="R193" s="80" t="e">
        <f>T193/Q193%</f>
        <v>#DIV/0!</v>
      </c>
      <c r="S193" s="80" t="e">
        <f>U193/Q193%</f>
        <v>#DIV/0!</v>
      </c>
      <c r="T193" s="80">
        <f>Z193-K193</f>
        <v>0</v>
      </c>
      <c r="U193" s="80">
        <f>AA193-L193</f>
        <v>0</v>
      </c>
      <c r="V193" s="90"/>
      <c r="W193" s="91"/>
      <c r="X193" s="92"/>
      <c r="Y193" s="92"/>
      <c r="Z193" s="92">
        <f>W193*X193%</f>
        <v>0</v>
      </c>
      <c r="AA193" s="92">
        <f>W193*Y193%</f>
        <v>0</v>
      </c>
      <c r="AB193" s="93" t="s">
        <v>74</v>
      </c>
    </row>
    <row r="194" spans="1:28" x14ac:dyDescent="0.25">
      <c r="A194" s="83"/>
      <c r="B194" s="84"/>
      <c r="C194" s="85"/>
      <c r="D194" s="86"/>
      <c r="E194" s="86"/>
      <c r="F194" s="86"/>
      <c r="G194" s="86"/>
      <c r="H194" s="94"/>
      <c r="I194" s="94"/>
      <c r="J194" s="94"/>
      <c r="K194" s="86"/>
      <c r="L194" s="86"/>
      <c r="M194" s="87"/>
      <c r="N194" s="80"/>
      <c r="O194" s="77"/>
      <c r="P194" s="89"/>
      <c r="Q194" s="79"/>
      <c r="R194" s="80"/>
      <c r="S194" s="80"/>
      <c r="T194" s="80"/>
      <c r="U194" s="80"/>
      <c r="V194" s="95"/>
      <c r="W194" s="96"/>
      <c r="X194" s="97"/>
      <c r="Y194" s="97"/>
      <c r="Z194" s="97"/>
      <c r="AA194" s="97"/>
    </row>
    <row r="195" spans="1:28" x14ac:dyDescent="0.25">
      <c r="A195" s="83"/>
      <c r="B195" s="84" t="s">
        <v>77</v>
      </c>
      <c r="C195" s="85"/>
      <c r="D195" s="86"/>
      <c r="E195" s="86"/>
      <c r="F195" s="86"/>
      <c r="G195" s="86"/>
      <c r="H195" s="86"/>
      <c r="I195" s="86"/>
      <c r="J195" s="86"/>
      <c r="K195" s="86"/>
      <c r="L195" s="86"/>
      <c r="M195" s="87"/>
      <c r="N195" s="88"/>
      <c r="O195" s="77"/>
      <c r="P195" s="89"/>
      <c r="Q195" s="79"/>
      <c r="R195" s="80"/>
      <c r="S195" s="80"/>
      <c r="T195" s="80"/>
      <c r="U195" s="80"/>
      <c r="V195" s="90"/>
      <c r="W195" s="91"/>
      <c r="X195" s="92"/>
      <c r="Y195" s="92"/>
      <c r="Z195" s="92">
        <f>W195*X195%</f>
        <v>0</v>
      </c>
      <c r="AA195" s="92">
        <f>W195*Y195%</f>
        <v>0</v>
      </c>
      <c r="AB195" s="93" t="s">
        <v>74</v>
      </c>
    </row>
    <row r="196" spans="1:28" x14ac:dyDescent="0.25">
      <c r="A196" s="83"/>
      <c r="B196" s="84" t="s">
        <v>75</v>
      </c>
      <c r="C196" s="85"/>
      <c r="D196" s="86"/>
      <c r="E196" s="86"/>
      <c r="F196" s="86"/>
      <c r="G196" s="86"/>
      <c r="H196" s="86"/>
      <c r="I196" s="86"/>
      <c r="J196" s="86"/>
      <c r="K196" s="86"/>
      <c r="L196" s="86"/>
      <c r="M196" s="87"/>
      <c r="N196" s="80"/>
      <c r="O196" s="77"/>
      <c r="P196" s="89"/>
      <c r="Q196" s="79"/>
      <c r="R196" s="80"/>
      <c r="S196" s="80"/>
      <c r="T196" s="80"/>
      <c r="U196" s="80"/>
      <c r="V196" s="90"/>
      <c r="W196" s="91"/>
      <c r="X196" s="92"/>
      <c r="Y196" s="92"/>
      <c r="Z196" s="92">
        <f>W196*X196%</f>
        <v>0</v>
      </c>
      <c r="AA196" s="92">
        <f>W196*Y196%</f>
        <v>0</v>
      </c>
      <c r="AB196" s="93" t="s">
        <v>74</v>
      </c>
    </row>
    <row r="197" spans="1:28" x14ac:dyDescent="0.25">
      <c r="A197" s="83"/>
      <c r="B197" s="84"/>
      <c r="C197" s="85"/>
      <c r="D197" s="86"/>
      <c r="E197" s="86"/>
      <c r="F197" s="86"/>
      <c r="G197" s="86"/>
      <c r="H197" s="94"/>
      <c r="I197" s="94"/>
      <c r="J197" s="94"/>
      <c r="K197" s="86"/>
      <c r="L197" s="86"/>
      <c r="M197" s="87"/>
      <c r="N197" s="80"/>
      <c r="O197" s="77"/>
      <c r="P197" s="89"/>
      <c r="Q197" s="79"/>
      <c r="R197" s="80"/>
      <c r="S197" s="80"/>
      <c r="T197" s="80"/>
      <c r="U197" s="80"/>
      <c r="V197" s="95"/>
      <c r="W197" s="96"/>
      <c r="X197" s="97"/>
      <c r="Y197" s="97"/>
      <c r="Z197" s="97"/>
      <c r="AA197" s="97"/>
    </row>
  </sheetData>
  <autoFilter ref="A1:AB64" xr:uid="{00000000-0009-0000-0000-00000F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AW69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:L7"/>
    </sheetView>
  </sheetViews>
  <sheetFormatPr defaultRowHeight="15" x14ac:dyDescent="0.25"/>
  <cols>
    <col min="1" max="1" width="8.5703125" bestFit="1" customWidth="1"/>
    <col min="2" max="2" width="12.7109375" bestFit="1" customWidth="1"/>
    <col min="3" max="3" width="5" bestFit="1" customWidth="1"/>
    <col min="4" max="4" width="7.7109375" customWidth="1"/>
    <col min="5" max="6" width="5.28515625" customWidth="1"/>
    <col min="7" max="7" width="6.85546875" customWidth="1"/>
    <col min="8" max="8" width="7.140625" customWidth="1"/>
    <col min="9" max="9" width="7" customWidth="1"/>
    <col min="10" max="10" width="8.28515625" customWidth="1"/>
    <col min="11" max="12" width="5.28515625" customWidth="1"/>
    <col min="13" max="13" width="7.28515625" hidden="1" customWidth="1"/>
    <col min="14" max="14" width="12" hidden="1" customWidth="1"/>
    <col min="15" max="15" width="6.7109375" hidden="1" customWidth="1"/>
    <col min="16" max="16" width="7.5703125" hidden="1" customWidth="1"/>
    <col min="17" max="17" width="5.28515625" hidden="1" customWidth="1"/>
    <col min="18" max="19" width="8.5703125" customWidth="1"/>
    <col min="20" max="20" width="7" customWidth="1"/>
    <col min="21" max="21" width="6.85546875" customWidth="1"/>
    <col min="22" max="22" width="7.42578125" customWidth="1"/>
    <col min="23" max="23" width="10.140625" customWidth="1"/>
    <col min="24" max="24" width="8.28515625" bestFit="1" customWidth="1"/>
    <col min="25" max="26" width="5.28515625" customWidth="1"/>
    <col min="27" max="27" width="6.85546875" customWidth="1"/>
    <col min="28" max="28" width="7" customWidth="1"/>
    <col min="29" max="29" width="9.28515625" customWidth="1"/>
    <col min="30" max="31" width="5.28515625" customWidth="1"/>
    <col min="32" max="32" width="6.85546875" customWidth="1"/>
    <col min="33" max="33" width="7" customWidth="1"/>
    <col min="34" max="35" width="7.140625" customWidth="1"/>
    <col min="36" max="36" width="5.28515625" customWidth="1"/>
    <col min="37" max="37" width="6.85546875" customWidth="1"/>
    <col min="38" max="38" width="7.140625" customWidth="1"/>
    <col min="39" max="39" width="8.14062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28515625" bestFit="1" customWidth="1"/>
    <col min="45" max="49" width="8.7109375" bestFit="1" customWidth="1"/>
  </cols>
  <sheetData>
    <row r="1" spans="1:49" ht="15.75" thickBot="1" x14ac:dyDescent="0.3">
      <c r="B1" s="14" t="s">
        <v>15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 t="shared" ref="A4:A13" si="0">CONCATENATE(B4,C4)</f>
        <v>46174M</v>
      </c>
      <c r="B4" s="22">
        <v>46174</v>
      </c>
      <c r="C4" s="23" t="s">
        <v>54</v>
      </c>
      <c r="D4" s="62">
        <v>1268</v>
      </c>
      <c r="E4" s="38">
        <v>4.29</v>
      </c>
      <c r="F4" s="38">
        <v>8.44</v>
      </c>
      <c r="G4" s="34">
        <f t="shared" ref="G4:G7" si="1">+D4*E4%</f>
        <v>54.397199999999998</v>
      </c>
      <c r="H4" s="35">
        <f t="shared" ref="H4:H7" si="2">+D4*F4%</f>
        <v>107.01919999999998</v>
      </c>
      <c r="I4" s="26">
        <f>J4/1.03</f>
        <v>893.64</v>
      </c>
      <c r="J4" s="27">
        <v>920.44920000000002</v>
      </c>
      <c r="K4" s="28">
        <v>4.5040508482162842</v>
      </c>
      <c r="L4" s="28">
        <v>8.6041358936484489</v>
      </c>
      <c r="M4" s="29"/>
      <c r="N4" s="30"/>
      <c r="O4" s="31"/>
      <c r="P4" s="28"/>
      <c r="Q4" s="32"/>
      <c r="R4" s="53">
        <f t="shared" ref="R4:R13" si="3">O4+J4</f>
        <v>920.44920000000002</v>
      </c>
      <c r="S4" s="34">
        <f t="shared" ref="S4:S13" si="4">(J4*K4%)+(O4*P4%)</f>
        <v>41.457500000000003</v>
      </c>
      <c r="T4" s="35">
        <f t="shared" ref="T4:T13" si="5">(J4*L4%)+(O4*Q4%)</f>
        <v>79.196699999999993</v>
      </c>
      <c r="U4" s="36"/>
      <c r="V4" s="37"/>
      <c r="W4" s="38"/>
      <c r="X4" s="39">
        <v>1496</v>
      </c>
      <c r="Y4" s="40">
        <v>4.4000000000000004</v>
      </c>
      <c r="Z4" s="40">
        <v>8.41</v>
      </c>
      <c r="AA4" s="34">
        <f t="shared" ref="AA4:AA13" si="6">X4*Y4%</f>
        <v>65.824000000000012</v>
      </c>
      <c r="AB4" s="34">
        <f t="shared" ref="AB4:AB13" si="7">X4*Z4%</f>
        <v>125.81360000000001</v>
      </c>
      <c r="AC4" s="129">
        <v>1494</v>
      </c>
      <c r="AD4" s="130">
        <v>4.34</v>
      </c>
      <c r="AE4" s="130">
        <v>8.33</v>
      </c>
      <c r="AF4" s="34">
        <f t="shared" ref="AF4:AF13" si="8">AC4*AD4%</f>
        <v>64.839600000000004</v>
      </c>
      <c r="AG4" s="34">
        <f t="shared" ref="AG4:AG13" si="9">AC4*AE4%</f>
        <v>124.4502</v>
      </c>
      <c r="AH4" s="43">
        <v>692</v>
      </c>
      <c r="AI4" s="38">
        <v>4.38</v>
      </c>
      <c r="AJ4" s="38">
        <v>8.5</v>
      </c>
      <c r="AK4" s="34">
        <f t="shared" ref="AK4:AK20" si="10">AH4*AI4%</f>
        <v>30.3096</v>
      </c>
      <c r="AL4" s="44">
        <f t="shared" ref="AL4:AL20" si="11">AH4*AJ4%</f>
        <v>58.820000000000007</v>
      </c>
      <c r="AM4" s="45">
        <f>+D4+R4-AC4-AH4</f>
        <v>2.4492000000000189</v>
      </c>
      <c r="AN4" s="46">
        <f t="shared" ref="AN4:AO19" si="12">+G4+S4-AF4-AK4</f>
        <v>0.70550000000000423</v>
      </c>
      <c r="AO4" s="46">
        <f t="shared" si="12"/>
        <v>2.9456999999999738</v>
      </c>
      <c r="AP4" s="47">
        <f>(AN4+AO4)/(S4+T4)</f>
        <v>3.0261690019907951E-2</v>
      </c>
      <c r="AQ4" s="48">
        <f t="shared" ref="AQ4" si="13">($AP$1*AN4+$AQ$1*AO4)</f>
        <v>1201.184999999994</v>
      </c>
      <c r="AR4" s="49">
        <f>(D4+J4+O4)-(X4+AH4)</f>
        <v>0.44920000000001892</v>
      </c>
      <c r="AS4" s="49"/>
    </row>
    <row r="5" spans="1:49" x14ac:dyDescent="0.25">
      <c r="A5" t="str">
        <f t="shared" si="0"/>
        <v>46174E</v>
      </c>
      <c r="B5" s="22">
        <f>+B4</f>
        <v>46174</v>
      </c>
      <c r="C5" s="23" t="s">
        <v>55</v>
      </c>
      <c r="D5" s="50">
        <f t="shared" ref="D5:F17" si="14">AH4</f>
        <v>692</v>
      </c>
      <c r="E5" s="34">
        <f t="shared" si="14"/>
        <v>4.38</v>
      </c>
      <c r="F5" s="34">
        <f t="shared" si="14"/>
        <v>8.5</v>
      </c>
      <c r="G5" s="34">
        <f t="shared" si="1"/>
        <v>30.3096</v>
      </c>
      <c r="H5" s="35">
        <f t="shared" si="2"/>
        <v>58.820000000000007</v>
      </c>
      <c r="I5" s="26">
        <f t="shared" ref="I5:I65" si="15">J5/1.03</f>
        <v>498.28000000000009</v>
      </c>
      <c r="J5" s="27">
        <v>513.22840000000008</v>
      </c>
      <c r="K5" s="28">
        <v>4.2486152364132614</v>
      </c>
      <c r="L5" s="32">
        <v>8.4089267078750876</v>
      </c>
      <c r="M5" s="29"/>
      <c r="N5" s="30"/>
      <c r="O5" s="31"/>
      <c r="P5" s="28"/>
      <c r="Q5" s="32"/>
      <c r="R5" s="53">
        <f t="shared" ref="R5:R6" si="16">O5+J5</f>
        <v>513.22840000000008</v>
      </c>
      <c r="S5" s="34">
        <f t="shared" ref="S5" si="17">(J5*K5%)+(O5*P5%)</f>
        <v>21.805100000000003</v>
      </c>
      <c r="T5" s="35">
        <f t="shared" si="5"/>
        <v>43.156999999999989</v>
      </c>
      <c r="U5" s="36"/>
      <c r="V5" s="37"/>
      <c r="W5" s="38"/>
      <c r="X5" s="39"/>
      <c r="Y5" s="40"/>
      <c r="Z5" s="40"/>
      <c r="AA5" s="34">
        <f t="shared" si="6"/>
        <v>0</v>
      </c>
      <c r="AB5" s="34">
        <f t="shared" si="7"/>
        <v>0</v>
      </c>
      <c r="AC5" s="129"/>
      <c r="AD5" s="130"/>
      <c r="AE5" s="130"/>
      <c r="AF5" s="34">
        <f t="shared" si="8"/>
        <v>0</v>
      </c>
      <c r="AG5" s="34">
        <f t="shared" si="9"/>
        <v>0</v>
      </c>
      <c r="AH5" s="43">
        <v>1205.22</v>
      </c>
      <c r="AI5" s="38">
        <v>4.32</v>
      </c>
      <c r="AJ5" s="38">
        <v>8.4499999999999993</v>
      </c>
      <c r="AK5" s="34">
        <f t="shared" si="10"/>
        <v>52.065504000000004</v>
      </c>
      <c r="AL5" s="44">
        <f t="shared" si="11"/>
        <v>101.84108999999999</v>
      </c>
      <c r="AM5" s="45">
        <f t="shared" ref="AM5:AM20" si="18">+D5+R5-AC5-AH5</f>
        <v>8.3999999999377906E-3</v>
      </c>
      <c r="AN5" s="51">
        <f t="shared" si="12"/>
        <v>4.919599999999491E-2</v>
      </c>
      <c r="AO5" s="51">
        <f t="shared" si="12"/>
        <v>0.13591000000000975</v>
      </c>
      <c r="AP5" s="47">
        <f t="shared" ref="AP5:AP20" si="19">(AN5+AO5)/(S5+T5)</f>
        <v>2.8494460616267743E-3</v>
      </c>
      <c r="AQ5" s="48">
        <f t="shared" ref="AQ5:AQ65" si="20">($AP$1*AN5+$AQ$1*AO5)</f>
        <v>62.911200000000633</v>
      </c>
      <c r="AR5" s="49">
        <f t="shared" ref="AR5:AR65" si="21">(D5+J5+O5)-(X5+AH5)</f>
        <v>8.3999999999377906E-3</v>
      </c>
      <c r="AS5" s="49"/>
    </row>
    <row r="6" spans="1:49" x14ac:dyDescent="0.25">
      <c r="A6" t="str">
        <f t="shared" si="0"/>
        <v>46175M</v>
      </c>
      <c r="B6" s="22">
        <f>+B4+1</f>
        <v>46175</v>
      </c>
      <c r="C6" s="23" t="s">
        <v>54</v>
      </c>
      <c r="D6" s="50">
        <f t="shared" ref="D6" si="22">AH5</f>
        <v>1205.22</v>
      </c>
      <c r="E6" s="34">
        <f t="shared" ref="E6" si="23">AI5</f>
        <v>4.32</v>
      </c>
      <c r="F6" s="34">
        <f t="shared" ref="F6" si="24">AJ5</f>
        <v>8.4499999999999993</v>
      </c>
      <c r="G6" s="34">
        <f t="shared" si="1"/>
        <v>52.065504000000004</v>
      </c>
      <c r="H6" s="35">
        <f t="shared" si="2"/>
        <v>101.84108999999999</v>
      </c>
      <c r="I6" s="26">
        <f t="shared" si="15"/>
        <v>905.59999999999991</v>
      </c>
      <c r="J6" s="27">
        <v>932.76799999999992</v>
      </c>
      <c r="K6" s="28">
        <v>4.3926678445229683</v>
      </c>
      <c r="L6" s="32">
        <v>8.4860865724381647</v>
      </c>
      <c r="M6" s="29"/>
      <c r="N6" s="30"/>
      <c r="O6" s="31"/>
      <c r="P6" s="28"/>
      <c r="Q6" s="32"/>
      <c r="R6" s="53">
        <f t="shared" si="16"/>
        <v>932.76799999999992</v>
      </c>
      <c r="S6" s="34">
        <f t="shared" si="4"/>
        <v>40.973399999999998</v>
      </c>
      <c r="T6" s="35">
        <f t="shared" si="5"/>
        <v>79.155500000000018</v>
      </c>
      <c r="U6" s="36"/>
      <c r="V6" s="37"/>
      <c r="W6" s="38"/>
      <c r="X6" s="39">
        <v>1502</v>
      </c>
      <c r="Y6" s="40">
        <v>4.3</v>
      </c>
      <c r="Z6" s="40">
        <v>8.34</v>
      </c>
      <c r="AA6" s="34">
        <f t="shared" si="6"/>
        <v>64.585999999999999</v>
      </c>
      <c r="AB6" s="34">
        <f t="shared" si="7"/>
        <v>125.2668</v>
      </c>
      <c r="AC6" s="129">
        <v>1519</v>
      </c>
      <c r="AD6" s="130">
        <v>4.17</v>
      </c>
      <c r="AE6" s="130">
        <v>8.14</v>
      </c>
      <c r="AF6" s="34">
        <f t="shared" si="8"/>
        <v>63.342300000000002</v>
      </c>
      <c r="AG6" s="34">
        <f t="shared" si="9"/>
        <v>123.64660000000001</v>
      </c>
      <c r="AH6" s="43">
        <v>635.98</v>
      </c>
      <c r="AI6" s="38">
        <v>4.3499999999999996</v>
      </c>
      <c r="AJ6" s="38">
        <v>8.4600000000000009</v>
      </c>
      <c r="AK6" s="34">
        <f t="shared" si="10"/>
        <v>27.665129999999998</v>
      </c>
      <c r="AL6" s="44">
        <f t="shared" si="11"/>
        <v>53.803908000000007</v>
      </c>
      <c r="AM6" s="54">
        <f t="shared" si="18"/>
        <v>-16.992000000000189</v>
      </c>
      <c r="AN6" s="51">
        <f t="shared" si="12"/>
        <v>2.0314740000000029</v>
      </c>
      <c r="AO6" s="51">
        <f t="shared" si="12"/>
        <v>3.5460820000000126</v>
      </c>
      <c r="AP6" s="47">
        <f t="shared" si="19"/>
        <v>4.642976003276493E-2</v>
      </c>
      <c r="AQ6" s="48">
        <f t="shared" si="20"/>
        <v>1977.9879000000051</v>
      </c>
      <c r="AR6" s="49">
        <f t="shared" si="21"/>
        <v>7.9999999998108251E-3</v>
      </c>
      <c r="AS6" s="49"/>
    </row>
    <row r="7" spans="1:49" x14ac:dyDescent="0.25">
      <c r="A7" t="str">
        <f t="shared" si="0"/>
        <v>46175E</v>
      </c>
      <c r="B7" s="22">
        <f>+B5+1</f>
        <v>46175</v>
      </c>
      <c r="C7" s="23" t="s">
        <v>55</v>
      </c>
      <c r="D7" s="50">
        <f t="shared" ref="D7" si="25">AH6</f>
        <v>635.98</v>
      </c>
      <c r="E7" s="34">
        <f t="shared" ref="E7" si="26">AI6</f>
        <v>4.3499999999999996</v>
      </c>
      <c r="F7" s="34">
        <f t="shared" ref="F7" si="27">AJ6</f>
        <v>8.4600000000000009</v>
      </c>
      <c r="G7" s="34">
        <f t="shared" si="1"/>
        <v>27.665129999999998</v>
      </c>
      <c r="H7" s="35">
        <f t="shared" si="2"/>
        <v>53.803908000000007</v>
      </c>
      <c r="I7" s="26">
        <f t="shared" si="15"/>
        <v>498.63000000000005</v>
      </c>
      <c r="J7" s="27">
        <v>513.58890000000008</v>
      </c>
      <c r="K7" s="28">
        <v>4.3198363516033922</v>
      </c>
      <c r="L7" s="32">
        <v>8.4030242865451328</v>
      </c>
      <c r="M7" s="29"/>
      <c r="N7" s="131"/>
      <c r="O7" s="31"/>
      <c r="P7" s="28"/>
      <c r="Q7" s="32"/>
      <c r="R7" s="53">
        <f t="shared" si="3"/>
        <v>513.58890000000008</v>
      </c>
      <c r="S7" s="34">
        <f t="shared" si="4"/>
        <v>22.186199999999996</v>
      </c>
      <c r="T7" s="35">
        <f t="shared" si="5"/>
        <v>43.157000000000004</v>
      </c>
      <c r="U7" s="36"/>
      <c r="V7" s="37"/>
      <c r="W7" s="38"/>
      <c r="X7" s="39"/>
      <c r="Y7" s="40"/>
      <c r="Z7" s="40"/>
      <c r="AA7" s="34">
        <f t="shared" si="6"/>
        <v>0</v>
      </c>
      <c r="AB7" s="34">
        <f t="shared" si="7"/>
        <v>0</v>
      </c>
      <c r="AC7" s="129"/>
      <c r="AD7" s="130"/>
      <c r="AE7" s="130"/>
      <c r="AF7" s="34">
        <f t="shared" si="8"/>
        <v>0</v>
      </c>
      <c r="AG7" s="34">
        <f t="shared" si="9"/>
        <v>0</v>
      </c>
      <c r="AH7" s="43">
        <v>1149.56</v>
      </c>
      <c r="AI7" s="38">
        <v>4.3099999999999996</v>
      </c>
      <c r="AJ7" s="38">
        <v>8.43</v>
      </c>
      <c r="AK7" s="34">
        <f t="shared" si="10"/>
        <v>49.546035999999994</v>
      </c>
      <c r="AL7" s="44">
        <f t="shared" si="11"/>
        <v>96.907907999999992</v>
      </c>
      <c r="AM7" s="54">
        <f t="shared" si="18"/>
        <v>8.9000000002670276E-3</v>
      </c>
      <c r="AN7" s="51">
        <f t="shared" si="12"/>
        <v>0.3052939999999964</v>
      </c>
      <c r="AO7" s="51">
        <f t="shared" si="12"/>
        <v>5.3000000000025693E-2</v>
      </c>
      <c r="AP7" s="47">
        <f t="shared" si="19"/>
        <v>5.4832637520051374E-3</v>
      </c>
      <c r="AQ7" s="48">
        <f t="shared" si="20"/>
        <v>153.2823000000061</v>
      </c>
      <c r="AR7" s="49">
        <f t="shared" si="21"/>
        <v>8.9000000002670276E-3</v>
      </c>
      <c r="AS7" s="49"/>
    </row>
    <row r="8" spans="1:49" x14ac:dyDescent="0.25">
      <c r="A8" t="str">
        <f t="shared" si="0"/>
        <v>46176M</v>
      </c>
      <c r="B8" s="22">
        <f>+B6+1</f>
        <v>46176</v>
      </c>
      <c r="C8" s="23" t="s">
        <v>54</v>
      </c>
      <c r="D8" s="50"/>
      <c r="E8" s="34"/>
      <c r="F8" s="34"/>
      <c r="G8" s="34">
        <f t="shared" ref="G8:G41" si="28">+D8*E8%</f>
        <v>0</v>
      </c>
      <c r="H8" s="35">
        <f t="shared" ref="H8:H41" si="29">+D8*F8%</f>
        <v>0</v>
      </c>
      <c r="I8" s="26">
        <f t="shared" si="15"/>
        <v>0</v>
      </c>
      <c r="J8" s="27"/>
      <c r="K8" s="28"/>
      <c r="L8" s="32"/>
      <c r="M8" s="29"/>
      <c r="N8" s="30"/>
      <c r="O8" s="31"/>
      <c r="P8" s="28"/>
      <c r="Q8" s="32"/>
      <c r="R8" s="53">
        <f>O8+J8</f>
        <v>0</v>
      </c>
      <c r="S8" s="34">
        <f t="shared" si="4"/>
        <v>0</v>
      </c>
      <c r="T8" s="35">
        <f t="shared" si="5"/>
        <v>0</v>
      </c>
      <c r="U8" s="36"/>
      <c r="V8" s="37"/>
      <c r="W8" s="38"/>
      <c r="X8" s="39"/>
      <c r="Y8" s="40"/>
      <c r="Z8" s="40"/>
      <c r="AA8" s="34">
        <f t="shared" si="6"/>
        <v>0</v>
      </c>
      <c r="AB8" s="34">
        <f t="shared" si="7"/>
        <v>0</v>
      </c>
      <c r="AC8" s="129"/>
      <c r="AD8" s="130"/>
      <c r="AE8" s="130"/>
      <c r="AF8" s="34">
        <f t="shared" si="8"/>
        <v>0</v>
      </c>
      <c r="AG8" s="34">
        <f t="shared" si="9"/>
        <v>0</v>
      </c>
      <c r="AH8" s="43"/>
      <c r="AI8" s="38"/>
      <c r="AJ8" s="38"/>
      <c r="AK8" s="34">
        <f t="shared" si="10"/>
        <v>0</v>
      </c>
      <c r="AL8" s="44">
        <f t="shared" si="11"/>
        <v>0</v>
      </c>
      <c r="AM8" s="45">
        <f t="shared" si="18"/>
        <v>0</v>
      </c>
      <c r="AN8" s="46">
        <f t="shared" si="12"/>
        <v>0</v>
      </c>
      <c r="AO8" s="46">
        <f t="shared" si="12"/>
        <v>0</v>
      </c>
      <c r="AP8" s="47" t="e">
        <f t="shared" si="19"/>
        <v>#DIV/0!</v>
      </c>
      <c r="AQ8" s="48">
        <f t="shared" si="20"/>
        <v>0</v>
      </c>
      <c r="AR8" s="49">
        <f t="shared" si="21"/>
        <v>0</v>
      </c>
      <c r="AS8" s="49"/>
    </row>
    <row r="9" spans="1:49" x14ac:dyDescent="0.25">
      <c r="A9" t="str">
        <f t="shared" si="0"/>
        <v>46176E</v>
      </c>
      <c r="B9" s="22">
        <f t="shared" ref="B9:B65" si="30">+B7+1</f>
        <v>46176</v>
      </c>
      <c r="C9" s="23" t="s">
        <v>55</v>
      </c>
      <c r="D9" s="50">
        <f t="shared" ref="D9" si="31">AH8</f>
        <v>0</v>
      </c>
      <c r="E9" s="34">
        <f t="shared" ref="E9" si="32">AI8</f>
        <v>0</v>
      </c>
      <c r="F9" s="34">
        <f t="shared" ref="F9" si="33">AJ8</f>
        <v>0</v>
      </c>
      <c r="G9" s="34">
        <f t="shared" si="28"/>
        <v>0</v>
      </c>
      <c r="H9" s="35">
        <f t="shared" si="29"/>
        <v>0</v>
      </c>
      <c r="I9" s="26">
        <f t="shared" si="15"/>
        <v>0</v>
      </c>
      <c r="J9" s="27"/>
      <c r="K9" s="28"/>
      <c r="L9" s="32"/>
      <c r="M9" s="29"/>
      <c r="N9" s="131"/>
      <c r="O9" s="31"/>
      <c r="P9" s="28"/>
      <c r="Q9" s="32"/>
      <c r="R9" s="53">
        <f t="shared" si="3"/>
        <v>0</v>
      </c>
      <c r="S9" s="34">
        <f t="shared" si="4"/>
        <v>0</v>
      </c>
      <c r="T9" s="35">
        <f t="shared" si="5"/>
        <v>0</v>
      </c>
      <c r="U9" s="36"/>
      <c r="V9" s="37"/>
      <c r="W9" s="38"/>
      <c r="X9" s="39"/>
      <c r="Y9" s="40"/>
      <c r="Z9" s="40"/>
      <c r="AA9" s="34">
        <f t="shared" si="6"/>
        <v>0</v>
      </c>
      <c r="AB9" s="34">
        <f t="shared" si="7"/>
        <v>0</v>
      </c>
      <c r="AC9" s="144"/>
      <c r="AD9" s="145"/>
      <c r="AE9" s="145"/>
      <c r="AF9" s="34">
        <f t="shared" si="8"/>
        <v>0</v>
      </c>
      <c r="AG9" s="34">
        <f t="shared" si="9"/>
        <v>0</v>
      </c>
      <c r="AH9" s="43"/>
      <c r="AI9" s="38"/>
      <c r="AJ9" s="38"/>
      <c r="AK9" s="34">
        <f t="shared" si="10"/>
        <v>0</v>
      </c>
      <c r="AL9" s="44">
        <f t="shared" si="11"/>
        <v>0</v>
      </c>
      <c r="AM9" s="45">
        <f t="shared" si="18"/>
        <v>0</v>
      </c>
      <c r="AN9" s="46">
        <f t="shared" si="12"/>
        <v>0</v>
      </c>
      <c r="AO9" s="46">
        <f t="shared" si="12"/>
        <v>0</v>
      </c>
      <c r="AP9" s="47" t="e">
        <f t="shared" si="19"/>
        <v>#DIV/0!</v>
      </c>
      <c r="AQ9" s="48">
        <f t="shared" si="20"/>
        <v>0</v>
      </c>
      <c r="AR9" s="49">
        <f t="shared" si="21"/>
        <v>0</v>
      </c>
      <c r="AS9" s="49"/>
    </row>
    <row r="10" spans="1:49" x14ac:dyDescent="0.25">
      <c r="A10" t="str">
        <f t="shared" si="0"/>
        <v>46177M</v>
      </c>
      <c r="B10" s="22">
        <f t="shared" si="30"/>
        <v>46177</v>
      </c>
      <c r="C10" s="23" t="s">
        <v>54</v>
      </c>
      <c r="D10" s="50">
        <f t="shared" ref="D10" si="34">AH9</f>
        <v>0</v>
      </c>
      <c r="E10" s="34">
        <f t="shared" ref="E10" si="35">AI9</f>
        <v>0</v>
      </c>
      <c r="F10" s="34">
        <f t="shared" ref="F10" si="36">AJ9</f>
        <v>0</v>
      </c>
      <c r="G10" s="34">
        <f t="shared" si="28"/>
        <v>0</v>
      </c>
      <c r="H10" s="35">
        <f t="shared" si="29"/>
        <v>0</v>
      </c>
      <c r="I10" s="26">
        <f t="shared" si="15"/>
        <v>0</v>
      </c>
      <c r="J10" s="27"/>
      <c r="K10" s="28"/>
      <c r="L10" s="32"/>
      <c r="M10" s="29"/>
      <c r="N10" s="30"/>
      <c r="O10" s="31"/>
      <c r="P10" s="28"/>
      <c r="Q10" s="32"/>
      <c r="R10" s="53">
        <f t="shared" ref="R10" si="37">O10+J10</f>
        <v>0</v>
      </c>
      <c r="S10" s="34">
        <f t="shared" ref="S10" si="38">(J10*K10%)+(O10*P10%)</f>
        <v>0</v>
      </c>
      <c r="T10" s="35">
        <f t="shared" ref="T10" si="39">(J10*L10%)+(O10*Q10%)</f>
        <v>0</v>
      </c>
      <c r="U10" s="36"/>
      <c r="V10" s="37"/>
      <c r="W10" s="38"/>
      <c r="X10" s="39"/>
      <c r="Y10" s="40"/>
      <c r="Z10" s="40"/>
      <c r="AA10" s="34">
        <f t="shared" si="6"/>
        <v>0</v>
      </c>
      <c r="AB10" s="34">
        <f t="shared" si="7"/>
        <v>0</v>
      </c>
      <c r="AC10" s="144"/>
      <c r="AD10" s="145"/>
      <c r="AE10" s="145"/>
      <c r="AF10" s="34">
        <f t="shared" si="8"/>
        <v>0</v>
      </c>
      <c r="AG10" s="34">
        <f t="shared" si="9"/>
        <v>0</v>
      </c>
      <c r="AH10" s="43"/>
      <c r="AI10" s="38"/>
      <c r="AJ10" s="38"/>
      <c r="AK10" s="34">
        <f t="shared" si="10"/>
        <v>0</v>
      </c>
      <c r="AL10" s="44">
        <f t="shared" si="11"/>
        <v>0</v>
      </c>
      <c r="AM10" s="45">
        <f t="shared" si="18"/>
        <v>0</v>
      </c>
      <c r="AN10" s="46">
        <f t="shared" si="12"/>
        <v>0</v>
      </c>
      <c r="AO10" s="46">
        <f t="shared" si="12"/>
        <v>0</v>
      </c>
      <c r="AP10" s="47" t="e">
        <f t="shared" si="19"/>
        <v>#DIV/0!</v>
      </c>
      <c r="AQ10" s="48">
        <f t="shared" si="20"/>
        <v>0</v>
      </c>
      <c r="AR10" s="49">
        <f t="shared" si="21"/>
        <v>0</v>
      </c>
      <c r="AS10" s="49"/>
    </row>
    <row r="11" spans="1:49" x14ac:dyDescent="0.25">
      <c r="A11" t="str">
        <f t="shared" si="0"/>
        <v>46177E</v>
      </c>
      <c r="B11" s="22">
        <f t="shared" si="30"/>
        <v>46177</v>
      </c>
      <c r="C11" s="23" t="s">
        <v>55</v>
      </c>
      <c r="D11" s="50">
        <f t="shared" si="14"/>
        <v>0</v>
      </c>
      <c r="E11" s="34">
        <f t="shared" si="14"/>
        <v>0</v>
      </c>
      <c r="F11" s="34">
        <f t="shared" si="14"/>
        <v>0</v>
      </c>
      <c r="G11" s="34">
        <f t="shared" si="28"/>
        <v>0</v>
      </c>
      <c r="H11" s="35">
        <f t="shared" si="29"/>
        <v>0</v>
      </c>
      <c r="I11" s="26">
        <f t="shared" si="15"/>
        <v>0</v>
      </c>
      <c r="J11" s="27"/>
      <c r="K11" s="28"/>
      <c r="L11" s="32"/>
      <c r="M11" s="29"/>
      <c r="N11" s="131"/>
      <c r="O11" s="31"/>
      <c r="P11" s="28"/>
      <c r="Q11" s="32"/>
      <c r="R11" s="53">
        <f t="shared" si="3"/>
        <v>0</v>
      </c>
      <c r="S11" s="34">
        <f t="shared" si="4"/>
        <v>0</v>
      </c>
      <c r="T11" s="35">
        <f t="shared" si="5"/>
        <v>0</v>
      </c>
      <c r="U11" s="36"/>
      <c r="V11" s="37"/>
      <c r="W11" s="38"/>
      <c r="X11" s="39"/>
      <c r="Y11" s="40"/>
      <c r="Z11" s="40"/>
      <c r="AA11" s="34">
        <f t="shared" si="6"/>
        <v>0</v>
      </c>
      <c r="AB11" s="35">
        <f t="shared" si="7"/>
        <v>0</v>
      </c>
      <c r="AC11" s="271"/>
      <c r="AD11" s="145"/>
      <c r="AE11" s="145"/>
      <c r="AF11" s="34">
        <f t="shared" si="8"/>
        <v>0</v>
      </c>
      <c r="AG11" s="34">
        <f t="shared" si="9"/>
        <v>0</v>
      </c>
      <c r="AH11" s="43"/>
      <c r="AI11" s="38"/>
      <c r="AJ11" s="38"/>
      <c r="AK11" s="34">
        <f t="shared" si="10"/>
        <v>0</v>
      </c>
      <c r="AL11" s="44">
        <f t="shared" si="11"/>
        <v>0</v>
      </c>
      <c r="AM11" s="45">
        <f t="shared" si="18"/>
        <v>0</v>
      </c>
      <c r="AN11" s="46">
        <f t="shared" si="12"/>
        <v>0</v>
      </c>
      <c r="AO11" s="46">
        <f t="shared" si="12"/>
        <v>0</v>
      </c>
      <c r="AP11" s="47" t="e">
        <f t="shared" si="19"/>
        <v>#DIV/0!</v>
      </c>
      <c r="AQ11" s="48">
        <f t="shared" si="20"/>
        <v>0</v>
      </c>
      <c r="AR11" s="49">
        <f t="shared" si="21"/>
        <v>0</v>
      </c>
      <c r="AS11" s="57"/>
    </row>
    <row r="12" spans="1:49" x14ac:dyDescent="0.25">
      <c r="A12" t="str">
        <f t="shared" si="0"/>
        <v>46178M</v>
      </c>
      <c r="B12" s="22">
        <f t="shared" si="30"/>
        <v>46178</v>
      </c>
      <c r="C12" s="23" t="s">
        <v>54</v>
      </c>
      <c r="D12" s="50">
        <f t="shared" ref="D12" si="40">AH11</f>
        <v>0</v>
      </c>
      <c r="E12" s="34">
        <f t="shared" ref="E12" si="41">AI11</f>
        <v>0</v>
      </c>
      <c r="F12" s="34">
        <f t="shared" ref="F12" si="42">AJ11</f>
        <v>0</v>
      </c>
      <c r="G12" s="34">
        <f t="shared" ref="G12" si="43">+D12*E12%</f>
        <v>0</v>
      </c>
      <c r="H12" s="35">
        <f t="shared" si="29"/>
        <v>0</v>
      </c>
      <c r="I12" s="26">
        <f t="shared" si="15"/>
        <v>0</v>
      </c>
      <c r="J12" s="27"/>
      <c r="K12" s="28"/>
      <c r="L12" s="32"/>
      <c r="M12" s="29"/>
      <c r="N12" s="131"/>
      <c r="O12" s="31"/>
      <c r="P12" s="28"/>
      <c r="Q12" s="32"/>
      <c r="R12" s="53">
        <f t="shared" ref="R12" si="44">O12+J12</f>
        <v>0</v>
      </c>
      <c r="S12" s="34">
        <f t="shared" ref="S12" si="45">(J12*K12%)+(O12*P12%)</f>
        <v>0</v>
      </c>
      <c r="T12" s="35">
        <f t="shared" ref="T12" si="46">(J12*L12%)+(O12*Q12%)</f>
        <v>0</v>
      </c>
      <c r="U12" s="36"/>
      <c r="V12" s="37"/>
      <c r="W12" s="38"/>
      <c r="X12" s="39"/>
      <c r="Y12" s="40"/>
      <c r="Z12" s="40"/>
      <c r="AA12" s="34">
        <f t="shared" ref="AA12" si="47">X12*Y12%</f>
        <v>0</v>
      </c>
      <c r="AB12" s="35">
        <f t="shared" ref="AB12" si="48">X12*Z12%</f>
        <v>0</v>
      </c>
      <c r="AC12" s="271"/>
      <c r="AD12" s="145"/>
      <c r="AE12" s="145"/>
      <c r="AF12" s="34">
        <f t="shared" ref="AF12" si="49">AC12*AD12%</f>
        <v>0</v>
      </c>
      <c r="AG12" s="34">
        <f t="shared" ref="AG12" si="50">AC12*AE12%</f>
        <v>0</v>
      </c>
      <c r="AH12" s="43"/>
      <c r="AI12" s="38"/>
      <c r="AJ12" s="38"/>
      <c r="AK12" s="34">
        <f t="shared" si="10"/>
        <v>0</v>
      </c>
      <c r="AL12" s="44">
        <f t="shared" si="11"/>
        <v>0</v>
      </c>
      <c r="AM12" s="45">
        <f t="shared" si="18"/>
        <v>0</v>
      </c>
      <c r="AN12" s="46">
        <f t="shared" si="12"/>
        <v>0</v>
      </c>
      <c r="AO12" s="46">
        <f t="shared" si="12"/>
        <v>0</v>
      </c>
      <c r="AP12" s="47" t="e">
        <f t="shared" si="19"/>
        <v>#DIV/0!</v>
      </c>
      <c r="AQ12" s="48">
        <f t="shared" si="20"/>
        <v>0</v>
      </c>
      <c r="AR12" s="49">
        <f t="shared" si="21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0"/>
        <v>46178E</v>
      </c>
      <c r="B13" s="22">
        <f t="shared" si="30"/>
        <v>46178</v>
      </c>
      <c r="C13" s="23" t="s">
        <v>55</v>
      </c>
      <c r="D13" s="50">
        <f t="shared" ref="D13" si="51">AH12</f>
        <v>0</v>
      </c>
      <c r="E13" s="34">
        <f t="shared" ref="E13" si="52">AI12</f>
        <v>0</v>
      </c>
      <c r="F13" s="34">
        <f t="shared" ref="F13" si="53">AJ12</f>
        <v>0</v>
      </c>
      <c r="G13" s="34">
        <f t="shared" si="28"/>
        <v>0</v>
      </c>
      <c r="H13" s="35">
        <f t="shared" si="29"/>
        <v>0</v>
      </c>
      <c r="I13" s="26">
        <f t="shared" si="15"/>
        <v>0</v>
      </c>
      <c r="J13" s="27"/>
      <c r="K13" s="28"/>
      <c r="L13" s="32"/>
      <c r="M13" s="29"/>
      <c r="N13" s="30"/>
      <c r="O13" s="31"/>
      <c r="P13" s="28"/>
      <c r="Q13" s="32"/>
      <c r="R13" s="53">
        <f t="shared" si="3"/>
        <v>0</v>
      </c>
      <c r="S13" s="34">
        <f t="shared" si="4"/>
        <v>0</v>
      </c>
      <c r="T13" s="35">
        <f t="shared" si="5"/>
        <v>0</v>
      </c>
      <c r="U13" s="36"/>
      <c r="V13" s="37"/>
      <c r="W13" s="38"/>
      <c r="X13" s="39"/>
      <c r="Y13" s="40"/>
      <c r="Z13" s="40"/>
      <c r="AA13" s="34">
        <f t="shared" si="6"/>
        <v>0</v>
      </c>
      <c r="AB13" s="35">
        <f t="shared" si="7"/>
        <v>0</v>
      </c>
      <c r="AC13" s="271"/>
      <c r="AD13" s="145"/>
      <c r="AE13" s="145"/>
      <c r="AF13" s="34">
        <f t="shared" si="8"/>
        <v>0</v>
      </c>
      <c r="AG13" s="34">
        <f t="shared" si="9"/>
        <v>0</v>
      </c>
      <c r="AH13" s="43"/>
      <c r="AI13" s="38"/>
      <c r="AJ13" s="38"/>
      <c r="AK13" s="34">
        <f t="shared" si="10"/>
        <v>0</v>
      </c>
      <c r="AL13" s="44">
        <f t="shared" si="11"/>
        <v>0</v>
      </c>
      <c r="AM13" s="45">
        <f t="shared" si="18"/>
        <v>0</v>
      </c>
      <c r="AN13" s="46">
        <f t="shared" si="12"/>
        <v>0</v>
      </c>
      <c r="AO13" s="46">
        <f t="shared" si="12"/>
        <v>0</v>
      </c>
      <c r="AP13" s="47" t="e">
        <f t="shared" si="19"/>
        <v>#DIV/0!</v>
      </c>
      <c r="AQ13" s="48">
        <f t="shared" si="20"/>
        <v>0</v>
      </c>
      <c r="AR13" s="49">
        <f t="shared" si="21"/>
        <v>0</v>
      </c>
      <c r="AS13" s="49">
        <f>SUM(J4:J13)</f>
        <v>2880.0345000000002</v>
      </c>
      <c r="AT13" s="58">
        <f>SUM(AM4:AM13)</f>
        <v>-14.525499999999965</v>
      </c>
      <c r="AU13" s="58">
        <f t="shared" ref="AU13:AV13" si="54">SUM(AN4:AN13)</f>
        <v>3.0914639999999984</v>
      </c>
      <c r="AV13" s="58">
        <f t="shared" si="54"/>
        <v>6.6806920000000218</v>
      </c>
      <c r="AW13" s="58">
        <f>-SUM(AQ4:AQ13)</f>
        <v>-3395.3664000000063</v>
      </c>
    </row>
    <row r="14" spans="1:49" x14ac:dyDescent="0.25">
      <c r="B14" s="22">
        <f t="shared" si="30"/>
        <v>46179</v>
      </c>
      <c r="C14" s="23" t="s">
        <v>54</v>
      </c>
      <c r="D14" s="50">
        <f t="shared" ref="D14" si="55">AH13</f>
        <v>0</v>
      </c>
      <c r="E14" s="34">
        <f t="shared" ref="E14" si="56">AI13</f>
        <v>0</v>
      </c>
      <c r="F14" s="34">
        <f t="shared" ref="F14" si="57">AJ13</f>
        <v>0</v>
      </c>
      <c r="G14" s="34">
        <f t="shared" ref="G14" si="58">+D14*E14%</f>
        <v>0</v>
      </c>
      <c r="H14" s="35">
        <f t="shared" si="29"/>
        <v>0</v>
      </c>
      <c r="I14" s="26">
        <f t="shared" si="15"/>
        <v>0</v>
      </c>
      <c r="J14" s="27"/>
      <c r="K14" s="28"/>
      <c r="L14" s="32"/>
      <c r="M14" s="29"/>
      <c r="N14" s="30"/>
      <c r="O14" s="184"/>
      <c r="P14" s="185"/>
      <c r="Q14" s="186"/>
      <c r="R14" s="53">
        <f t="shared" ref="R14:R20" si="59">O14+J14</f>
        <v>0</v>
      </c>
      <c r="S14" s="34">
        <f t="shared" ref="S14:S20" si="60">(J14*K14%)+(O14*P14%)</f>
        <v>0</v>
      </c>
      <c r="T14" s="35">
        <f t="shared" ref="T14:T20" si="61">(J14*L14%)+(O14*Q14%)</f>
        <v>0</v>
      </c>
      <c r="U14" s="36"/>
      <c r="V14" s="37"/>
      <c r="W14" s="38"/>
      <c r="X14" s="39"/>
      <c r="Y14" s="40"/>
      <c r="Z14" s="40"/>
      <c r="AA14" s="34">
        <f t="shared" ref="AA14:AA20" si="62">X14*Y14%</f>
        <v>0</v>
      </c>
      <c r="AB14" s="35">
        <f t="shared" ref="AB14:AB20" si="63">X14*Z14%</f>
        <v>0</v>
      </c>
      <c r="AC14" s="271"/>
      <c r="AD14" s="145"/>
      <c r="AE14" s="145"/>
      <c r="AF14" s="34">
        <f t="shared" ref="AF14:AF20" si="64">AC14*AD14%</f>
        <v>0</v>
      </c>
      <c r="AG14" s="34">
        <f t="shared" ref="AG14:AG20" si="65">AC14*AE14%</f>
        <v>0</v>
      </c>
      <c r="AH14" s="43"/>
      <c r="AI14" s="38"/>
      <c r="AJ14" s="38"/>
      <c r="AK14" s="34">
        <f t="shared" si="10"/>
        <v>0</v>
      </c>
      <c r="AL14" s="44">
        <f t="shared" si="11"/>
        <v>0</v>
      </c>
      <c r="AM14" s="45">
        <f t="shared" si="18"/>
        <v>0</v>
      </c>
      <c r="AN14" s="46">
        <f t="shared" si="12"/>
        <v>0</v>
      </c>
      <c r="AO14" s="46">
        <f t="shared" si="12"/>
        <v>0</v>
      </c>
      <c r="AP14" s="47" t="e">
        <f t="shared" si="19"/>
        <v>#DIV/0!</v>
      </c>
      <c r="AQ14" s="48">
        <f t="shared" si="20"/>
        <v>0</v>
      </c>
      <c r="AR14" s="49">
        <f t="shared" si="21"/>
        <v>0</v>
      </c>
      <c r="AS14" s="49"/>
    </row>
    <row r="15" spans="1:49" x14ac:dyDescent="0.25">
      <c r="B15" s="22">
        <f t="shared" si="30"/>
        <v>46179</v>
      </c>
      <c r="C15" s="23" t="s">
        <v>55</v>
      </c>
      <c r="D15" s="50">
        <f t="shared" ref="D15" si="66">AH14</f>
        <v>0</v>
      </c>
      <c r="E15" s="34">
        <f t="shared" ref="E15" si="67">AI14</f>
        <v>0</v>
      </c>
      <c r="F15" s="34">
        <f t="shared" ref="F15" si="68">AJ14</f>
        <v>0</v>
      </c>
      <c r="G15" s="34">
        <f t="shared" si="28"/>
        <v>0</v>
      </c>
      <c r="H15" s="35">
        <f t="shared" si="29"/>
        <v>0</v>
      </c>
      <c r="I15" s="26">
        <f t="shared" si="15"/>
        <v>0</v>
      </c>
      <c r="J15" s="27"/>
      <c r="K15" s="28"/>
      <c r="L15" s="32"/>
      <c r="M15" s="29"/>
      <c r="N15" s="131"/>
      <c r="O15" s="31"/>
      <c r="P15" s="28"/>
      <c r="Q15" s="32"/>
      <c r="R15" s="53">
        <f t="shared" si="59"/>
        <v>0</v>
      </c>
      <c r="S15" s="34">
        <f t="shared" si="60"/>
        <v>0</v>
      </c>
      <c r="T15" s="35">
        <f t="shared" si="61"/>
        <v>0</v>
      </c>
      <c r="U15" s="36"/>
      <c r="V15" s="37"/>
      <c r="W15" s="38"/>
      <c r="X15" s="39"/>
      <c r="Y15" s="40"/>
      <c r="Z15" s="40"/>
      <c r="AA15" s="34">
        <f t="shared" ref="AA15" si="69">X15*Y15%</f>
        <v>0</v>
      </c>
      <c r="AB15" s="35">
        <f t="shared" ref="AB15" si="70">X15*Z15%</f>
        <v>0</v>
      </c>
      <c r="AC15" s="273"/>
      <c r="AD15" s="130"/>
      <c r="AE15" s="130"/>
      <c r="AF15" s="34">
        <f t="shared" si="64"/>
        <v>0</v>
      </c>
      <c r="AG15" s="34">
        <f t="shared" si="65"/>
        <v>0</v>
      </c>
      <c r="AH15" s="43"/>
      <c r="AI15" s="38"/>
      <c r="AJ15" s="38"/>
      <c r="AK15" s="34">
        <f t="shared" si="10"/>
        <v>0</v>
      </c>
      <c r="AL15" s="44">
        <f t="shared" si="11"/>
        <v>0</v>
      </c>
      <c r="AM15" s="45">
        <f t="shared" si="18"/>
        <v>0</v>
      </c>
      <c r="AN15" s="46">
        <f t="shared" si="12"/>
        <v>0</v>
      </c>
      <c r="AO15" s="46">
        <f t="shared" si="12"/>
        <v>0</v>
      </c>
      <c r="AP15" s="47" t="e">
        <f t="shared" si="19"/>
        <v>#DIV/0!</v>
      </c>
      <c r="AQ15" s="48">
        <f t="shared" si="20"/>
        <v>0</v>
      </c>
      <c r="AR15" s="49">
        <f t="shared" si="21"/>
        <v>0</v>
      </c>
      <c r="AS15" s="49"/>
    </row>
    <row r="16" spans="1:49" x14ac:dyDescent="0.25">
      <c r="B16" s="22">
        <f t="shared" si="30"/>
        <v>46180</v>
      </c>
      <c r="C16" s="23" t="s">
        <v>54</v>
      </c>
      <c r="D16" s="50">
        <f t="shared" ref="D16" si="71">AH15</f>
        <v>0</v>
      </c>
      <c r="E16" s="34">
        <f t="shared" ref="E16" si="72">AI15</f>
        <v>0</v>
      </c>
      <c r="F16" s="34">
        <f t="shared" ref="F16" si="73">AJ15</f>
        <v>0</v>
      </c>
      <c r="G16" s="34">
        <f t="shared" si="28"/>
        <v>0</v>
      </c>
      <c r="H16" s="35">
        <f t="shared" si="29"/>
        <v>0</v>
      </c>
      <c r="I16" s="26">
        <f t="shared" si="15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59"/>
        <v>0</v>
      </c>
      <c r="S16" s="34">
        <f t="shared" si="60"/>
        <v>0</v>
      </c>
      <c r="T16" s="35">
        <f t="shared" si="61"/>
        <v>0</v>
      </c>
      <c r="U16" s="36"/>
      <c r="V16" s="37"/>
      <c r="W16" s="38"/>
      <c r="X16" s="39"/>
      <c r="Y16" s="40"/>
      <c r="Z16" s="40"/>
      <c r="AA16" s="34">
        <f t="shared" si="62"/>
        <v>0</v>
      </c>
      <c r="AB16" s="35">
        <f t="shared" si="63"/>
        <v>0</v>
      </c>
      <c r="AC16" s="303"/>
      <c r="AD16" s="290"/>
      <c r="AE16" s="290"/>
      <c r="AF16" s="34">
        <f t="shared" si="64"/>
        <v>0</v>
      </c>
      <c r="AG16" s="34">
        <f t="shared" si="65"/>
        <v>0</v>
      </c>
      <c r="AH16" s="43"/>
      <c r="AI16" s="38"/>
      <c r="AJ16" s="38"/>
      <c r="AK16" s="34">
        <f t="shared" si="10"/>
        <v>0</v>
      </c>
      <c r="AL16" s="44">
        <f t="shared" si="11"/>
        <v>0</v>
      </c>
      <c r="AM16" s="45">
        <f t="shared" si="18"/>
        <v>0</v>
      </c>
      <c r="AN16" s="46">
        <f t="shared" si="12"/>
        <v>0</v>
      </c>
      <c r="AO16" s="46">
        <f t="shared" si="12"/>
        <v>0</v>
      </c>
      <c r="AP16" s="47" t="e">
        <f t="shared" si="19"/>
        <v>#DIV/0!</v>
      </c>
      <c r="AQ16" s="48">
        <f t="shared" si="20"/>
        <v>0</v>
      </c>
      <c r="AR16" s="49">
        <f t="shared" si="21"/>
        <v>0</v>
      </c>
      <c r="AS16" s="49"/>
    </row>
    <row r="17" spans="2:49" x14ac:dyDescent="0.25">
      <c r="B17" s="22">
        <f t="shared" si="30"/>
        <v>46180</v>
      </c>
      <c r="C17" s="23" t="s">
        <v>55</v>
      </c>
      <c r="D17" s="50">
        <f t="shared" si="14"/>
        <v>0</v>
      </c>
      <c r="E17" s="34">
        <f t="shared" si="14"/>
        <v>0</v>
      </c>
      <c r="F17" s="34">
        <f t="shared" si="14"/>
        <v>0</v>
      </c>
      <c r="G17" s="34">
        <f t="shared" si="28"/>
        <v>0</v>
      </c>
      <c r="H17" s="35">
        <f t="shared" si="29"/>
        <v>0</v>
      </c>
      <c r="I17" s="26">
        <f t="shared" si="15"/>
        <v>0</v>
      </c>
      <c r="J17" s="27"/>
      <c r="K17" s="28"/>
      <c r="L17" s="32"/>
      <c r="M17" s="29"/>
      <c r="N17" s="30"/>
      <c r="O17" s="31"/>
      <c r="P17" s="28"/>
      <c r="Q17" s="32"/>
      <c r="R17" s="53">
        <f t="shared" si="59"/>
        <v>0</v>
      </c>
      <c r="S17" s="34">
        <f t="shared" si="60"/>
        <v>0</v>
      </c>
      <c r="T17" s="35">
        <f t="shared" si="61"/>
        <v>0</v>
      </c>
      <c r="U17" s="36"/>
      <c r="V17" s="37"/>
      <c r="W17" s="38"/>
      <c r="X17" s="39"/>
      <c r="Y17" s="40"/>
      <c r="Z17" s="40"/>
      <c r="AA17" s="34">
        <f t="shared" si="62"/>
        <v>0</v>
      </c>
      <c r="AB17" s="35">
        <f t="shared" si="63"/>
        <v>0</v>
      </c>
      <c r="AC17" s="273"/>
      <c r="AD17" s="130"/>
      <c r="AE17" s="130"/>
      <c r="AF17" s="34">
        <f t="shared" si="64"/>
        <v>0</v>
      </c>
      <c r="AG17" s="34">
        <f t="shared" si="65"/>
        <v>0</v>
      </c>
      <c r="AH17" s="43"/>
      <c r="AI17" s="38"/>
      <c r="AJ17" s="38"/>
      <c r="AK17" s="34">
        <f t="shared" si="10"/>
        <v>0</v>
      </c>
      <c r="AL17" s="44">
        <f t="shared" si="11"/>
        <v>0</v>
      </c>
      <c r="AM17" s="45">
        <f t="shared" si="18"/>
        <v>0</v>
      </c>
      <c r="AN17" s="46">
        <f t="shared" si="12"/>
        <v>0</v>
      </c>
      <c r="AO17" s="46">
        <f t="shared" si="12"/>
        <v>0</v>
      </c>
      <c r="AP17" s="47" t="e">
        <f t="shared" si="19"/>
        <v>#DIV/0!</v>
      </c>
      <c r="AQ17" s="48">
        <f t="shared" si="20"/>
        <v>0</v>
      </c>
      <c r="AR17" s="49">
        <f t="shared" si="21"/>
        <v>0</v>
      </c>
      <c r="AS17" s="49"/>
    </row>
    <row r="18" spans="2:49" x14ac:dyDescent="0.25">
      <c r="B18" s="22">
        <f t="shared" si="30"/>
        <v>46181</v>
      </c>
      <c r="C18" s="23" t="s">
        <v>54</v>
      </c>
      <c r="D18" s="50">
        <f t="shared" ref="D18" si="74">AH17</f>
        <v>0</v>
      </c>
      <c r="E18" s="34">
        <f t="shared" ref="E18" si="75">AI17</f>
        <v>0</v>
      </c>
      <c r="F18" s="34">
        <f t="shared" ref="F18" si="76">AJ17</f>
        <v>0</v>
      </c>
      <c r="G18" s="34">
        <f t="shared" si="28"/>
        <v>0</v>
      </c>
      <c r="H18" s="35">
        <f t="shared" si="29"/>
        <v>0</v>
      </c>
      <c r="I18" s="26">
        <f t="shared" si="15"/>
        <v>0</v>
      </c>
      <c r="J18" s="27"/>
      <c r="K18" s="28"/>
      <c r="L18" s="32"/>
      <c r="M18" s="29"/>
      <c r="N18" s="131"/>
      <c r="O18" s="31"/>
      <c r="P18" s="28"/>
      <c r="Q18" s="32"/>
      <c r="R18" s="53">
        <f t="shared" si="59"/>
        <v>0</v>
      </c>
      <c r="S18" s="34">
        <f t="shared" si="60"/>
        <v>0</v>
      </c>
      <c r="T18" s="35">
        <f t="shared" si="61"/>
        <v>0</v>
      </c>
      <c r="U18" s="36"/>
      <c r="V18" s="37"/>
      <c r="W18" s="38"/>
      <c r="X18" s="39"/>
      <c r="Y18" s="40"/>
      <c r="Z18" s="40"/>
      <c r="AA18" s="34">
        <f t="shared" si="62"/>
        <v>0</v>
      </c>
      <c r="AB18" s="35">
        <f t="shared" si="63"/>
        <v>0</v>
      </c>
      <c r="AC18" s="271"/>
      <c r="AD18" s="145"/>
      <c r="AE18" s="145"/>
      <c r="AF18" s="34">
        <f t="shared" si="64"/>
        <v>0</v>
      </c>
      <c r="AG18" s="34">
        <f t="shared" si="65"/>
        <v>0</v>
      </c>
      <c r="AH18" s="43"/>
      <c r="AI18" s="38"/>
      <c r="AJ18" s="38"/>
      <c r="AK18" s="34">
        <f t="shared" si="10"/>
        <v>0</v>
      </c>
      <c r="AL18" s="44">
        <f t="shared" si="11"/>
        <v>0</v>
      </c>
      <c r="AM18" s="45">
        <f t="shared" si="18"/>
        <v>0</v>
      </c>
      <c r="AN18" s="51">
        <f t="shared" si="12"/>
        <v>0</v>
      </c>
      <c r="AO18" s="51">
        <f t="shared" si="12"/>
        <v>0</v>
      </c>
      <c r="AP18" s="47" t="e">
        <f t="shared" si="19"/>
        <v>#DIV/0!</v>
      </c>
      <c r="AQ18" s="48">
        <f t="shared" si="20"/>
        <v>0</v>
      </c>
      <c r="AR18" s="49">
        <f t="shared" si="21"/>
        <v>0</v>
      </c>
      <c r="AS18" s="49"/>
    </row>
    <row r="19" spans="2:49" x14ac:dyDescent="0.25">
      <c r="B19" s="22">
        <f t="shared" si="30"/>
        <v>46181</v>
      </c>
      <c r="C19" s="23" t="s">
        <v>55</v>
      </c>
      <c r="D19" s="50">
        <f t="shared" ref="D19" si="77">AH18</f>
        <v>0</v>
      </c>
      <c r="E19" s="34">
        <f t="shared" ref="E19" si="78">AI18</f>
        <v>0</v>
      </c>
      <c r="F19" s="34">
        <f t="shared" ref="F19" si="79">AJ18</f>
        <v>0</v>
      </c>
      <c r="G19" s="34">
        <f t="shared" si="28"/>
        <v>0</v>
      </c>
      <c r="H19" s="35">
        <f t="shared" si="29"/>
        <v>0</v>
      </c>
      <c r="I19" s="26">
        <f t="shared" si="15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59"/>
        <v>0</v>
      </c>
      <c r="S19" s="34">
        <f t="shared" si="60"/>
        <v>0</v>
      </c>
      <c r="T19" s="35">
        <f t="shared" si="61"/>
        <v>0</v>
      </c>
      <c r="U19" s="36"/>
      <c r="V19" s="37"/>
      <c r="W19" s="38"/>
      <c r="X19" s="39"/>
      <c r="Y19" s="40"/>
      <c r="Z19" s="40"/>
      <c r="AA19" s="34">
        <f t="shared" ref="AA19" si="80">X19*Y19%</f>
        <v>0</v>
      </c>
      <c r="AB19" s="35">
        <f t="shared" ref="AB19" si="81">X19*Z19%</f>
        <v>0</v>
      </c>
      <c r="AC19" s="273"/>
      <c r="AD19" s="130"/>
      <c r="AE19" s="130"/>
      <c r="AF19" s="34">
        <f t="shared" si="64"/>
        <v>0</v>
      </c>
      <c r="AG19" s="34">
        <f t="shared" si="65"/>
        <v>0</v>
      </c>
      <c r="AH19" s="43"/>
      <c r="AI19" s="38"/>
      <c r="AJ19" s="38"/>
      <c r="AK19" s="34">
        <f t="shared" si="10"/>
        <v>0</v>
      </c>
      <c r="AL19" s="44">
        <f t="shared" si="11"/>
        <v>0</v>
      </c>
      <c r="AM19" s="45">
        <f t="shared" si="18"/>
        <v>0</v>
      </c>
      <c r="AN19" s="51">
        <f t="shared" si="12"/>
        <v>0</v>
      </c>
      <c r="AO19" s="51">
        <f t="shared" si="12"/>
        <v>0</v>
      </c>
      <c r="AP19" s="47" t="e">
        <f t="shared" si="19"/>
        <v>#DIV/0!</v>
      </c>
      <c r="AQ19" s="48">
        <f t="shared" si="20"/>
        <v>0</v>
      </c>
      <c r="AR19" s="49">
        <f t="shared" si="21"/>
        <v>0</v>
      </c>
      <c r="AS19" s="49"/>
    </row>
    <row r="20" spans="2:49" x14ac:dyDescent="0.25">
      <c r="B20" s="22">
        <f t="shared" si="30"/>
        <v>46182</v>
      </c>
      <c r="C20" s="23" t="s">
        <v>54</v>
      </c>
      <c r="D20" s="50">
        <f t="shared" ref="D20" si="82">AH19</f>
        <v>0</v>
      </c>
      <c r="E20" s="34">
        <f t="shared" ref="E20" si="83">AI19</f>
        <v>0</v>
      </c>
      <c r="F20" s="34">
        <f t="shared" ref="F20" si="84">AJ19</f>
        <v>0</v>
      </c>
      <c r="G20" s="34">
        <f t="shared" si="28"/>
        <v>0</v>
      </c>
      <c r="H20" s="35">
        <f t="shared" si="29"/>
        <v>0</v>
      </c>
      <c r="I20" s="26">
        <f t="shared" si="15"/>
        <v>0</v>
      </c>
      <c r="J20" s="27"/>
      <c r="K20" s="28"/>
      <c r="L20" s="32"/>
      <c r="M20" s="29"/>
      <c r="N20" s="30"/>
      <c r="O20" s="31"/>
      <c r="P20" s="28"/>
      <c r="Q20" s="32"/>
      <c r="R20" s="53">
        <f t="shared" si="59"/>
        <v>0</v>
      </c>
      <c r="S20" s="34">
        <f t="shared" si="60"/>
        <v>0</v>
      </c>
      <c r="T20" s="35">
        <f t="shared" si="61"/>
        <v>0</v>
      </c>
      <c r="U20" s="36"/>
      <c r="V20" s="37"/>
      <c r="W20" s="38"/>
      <c r="X20" s="39"/>
      <c r="Y20" s="40"/>
      <c r="Z20" s="40"/>
      <c r="AA20" s="34">
        <f t="shared" si="62"/>
        <v>0</v>
      </c>
      <c r="AB20" s="35">
        <f t="shared" si="63"/>
        <v>0</v>
      </c>
      <c r="AC20" s="273"/>
      <c r="AD20" s="130"/>
      <c r="AE20" s="130"/>
      <c r="AF20" s="34">
        <f t="shared" si="64"/>
        <v>0</v>
      </c>
      <c r="AG20" s="34">
        <f t="shared" si="65"/>
        <v>0</v>
      </c>
      <c r="AH20" s="43"/>
      <c r="AI20" s="38"/>
      <c r="AJ20" s="38"/>
      <c r="AK20" s="34">
        <f t="shared" si="10"/>
        <v>0</v>
      </c>
      <c r="AL20" s="44">
        <f t="shared" si="11"/>
        <v>0</v>
      </c>
      <c r="AM20" s="45">
        <f t="shared" si="18"/>
        <v>0</v>
      </c>
      <c r="AN20" s="51">
        <f t="shared" ref="AN20:AO20" si="85">+G20+S20-AF20-AK20</f>
        <v>0</v>
      </c>
      <c r="AO20" s="51">
        <f t="shared" si="85"/>
        <v>0</v>
      </c>
      <c r="AP20" s="47" t="e">
        <f t="shared" si="19"/>
        <v>#DIV/0!</v>
      </c>
      <c r="AQ20" s="48">
        <f t="shared" si="20"/>
        <v>0</v>
      </c>
      <c r="AR20" s="49">
        <f t="shared" si="21"/>
        <v>0</v>
      </c>
      <c r="AS20" s="49"/>
    </row>
    <row r="21" spans="2:49" x14ac:dyDescent="0.25">
      <c r="B21" s="22">
        <f t="shared" si="30"/>
        <v>46182</v>
      </c>
      <c r="C21" s="23" t="s">
        <v>55</v>
      </c>
      <c r="D21" s="50">
        <f t="shared" ref="D21" si="86">AH20</f>
        <v>0</v>
      </c>
      <c r="E21" s="34">
        <f t="shared" ref="E21" si="87">AI20</f>
        <v>0</v>
      </c>
      <c r="F21" s="34">
        <f t="shared" ref="F21" si="88">AJ20</f>
        <v>0</v>
      </c>
      <c r="G21" s="34">
        <f t="shared" si="28"/>
        <v>0</v>
      </c>
      <c r="H21" s="35">
        <f t="shared" si="29"/>
        <v>0</v>
      </c>
      <c r="I21" s="26">
        <f t="shared" si="15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ref="R21:R42" si="89">O21+J21</f>
        <v>0</v>
      </c>
      <c r="S21" s="34">
        <f t="shared" ref="S21:S42" si="90">(J21*K21%)+(O21*P21%)</f>
        <v>0</v>
      </c>
      <c r="T21" s="35">
        <f t="shared" ref="T21:T42" si="91">(J21*L21%)+(O21*Q21%)</f>
        <v>0</v>
      </c>
      <c r="U21" s="36"/>
      <c r="V21" s="37"/>
      <c r="W21" s="38"/>
      <c r="X21" s="39"/>
      <c r="Y21" s="40"/>
      <c r="Z21" s="40"/>
      <c r="AA21" s="34">
        <f t="shared" ref="AA21:AA46" si="92">X21*Y21%</f>
        <v>0</v>
      </c>
      <c r="AB21" s="35">
        <f t="shared" ref="AB21:AB46" si="93">X21*Z21%</f>
        <v>0</v>
      </c>
      <c r="AC21" s="273"/>
      <c r="AD21" s="130"/>
      <c r="AE21" s="130"/>
      <c r="AF21" s="34">
        <f t="shared" ref="AF21:AF42" si="94">AC21*AD21%</f>
        <v>0</v>
      </c>
      <c r="AG21" s="34">
        <f t="shared" ref="AG21:AG42" si="95">AC21*AE21%</f>
        <v>0</v>
      </c>
      <c r="AH21" s="43"/>
      <c r="AI21" s="38"/>
      <c r="AJ21" s="38"/>
      <c r="AK21" s="34">
        <f t="shared" ref="AK21:AK41" si="96">AH21*AI21%</f>
        <v>0</v>
      </c>
      <c r="AL21" s="44">
        <f t="shared" ref="AL21:AL41" si="97">AH21*AJ21%</f>
        <v>0</v>
      </c>
      <c r="AM21" s="45">
        <f t="shared" ref="AM21:AM41" si="98">+D21+R21-AC21-AH21</f>
        <v>0</v>
      </c>
      <c r="AN21" s="51">
        <f t="shared" ref="AN21:AN41" si="99">+G21+S21-AF21-AK21</f>
        <v>0</v>
      </c>
      <c r="AO21" s="51">
        <f t="shared" ref="AO21:AO41" si="100">+H21+T21-AG21-AL21</f>
        <v>0</v>
      </c>
      <c r="AP21" s="47" t="e">
        <f t="shared" ref="AP21:AP41" si="101">(AN21+AO21)/(S21+T21)</f>
        <v>#DIV/0!</v>
      </c>
      <c r="AQ21" s="48">
        <f t="shared" ref="AQ21:AQ41" si="102">($AP$1*AN21+$AQ$1*AO21)</f>
        <v>0</v>
      </c>
      <c r="AR21" s="49">
        <f t="shared" si="21"/>
        <v>0</v>
      </c>
      <c r="AS21" s="49"/>
    </row>
    <row r="22" spans="2:49" x14ac:dyDescent="0.25">
      <c r="B22" s="22">
        <f t="shared" si="30"/>
        <v>46183</v>
      </c>
      <c r="C22" s="23" t="s">
        <v>54</v>
      </c>
      <c r="D22" s="50">
        <f t="shared" ref="D22:D24" si="103">AH21</f>
        <v>0</v>
      </c>
      <c r="E22" s="34">
        <f t="shared" ref="E22:E24" si="104">AI21</f>
        <v>0</v>
      </c>
      <c r="F22" s="34">
        <f t="shared" ref="F22:F24" si="105">AJ21</f>
        <v>0</v>
      </c>
      <c r="G22" s="34">
        <f t="shared" si="28"/>
        <v>0</v>
      </c>
      <c r="H22" s="35">
        <f t="shared" si="29"/>
        <v>0</v>
      </c>
      <c r="I22" s="26">
        <f t="shared" si="15"/>
        <v>0</v>
      </c>
      <c r="J22" s="27"/>
      <c r="K22" s="28"/>
      <c r="L22" s="32"/>
      <c r="M22" s="29"/>
      <c r="N22" s="131"/>
      <c r="O22" s="31"/>
      <c r="P22" s="28"/>
      <c r="Q22" s="32"/>
      <c r="R22" s="53">
        <f t="shared" si="89"/>
        <v>0</v>
      </c>
      <c r="S22" s="34">
        <f t="shared" si="90"/>
        <v>0</v>
      </c>
      <c r="T22" s="35">
        <f t="shared" si="91"/>
        <v>0</v>
      </c>
      <c r="U22" s="36"/>
      <c r="V22" s="37"/>
      <c r="W22" s="38"/>
      <c r="X22" s="39"/>
      <c r="Y22" s="40"/>
      <c r="Z22" s="40"/>
      <c r="AA22" s="34">
        <f t="shared" si="92"/>
        <v>0</v>
      </c>
      <c r="AB22" s="35">
        <f t="shared" si="93"/>
        <v>0</v>
      </c>
      <c r="AC22" s="273"/>
      <c r="AD22" s="130"/>
      <c r="AE22" s="130"/>
      <c r="AF22" s="34">
        <f t="shared" si="94"/>
        <v>0</v>
      </c>
      <c r="AG22" s="34">
        <f t="shared" si="95"/>
        <v>0</v>
      </c>
      <c r="AH22" s="43"/>
      <c r="AI22" s="38"/>
      <c r="AJ22" s="38"/>
      <c r="AK22" s="34">
        <f t="shared" si="96"/>
        <v>0</v>
      </c>
      <c r="AL22" s="44">
        <f t="shared" si="97"/>
        <v>0</v>
      </c>
      <c r="AM22" s="45">
        <f t="shared" si="98"/>
        <v>0</v>
      </c>
      <c r="AN22" s="51">
        <f t="shared" si="99"/>
        <v>0</v>
      </c>
      <c r="AO22" s="51">
        <f t="shared" si="100"/>
        <v>0</v>
      </c>
      <c r="AP22" s="47" t="e">
        <f t="shared" si="101"/>
        <v>#DIV/0!</v>
      </c>
      <c r="AQ22" s="48">
        <f t="shared" si="102"/>
        <v>0</v>
      </c>
      <c r="AR22" s="49">
        <f t="shared" si="21"/>
        <v>0</v>
      </c>
      <c r="AS22" s="49"/>
    </row>
    <row r="23" spans="2:49" x14ac:dyDescent="0.25">
      <c r="B23" s="22">
        <f t="shared" si="30"/>
        <v>46183</v>
      </c>
      <c r="C23" s="23" t="s">
        <v>55</v>
      </c>
      <c r="D23" s="50">
        <f t="shared" si="103"/>
        <v>0</v>
      </c>
      <c r="E23" s="34">
        <f t="shared" si="104"/>
        <v>0</v>
      </c>
      <c r="F23" s="34">
        <f t="shared" si="105"/>
        <v>0</v>
      </c>
      <c r="G23" s="34">
        <f t="shared" si="28"/>
        <v>0</v>
      </c>
      <c r="H23" s="35">
        <f t="shared" si="29"/>
        <v>0</v>
      </c>
      <c r="I23" s="26">
        <f t="shared" si="15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89"/>
        <v>0</v>
      </c>
      <c r="S23" s="34">
        <f t="shared" si="90"/>
        <v>0</v>
      </c>
      <c r="T23" s="35">
        <f t="shared" si="91"/>
        <v>0</v>
      </c>
      <c r="U23" s="36"/>
      <c r="V23" s="37"/>
      <c r="W23" s="38"/>
      <c r="X23" s="39"/>
      <c r="Y23" s="40"/>
      <c r="Z23" s="40"/>
      <c r="AA23" s="34">
        <f t="shared" si="92"/>
        <v>0</v>
      </c>
      <c r="AB23" s="35">
        <f t="shared" si="93"/>
        <v>0</v>
      </c>
      <c r="AC23" s="273"/>
      <c r="AD23" s="130"/>
      <c r="AE23" s="130"/>
      <c r="AF23" s="34">
        <f t="shared" si="94"/>
        <v>0</v>
      </c>
      <c r="AG23" s="34">
        <f t="shared" si="95"/>
        <v>0</v>
      </c>
      <c r="AH23" s="43"/>
      <c r="AI23" s="38"/>
      <c r="AJ23" s="38"/>
      <c r="AK23" s="34">
        <f t="shared" si="96"/>
        <v>0</v>
      </c>
      <c r="AL23" s="44">
        <f t="shared" si="97"/>
        <v>0</v>
      </c>
      <c r="AM23" s="45">
        <f t="shared" si="98"/>
        <v>0</v>
      </c>
      <c r="AN23" s="51">
        <f t="shared" si="99"/>
        <v>0</v>
      </c>
      <c r="AO23" s="51">
        <f t="shared" si="100"/>
        <v>0</v>
      </c>
      <c r="AP23" s="47" t="e">
        <f t="shared" si="101"/>
        <v>#DIV/0!</v>
      </c>
      <c r="AQ23" s="48">
        <f t="shared" si="102"/>
        <v>0</v>
      </c>
      <c r="AR23" s="49">
        <f t="shared" si="21"/>
        <v>0</v>
      </c>
      <c r="AS23" s="49"/>
    </row>
    <row r="24" spans="2:49" x14ac:dyDescent="0.25">
      <c r="B24" s="22">
        <f t="shared" si="30"/>
        <v>46184</v>
      </c>
      <c r="C24" s="23" t="s">
        <v>54</v>
      </c>
      <c r="D24" s="50">
        <f t="shared" si="103"/>
        <v>0</v>
      </c>
      <c r="E24" s="34">
        <f t="shared" si="104"/>
        <v>0</v>
      </c>
      <c r="F24" s="34">
        <f t="shared" si="105"/>
        <v>0</v>
      </c>
      <c r="G24" s="34">
        <f t="shared" si="28"/>
        <v>0</v>
      </c>
      <c r="H24" s="35">
        <f t="shared" si="29"/>
        <v>0</v>
      </c>
      <c r="I24" s="26">
        <f t="shared" si="15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89"/>
        <v>0</v>
      </c>
      <c r="S24" s="34">
        <f t="shared" si="90"/>
        <v>0</v>
      </c>
      <c r="T24" s="35">
        <f t="shared" si="91"/>
        <v>0</v>
      </c>
      <c r="U24" s="36"/>
      <c r="V24" s="37"/>
      <c r="W24" s="38"/>
      <c r="X24" s="39"/>
      <c r="Y24" s="40"/>
      <c r="Z24" s="40"/>
      <c r="AA24" s="34">
        <f t="shared" si="92"/>
        <v>0</v>
      </c>
      <c r="AB24" s="35">
        <f t="shared" si="93"/>
        <v>0</v>
      </c>
      <c r="AC24" s="273"/>
      <c r="AD24" s="130"/>
      <c r="AE24" s="130"/>
      <c r="AF24" s="34">
        <f t="shared" si="94"/>
        <v>0</v>
      </c>
      <c r="AG24" s="34">
        <f t="shared" si="95"/>
        <v>0</v>
      </c>
      <c r="AH24" s="43"/>
      <c r="AI24" s="38"/>
      <c r="AJ24" s="38"/>
      <c r="AK24" s="34">
        <f t="shared" si="96"/>
        <v>0</v>
      </c>
      <c r="AL24" s="44">
        <f t="shared" si="97"/>
        <v>0</v>
      </c>
      <c r="AM24" s="45">
        <f t="shared" si="98"/>
        <v>0</v>
      </c>
      <c r="AN24" s="51">
        <f t="shared" si="99"/>
        <v>0</v>
      </c>
      <c r="AO24" s="51">
        <f t="shared" si="100"/>
        <v>0</v>
      </c>
      <c r="AP24" s="47" t="e">
        <f t="shared" si="101"/>
        <v>#DIV/0!</v>
      </c>
      <c r="AQ24" s="48">
        <f t="shared" si="102"/>
        <v>0</v>
      </c>
      <c r="AR24" s="49">
        <f t="shared" si="21"/>
        <v>0</v>
      </c>
      <c r="AS24" s="49"/>
    </row>
    <row r="25" spans="2:49" x14ac:dyDescent="0.25">
      <c r="B25" s="22">
        <f t="shared" si="30"/>
        <v>46184</v>
      </c>
      <c r="C25" s="23" t="s">
        <v>55</v>
      </c>
      <c r="D25" s="50">
        <f t="shared" ref="D25" si="106">AH24</f>
        <v>0</v>
      </c>
      <c r="E25" s="34">
        <f t="shared" ref="E25" si="107">AI24</f>
        <v>0</v>
      </c>
      <c r="F25" s="34">
        <f t="shared" ref="F25" si="108">AJ24</f>
        <v>0</v>
      </c>
      <c r="G25" s="34">
        <f t="shared" si="28"/>
        <v>0</v>
      </c>
      <c r="H25" s="35">
        <f t="shared" si="29"/>
        <v>0</v>
      </c>
      <c r="I25" s="26">
        <f t="shared" si="15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89"/>
        <v>0</v>
      </c>
      <c r="S25" s="34">
        <f t="shared" si="90"/>
        <v>0</v>
      </c>
      <c r="T25" s="35">
        <f t="shared" si="91"/>
        <v>0</v>
      </c>
      <c r="U25" s="36"/>
      <c r="V25" s="37"/>
      <c r="W25" s="38"/>
      <c r="X25" s="39"/>
      <c r="Y25" s="40"/>
      <c r="Z25" s="40"/>
      <c r="AA25" s="34">
        <f t="shared" si="92"/>
        <v>0</v>
      </c>
      <c r="AB25" s="35">
        <f t="shared" si="93"/>
        <v>0</v>
      </c>
      <c r="AC25" s="302"/>
      <c r="AD25" s="292"/>
      <c r="AE25" s="292"/>
      <c r="AF25" s="34">
        <f t="shared" si="94"/>
        <v>0</v>
      </c>
      <c r="AG25" s="34">
        <f t="shared" si="95"/>
        <v>0</v>
      </c>
      <c r="AH25" s="43"/>
      <c r="AI25" s="38"/>
      <c r="AJ25" s="38"/>
      <c r="AK25" s="34">
        <f t="shared" si="96"/>
        <v>0</v>
      </c>
      <c r="AL25" s="44">
        <f t="shared" si="97"/>
        <v>0</v>
      </c>
      <c r="AM25" s="45">
        <f t="shared" si="98"/>
        <v>0</v>
      </c>
      <c r="AN25" s="51">
        <f t="shared" si="99"/>
        <v>0</v>
      </c>
      <c r="AO25" s="51">
        <f t="shared" si="100"/>
        <v>0</v>
      </c>
      <c r="AP25" s="47" t="e">
        <f t="shared" si="101"/>
        <v>#DIV/0!</v>
      </c>
      <c r="AQ25" s="48">
        <f t="shared" si="102"/>
        <v>0</v>
      </c>
      <c r="AR25" s="49">
        <f t="shared" si="21"/>
        <v>0</v>
      </c>
      <c r="AS25" s="49"/>
    </row>
    <row r="26" spans="2:49" x14ac:dyDescent="0.25">
      <c r="B26" s="22">
        <f t="shared" si="30"/>
        <v>46185</v>
      </c>
      <c r="C26" s="23" t="s">
        <v>54</v>
      </c>
      <c r="D26" s="50">
        <f t="shared" ref="D26" si="109">AH25</f>
        <v>0</v>
      </c>
      <c r="E26" s="34">
        <f t="shared" ref="E26" si="110">AI25</f>
        <v>0</v>
      </c>
      <c r="F26" s="34">
        <f t="shared" ref="F26" si="111">AJ25</f>
        <v>0</v>
      </c>
      <c r="G26" s="34">
        <f t="shared" si="28"/>
        <v>0</v>
      </c>
      <c r="H26" s="35">
        <f t="shared" si="29"/>
        <v>0</v>
      </c>
      <c r="I26" s="26">
        <f t="shared" si="15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si="89"/>
        <v>0</v>
      </c>
      <c r="S26" s="34">
        <f t="shared" si="90"/>
        <v>0</v>
      </c>
      <c r="T26" s="35">
        <f t="shared" si="91"/>
        <v>0</v>
      </c>
      <c r="U26" s="36"/>
      <c r="V26" s="37"/>
      <c r="W26" s="38"/>
      <c r="X26" s="39"/>
      <c r="Y26" s="40"/>
      <c r="Z26" s="40"/>
      <c r="AA26" s="34">
        <f t="shared" si="92"/>
        <v>0</v>
      </c>
      <c r="AB26" s="35">
        <f t="shared" si="93"/>
        <v>0</v>
      </c>
      <c r="AC26" s="273"/>
      <c r="AD26" s="130"/>
      <c r="AE26" s="130"/>
      <c r="AF26" s="34">
        <f t="shared" si="94"/>
        <v>0</v>
      </c>
      <c r="AG26" s="34">
        <f t="shared" si="95"/>
        <v>0</v>
      </c>
      <c r="AH26" s="43"/>
      <c r="AI26" s="38"/>
      <c r="AJ26" s="38"/>
      <c r="AK26" s="34">
        <f t="shared" si="96"/>
        <v>0</v>
      </c>
      <c r="AL26" s="44">
        <f t="shared" si="97"/>
        <v>0</v>
      </c>
      <c r="AM26" s="45">
        <f t="shared" si="98"/>
        <v>0</v>
      </c>
      <c r="AN26" s="51">
        <f t="shared" si="99"/>
        <v>0</v>
      </c>
      <c r="AO26" s="51">
        <f t="shared" si="100"/>
        <v>0</v>
      </c>
      <c r="AP26" s="47" t="e">
        <f t="shared" si="101"/>
        <v>#DIV/0!</v>
      </c>
      <c r="AQ26" s="48">
        <f t="shared" si="102"/>
        <v>0</v>
      </c>
      <c r="AR26" s="49">
        <f t="shared" si="21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0"/>
        <v>46185</v>
      </c>
      <c r="C27" s="23" t="s">
        <v>55</v>
      </c>
      <c r="D27" s="50">
        <f t="shared" ref="D27" si="112">AH26</f>
        <v>0</v>
      </c>
      <c r="E27" s="34">
        <f t="shared" ref="E27" si="113">AI26</f>
        <v>0</v>
      </c>
      <c r="F27" s="34">
        <f t="shared" ref="F27" si="114">AJ26</f>
        <v>0</v>
      </c>
      <c r="G27" s="34">
        <f t="shared" si="28"/>
        <v>0</v>
      </c>
      <c r="H27" s="35">
        <f t="shared" si="29"/>
        <v>0</v>
      </c>
      <c r="I27" s="26">
        <f t="shared" si="15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89"/>
        <v>0</v>
      </c>
      <c r="S27" s="34">
        <f t="shared" si="90"/>
        <v>0</v>
      </c>
      <c r="T27" s="35">
        <f t="shared" si="91"/>
        <v>0</v>
      </c>
      <c r="U27" s="36"/>
      <c r="V27" s="37"/>
      <c r="W27" s="38"/>
      <c r="X27" s="39"/>
      <c r="Y27" s="40"/>
      <c r="Z27" s="40"/>
      <c r="AA27" s="34">
        <f t="shared" si="92"/>
        <v>0</v>
      </c>
      <c r="AB27" s="35">
        <f t="shared" si="93"/>
        <v>0</v>
      </c>
      <c r="AC27" s="271"/>
      <c r="AD27" s="145"/>
      <c r="AE27" s="145"/>
      <c r="AF27" s="34">
        <f t="shared" si="94"/>
        <v>0</v>
      </c>
      <c r="AG27" s="34">
        <f t="shared" si="95"/>
        <v>0</v>
      </c>
      <c r="AH27" s="43"/>
      <c r="AI27" s="38"/>
      <c r="AJ27" s="38"/>
      <c r="AK27" s="34">
        <f t="shared" si="96"/>
        <v>0</v>
      </c>
      <c r="AL27" s="44">
        <f t="shared" si="97"/>
        <v>0</v>
      </c>
      <c r="AM27" s="45">
        <f t="shared" si="98"/>
        <v>0</v>
      </c>
      <c r="AN27" s="51">
        <f t="shared" si="99"/>
        <v>0</v>
      </c>
      <c r="AO27" s="51">
        <f t="shared" si="100"/>
        <v>0</v>
      </c>
      <c r="AP27" s="47" t="e">
        <f t="shared" si="101"/>
        <v>#DIV/0!</v>
      </c>
      <c r="AQ27" s="48">
        <f t="shared" si="102"/>
        <v>0</v>
      </c>
      <c r="AR27" s="49">
        <f t="shared" si="21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2:49" x14ac:dyDescent="0.25">
      <c r="B28" s="22">
        <f t="shared" si="30"/>
        <v>46186</v>
      </c>
      <c r="C28" s="23" t="s">
        <v>54</v>
      </c>
      <c r="D28" s="50">
        <f t="shared" ref="D28:D29" si="115">AH27</f>
        <v>0</v>
      </c>
      <c r="E28" s="34">
        <f t="shared" ref="E28:E29" si="116">AI27</f>
        <v>0</v>
      </c>
      <c r="F28" s="34">
        <f t="shared" ref="F28:F29" si="117">AJ27</f>
        <v>0</v>
      </c>
      <c r="G28" s="34">
        <f t="shared" si="28"/>
        <v>0</v>
      </c>
      <c r="H28" s="35">
        <f t="shared" si="29"/>
        <v>0</v>
      </c>
      <c r="I28" s="26">
        <f t="shared" si="15"/>
        <v>0</v>
      </c>
      <c r="J28" s="27"/>
      <c r="K28" s="28"/>
      <c r="L28" s="32"/>
      <c r="M28" s="29"/>
      <c r="N28" s="30"/>
      <c r="O28" s="31"/>
      <c r="P28" s="28"/>
      <c r="Q28" s="32"/>
      <c r="R28" s="53">
        <f t="shared" si="89"/>
        <v>0</v>
      </c>
      <c r="S28" s="34">
        <f t="shared" si="90"/>
        <v>0</v>
      </c>
      <c r="T28" s="35">
        <f t="shared" si="91"/>
        <v>0</v>
      </c>
      <c r="U28" s="36"/>
      <c r="V28" s="37"/>
      <c r="W28" s="38"/>
      <c r="X28" s="39"/>
      <c r="Y28" s="40"/>
      <c r="Z28" s="40"/>
      <c r="AA28" s="34">
        <f t="shared" si="92"/>
        <v>0</v>
      </c>
      <c r="AB28" s="35">
        <f t="shared" si="93"/>
        <v>0</v>
      </c>
      <c r="AC28" s="271"/>
      <c r="AD28" s="145"/>
      <c r="AE28" s="145"/>
      <c r="AF28" s="34">
        <f t="shared" si="94"/>
        <v>0</v>
      </c>
      <c r="AG28" s="34">
        <f t="shared" si="95"/>
        <v>0</v>
      </c>
      <c r="AH28" s="43"/>
      <c r="AI28" s="38"/>
      <c r="AJ28" s="38"/>
      <c r="AK28" s="34">
        <f t="shared" si="96"/>
        <v>0</v>
      </c>
      <c r="AL28" s="44">
        <f t="shared" si="97"/>
        <v>0</v>
      </c>
      <c r="AM28" s="45">
        <f t="shared" si="98"/>
        <v>0</v>
      </c>
      <c r="AN28" s="51">
        <f t="shared" si="99"/>
        <v>0</v>
      </c>
      <c r="AO28" s="51">
        <f t="shared" si="100"/>
        <v>0</v>
      </c>
      <c r="AP28" s="47" t="e">
        <f t="shared" si="101"/>
        <v>#DIV/0!</v>
      </c>
      <c r="AQ28" s="48">
        <f t="shared" si="102"/>
        <v>0</v>
      </c>
      <c r="AR28" s="49">
        <f t="shared" si="21"/>
        <v>0</v>
      </c>
    </row>
    <row r="29" spans="2:49" x14ac:dyDescent="0.25">
      <c r="B29" s="22">
        <f t="shared" si="30"/>
        <v>46186</v>
      </c>
      <c r="C29" s="23" t="s">
        <v>55</v>
      </c>
      <c r="D29" s="50">
        <f t="shared" si="115"/>
        <v>0</v>
      </c>
      <c r="E29" s="34">
        <f t="shared" si="116"/>
        <v>0</v>
      </c>
      <c r="F29" s="34">
        <f t="shared" si="117"/>
        <v>0</v>
      </c>
      <c r="G29" s="34">
        <f t="shared" si="28"/>
        <v>0</v>
      </c>
      <c r="H29" s="35">
        <f t="shared" si="29"/>
        <v>0</v>
      </c>
      <c r="I29" s="26">
        <f t="shared" si="15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89"/>
        <v>0</v>
      </c>
      <c r="S29" s="34">
        <f t="shared" si="90"/>
        <v>0</v>
      </c>
      <c r="T29" s="35">
        <f t="shared" si="91"/>
        <v>0</v>
      </c>
      <c r="U29" s="36"/>
      <c r="V29" s="37"/>
      <c r="W29" s="38"/>
      <c r="X29" s="39"/>
      <c r="Y29" s="40"/>
      <c r="Z29" s="40"/>
      <c r="AA29" s="34">
        <f t="shared" si="92"/>
        <v>0</v>
      </c>
      <c r="AB29" s="35">
        <f t="shared" si="93"/>
        <v>0</v>
      </c>
      <c r="AC29" s="273"/>
      <c r="AD29" s="130"/>
      <c r="AE29" s="130"/>
      <c r="AF29" s="34">
        <f t="shared" si="94"/>
        <v>0</v>
      </c>
      <c r="AG29" s="34">
        <f t="shared" si="95"/>
        <v>0</v>
      </c>
      <c r="AH29" s="43"/>
      <c r="AI29" s="38"/>
      <c r="AJ29" s="38"/>
      <c r="AK29" s="34">
        <f t="shared" si="96"/>
        <v>0</v>
      </c>
      <c r="AL29" s="44">
        <f t="shared" si="97"/>
        <v>0</v>
      </c>
      <c r="AM29" s="45">
        <f t="shared" si="98"/>
        <v>0</v>
      </c>
      <c r="AN29" s="51">
        <f t="shared" si="99"/>
        <v>0</v>
      </c>
      <c r="AO29" s="51">
        <f t="shared" si="100"/>
        <v>0</v>
      </c>
      <c r="AP29" s="47" t="e">
        <f t="shared" si="101"/>
        <v>#DIV/0!</v>
      </c>
      <c r="AQ29" s="48">
        <f t="shared" si="102"/>
        <v>0</v>
      </c>
      <c r="AR29" s="49">
        <f t="shared" si="21"/>
        <v>0</v>
      </c>
    </row>
    <row r="30" spans="2:49" x14ac:dyDescent="0.25">
      <c r="B30" s="22">
        <f t="shared" si="30"/>
        <v>46187</v>
      </c>
      <c r="C30" s="23" t="s">
        <v>54</v>
      </c>
      <c r="D30" s="50">
        <f t="shared" ref="D30" si="118">AH29</f>
        <v>0</v>
      </c>
      <c r="E30" s="34">
        <f t="shared" ref="E30" si="119">AI29</f>
        <v>0</v>
      </c>
      <c r="F30" s="34">
        <f t="shared" ref="F30" si="120">AJ29</f>
        <v>0</v>
      </c>
      <c r="G30" s="34">
        <f t="shared" si="28"/>
        <v>0</v>
      </c>
      <c r="H30" s="35">
        <f t="shared" si="29"/>
        <v>0</v>
      </c>
      <c r="I30" s="26">
        <f t="shared" si="15"/>
        <v>0</v>
      </c>
      <c r="J30" s="27"/>
      <c r="K30" s="28"/>
      <c r="L30" s="32"/>
      <c r="M30" s="29"/>
      <c r="N30" s="131"/>
      <c r="O30" s="31"/>
      <c r="P30" s="28"/>
      <c r="Q30" s="32"/>
      <c r="R30" s="53">
        <f t="shared" si="89"/>
        <v>0</v>
      </c>
      <c r="S30" s="34">
        <f t="shared" si="90"/>
        <v>0</v>
      </c>
      <c r="T30" s="35">
        <f t="shared" si="91"/>
        <v>0</v>
      </c>
      <c r="U30" s="36"/>
      <c r="V30" s="37"/>
      <c r="W30" s="38"/>
      <c r="X30" s="39"/>
      <c r="Y30" s="40"/>
      <c r="Z30" s="40"/>
      <c r="AA30" s="34">
        <f t="shared" si="92"/>
        <v>0</v>
      </c>
      <c r="AB30" s="35">
        <f t="shared" si="93"/>
        <v>0</v>
      </c>
      <c r="AC30" s="273"/>
      <c r="AD30" s="130"/>
      <c r="AE30" s="130"/>
      <c r="AF30" s="34">
        <f t="shared" si="94"/>
        <v>0</v>
      </c>
      <c r="AG30" s="34">
        <f t="shared" si="95"/>
        <v>0</v>
      </c>
      <c r="AH30" s="43"/>
      <c r="AI30" s="38"/>
      <c r="AJ30" s="38"/>
      <c r="AK30" s="34">
        <f t="shared" si="96"/>
        <v>0</v>
      </c>
      <c r="AL30" s="44">
        <f t="shared" si="97"/>
        <v>0</v>
      </c>
      <c r="AM30" s="45">
        <f t="shared" si="98"/>
        <v>0</v>
      </c>
      <c r="AN30" s="51">
        <f t="shared" si="99"/>
        <v>0</v>
      </c>
      <c r="AO30" s="51">
        <f t="shared" si="100"/>
        <v>0</v>
      </c>
      <c r="AP30" s="47" t="e">
        <f t="shared" si="101"/>
        <v>#DIV/0!</v>
      </c>
      <c r="AQ30" s="48">
        <f t="shared" si="102"/>
        <v>0</v>
      </c>
      <c r="AR30" s="49">
        <f t="shared" si="21"/>
        <v>0</v>
      </c>
    </row>
    <row r="31" spans="2:49" x14ac:dyDescent="0.25">
      <c r="B31" s="22">
        <f t="shared" si="30"/>
        <v>46187</v>
      </c>
      <c r="C31" s="23" t="s">
        <v>55</v>
      </c>
      <c r="D31" s="50">
        <f t="shared" ref="D31" si="121">AH30</f>
        <v>0</v>
      </c>
      <c r="E31" s="34">
        <f t="shared" ref="E31" si="122">AI30</f>
        <v>0</v>
      </c>
      <c r="F31" s="34">
        <f t="shared" ref="F31" si="123">AJ30</f>
        <v>0</v>
      </c>
      <c r="G31" s="34">
        <f t="shared" si="28"/>
        <v>0</v>
      </c>
      <c r="H31" s="35">
        <f t="shared" si="29"/>
        <v>0</v>
      </c>
      <c r="I31" s="26">
        <f t="shared" si="15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89"/>
        <v>0</v>
      </c>
      <c r="S31" s="34">
        <f t="shared" si="90"/>
        <v>0</v>
      </c>
      <c r="T31" s="35">
        <f t="shared" si="91"/>
        <v>0</v>
      </c>
      <c r="U31" s="36"/>
      <c r="V31" s="37"/>
      <c r="W31" s="38"/>
      <c r="X31" s="39"/>
      <c r="Y31" s="40"/>
      <c r="Z31" s="40"/>
      <c r="AA31" s="34">
        <f t="shared" si="92"/>
        <v>0</v>
      </c>
      <c r="AB31" s="35">
        <f t="shared" si="93"/>
        <v>0</v>
      </c>
      <c r="AC31" s="273"/>
      <c r="AD31" s="130"/>
      <c r="AE31" s="130"/>
      <c r="AF31" s="34">
        <f t="shared" si="94"/>
        <v>0</v>
      </c>
      <c r="AG31" s="34">
        <f t="shared" si="95"/>
        <v>0</v>
      </c>
      <c r="AH31" s="43"/>
      <c r="AI31" s="38"/>
      <c r="AJ31" s="38"/>
      <c r="AK31" s="34">
        <f t="shared" si="96"/>
        <v>0</v>
      </c>
      <c r="AL31" s="44">
        <f t="shared" si="97"/>
        <v>0</v>
      </c>
      <c r="AM31" s="45">
        <f t="shared" si="98"/>
        <v>0</v>
      </c>
      <c r="AN31" s="51">
        <f t="shared" si="99"/>
        <v>0</v>
      </c>
      <c r="AO31" s="51">
        <f t="shared" si="100"/>
        <v>0</v>
      </c>
      <c r="AP31" s="47" t="e">
        <f t="shared" si="101"/>
        <v>#DIV/0!</v>
      </c>
      <c r="AQ31" s="48">
        <f t="shared" si="102"/>
        <v>0</v>
      </c>
      <c r="AR31" s="49">
        <f t="shared" si="21"/>
        <v>0</v>
      </c>
    </row>
    <row r="32" spans="2:49" x14ac:dyDescent="0.25">
      <c r="B32" s="22">
        <f t="shared" si="30"/>
        <v>46188</v>
      </c>
      <c r="C32" s="23" t="s">
        <v>54</v>
      </c>
      <c r="D32" s="50">
        <f t="shared" ref="D32" si="124">AH31</f>
        <v>0</v>
      </c>
      <c r="E32" s="34">
        <f t="shared" ref="E32" si="125">AI31</f>
        <v>0</v>
      </c>
      <c r="F32" s="34">
        <f t="shared" ref="F32" si="126">AJ31</f>
        <v>0</v>
      </c>
      <c r="G32" s="34">
        <f t="shared" si="28"/>
        <v>0</v>
      </c>
      <c r="H32" s="35">
        <f t="shared" si="29"/>
        <v>0</v>
      </c>
      <c r="I32" s="26">
        <f t="shared" si="15"/>
        <v>0</v>
      </c>
      <c r="J32" s="27"/>
      <c r="K32" s="28"/>
      <c r="L32" s="32"/>
      <c r="M32" s="29"/>
      <c r="N32" s="131"/>
      <c r="O32" s="31"/>
      <c r="P32" s="28"/>
      <c r="Q32" s="32"/>
      <c r="R32" s="53">
        <f t="shared" si="89"/>
        <v>0</v>
      </c>
      <c r="S32" s="34">
        <f t="shared" si="90"/>
        <v>0</v>
      </c>
      <c r="T32" s="35">
        <f t="shared" si="91"/>
        <v>0</v>
      </c>
      <c r="U32" s="36"/>
      <c r="V32" s="37"/>
      <c r="W32" s="38"/>
      <c r="X32" s="39"/>
      <c r="Y32" s="40"/>
      <c r="Z32" s="40"/>
      <c r="AA32" s="34">
        <f t="shared" si="92"/>
        <v>0</v>
      </c>
      <c r="AB32" s="35">
        <f t="shared" si="93"/>
        <v>0</v>
      </c>
      <c r="AC32" s="273"/>
      <c r="AD32" s="130"/>
      <c r="AE32" s="130"/>
      <c r="AF32" s="34">
        <f t="shared" si="94"/>
        <v>0</v>
      </c>
      <c r="AG32" s="34">
        <f t="shared" si="95"/>
        <v>0</v>
      </c>
      <c r="AH32" s="43"/>
      <c r="AI32" s="38"/>
      <c r="AJ32" s="38"/>
      <c r="AK32" s="34">
        <f t="shared" si="96"/>
        <v>0</v>
      </c>
      <c r="AL32" s="44">
        <f t="shared" si="97"/>
        <v>0</v>
      </c>
      <c r="AM32" s="45">
        <f t="shared" si="98"/>
        <v>0</v>
      </c>
      <c r="AN32" s="51">
        <f t="shared" si="99"/>
        <v>0</v>
      </c>
      <c r="AO32" s="51">
        <f t="shared" si="100"/>
        <v>0</v>
      </c>
      <c r="AP32" s="47" t="e">
        <f t="shared" si="101"/>
        <v>#DIV/0!</v>
      </c>
      <c r="AQ32" s="48">
        <f t="shared" si="102"/>
        <v>0</v>
      </c>
      <c r="AR32" s="49">
        <f t="shared" si="21"/>
        <v>0</v>
      </c>
    </row>
    <row r="33" spans="2:49" x14ac:dyDescent="0.25">
      <c r="B33" s="22">
        <f t="shared" si="30"/>
        <v>46188</v>
      </c>
      <c r="C33" s="23" t="s">
        <v>55</v>
      </c>
      <c r="D33" s="50">
        <f t="shared" ref="D33" si="127">AH32</f>
        <v>0</v>
      </c>
      <c r="E33" s="34">
        <f t="shared" ref="E33" si="128">AI32</f>
        <v>0</v>
      </c>
      <c r="F33" s="34">
        <f t="shared" ref="F33" si="129">AJ32</f>
        <v>0</v>
      </c>
      <c r="G33" s="34">
        <f t="shared" si="28"/>
        <v>0</v>
      </c>
      <c r="H33" s="35">
        <f t="shared" si="29"/>
        <v>0</v>
      </c>
      <c r="I33" s="26">
        <f t="shared" si="15"/>
        <v>0</v>
      </c>
      <c r="J33" s="27"/>
      <c r="K33" s="28"/>
      <c r="L33" s="32"/>
      <c r="M33" s="29"/>
      <c r="N33" s="131"/>
      <c r="O33" s="31"/>
      <c r="P33" s="28"/>
      <c r="Q33" s="32"/>
      <c r="R33" s="53">
        <f t="shared" si="89"/>
        <v>0</v>
      </c>
      <c r="S33" s="34">
        <f t="shared" si="90"/>
        <v>0</v>
      </c>
      <c r="T33" s="35">
        <f t="shared" si="91"/>
        <v>0</v>
      </c>
      <c r="U33" s="36"/>
      <c r="V33" s="37"/>
      <c r="W33" s="38"/>
      <c r="X33" s="39"/>
      <c r="Y33" s="40"/>
      <c r="Z33" s="40"/>
      <c r="AA33" s="34">
        <f t="shared" si="92"/>
        <v>0</v>
      </c>
      <c r="AB33" s="35">
        <f t="shared" si="93"/>
        <v>0</v>
      </c>
      <c r="AC33" s="273"/>
      <c r="AD33" s="130"/>
      <c r="AE33" s="130"/>
      <c r="AF33" s="34">
        <f t="shared" si="94"/>
        <v>0</v>
      </c>
      <c r="AG33" s="34">
        <f t="shared" si="95"/>
        <v>0</v>
      </c>
      <c r="AH33" s="43"/>
      <c r="AI33" s="38"/>
      <c r="AJ33" s="38"/>
      <c r="AK33" s="34">
        <f t="shared" si="96"/>
        <v>0</v>
      </c>
      <c r="AL33" s="44">
        <f t="shared" si="97"/>
        <v>0</v>
      </c>
      <c r="AM33" s="45">
        <f t="shared" si="98"/>
        <v>0</v>
      </c>
      <c r="AN33" s="51">
        <f t="shared" si="99"/>
        <v>0</v>
      </c>
      <c r="AO33" s="51">
        <f t="shared" si="100"/>
        <v>0</v>
      </c>
      <c r="AP33" s="47" t="e">
        <f t="shared" si="101"/>
        <v>#DIV/0!</v>
      </c>
      <c r="AQ33" s="48">
        <f t="shared" si="102"/>
        <v>0</v>
      </c>
      <c r="AR33" s="49">
        <f t="shared" si="21"/>
        <v>0</v>
      </c>
    </row>
    <row r="34" spans="2:49" x14ac:dyDescent="0.25">
      <c r="B34" s="22">
        <f t="shared" si="30"/>
        <v>46189</v>
      </c>
      <c r="C34" s="23" t="s">
        <v>54</v>
      </c>
      <c r="D34" s="50">
        <f t="shared" ref="D34" si="130">AH33</f>
        <v>0</v>
      </c>
      <c r="E34" s="34">
        <f t="shared" ref="E34" si="131">AI33</f>
        <v>0</v>
      </c>
      <c r="F34" s="34">
        <f t="shared" ref="F34" si="132">AJ33</f>
        <v>0</v>
      </c>
      <c r="G34" s="34">
        <f t="shared" si="28"/>
        <v>0</v>
      </c>
      <c r="H34" s="35">
        <f t="shared" si="29"/>
        <v>0</v>
      </c>
      <c r="I34" s="26">
        <f t="shared" si="15"/>
        <v>0</v>
      </c>
      <c r="J34" s="27"/>
      <c r="K34" s="28"/>
      <c r="L34" s="32"/>
      <c r="M34" s="29"/>
      <c r="N34" s="30"/>
      <c r="O34" s="137"/>
      <c r="P34" s="135"/>
      <c r="Q34" s="136"/>
      <c r="R34" s="53">
        <f t="shared" si="89"/>
        <v>0</v>
      </c>
      <c r="S34" s="34">
        <f t="shared" si="90"/>
        <v>0</v>
      </c>
      <c r="T34" s="35">
        <f t="shared" si="91"/>
        <v>0</v>
      </c>
      <c r="U34" s="36"/>
      <c r="V34" s="37"/>
      <c r="W34" s="38"/>
      <c r="X34" s="39"/>
      <c r="Y34" s="40"/>
      <c r="Z34" s="40"/>
      <c r="AA34" s="34">
        <f t="shared" si="92"/>
        <v>0</v>
      </c>
      <c r="AB34" s="35">
        <f t="shared" si="93"/>
        <v>0</v>
      </c>
      <c r="AC34" s="273"/>
      <c r="AD34" s="130"/>
      <c r="AE34" s="130"/>
      <c r="AF34" s="34">
        <f t="shared" si="94"/>
        <v>0</v>
      </c>
      <c r="AG34" s="34">
        <f t="shared" si="95"/>
        <v>0</v>
      </c>
      <c r="AH34" s="43"/>
      <c r="AI34" s="38"/>
      <c r="AJ34" s="38"/>
      <c r="AK34" s="34">
        <f t="shared" si="96"/>
        <v>0</v>
      </c>
      <c r="AL34" s="44">
        <f t="shared" si="97"/>
        <v>0</v>
      </c>
      <c r="AM34" s="45">
        <f t="shared" si="98"/>
        <v>0</v>
      </c>
      <c r="AN34" s="51">
        <f t="shared" si="99"/>
        <v>0</v>
      </c>
      <c r="AO34" s="51">
        <f t="shared" si="100"/>
        <v>0</v>
      </c>
      <c r="AP34" s="47" t="e">
        <f t="shared" si="101"/>
        <v>#DIV/0!</v>
      </c>
      <c r="AQ34" s="48">
        <f t="shared" si="102"/>
        <v>0</v>
      </c>
      <c r="AR34" s="49">
        <f t="shared" si="21"/>
        <v>0</v>
      </c>
    </row>
    <row r="35" spans="2:49" x14ac:dyDescent="0.25">
      <c r="B35" s="22">
        <f t="shared" si="30"/>
        <v>46189</v>
      </c>
      <c r="C35" s="23" t="s">
        <v>55</v>
      </c>
      <c r="D35" s="50">
        <f t="shared" ref="D35:F35" si="133">AH34</f>
        <v>0</v>
      </c>
      <c r="E35" s="34">
        <f t="shared" si="133"/>
        <v>0</v>
      </c>
      <c r="F35" s="34">
        <f t="shared" si="133"/>
        <v>0</v>
      </c>
      <c r="G35" s="34">
        <f t="shared" si="28"/>
        <v>0</v>
      </c>
      <c r="H35" s="35">
        <f t="shared" si="29"/>
        <v>0</v>
      </c>
      <c r="I35" s="26">
        <f t="shared" si="15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89"/>
        <v>0</v>
      </c>
      <c r="S35" s="34">
        <f t="shared" si="90"/>
        <v>0</v>
      </c>
      <c r="T35" s="35">
        <f t="shared" si="91"/>
        <v>0</v>
      </c>
      <c r="U35" s="36"/>
      <c r="V35" s="37"/>
      <c r="W35" s="38"/>
      <c r="X35" s="39"/>
      <c r="Y35" s="40"/>
      <c r="Z35" s="40"/>
      <c r="AA35" s="34">
        <f t="shared" si="92"/>
        <v>0</v>
      </c>
      <c r="AB35" s="35">
        <f t="shared" si="93"/>
        <v>0</v>
      </c>
      <c r="AC35" s="273"/>
      <c r="AD35" s="130"/>
      <c r="AE35" s="130"/>
      <c r="AF35" s="34">
        <f t="shared" si="94"/>
        <v>0</v>
      </c>
      <c r="AG35" s="34">
        <f t="shared" si="95"/>
        <v>0</v>
      </c>
      <c r="AH35" s="43"/>
      <c r="AI35" s="38"/>
      <c r="AJ35" s="38"/>
      <c r="AK35" s="34">
        <f t="shared" si="96"/>
        <v>0</v>
      </c>
      <c r="AL35" s="44">
        <f t="shared" si="97"/>
        <v>0</v>
      </c>
      <c r="AM35" s="45">
        <f t="shared" si="98"/>
        <v>0</v>
      </c>
      <c r="AN35" s="51">
        <f t="shared" si="99"/>
        <v>0</v>
      </c>
      <c r="AO35" s="51">
        <f t="shared" si="100"/>
        <v>0</v>
      </c>
      <c r="AP35" s="47" t="e">
        <f t="shared" si="101"/>
        <v>#DIV/0!</v>
      </c>
      <c r="AQ35" s="48">
        <f t="shared" si="102"/>
        <v>0</v>
      </c>
      <c r="AR35" s="49">
        <f t="shared" si="21"/>
        <v>0</v>
      </c>
    </row>
    <row r="36" spans="2:49" x14ac:dyDescent="0.25">
      <c r="B36" s="22">
        <f t="shared" si="30"/>
        <v>46190</v>
      </c>
      <c r="C36" s="23" t="s">
        <v>54</v>
      </c>
      <c r="D36" s="50">
        <f t="shared" ref="D36" si="134">AH35</f>
        <v>0</v>
      </c>
      <c r="E36" s="34">
        <f t="shared" ref="E36" si="135">AI35</f>
        <v>0</v>
      </c>
      <c r="F36" s="34">
        <f t="shared" ref="F36" si="136">AJ35</f>
        <v>0</v>
      </c>
      <c r="G36" s="34">
        <f t="shared" ref="G36" si="137">+D36*E36%</f>
        <v>0</v>
      </c>
      <c r="H36" s="35">
        <f t="shared" si="29"/>
        <v>0</v>
      </c>
      <c r="I36" s="26">
        <f t="shared" si="15"/>
        <v>0</v>
      </c>
      <c r="J36" s="27"/>
      <c r="K36" s="28"/>
      <c r="L36" s="32"/>
      <c r="M36" s="29"/>
      <c r="N36" s="30"/>
      <c r="O36" s="31"/>
      <c r="P36" s="28"/>
      <c r="Q36" s="32"/>
      <c r="R36" s="53">
        <f t="shared" si="89"/>
        <v>0</v>
      </c>
      <c r="S36" s="34">
        <f t="shared" si="90"/>
        <v>0</v>
      </c>
      <c r="T36" s="35">
        <f t="shared" si="91"/>
        <v>0</v>
      </c>
      <c r="U36" s="36"/>
      <c r="V36" s="37"/>
      <c r="W36" s="38"/>
      <c r="X36" s="39"/>
      <c r="Y36" s="40"/>
      <c r="Z36" s="40"/>
      <c r="AA36" s="34">
        <f t="shared" si="92"/>
        <v>0</v>
      </c>
      <c r="AB36" s="35">
        <f t="shared" si="93"/>
        <v>0</v>
      </c>
      <c r="AC36" s="273"/>
      <c r="AD36" s="130"/>
      <c r="AE36" s="130"/>
      <c r="AF36" s="34">
        <f t="shared" si="94"/>
        <v>0</v>
      </c>
      <c r="AG36" s="34">
        <f t="shared" si="95"/>
        <v>0</v>
      </c>
      <c r="AH36" s="43"/>
      <c r="AI36" s="38"/>
      <c r="AJ36" s="38"/>
      <c r="AK36" s="34">
        <f t="shared" si="96"/>
        <v>0</v>
      </c>
      <c r="AL36" s="44">
        <f t="shared" si="97"/>
        <v>0</v>
      </c>
      <c r="AM36" s="45">
        <f t="shared" si="98"/>
        <v>0</v>
      </c>
      <c r="AN36" s="51">
        <f t="shared" si="99"/>
        <v>0</v>
      </c>
      <c r="AO36" s="51">
        <f t="shared" si="100"/>
        <v>0</v>
      </c>
      <c r="AP36" s="47" t="e">
        <f t="shared" si="101"/>
        <v>#DIV/0!</v>
      </c>
      <c r="AQ36" s="48">
        <f t="shared" si="102"/>
        <v>0</v>
      </c>
      <c r="AR36" s="49">
        <f t="shared" si="21"/>
        <v>0</v>
      </c>
    </row>
    <row r="37" spans="2:49" x14ac:dyDescent="0.25">
      <c r="B37" s="22">
        <f t="shared" si="30"/>
        <v>46190</v>
      </c>
      <c r="C37" s="23" t="s">
        <v>55</v>
      </c>
      <c r="D37" s="50">
        <f t="shared" ref="D37" si="138">AH36</f>
        <v>0</v>
      </c>
      <c r="E37" s="34">
        <f t="shared" ref="E37" si="139">AI36</f>
        <v>0</v>
      </c>
      <c r="F37" s="34">
        <f t="shared" ref="F37" si="140">AJ36</f>
        <v>0</v>
      </c>
      <c r="G37" s="34">
        <f t="shared" si="28"/>
        <v>0</v>
      </c>
      <c r="H37" s="35">
        <f t="shared" si="29"/>
        <v>0</v>
      </c>
      <c r="I37" s="26">
        <f t="shared" si="15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89"/>
        <v>0</v>
      </c>
      <c r="S37" s="34">
        <f t="shared" si="90"/>
        <v>0</v>
      </c>
      <c r="T37" s="35">
        <f t="shared" si="91"/>
        <v>0</v>
      </c>
      <c r="U37" s="36"/>
      <c r="V37" s="37"/>
      <c r="W37" s="38"/>
      <c r="X37" s="39"/>
      <c r="Y37" s="40"/>
      <c r="Z37" s="40"/>
      <c r="AA37" s="34">
        <f t="shared" si="92"/>
        <v>0</v>
      </c>
      <c r="AB37" s="35">
        <f t="shared" si="93"/>
        <v>0</v>
      </c>
      <c r="AC37" s="302"/>
      <c r="AD37" s="292"/>
      <c r="AE37" s="292"/>
      <c r="AF37" s="34">
        <f t="shared" si="94"/>
        <v>0</v>
      </c>
      <c r="AG37" s="34">
        <f t="shared" si="95"/>
        <v>0</v>
      </c>
      <c r="AH37" s="43"/>
      <c r="AI37" s="38"/>
      <c r="AJ37" s="38"/>
      <c r="AK37" s="34">
        <f t="shared" si="96"/>
        <v>0</v>
      </c>
      <c r="AL37" s="44">
        <f t="shared" si="97"/>
        <v>0</v>
      </c>
      <c r="AM37" s="45">
        <f t="shared" si="98"/>
        <v>0</v>
      </c>
      <c r="AN37" s="51">
        <f t="shared" si="99"/>
        <v>0</v>
      </c>
      <c r="AO37" s="51">
        <f t="shared" si="100"/>
        <v>0</v>
      </c>
      <c r="AP37" s="47" t="e">
        <f t="shared" si="101"/>
        <v>#DIV/0!</v>
      </c>
      <c r="AQ37" s="48">
        <f t="shared" si="102"/>
        <v>0</v>
      </c>
      <c r="AR37" s="49">
        <f t="shared" si="21"/>
        <v>0</v>
      </c>
    </row>
    <row r="38" spans="2:49" x14ac:dyDescent="0.25">
      <c r="B38" s="22">
        <f t="shared" si="30"/>
        <v>46191</v>
      </c>
      <c r="C38" s="23" t="s">
        <v>54</v>
      </c>
      <c r="D38" s="50">
        <f t="shared" ref="D38" si="141">AH37</f>
        <v>0</v>
      </c>
      <c r="E38" s="34">
        <f t="shared" ref="E38" si="142">AI37</f>
        <v>0</v>
      </c>
      <c r="F38" s="34">
        <f t="shared" ref="F38" si="143">AJ37</f>
        <v>0</v>
      </c>
      <c r="G38" s="34">
        <f t="shared" si="28"/>
        <v>0</v>
      </c>
      <c r="H38" s="35">
        <f t="shared" si="29"/>
        <v>0</v>
      </c>
      <c r="I38" s="26">
        <f t="shared" si="15"/>
        <v>0</v>
      </c>
      <c r="J38" s="27"/>
      <c r="K38" s="28"/>
      <c r="L38" s="32"/>
      <c r="M38" s="29"/>
      <c r="N38" s="30"/>
      <c r="O38" s="31"/>
      <c r="P38" s="28"/>
      <c r="Q38" s="32"/>
      <c r="R38" s="53">
        <f t="shared" si="89"/>
        <v>0</v>
      </c>
      <c r="S38" s="34">
        <f t="shared" si="90"/>
        <v>0</v>
      </c>
      <c r="T38" s="35">
        <f t="shared" si="91"/>
        <v>0</v>
      </c>
      <c r="U38" s="36"/>
      <c r="V38" s="37"/>
      <c r="W38" s="38"/>
      <c r="X38" s="39"/>
      <c r="Y38" s="40"/>
      <c r="Z38" s="40"/>
      <c r="AA38" s="34">
        <f t="shared" si="92"/>
        <v>0</v>
      </c>
      <c r="AB38" s="35">
        <f t="shared" si="93"/>
        <v>0</v>
      </c>
      <c r="AC38" s="271"/>
      <c r="AD38" s="145"/>
      <c r="AE38" s="145"/>
      <c r="AF38" s="34">
        <f t="shared" si="94"/>
        <v>0</v>
      </c>
      <c r="AG38" s="34">
        <f t="shared" si="95"/>
        <v>0</v>
      </c>
      <c r="AH38" s="43"/>
      <c r="AI38" s="38"/>
      <c r="AJ38" s="38"/>
      <c r="AK38" s="34">
        <f t="shared" si="96"/>
        <v>0</v>
      </c>
      <c r="AL38" s="44">
        <f t="shared" si="97"/>
        <v>0</v>
      </c>
      <c r="AM38" s="45">
        <f t="shared" si="98"/>
        <v>0</v>
      </c>
      <c r="AN38" s="51">
        <f t="shared" si="99"/>
        <v>0</v>
      </c>
      <c r="AO38" s="51">
        <f t="shared" si="100"/>
        <v>0</v>
      </c>
      <c r="AP38" s="47" t="e">
        <f t="shared" si="101"/>
        <v>#DIV/0!</v>
      </c>
      <c r="AQ38" s="48">
        <f t="shared" si="102"/>
        <v>0</v>
      </c>
      <c r="AR38" s="49">
        <f t="shared" si="21"/>
        <v>0</v>
      </c>
    </row>
    <row r="39" spans="2:49" x14ac:dyDescent="0.25">
      <c r="B39" s="22">
        <f t="shared" si="30"/>
        <v>46191</v>
      </c>
      <c r="C39" s="23" t="s">
        <v>55</v>
      </c>
      <c r="D39" s="50">
        <f t="shared" ref="D39" si="144">AH38</f>
        <v>0</v>
      </c>
      <c r="E39" s="34">
        <f t="shared" ref="E39" si="145">AI38</f>
        <v>0</v>
      </c>
      <c r="F39" s="34">
        <f t="shared" ref="F39" si="146">AJ38</f>
        <v>0</v>
      </c>
      <c r="G39" s="34">
        <f t="shared" si="28"/>
        <v>0</v>
      </c>
      <c r="H39" s="35">
        <f t="shared" si="29"/>
        <v>0</v>
      </c>
      <c r="I39" s="26">
        <f t="shared" si="15"/>
        <v>0</v>
      </c>
      <c r="J39" s="27"/>
      <c r="K39" s="28"/>
      <c r="L39" s="32"/>
      <c r="M39" s="29"/>
      <c r="N39" s="30"/>
      <c r="O39" s="31"/>
      <c r="P39" s="28"/>
      <c r="Q39" s="32"/>
      <c r="R39" s="53">
        <f t="shared" si="89"/>
        <v>0</v>
      </c>
      <c r="S39" s="34">
        <f t="shared" si="90"/>
        <v>0</v>
      </c>
      <c r="T39" s="35">
        <f t="shared" si="91"/>
        <v>0</v>
      </c>
      <c r="U39" s="36"/>
      <c r="V39" s="37"/>
      <c r="W39" s="38"/>
      <c r="X39" s="39"/>
      <c r="Y39" s="40"/>
      <c r="Z39" s="40"/>
      <c r="AA39" s="34">
        <f t="shared" si="92"/>
        <v>0</v>
      </c>
      <c r="AB39" s="35">
        <f t="shared" si="93"/>
        <v>0</v>
      </c>
      <c r="AC39" s="271"/>
      <c r="AD39" s="145"/>
      <c r="AE39" s="145"/>
      <c r="AF39" s="34">
        <f t="shared" si="94"/>
        <v>0</v>
      </c>
      <c r="AG39" s="34">
        <f t="shared" si="95"/>
        <v>0</v>
      </c>
      <c r="AH39" s="43"/>
      <c r="AI39" s="38"/>
      <c r="AJ39" s="38"/>
      <c r="AK39" s="34">
        <f t="shared" si="96"/>
        <v>0</v>
      </c>
      <c r="AL39" s="44">
        <f t="shared" si="97"/>
        <v>0</v>
      </c>
      <c r="AM39" s="45">
        <f t="shared" si="98"/>
        <v>0</v>
      </c>
      <c r="AN39" s="51">
        <f t="shared" si="99"/>
        <v>0</v>
      </c>
      <c r="AO39" s="51">
        <f t="shared" si="100"/>
        <v>0</v>
      </c>
      <c r="AP39" s="47" t="e">
        <f t="shared" si="101"/>
        <v>#DIV/0!</v>
      </c>
      <c r="AQ39" s="48">
        <f t="shared" si="102"/>
        <v>0</v>
      </c>
      <c r="AR39" s="49">
        <f t="shared" si="21"/>
        <v>0</v>
      </c>
    </row>
    <row r="40" spans="2:49" x14ac:dyDescent="0.25">
      <c r="B40" s="22">
        <f t="shared" si="30"/>
        <v>46192</v>
      </c>
      <c r="C40" s="23" t="s">
        <v>54</v>
      </c>
      <c r="D40" s="50">
        <f t="shared" ref="D40" si="147">AH39</f>
        <v>0</v>
      </c>
      <c r="E40" s="34">
        <f t="shared" ref="E40" si="148">AI39</f>
        <v>0</v>
      </c>
      <c r="F40" s="34">
        <f t="shared" ref="F40" si="149">AJ39</f>
        <v>0</v>
      </c>
      <c r="G40" s="34">
        <f t="shared" si="28"/>
        <v>0</v>
      </c>
      <c r="H40" s="35">
        <f t="shared" si="29"/>
        <v>0</v>
      </c>
      <c r="I40" s="26">
        <f t="shared" si="15"/>
        <v>0</v>
      </c>
      <c r="J40" s="27"/>
      <c r="K40" s="28"/>
      <c r="L40" s="32"/>
      <c r="M40" s="29"/>
      <c r="N40" s="30"/>
      <c r="O40" s="31"/>
      <c r="P40" s="28"/>
      <c r="Q40" s="32"/>
      <c r="R40" s="53">
        <f t="shared" si="89"/>
        <v>0</v>
      </c>
      <c r="S40" s="34">
        <f t="shared" si="90"/>
        <v>0</v>
      </c>
      <c r="T40" s="35">
        <f t="shared" si="91"/>
        <v>0</v>
      </c>
      <c r="U40" s="36"/>
      <c r="V40" s="37"/>
      <c r="W40" s="38"/>
      <c r="X40" s="39"/>
      <c r="Y40" s="40"/>
      <c r="Z40" s="40"/>
      <c r="AA40" s="34">
        <f t="shared" si="92"/>
        <v>0</v>
      </c>
      <c r="AB40" s="35">
        <f t="shared" si="93"/>
        <v>0</v>
      </c>
      <c r="AC40" s="273"/>
      <c r="AD40" s="130"/>
      <c r="AE40" s="130"/>
      <c r="AF40" s="34">
        <f t="shared" si="94"/>
        <v>0</v>
      </c>
      <c r="AG40" s="34">
        <f t="shared" si="95"/>
        <v>0</v>
      </c>
      <c r="AH40" s="43"/>
      <c r="AI40" s="38"/>
      <c r="AJ40" s="38"/>
      <c r="AK40" s="34">
        <f t="shared" si="96"/>
        <v>0</v>
      </c>
      <c r="AL40" s="44">
        <f t="shared" si="97"/>
        <v>0</v>
      </c>
      <c r="AM40" s="45">
        <f t="shared" si="98"/>
        <v>0</v>
      </c>
      <c r="AN40" s="51">
        <f t="shared" si="99"/>
        <v>0</v>
      </c>
      <c r="AO40" s="51">
        <f t="shared" si="100"/>
        <v>0</v>
      </c>
      <c r="AP40" s="47" t="e">
        <f t="shared" si="101"/>
        <v>#DIV/0!</v>
      </c>
      <c r="AQ40" s="48">
        <f t="shared" si="102"/>
        <v>0</v>
      </c>
      <c r="AR40" s="49">
        <f t="shared" si="21"/>
        <v>0</v>
      </c>
    </row>
    <row r="41" spans="2:49" x14ac:dyDescent="0.25">
      <c r="B41" s="22">
        <f t="shared" si="30"/>
        <v>46192</v>
      </c>
      <c r="C41" s="23" t="s">
        <v>55</v>
      </c>
      <c r="D41" s="50">
        <f t="shared" ref="D41" si="150">AH40</f>
        <v>0</v>
      </c>
      <c r="E41" s="34">
        <f t="shared" ref="E41" si="151">AI40</f>
        <v>0</v>
      </c>
      <c r="F41" s="34">
        <f t="shared" ref="F41" si="152">AJ40</f>
        <v>0</v>
      </c>
      <c r="G41" s="34">
        <f t="shared" si="28"/>
        <v>0</v>
      </c>
      <c r="H41" s="35">
        <f t="shared" si="29"/>
        <v>0</v>
      </c>
      <c r="I41" s="26">
        <f t="shared" si="15"/>
        <v>0</v>
      </c>
      <c r="J41" s="27"/>
      <c r="K41" s="28"/>
      <c r="L41" s="32"/>
      <c r="M41" s="29"/>
      <c r="N41" s="30"/>
      <c r="O41" s="31"/>
      <c r="P41" s="28"/>
      <c r="Q41" s="32"/>
      <c r="R41" s="53">
        <f t="shared" si="89"/>
        <v>0</v>
      </c>
      <c r="S41" s="34">
        <f t="shared" si="90"/>
        <v>0</v>
      </c>
      <c r="T41" s="35">
        <f t="shared" si="91"/>
        <v>0</v>
      </c>
      <c r="U41" s="36"/>
      <c r="V41" s="37"/>
      <c r="W41" s="38"/>
      <c r="X41" s="39"/>
      <c r="Y41" s="40"/>
      <c r="Z41" s="40"/>
      <c r="AA41" s="34">
        <f t="shared" si="92"/>
        <v>0</v>
      </c>
      <c r="AB41" s="34">
        <f t="shared" si="93"/>
        <v>0</v>
      </c>
      <c r="AC41" s="129"/>
      <c r="AD41" s="130"/>
      <c r="AE41" s="130"/>
      <c r="AF41" s="34">
        <f t="shared" si="94"/>
        <v>0</v>
      </c>
      <c r="AG41" s="34">
        <f t="shared" si="95"/>
        <v>0</v>
      </c>
      <c r="AH41" s="43"/>
      <c r="AI41" s="38"/>
      <c r="AJ41" s="38"/>
      <c r="AK41" s="34">
        <f t="shared" si="96"/>
        <v>0</v>
      </c>
      <c r="AL41" s="44">
        <f t="shared" si="97"/>
        <v>0</v>
      </c>
      <c r="AM41" s="45">
        <f t="shared" si="98"/>
        <v>0</v>
      </c>
      <c r="AN41" s="51">
        <f t="shared" si="99"/>
        <v>0</v>
      </c>
      <c r="AO41" s="51">
        <f t="shared" si="100"/>
        <v>0</v>
      </c>
      <c r="AP41" s="47" t="e">
        <f t="shared" si="101"/>
        <v>#DIV/0!</v>
      </c>
      <c r="AQ41" s="48">
        <f t="shared" si="102"/>
        <v>0</v>
      </c>
      <c r="AR41" s="49">
        <f t="shared" si="21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30"/>
        <v>46193</v>
      </c>
      <c r="C42" s="23" t="s">
        <v>54</v>
      </c>
      <c r="D42" s="50">
        <f t="shared" ref="D42" si="153">AH41</f>
        <v>0</v>
      </c>
      <c r="E42" s="34">
        <f t="shared" ref="E42" si="154">AI41</f>
        <v>0</v>
      </c>
      <c r="F42" s="34">
        <f t="shared" ref="F42" si="155">AJ41</f>
        <v>0</v>
      </c>
      <c r="G42" s="34">
        <f t="shared" ref="G42:G65" si="156">+D42*E42%</f>
        <v>0</v>
      </c>
      <c r="H42" s="35">
        <f t="shared" ref="H42:H65" si="157">+D42*F42%</f>
        <v>0</v>
      </c>
      <c r="I42" s="26">
        <f t="shared" si="15"/>
        <v>0</v>
      </c>
      <c r="J42" s="27"/>
      <c r="K42" s="28"/>
      <c r="L42" s="28"/>
      <c r="M42" s="61"/>
      <c r="N42" s="106"/>
      <c r="O42" s="31"/>
      <c r="P42" s="28"/>
      <c r="Q42" s="28"/>
      <c r="R42" s="53">
        <f t="shared" si="89"/>
        <v>0</v>
      </c>
      <c r="S42" s="34">
        <f t="shared" si="90"/>
        <v>0</v>
      </c>
      <c r="T42" s="35">
        <f t="shared" si="91"/>
        <v>0</v>
      </c>
      <c r="U42" s="37"/>
      <c r="V42" s="37"/>
      <c r="W42" s="38"/>
      <c r="X42" s="39"/>
      <c r="Y42" s="40"/>
      <c r="Z42" s="40"/>
      <c r="AA42" s="34">
        <f t="shared" si="92"/>
        <v>0</v>
      </c>
      <c r="AB42" s="44">
        <f t="shared" si="93"/>
        <v>0</v>
      </c>
      <c r="AC42" s="129"/>
      <c r="AD42" s="130"/>
      <c r="AE42" s="130"/>
      <c r="AF42" s="34">
        <f t="shared" si="94"/>
        <v>0</v>
      </c>
      <c r="AG42" s="35">
        <f t="shared" si="95"/>
        <v>0</v>
      </c>
      <c r="AH42" s="295"/>
      <c r="AI42" s="38"/>
      <c r="AJ42" s="38"/>
      <c r="AK42" s="34">
        <f t="shared" ref="AK42:AK65" si="158">AH42*AI42%</f>
        <v>0</v>
      </c>
      <c r="AL42" s="44">
        <f t="shared" ref="AL42:AL65" si="159">AH42*AJ42%</f>
        <v>0</v>
      </c>
      <c r="AM42" s="45">
        <f t="shared" ref="AM42:AM48" si="160">+D42+R42-AC42-AH42</f>
        <v>0</v>
      </c>
      <c r="AN42" s="51">
        <f t="shared" ref="AN42:AN48" si="161">+G42+S42-AF42-AK42</f>
        <v>0</v>
      </c>
      <c r="AO42" s="51">
        <f t="shared" ref="AO42:AO48" si="162">+H42+T42-AG42-AL42</f>
        <v>0</v>
      </c>
      <c r="AP42" s="47" t="e">
        <f t="shared" ref="AP42:AP65" si="163">(AN42+AO42)/(S42+T42)</f>
        <v>#DIV/0!</v>
      </c>
      <c r="AQ42" s="48">
        <f t="shared" si="20"/>
        <v>0</v>
      </c>
      <c r="AR42" s="49">
        <f t="shared" si="21"/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30"/>
        <v>46193</v>
      </c>
      <c r="C43" s="23" t="s">
        <v>55</v>
      </c>
      <c r="D43" s="50">
        <f t="shared" ref="D43:D57" si="164">AH42</f>
        <v>0</v>
      </c>
      <c r="E43" s="34">
        <f t="shared" ref="E43:E57" si="165">AI42</f>
        <v>0</v>
      </c>
      <c r="F43" s="34">
        <f t="shared" ref="F43:F57" si="166">AJ42</f>
        <v>0</v>
      </c>
      <c r="G43" s="34">
        <f t="shared" si="156"/>
        <v>0</v>
      </c>
      <c r="H43" s="35">
        <f t="shared" si="157"/>
        <v>0</v>
      </c>
      <c r="I43" s="26">
        <f t="shared" si="15"/>
        <v>0</v>
      </c>
      <c r="J43" s="27"/>
      <c r="K43" s="28"/>
      <c r="L43" s="28"/>
      <c r="M43" s="61"/>
      <c r="N43" s="61"/>
      <c r="O43" s="31"/>
      <c r="P43" s="28"/>
      <c r="Q43" s="28"/>
      <c r="R43" s="64">
        <f t="shared" ref="R43:R65" si="167">O43+J43</f>
        <v>0</v>
      </c>
      <c r="S43" s="34">
        <f t="shared" ref="S43:S65" si="168">(J43*K43%)+(O43*P43%)</f>
        <v>0</v>
      </c>
      <c r="T43" s="35">
        <f t="shared" ref="T43:T65" si="169">(J43*L43%)+(O43*Q43%)</f>
        <v>0</v>
      </c>
      <c r="U43" s="314"/>
      <c r="V43" s="37"/>
      <c r="W43" s="38"/>
      <c r="X43" s="39"/>
      <c r="Y43" s="40"/>
      <c r="Z43" s="40"/>
      <c r="AA43" s="34">
        <f t="shared" si="92"/>
        <v>0</v>
      </c>
      <c r="AB43" s="44">
        <f t="shared" si="93"/>
        <v>0</v>
      </c>
      <c r="AC43" s="129"/>
      <c r="AD43" s="130"/>
      <c r="AE43" s="130"/>
      <c r="AF43" s="34">
        <f t="shared" ref="AF43:AF65" si="170">AC43*AD43%</f>
        <v>0</v>
      </c>
      <c r="AG43" s="35">
        <f t="shared" ref="AG43:AG65" si="171">AC43*AE43%</f>
        <v>0</v>
      </c>
      <c r="AH43" s="295"/>
      <c r="AI43" s="38"/>
      <c r="AJ43" s="38"/>
      <c r="AK43" s="34">
        <f t="shared" si="158"/>
        <v>0</v>
      </c>
      <c r="AL43" s="44">
        <f t="shared" si="159"/>
        <v>0</v>
      </c>
      <c r="AM43" s="45">
        <f t="shared" si="160"/>
        <v>0</v>
      </c>
      <c r="AN43" s="51">
        <f t="shared" si="161"/>
        <v>0</v>
      </c>
      <c r="AO43" s="51">
        <f t="shared" si="162"/>
        <v>0</v>
      </c>
      <c r="AP43" s="47" t="e">
        <f t="shared" si="163"/>
        <v>#DIV/0!</v>
      </c>
      <c r="AQ43" s="48">
        <f t="shared" si="20"/>
        <v>0</v>
      </c>
      <c r="AR43" s="49">
        <f t="shared" si="21"/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30"/>
        <v>46194</v>
      </c>
      <c r="C44" s="23" t="s">
        <v>54</v>
      </c>
      <c r="D44" s="50">
        <f t="shared" ref="D44" si="172">AH43</f>
        <v>0</v>
      </c>
      <c r="E44" s="34">
        <f t="shared" ref="E44" si="173">AI43</f>
        <v>0</v>
      </c>
      <c r="F44" s="34">
        <f t="shared" ref="F44" si="174">AJ43</f>
        <v>0</v>
      </c>
      <c r="G44" s="34">
        <f t="shared" si="156"/>
        <v>0</v>
      </c>
      <c r="H44" s="35">
        <f t="shared" si="157"/>
        <v>0</v>
      </c>
      <c r="I44" s="26">
        <f t="shared" si="15"/>
        <v>0</v>
      </c>
      <c r="J44" s="27"/>
      <c r="K44" s="28"/>
      <c r="L44" s="28"/>
      <c r="M44" s="61"/>
      <c r="N44" s="61"/>
      <c r="O44" s="31"/>
      <c r="P44" s="28"/>
      <c r="Q44" s="28"/>
      <c r="R44" s="64">
        <f t="shared" si="167"/>
        <v>0</v>
      </c>
      <c r="S44" s="34">
        <f t="shared" si="168"/>
        <v>0</v>
      </c>
      <c r="T44" s="35">
        <f t="shared" si="169"/>
        <v>0</v>
      </c>
      <c r="U44" s="314"/>
      <c r="V44" s="37"/>
      <c r="W44" s="38"/>
      <c r="X44" s="39"/>
      <c r="Y44" s="40"/>
      <c r="Z44" s="40"/>
      <c r="AA44" s="34">
        <f t="shared" si="92"/>
        <v>0</v>
      </c>
      <c r="AB44" s="44">
        <f t="shared" si="93"/>
        <v>0</v>
      </c>
      <c r="AC44" s="129"/>
      <c r="AD44" s="130"/>
      <c r="AE44" s="130"/>
      <c r="AF44" s="34">
        <f t="shared" si="170"/>
        <v>0</v>
      </c>
      <c r="AG44" s="35">
        <f t="shared" si="171"/>
        <v>0</v>
      </c>
      <c r="AH44" s="295"/>
      <c r="AI44" s="38"/>
      <c r="AJ44" s="38"/>
      <c r="AK44" s="34">
        <f t="shared" si="158"/>
        <v>0</v>
      </c>
      <c r="AL44" s="44">
        <f t="shared" si="159"/>
        <v>0</v>
      </c>
      <c r="AM44" s="45">
        <f t="shared" si="160"/>
        <v>0</v>
      </c>
      <c r="AN44" s="51">
        <f t="shared" si="161"/>
        <v>0</v>
      </c>
      <c r="AO44" s="51">
        <f t="shared" si="162"/>
        <v>0</v>
      </c>
      <c r="AP44" s="47" t="e">
        <f t="shared" si="163"/>
        <v>#DIV/0!</v>
      </c>
      <c r="AQ44" s="48">
        <f t="shared" si="20"/>
        <v>0</v>
      </c>
      <c r="AR44" s="49">
        <f t="shared" si="21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30"/>
        <v>46194</v>
      </c>
      <c r="C45" s="23" t="s">
        <v>55</v>
      </c>
      <c r="D45" s="50">
        <f t="shared" si="164"/>
        <v>0</v>
      </c>
      <c r="E45" s="34">
        <f t="shared" si="165"/>
        <v>0</v>
      </c>
      <c r="F45" s="34">
        <f t="shared" si="166"/>
        <v>0</v>
      </c>
      <c r="G45" s="34">
        <f t="shared" si="156"/>
        <v>0</v>
      </c>
      <c r="H45" s="35">
        <f t="shared" si="157"/>
        <v>0</v>
      </c>
      <c r="I45" s="26">
        <f t="shared" si="15"/>
        <v>0</v>
      </c>
      <c r="J45" s="27"/>
      <c r="K45" s="28"/>
      <c r="L45" s="28"/>
      <c r="M45" s="61"/>
      <c r="N45" s="61"/>
      <c r="O45" s="31"/>
      <c r="P45" s="28"/>
      <c r="Q45" s="28"/>
      <c r="R45" s="64">
        <f t="shared" si="167"/>
        <v>0</v>
      </c>
      <c r="S45" s="34">
        <f t="shared" si="168"/>
        <v>0</v>
      </c>
      <c r="T45" s="35">
        <f t="shared" si="169"/>
        <v>0</v>
      </c>
      <c r="U45" s="314"/>
      <c r="V45" s="37"/>
      <c r="W45" s="38"/>
      <c r="X45" s="39"/>
      <c r="Y45" s="40"/>
      <c r="Z45" s="40"/>
      <c r="AA45" s="34">
        <f t="shared" si="92"/>
        <v>0</v>
      </c>
      <c r="AB45" s="44">
        <f t="shared" si="93"/>
        <v>0</v>
      </c>
      <c r="AC45" s="129"/>
      <c r="AD45" s="130"/>
      <c r="AE45" s="130"/>
      <c r="AF45" s="34">
        <f t="shared" si="170"/>
        <v>0</v>
      </c>
      <c r="AG45" s="35">
        <f t="shared" si="171"/>
        <v>0</v>
      </c>
      <c r="AH45" s="295"/>
      <c r="AI45" s="38"/>
      <c r="AJ45" s="38"/>
      <c r="AK45" s="34">
        <f t="shared" si="158"/>
        <v>0</v>
      </c>
      <c r="AL45" s="44">
        <f t="shared" si="159"/>
        <v>0</v>
      </c>
      <c r="AM45" s="45">
        <f t="shared" si="160"/>
        <v>0</v>
      </c>
      <c r="AN45" s="51">
        <f t="shared" si="161"/>
        <v>0</v>
      </c>
      <c r="AO45" s="51">
        <f t="shared" si="162"/>
        <v>0</v>
      </c>
      <c r="AP45" s="47" t="e">
        <f t="shared" si="163"/>
        <v>#DIV/0!</v>
      </c>
      <c r="AQ45" s="48">
        <f t="shared" si="20"/>
        <v>0</v>
      </c>
      <c r="AR45" s="49">
        <f t="shared" si="21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30"/>
        <v>46195</v>
      </c>
      <c r="C46" s="23" t="s">
        <v>54</v>
      </c>
      <c r="D46" s="50">
        <f t="shared" ref="D46" si="175">AH45</f>
        <v>0</v>
      </c>
      <c r="E46" s="34">
        <f t="shared" ref="E46" si="176">AI45</f>
        <v>0</v>
      </c>
      <c r="F46" s="34">
        <f t="shared" ref="F46" si="177">AJ45</f>
        <v>0</v>
      </c>
      <c r="G46" s="34">
        <f t="shared" si="156"/>
        <v>0</v>
      </c>
      <c r="H46" s="35">
        <f t="shared" si="157"/>
        <v>0</v>
      </c>
      <c r="I46" s="26">
        <f t="shared" si="15"/>
        <v>0</v>
      </c>
      <c r="J46" s="27"/>
      <c r="K46" s="28"/>
      <c r="L46" s="28"/>
      <c r="M46" s="61"/>
      <c r="N46" s="61"/>
      <c r="O46" s="31"/>
      <c r="P46" s="28"/>
      <c r="Q46" s="28"/>
      <c r="R46" s="64">
        <f t="shared" si="167"/>
        <v>0</v>
      </c>
      <c r="S46" s="34">
        <f t="shared" si="168"/>
        <v>0</v>
      </c>
      <c r="T46" s="35">
        <f t="shared" si="169"/>
        <v>0</v>
      </c>
      <c r="U46" s="314"/>
      <c r="V46" s="37"/>
      <c r="W46" s="38"/>
      <c r="X46" s="39"/>
      <c r="Y46" s="40"/>
      <c r="Z46" s="40"/>
      <c r="AA46" s="34">
        <f t="shared" si="92"/>
        <v>0</v>
      </c>
      <c r="AB46" s="44">
        <f t="shared" si="93"/>
        <v>0</v>
      </c>
      <c r="AC46" s="129"/>
      <c r="AD46" s="130"/>
      <c r="AE46" s="130"/>
      <c r="AF46" s="34">
        <f t="shared" si="170"/>
        <v>0</v>
      </c>
      <c r="AG46" s="35">
        <f t="shared" si="171"/>
        <v>0</v>
      </c>
      <c r="AH46" s="295"/>
      <c r="AI46" s="38"/>
      <c r="AJ46" s="38"/>
      <c r="AK46" s="34">
        <f t="shared" si="158"/>
        <v>0</v>
      </c>
      <c r="AL46" s="44">
        <f t="shared" si="159"/>
        <v>0</v>
      </c>
      <c r="AM46" s="45">
        <f t="shared" si="160"/>
        <v>0</v>
      </c>
      <c r="AN46" s="51">
        <f t="shared" si="161"/>
        <v>0</v>
      </c>
      <c r="AO46" s="51">
        <f t="shared" si="162"/>
        <v>0</v>
      </c>
      <c r="AP46" s="47" t="e">
        <f t="shared" si="163"/>
        <v>#DIV/0!</v>
      </c>
      <c r="AQ46" s="48">
        <f t="shared" si="20"/>
        <v>0</v>
      </c>
      <c r="AR46" s="49">
        <f t="shared" si="21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30"/>
        <v>46195</v>
      </c>
      <c r="C47" s="23" t="s">
        <v>55</v>
      </c>
      <c r="D47" s="50">
        <f t="shared" ref="D47" si="178">AH46</f>
        <v>0</v>
      </c>
      <c r="E47" s="34">
        <f t="shared" ref="E47" si="179">AI46</f>
        <v>0</v>
      </c>
      <c r="F47" s="34">
        <f t="shared" ref="F47" si="180">AJ46</f>
        <v>0</v>
      </c>
      <c r="G47" s="34">
        <f t="shared" si="156"/>
        <v>0</v>
      </c>
      <c r="H47" s="35">
        <f t="shared" si="157"/>
        <v>0</v>
      </c>
      <c r="I47" s="26">
        <f t="shared" si="15"/>
        <v>0</v>
      </c>
      <c r="J47" s="27"/>
      <c r="K47" s="28"/>
      <c r="L47" s="28"/>
      <c r="M47" s="61"/>
      <c r="N47" s="61"/>
      <c r="O47" s="31"/>
      <c r="P47" s="28"/>
      <c r="Q47" s="28"/>
      <c r="R47" s="64">
        <f t="shared" si="167"/>
        <v>0</v>
      </c>
      <c r="S47" s="34">
        <f t="shared" si="168"/>
        <v>0</v>
      </c>
      <c r="T47" s="35">
        <f t="shared" si="169"/>
        <v>0</v>
      </c>
      <c r="U47" s="314"/>
      <c r="V47" s="37"/>
      <c r="W47" s="38"/>
      <c r="X47" s="39"/>
      <c r="Y47" s="40"/>
      <c r="Z47" s="40"/>
      <c r="AA47" s="34">
        <f t="shared" ref="AA47:AA65" si="181">X47*Y47%</f>
        <v>0</v>
      </c>
      <c r="AB47" s="44">
        <f t="shared" ref="AB47:AB65" si="182">X47*Z47%</f>
        <v>0</v>
      </c>
      <c r="AC47" s="129"/>
      <c r="AD47" s="130"/>
      <c r="AE47" s="130"/>
      <c r="AF47" s="34">
        <f t="shared" si="170"/>
        <v>0</v>
      </c>
      <c r="AG47" s="35">
        <f t="shared" si="171"/>
        <v>0</v>
      </c>
      <c r="AH47" s="295"/>
      <c r="AI47" s="38"/>
      <c r="AJ47" s="38"/>
      <c r="AK47" s="34">
        <f t="shared" si="158"/>
        <v>0</v>
      </c>
      <c r="AL47" s="44">
        <f t="shared" si="159"/>
        <v>0</v>
      </c>
      <c r="AM47" s="45">
        <f t="shared" si="160"/>
        <v>0</v>
      </c>
      <c r="AN47" s="51">
        <f t="shared" si="161"/>
        <v>0</v>
      </c>
      <c r="AO47" s="51">
        <f t="shared" si="162"/>
        <v>0</v>
      </c>
      <c r="AP47" s="47" t="e">
        <f t="shared" si="163"/>
        <v>#DIV/0!</v>
      </c>
      <c r="AQ47" s="48">
        <f t="shared" si="20"/>
        <v>0</v>
      </c>
      <c r="AR47" s="49">
        <f t="shared" si="21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0"/>
        <v>46196</v>
      </c>
      <c r="C48" s="23" t="s">
        <v>54</v>
      </c>
      <c r="D48" s="50">
        <f t="shared" ref="D48" si="183">AH47</f>
        <v>0</v>
      </c>
      <c r="E48" s="34">
        <f t="shared" ref="E48" si="184">AI47</f>
        <v>0</v>
      </c>
      <c r="F48" s="34">
        <f t="shared" ref="F48" si="185">AJ47</f>
        <v>0</v>
      </c>
      <c r="G48" s="34">
        <f t="shared" si="156"/>
        <v>0</v>
      </c>
      <c r="H48" s="35">
        <f t="shared" si="157"/>
        <v>0</v>
      </c>
      <c r="I48" s="26">
        <f t="shared" si="15"/>
        <v>0</v>
      </c>
      <c r="J48" s="27"/>
      <c r="K48" s="28"/>
      <c r="L48" s="28"/>
      <c r="M48" s="61"/>
      <c r="N48" s="61"/>
      <c r="O48" s="31"/>
      <c r="P48" s="28"/>
      <c r="Q48" s="28"/>
      <c r="R48" s="64">
        <f t="shared" si="167"/>
        <v>0</v>
      </c>
      <c r="S48" s="34">
        <f t="shared" si="168"/>
        <v>0</v>
      </c>
      <c r="T48" s="35">
        <f t="shared" si="169"/>
        <v>0</v>
      </c>
      <c r="U48" s="314"/>
      <c r="V48" s="37"/>
      <c r="W48" s="38"/>
      <c r="X48" s="315"/>
      <c r="Y48" s="105"/>
      <c r="Z48" s="105"/>
      <c r="AA48" s="34">
        <f t="shared" si="181"/>
        <v>0</v>
      </c>
      <c r="AB48" s="44">
        <f t="shared" si="182"/>
        <v>0</v>
      </c>
      <c r="AC48" s="129"/>
      <c r="AD48" s="130"/>
      <c r="AE48" s="130"/>
      <c r="AF48" s="34">
        <f t="shared" si="170"/>
        <v>0</v>
      </c>
      <c r="AG48" s="35">
        <f t="shared" si="171"/>
        <v>0</v>
      </c>
      <c r="AH48" s="295"/>
      <c r="AI48" s="38"/>
      <c r="AJ48" s="38"/>
      <c r="AK48" s="34">
        <f t="shared" si="158"/>
        <v>0</v>
      </c>
      <c r="AL48" s="44">
        <f t="shared" si="159"/>
        <v>0</v>
      </c>
      <c r="AM48" s="45">
        <f t="shared" si="160"/>
        <v>0</v>
      </c>
      <c r="AN48" s="51">
        <f t="shared" si="161"/>
        <v>0</v>
      </c>
      <c r="AO48" s="51">
        <f t="shared" si="162"/>
        <v>0</v>
      </c>
      <c r="AP48" s="47" t="e">
        <f t="shared" si="163"/>
        <v>#DIV/0!</v>
      </c>
      <c r="AQ48" s="48">
        <f t="shared" si="20"/>
        <v>0</v>
      </c>
      <c r="AR48" s="49">
        <f t="shared" si="21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30"/>
        <v>46196</v>
      </c>
      <c r="C49" s="23" t="s">
        <v>55</v>
      </c>
      <c r="D49" s="50">
        <f t="shared" ref="D49" si="186">AH48</f>
        <v>0</v>
      </c>
      <c r="E49" s="34">
        <f t="shared" ref="E49" si="187">AI48</f>
        <v>0</v>
      </c>
      <c r="F49" s="34">
        <f t="shared" ref="F49" si="188">AJ48</f>
        <v>0</v>
      </c>
      <c r="G49" s="34">
        <f t="shared" si="156"/>
        <v>0</v>
      </c>
      <c r="H49" s="35">
        <f t="shared" si="157"/>
        <v>0</v>
      </c>
      <c r="I49" s="26">
        <f t="shared" si="15"/>
        <v>0</v>
      </c>
      <c r="J49" s="27"/>
      <c r="K49" s="28"/>
      <c r="L49" s="28"/>
      <c r="M49" s="61"/>
      <c r="N49" s="61"/>
      <c r="O49" s="31"/>
      <c r="P49" s="28"/>
      <c r="Q49" s="28"/>
      <c r="R49" s="64">
        <f t="shared" si="167"/>
        <v>0</v>
      </c>
      <c r="S49" s="34">
        <f t="shared" si="168"/>
        <v>0</v>
      </c>
      <c r="T49" s="35">
        <f t="shared" si="169"/>
        <v>0</v>
      </c>
      <c r="U49" s="314"/>
      <c r="V49" s="37"/>
      <c r="W49" s="38"/>
      <c r="X49" s="39"/>
      <c r="Y49" s="40"/>
      <c r="Z49" s="40"/>
      <c r="AA49" s="34">
        <f t="shared" ref="AA49:AA52" si="189">X49*Y49%</f>
        <v>0</v>
      </c>
      <c r="AB49" s="44">
        <f t="shared" ref="AB49:AB52" si="190">X49*Z49%</f>
        <v>0</v>
      </c>
      <c r="AC49" s="129"/>
      <c r="AD49" s="130"/>
      <c r="AE49" s="130"/>
      <c r="AF49" s="34">
        <f t="shared" si="170"/>
        <v>0</v>
      </c>
      <c r="AG49" s="35">
        <f t="shared" si="171"/>
        <v>0</v>
      </c>
      <c r="AH49" s="295"/>
      <c r="AI49" s="38"/>
      <c r="AJ49" s="38"/>
      <c r="AK49" s="34">
        <f t="shared" si="158"/>
        <v>0</v>
      </c>
      <c r="AL49" s="44">
        <f t="shared" si="159"/>
        <v>0</v>
      </c>
      <c r="AM49" s="45">
        <f t="shared" ref="AM49:AM65" si="191">+D49+R49-AC49-AH49</f>
        <v>0</v>
      </c>
      <c r="AN49" s="51">
        <f t="shared" ref="AN49:AN65" si="192">+G49+S49-AF49-AK49</f>
        <v>0</v>
      </c>
      <c r="AO49" s="51">
        <f t="shared" ref="AO49:AO65" si="193">+H49+T49-AG49-AL49</f>
        <v>0</v>
      </c>
      <c r="AP49" s="47" t="e">
        <f t="shared" si="163"/>
        <v>#DIV/0!</v>
      </c>
      <c r="AQ49" s="48">
        <f t="shared" si="20"/>
        <v>0</v>
      </c>
      <c r="AR49" s="49">
        <f t="shared" si="21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30"/>
        <v>46197</v>
      </c>
      <c r="C50" s="23" t="s">
        <v>54</v>
      </c>
      <c r="D50" s="50">
        <f t="shared" ref="D50" si="194">AH49</f>
        <v>0</v>
      </c>
      <c r="E50" s="34">
        <f t="shared" ref="E50" si="195">AI49</f>
        <v>0</v>
      </c>
      <c r="F50" s="34">
        <f t="shared" ref="F50" si="196">AJ49</f>
        <v>0</v>
      </c>
      <c r="G50" s="34">
        <f t="shared" si="156"/>
        <v>0</v>
      </c>
      <c r="H50" s="35">
        <f t="shared" si="157"/>
        <v>0</v>
      </c>
      <c r="I50" s="26">
        <f t="shared" si="15"/>
        <v>0</v>
      </c>
      <c r="J50" s="27"/>
      <c r="K50" s="28"/>
      <c r="L50" s="28"/>
      <c r="M50" s="61"/>
      <c r="N50" s="106"/>
      <c r="O50" s="31"/>
      <c r="P50" s="28"/>
      <c r="Q50" s="28"/>
      <c r="R50" s="64">
        <f t="shared" si="167"/>
        <v>0</v>
      </c>
      <c r="S50" s="34">
        <f t="shared" si="168"/>
        <v>0</v>
      </c>
      <c r="T50" s="35">
        <f t="shared" si="169"/>
        <v>0</v>
      </c>
      <c r="U50" s="314"/>
      <c r="V50" s="37"/>
      <c r="W50" s="38"/>
      <c r="X50" s="39"/>
      <c r="Y50" s="40"/>
      <c r="Z50" s="40"/>
      <c r="AA50" s="34">
        <f t="shared" si="189"/>
        <v>0</v>
      </c>
      <c r="AB50" s="44">
        <f t="shared" si="190"/>
        <v>0</v>
      </c>
      <c r="AC50" s="286"/>
      <c r="AD50" s="145"/>
      <c r="AE50" s="145"/>
      <c r="AF50" s="34">
        <f t="shared" si="170"/>
        <v>0</v>
      </c>
      <c r="AG50" s="35">
        <f t="shared" si="171"/>
        <v>0</v>
      </c>
      <c r="AH50" s="295"/>
      <c r="AI50" s="38"/>
      <c r="AJ50" s="38"/>
      <c r="AK50" s="34">
        <f t="shared" si="158"/>
        <v>0</v>
      </c>
      <c r="AL50" s="44">
        <f t="shared" si="159"/>
        <v>0</v>
      </c>
      <c r="AM50" s="45">
        <f t="shared" si="191"/>
        <v>0</v>
      </c>
      <c r="AN50" s="51">
        <f t="shared" si="192"/>
        <v>0</v>
      </c>
      <c r="AO50" s="51">
        <f t="shared" si="193"/>
        <v>0</v>
      </c>
      <c r="AP50" s="47" t="e">
        <f t="shared" si="163"/>
        <v>#DIV/0!</v>
      </c>
      <c r="AQ50" s="48">
        <f t="shared" si="20"/>
        <v>0</v>
      </c>
      <c r="AR50" s="49">
        <f t="shared" si="21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30"/>
        <v>46197</v>
      </c>
      <c r="C51" s="23" t="s">
        <v>55</v>
      </c>
      <c r="D51" s="50">
        <f t="shared" ref="D51" si="197">AH50</f>
        <v>0</v>
      </c>
      <c r="E51" s="34">
        <f t="shared" ref="E51" si="198">AI50</f>
        <v>0</v>
      </c>
      <c r="F51" s="34">
        <f t="shared" ref="F51" si="199">AJ50</f>
        <v>0</v>
      </c>
      <c r="G51" s="34">
        <f t="shared" si="156"/>
        <v>0</v>
      </c>
      <c r="H51" s="35">
        <f t="shared" si="157"/>
        <v>0</v>
      </c>
      <c r="I51" s="26">
        <f t="shared" si="15"/>
        <v>0</v>
      </c>
      <c r="J51" s="27"/>
      <c r="K51" s="28"/>
      <c r="L51" s="28"/>
      <c r="M51" s="61"/>
      <c r="N51" s="61"/>
      <c r="O51" s="31"/>
      <c r="P51" s="28"/>
      <c r="Q51" s="28"/>
      <c r="R51" s="64">
        <f t="shared" si="167"/>
        <v>0</v>
      </c>
      <c r="S51" s="34">
        <f t="shared" si="168"/>
        <v>0</v>
      </c>
      <c r="T51" s="35">
        <f t="shared" si="169"/>
        <v>0</v>
      </c>
      <c r="U51" s="314"/>
      <c r="V51" s="37"/>
      <c r="W51" s="38"/>
      <c r="X51" s="39"/>
      <c r="Y51" s="40"/>
      <c r="Z51" s="40"/>
      <c r="AA51" s="34">
        <f t="shared" si="189"/>
        <v>0</v>
      </c>
      <c r="AB51" s="44">
        <f t="shared" si="190"/>
        <v>0</v>
      </c>
      <c r="AC51" s="129"/>
      <c r="AD51" s="130"/>
      <c r="AE51" s="130"/>
      <c r="AF51" s="34">
        <f t="shared" si="170"/>
        <v>0</v>
      </c>
      <c r="AG51" s="35">
        <f t="shared" si="171"/>
        <v>0</v>
      </c>
      <c r="AH51" s="295"/>
      <c r="AI51" s="38"/>
      <c r="AJ51" s="38"/>
      <c r="AK51" s="34">
        <f t="shared" si="158"/>
        <v>0</v>
      </c>
      <c r="AL51" s="44">
        <f t="shared" si="159"/>
        <v>0</v>
      </c>
      <c r="AM51" s="45">
        <f t="shared" si="191"/>
        <v>0</v>
      </c>
      <c r="AN51" s="51">
        <f t="shared" si="192"/>
        <v>0</v>
      </c>
      <c r="AO51" s="51">
        <f t="shared" si="193"/>
        <v>0</v>
      </c>
      <c r="AP51" s="47" t="e">
        <f t="shared" si="163"/>
        <v>#DIV/0!</v>
      </c>
      <c r="AQ51" s="48">
        <f t="shared" si="20"/>
        <v>0</v>
      </c>
      <c r="AR51" s="49">
        <f t="shared" si="21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30"/>
        <v>46198</v>
      </c>
      <c r="C52" s="23" t="s">
        <v>54</v>
      </c>
      <c r="D52" s="50">
        <f t="shared" ref="D52" si="200">AH51</f>
        <v>0</v>
      </c>
      <c r="E52" s="34">
        <f t="shared" ref="E52" si="201">AI51</f>
        <v>0</v>
      </c>
      <c r="F52" s="34">
        <f t="shared" ref="F52" si="202">AJ51</f>
        <v>0</v>
      </c>
      <c r="G52" s="34">
        <f t="shared" si="156"/>
        <v>0</v>
      </c>
      <c r="H52" s="35">
        <f t="shared" si="157"/>
        <v>0</v>
      </c>
      <c r="I52" s="26">
        <f t="shared" si="15"/>
        <v>0</v>
      </c>
      <c r="J52" s="27"/>
      <c r="K52" s="28"/>
      <c r="L52" s="28"/>
      <c r="M52" s="61"/>
      <c r="N52" s="61"/>
      <c r="O52" s="31"/>
      <c r="P52" s="28"/>
      <c r="Q52" s="28"/>
      <c r="R52" s="64">
        <f t="shared" si="167"/>
        <v>0</v>
      </c>
      <c r="S52" s="34">
        <f t="shared" si="168"/>
        <v>0</v>
      </c>
      <c r="T52" s="35">
        <f t="shared" si="169"/>
        <v>0</v>
      </c>
      <c r="U52" s="314"/>
      <c r="V52" s="37"/>
      <c r="W52" s="38"/>
      <c r="X52" s="39"/>
      <c r="Y52" s="40"/>
      <c r="Z52" s="40"/>
      <c r="AA52" s="34">
        <f t="shared" si="189"/>
        <v>0</v>
      </c>
      <c r="AB52" s="44">
        <f t="shared" si="190"/>
        <v>0</v>
      </c>
      <c r="AC52" s="289"/>
      <c r="AD52" s="290"/>
      <c r="AE52" s="290"/>
      <c r="AF52" s="34">
        <f t="shared" si="170"/>
        <v>0</v>
      </c>
      <c r="AG52" s="35">
        <f t="shared" si="171"/>
        <v>0</v>
      </c>
      <c r="AH52" s="295"/>
      <c r="AI52" s="38"/>
      <c r="AJ52" s="38"/>
      <c r="AK52" s="34">
        <f t="shared" si="158"/>
        <v>0</v>
      </c>
      <c r="AL52" s="44">
        <f t="shared" si="159"/>
        <v>0</v>
      </c>
      <c r="AM52" s="45">
        <f t="shared" si="191"/>
        <v>0</v>
      </c>
      <c r="AN52" s="51">
        <f t="shared" si="192"/>
        <v>0</v>
      </c>
      <c r="AO52" s="51">
        <f t="shared" si="193"/>
        <v>0</v>
      </c>
      <c r="AP52" s="47" t="e">
        <f t="shared" si="163"/>
        <v>#DIV/0!</v>
      </c>
      <c r="AQ52" s="48">
        <f t="shared" si="20"/>
        <v>0</v>
      </c>
      <c r="AR52" s="49">
        <f t="shared" si="21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30"/>
        <v>46198</v>
      </c>
      <c r="C53" s="23" t="s">
        <v>55</v>
      </c>
      <c r="D53" s="50">
        <f t="shared" ref="D53" si="203">AH52</f>
        <v>0</v>
      </c>
      <c r="E53" s="34">
        <f t="shared" ref="E53" si="204">AI52</f>
        <v>0</v>
      </c>
      <c r="F53" s="34">
        <f t="shared" ref="F53" si="205">AJ52</f>
        <v>0</v>
      </c>
      <c r="G53" s="34">
        <f t="shared" si="156"/>
        <v>0</v>
      </c>
      <c r="H53" s="35">
        <f t="shared" si="157"/>
        <v>0</v>
      </c>
      <c r="I53" s="26">
        <f t="shared" si="15"/>
        <v>0</v>
      </c>
      <c r="J53" s="27"/>
      <c r="K53" s="28"/>
      <c r="L53" s="28"/>
      <c r="M53" s="61"/>
      <c r="N53" s="61"/>
      <c r="O53" s="31"/>
      <c r="P53" s="28"/>
      <c r="Q53" s="28"/>
      <c r="R53" s="64">
        <f t="shared" si="167"/>
        <v>0</v>
      </c>
      <c r="S53" s="34">
        <f t="shared" si="168"/>
        <v>0</v>
      </c>
      <c r="T53" s="35">
        <f t="shared" si="169"/>
        <v>0</v>
      </c>
      <c r="U53" s="314"/>
      <c r="V53" s="37"/>
      <c r="W53" s="38"/>
      <c r="X53" s="39"/>
      <c r="Y53" s="40"/>
      <c r="Z53" s="40"/>
      <c r="AA53" s="34">
        <f t="shared" si="181"/>
        <v>0</v>
      </c>
      <c r="AB53" s="44">
        <f t="shared" si="182"/>
        <v>0</v>
      </c>
      <c r="AC53" s="129"/>
      <c r="AD53" s="130"/>
      <c r="AE53" s="130"/>
      <c r="AF53" s="34">
        <f t="shared" si="170"/>
        <v>0</v>
      </c>
      <c r="AG53" s="35">
        <f t="shared" si="171"/>
        <v>0</v>
      </c>
      <c r="AH53" s="295"/>
      <c r="AI53" s="38"/>
      <c r="AJ53" s="38"/>
      <c r="AK53" s="34">
        <f t="shared" si="158"/>
        <v>0</v>
      </c>
      <c r="AL53" s="44">
        <f t="shared" si="159"/>
        <v>0</v>
      </c>
      <c r="AM53" s="45">
        <f t="shared" si="191"/>
        <v>0</v>
      </c>
      <c r="AN53" s="51">
        <f t="shared" si="192"/>
        <v>0</v>
      </c>
      <c r="AO53" s="51">
        <f t="shared" si="193"/>
        <v>0</v>
      </c>
      <c r="AP53" s="47" t="e">
        <f t="shared" si="163"/>
        <v>#DIV/0!</v>
      </c>
      <c r="AQ53" s="48">
        <f t="shared" si="20"/>
        <v>0</v>
      </c>
      <c r="AR53" s="49">
        <f t="shared" si="21"/>
        <v>0</v>
      </c>
      <c r="AS53" s="49"/>
      <c r="AT53" s="52">
        <v>770</v>
      </c>
      <c r="AU53" s="52" t="s">
        <v>130</v>
      </c>
      <c r="AV53" s="52"/>
      <c r="AW53" s="52"/>
    </row>
    <row r="54" spans="2:49" x14ac:dyDescent="0.25">
      <c r="B54" s="22">
        <f t="shared" si="30"/>
        <v>46199</v>
      </c>
      <c r="C54" s="23" t="s">
        <v>54</v>
      </c>
      <c r="D54" s="50">
        <f t="shared" ref="D54" si="206">AH53</f>
        <v>0</v>
      </c>
      <c r="E54" s="34">
        <f t="shared" ref="E54" si="207">AI53</f>
        <v>0</v>
      </c>
      <c r="F54" s="34">
        <f t="shared" ref="F54" si="208">AJ53</f>
        <v>0</v>
      </c>
      <c r="G54" s="34">
        <f t="shared" si="156"/>
        <v>0</v>
      </c>
      <c r="H54" s="35">
        <f t="shared" si="157"/>
        <v>0</v>
      </c>
      <c r="I54" s="26">
        <f t="shared" si="15"/>
        <v>0</v>
      </c>
      <c r="J54" s="27"/>
      <c r="K54" s="28"/>
      <c r="L54" s="28"/>
      <c r="M54" s="61"/>
      <c r="N54" s="61"/>
      <c r="O54" s="31"/>
      <c r="P54" s="28"/>
      <c r="Q54" s="28"/>
      <c r="R54" s="64">
        <f t="shared" si="167"/>
        <v>0</v>
      </c>
      <c r="S54" s="34">
        <f t="shared" si="168"/>
        <v>0</v>
      </c>
      <c r="T54" s="35">
        <f t="shared" si="169"/>
        <v>0</v>
      </c>
      <c r="U54" s="314"/>
      <c r="V54" s="37"/>
      <c r="W54" s="38"/>
      <c r="X54" s="39"/>
      <c r="Y54" s="40"/>
      <c r="Z54" s="40"/>
      <c r="AA54" s="34">
        <f t="shared" si="181"/>
        <v>0</v>
      </c>
      <c r="AB54" s="44">
        <f t="shared" si="182"/>
        <v>0</v>
      </c>
      <c r="AC54" s="286"/>
      <c r="AD54" s="145"/>
      <c r="AE54" s="145"/>
      <c r="AF54" s="34">
        <f t="shared" si="170"/>
        <v>0</v>
      </c>
      <c r="AG54" s="35">
        <f t="shared" si="171"/>
        <v>0</v>
      </c>
      <c r="AH54" s="295"/>
      <c r="AI54" s="38"/>
      <c r="AJ54" s="38"/>
      <c r="AK54" s="34">
        <f t="shared" si="158"/>
        <v>0</v>
      </c>
      <c r="AL54" s="44">
        <f t="shared" si="159"/>
        <v>0</v>
      </c>
      <c r="AM54" s="45">
        <f t="shared" si="191"/>
        <v>0</v>
      </c>
      <c r="AN54" s="51">
        <f t="shared" si="192"/>
        <v>0</v>
      </c>
      <c r="AO54" s="51">
        <f t="shared" si="193"/>
        <v>0</v>
      </c>
      <c r="AP54" s="47" t="e">
        <f t="shared" si="163"/>
        <v>#DIV/0!</v>
      </c>
      <c r="AQ54" s="48">
        <f t="shared" si="20"/>
        <v>0</v>
      </c>
      <c r="AR54" s="49">
        <f t="shared" si="21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30"/>
        <v>46199</v>
      </c>
      <c r="C55" s="23" t="s">
        <v>55</v>
      </c>
      <c r="D55" s="50">
        <f t="shared" si="164"/>
        <v>0</v>
      </c>
      <c r="E55" s="34">
        <f t="shared" si="165"/>
        <v>0</v>
      </c>
      <c r="F55" s="34">
        <f t="shared" si="166"/>
        <v>0</v>
      </c>
      <c r="G55" s="34">
        <f t="shared" si="156"/>
        <v>0</v>
      </c>
      <c r="H55" s="35">
        <f t="shared" si="157"/>
        <v>0</v>
      </c>
      <c r="I55" s="26">
        <f t="shared" si="15"/>
        <v>0</v>
      </c>
      <c r="J55" s="27"/>
      <c r="K55" s="28"/>
      <c r="L55" s="28"/>
      <c r="M55" s="61"/>
      <c r="N55" s="61"/>
      <c r="O55" s="31"/>
      <c r="P55" s="28"/>
      <c r="Q55" s="28"/>
      <c r="R55" s="64">
        <f t="shared" si="167"/>
        <v>0</v>
      </c>
      <c r="S55" s="34">
        <f t="shared" ref="S55" si="209">(J55*K55%)+(O55*P55%)</f>
        <v>0</v>
      </c>
      <c r="T55" s="35">
        <f t="shared" ref="T55" si="210">(J55*L55%)+(O55*Q55%)</f>
        <v>0</v>
      </c>
      <c r="U55" s="314"/>
      <c r="V55" s="37"/>
      <c r="W55" s="38"/>
      <c r="X55" s="39"/>
      <c r="Y55" s="40"/>
      <c r="Z55" s="40"/>
      <c r="AA55" s="34">
        <f t="shared" ref="AA55:AA56" si="211">X55*Y55%</f>
        <v>0</v>
      </c>
      <c r="AB55" s="44">
        <f t="shared" ref="AB55:AB56" si="212">X55*Z55%</f>
        <v>0</v>
      </c>
      <c r="AC55" s="129"/>
      <c r="AD55" s="130"/>
      <c r="AE55" s="130"/>
      <c r="AF55" s="34">
        <f t="shared" si="170"/>
        <v>0</v>
      </c>
      <c r="AG55" s="35">
        <f t="shared" si="171"/>
        <v>0</v>
      </c>
      <c r="AH55" s="295"/>
      <c r="AI55" s="38"/>
      <c r="AJ55" s="38"/>
      <c r="AK55" s="34">
        <f t="shared" si="158"/>
        <v>0</v>
      </c>
      <c r="AL55" s="44">
        <f t="shared" si="159"/>
        <v>0</v>
      </c>
      <c r="AM55" s="45">
        <f t="shared" si="191"/>
        <v>0</v>
      </c>
      <c r="AN55" s="51">
        <f t="shared" si="192"/>
        <v>0</v>
      </c>
      <c r="AO55" s="51">
        <f t="shared" si="193"/>
        <v>0</v>
      </c>
      <c r="AP55" s="47" t="e">
        <f t="shared" si="163"/>
        <v>#DIV/0!</v>
      </c>
      <c r="AQ55" s="48">
        <f t="shared" si="20"/>
        <v>0</v>
      </c>
      <c r="AR55" s="49">
        <f t="shared" si="21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30"/>
        <v>46200</v>
      </c>
      <c r="C56" s="23" t="s">
        <v>54</v>
      </c>
      <c r="D56" s="50">
        <f t="shared" ref="D56" si="213">AH55</f>
        <v>0</v>
      </c>
      <c r="E56" s="34">
        <f t="shared" ref="E56" si="214">AI55</f>
        <v>0</v>
      </c>
      <c r="F56" s="34">
        <f t="shared" ref="F56" si="215">AJ55</f>
        <v>0</v>
      </c>
      <c r="G56" s="34">
        <f t="shared" si="156"/>
        <v>0</v>
      </c>
      <c r="H56" s="35">
        <f t="shared" si="157"/>
        <v>0</v>
      </c>
      <c r="I56" s="26">
        <f t="shared" si="15"/>
        <v>0</v>
      </c>
      <c r="J56" s="27"/>
      <c r="K56" s="28"/>
      <c r="L56" s="28"/>
      <c r="M56" s="61"/>
      <c r="N56" s="61"/>
      <c r="O56" s="31"/>
      <c r="P56" s="28"/>
      <c r="Q56" s="28"/>
      <c r="R56" s="64">
        <f t="shared" ref="R56" si="216">O56+J56</f>
        <v>0</v>
      </c>
      <c r="S56" s="34">
        <f t="shared" ref="S56" si="217">(J56*K56%)+(O56*P56%)</f>
        <v>0</v>
      </c>
      <c r="T56" s="35">
        <f t="shared" ref="T56" si="218">(J56*L56%)+(O56*Q56%)</f>
        <v>0</v>
      </c>
      <c r="U56" s="314"/>
      <c r="V56" s="37"/>
      <c r="W56" s="38"/>
      <c r="X56" s="39"/>
      <c r="Y56" s="40"/>
      <c r="Z56" s="40"/>
      <c r="AA56" s="34">
        <f t="shared" si="211"/>
        <v>0</v>
      </c>
      <c r="AB56" s="44">
        <f t="shared" si="212"/>
        <v>0</v>
      </c>
      <c r="AC56" s="129"/>
      <c r="AD56" s="130"/>
      <c r="AE56" s="130"/>
      <c r="AF56" s="34">
        <f t="shared" si="170"/>
        <v>0</v>
      </c>
      <c r="AG56" s="35">
        <f t="shared" si="171"/>
        <v>0</v>
      </c>
      <c r="AH56" s="295"/>
      <c r="AI56" s="38"/>
      <c r="AJ56" s="38"/>
      <c r="AK56" s="34">
        <f t="shared" si="158"/>
        <v>0</v>
      </c>
      <c r="AL56" s="44">
        <f t="shared" si="159"/>
        <v>0</v>
      </c>
      <c r="AM56" s="45">
        <f t="shared" si="191"/>
        <v>0</v>
      </c>
      <c r="AN56" s="51">
        <f t="shared" si="192"/>
        <v>0</v>
      </c>
      <c r="AO56" s="51">
        <f t="shared" si="193"/>
        <v>0</v>
      </c>
      <c r="AP56" s="47" t="e">
        <f t="shared" si="163"/>
        <v>#DIV/0!</v>
      </c>
      <c r="AQ56" s="48">
        <f t="shared" si="20"/>
        <v>0</v>
      </c>
      <c r="AR56" s="49">
        <f t="shared" si="21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30"/>
        <v>46200</v>
      </c>
      <c r="C57" s="23" t="s">
        <v>55</v>
      </c>
      <c r="D57" s="50">
        <f t="shared" si="164"/>
        <v>0</v>
      </c>
      <c r="E57" s="34">
        <f t="shared" si="165"/>
        <v>0</v>
      </c>
      <c r="F57" s="34">
        <f t="shared" si="166"/>
        <v>0</v>
      </c>
      <c r="G57" s="34">
        <f t="shared" si="156"/>
        <v>0</v>
      </c>
      <c r="H57" s="35">
        <f t="shared" si="157"/>
        <v>0</v>
      </c>
      <c r="I57" s="26">
        <f t="shared" si="15"/>
        <v>0</v>
      </c>
      <c r="J57" s="27"/>
      <c r="K57" s="28"/>
      <c r="L57" s="28"/>
      <c r="M57" s="61"/>
      <c r="N57" s="106"/>
      <c r="O57" s="31"/>
      <c r="P57" s="28"/>
      <c r="Q57" s="28"/>
      <c r="R57" s="64">
        <f t="shared" ref="R57" si="219">O57+J57</f>
        <v>0</v>
      </c>
      <c r="S57" s="34">
        <f t="shared" ref="S57" si="220">(J57*K57%)+(O57*P57%)</f>
        <v>0</v>
      </c>
      <c r="T57" s="35">
        <f t="shared" ref="T57" si="221">(J57*L57%)+(O57*Q57%)</f>
        <v>0</v>
      </c>
      <c r="U57" s="314"/>
      <c r="V57" s="37"/>
      <c r="W57" s="38"/>
      <c r="X57" s="39"/>
      <c r="Y57" s="40"/>
      <c r="Z57" s="40"/>
      <c r="AA57" s="34">
        <f t="shared" ref="AA57" si="222">X57*Y57%</f>
        <v>0</v>
      </c>
      <c r="AB57" s="44">
        <f t="shared" ref="AB57" si="223">X57*Z57%</f>
        <v>0</v>
      </c>
      <c r="AC57" s="129"/>
      <c r="AD57" s="130"/>
      <c r="AE57" s="130"/>
      <c r="AF57" s="34">
        <f t="shared" ref="AF57" si="224">AC57*AD57%</f>
        <v>0</v>
      </c>
      <c r="AG57" s="35">
        <f t="shared" ref="AG57" si="225">AC57*AE57%</f>
        <v>0</v>
      </c>
      <c r="AH57" s="295"/>
      <c r="AI57" s="38"/>
      <c r="AJ57" s="38"/>
      <c r="AK57" s="34">
        <f t="shared" si="158"/>
        <v>0</v>
      </c>
      <c r="AL57" s="44">
        <f t="shared" si="159"/>
        <v>0</v>
      </c>
      <c r="AM57" s="45">
        <f t="shared" si="191"/>
        <v>0</v>
      </c>
      <c r="AN57" s="51">
        <f t="shared" si="192"/>
        <v>0</v>
      </c>
      <c r="AO57" s="51">
        <f t="shared" si="193"/>
        <v>0</v>
      </c>
      <c r="AP57" s="47" t="e">
        <f t="shared" si="163"/>
        <v>#DIV/0!</v>
      </c>
      <c r="AQ57" s="48">
        <f t="shared" si="20"/>
        <v>0</v>
      </c>
      <c r="AR57" s="49">
        <f t="shared" si="21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30"/>
        <v>46201</v>
      </c>
      <c r="C58" s="23" t="s">
        <v>54</v>
      </c>
      <c r="D58" s="50">
        <f t="shared" ref="D58" si="226">AH57</f>
        <v>0</v>
      </c>
      <c r="E58" s="34">
        <f t="shared" ref="E58" si="227">AI57</f>
        <v>0</v>
      </c>
      <c r="F58" s="34">
        <f t="shared" ref="F58" si="228">AJ57</f>
        <v>0</v>
      </c>
      <c r="G58" s="34">
        <f t="shared" si="156"/>
        <v>0</v>
      </c>
      <c r="H58" s="35">
        <f t="shared" si="157"/>
        <v>0</v>
      </c>
      <c r="I58" s="26">
        <f t="shared" si="15"/>
        <v>0</v>
      </c>
      <c r="J58" s="27"/>
      <c r="K58" s="28"/>
      <c r="L58" s="28"/>
      <c r="M58" s="61"/>
      <c r="N58" s="106"/>
      <c r="O58" s="31"/>
      <c r="P58" s="28"/>
      <c r="Q58" s="28"/>
      <c r="R58" s="64">
        <f t="shared" si="167"/>
        <v>0</v>
      </c>
      <c r="S58" s="34">
        <f t="shared" si="168"/>
        <v>0</v>
      </c>
      <c r="T58" s="35">
        <f t="shared" si="169"/>
        <v>0</v>
      </c>
      <c r="U58" s="314"/>
      <c r="V58" s="37"/>
      <c r="W58" s="38"/>
      <c r="X58" s="39"/>
      <c r="Y58" s="40"/>
      <c r="Z58" s="40"/>
      <c r="AA58" s="34">
        <f t="shared" si="181"/>
        <v>0</v>
      </c>
      <c r="AB58" s="44">
        <f t="shared" si="182"/>
        <v>0</v>
      </c>
      <c r="AC58" s="129"/>
      <c r="AD58" s="130"/>
      <c r="AE58" s="130"/>
      <c r="AF58" s="34">
        <f t="shared" si="170"/>
        <v>0</v>
      </c>
      <c r="AG58" s="35">
        <f t="shared" si="171"/>
        <v>0</v>
      </c>
      <c r="AH58" s="295"/>
      <c r="AI58" s="38"/>
      <c r="AJ58" s="38"/>
      <c r="AK58" s="34">
        <f t="shared" si="158"/>
        <v>0</v>
      </c>
      <c r="AL58" s="44">
        <f t="shared" si="159"/>
        <v>0</v>
      </c>
      <c r="AM58" s="45">
        <f t="shared" si="191"/>
        <v>0</v>
      </c>
      <c r="AN58" s="51">
        <f t="shared" si="192"/>
        <v>0</v>
      </c>
      <c r="AO58" s="51">
        <f t="shared" si="193"/>
        <v>0</v>
      </c>
      <c r="AP58" s="47" t="e">
        <f t="shared" si="163"/>
        <v>#DIV/0!</v>
      </c>
      <c r="AQ58" s="48">
        <f t="shared" si="20"/>
        <v>0</v>
      </c>
      <c r="AR58" s="49">
        <f t="shared" si="21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30"/>
        <v>46201</v>
      </c>
      <c r="C59" s="23" t="s">
        <v>55</v>
      </c>
      <c r="D59" s="50">
        <f t="shared" ref="D59" si="229">AH58</f>
        <v>0</v>
      </c>
      <c r="E59" s="34">
        <f t="shared" ref="E59" si="230">AI58</f>
        <v>0</v>
      </c>
      <c r="F59" s="34">
        <f t="shared" ref="F59" si="231">AJ58</f>
        <v>0</v>
      </c>
      <c r="G59" s="34">
        <f t="shared" si="156"/>
        <v>0</v>
      </c>
      <c r="H59" s="35">
        <f t="shared" si="157"/>
        <v>0</v>
      </c>
      <c r="I59" s="26">
        <f t="shared" si="15"/>
        <v>0</v>
      </c>
      <c r="J59" s="27"/>
      <c r="K59" s="28"/>
      <c r="L59" s="28"/>
      <c r="M59" s="61"/>
      <c r="N59" s="61"/>
      <c r="O59" s="31"/>
      <c r="P59" s="28"/>
      <c r="Q59" s="28"/>
      <c r="R59" s="64">
        <f t="shared" si="167"/>
        <v>0</v>
      </c>
      <c r="S59" s="34">
        <f t="shared" si="168"/>
        <v>0</v>
      </c>
      <c r="T59" s="35">
        <f t="shared" si="169"/>
        <v>0</v>
      </c>
      <c r="U59" s="314"/>
      <c r="V59" s="37"/>
      <c r="W59" s="38"/>
      <c r="X59" s="39"/>
      <c r="Y59" s="40"/>
      <c r="Z59" s="40"/>
      <c r="AA59" s="34">
        <f t="shared" si="181"/>
        <v>0</v>
      </c>
      <c r="AB59" s="44">
        <f t="shared" si="182"/>
        <v>0</v>
      </c>
      <c r="AC59" s="129"/>
      <c r="AD59" s="130"/>
      <c r="AE59" s="130"/>
      <c r="AF59" s="34">
        <f t="shared" si="170"/>
        <v>0</v>
      </c>
      <c r="AG59" s="35">
        <f t="shared" si="171"/>
        <v>0</v>
      </c>
      <c r="AH59" s="295"/>
      <c r="AI59" s="38"/>
      <c r="AJ59" s="38"/>
      <c r="AK59" s="34">
        <f t="shared" si="158"/>
        <v>0</v>
      </c>
      <c r="AL59" s="44">
        <f t="shared" si="159"/>
        <v>0</v>
      </c>
      <c r="AM59" s="45">
        <f t="shared" si="191"/>
        <v>0</v>
      </c>
      <c r="AN59" s="51">
        <f t="shared" si="192"/>
        <v>0</v>
      </c>
      <c r="AO59" s="51">
        <f t="shared" si="193"/>
        <v>0</v>
      </c>
      <c r="AP59" s="47" t="e">
        <f t="shared" si="163"/>
        <v>#DIV/0!</v>
      </c>
      <c r="AQ59" s="48">
        <f t="shared" si="20"/>
        <v>0</v>
      </c>
      <c r="AR59" s="49">
        <f t="shared" si="21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30"/>
        <v>46202</v>
      </c>
      <c r="C60" s="23" t="s">
        <v>54</v>
      </c>
      <c r="D60" s="50">
        <f t="shared" ref="D60:D65" si="232">AH59</f>
        <v>0</v>
      </c>
      <c r="E60" s="34">
        <f t="shared" ref="E60:E65" si="233">AI59</f>
        <v>0</v>
      </c>
      <c r="F60" s="34">
        <f t="shared" ref="F60:F65" si="234">AJ59</f>
        <v>0</v>
      </c>
      <c r="G60" s="34">
        <f t="shared" si="156"/>
        <v>0</v>
      </c>
      <c r="H60" s="35">
        <f t="shared" si="157"/>
        <v>0</v>
      </c>
      <c r="I60" s="26">
        <f t="shared" si="15"/>
        <v>0</v>
      </c>
      <c r="J60" s="27"/>
      <c r="K60" s="28"/>
      <c r="L60" s="28"/>
      <c r="M60" s="61"/>
      <c r="N60" s="106"/>
      <c r="O60" s="31"/>
      <c r="P60" s="28"/>
      <c r="Q60" s="28"/>
      <c r="R60" s="64">
        <f t="shared" si="167"/>
        <v>0</v>
      </c>
      <c r="S60" s="34">
        <f t="shared" si="168"/>
        <v>0</v>
      </c>
      <c r="T60" s="35">
        <f t="shared" si="169"/>
        <v>0</v>
      </c>
      <c r="U60" s="314"/>
      <c r="V60" s="37"/>
      <c r="W60" s="38"/>
      <c r="X60" s="39"/>
      <c r="Y60" s="40"/>
      <c r="Z60" s="40"/>
      <c r="AA60" s="34">
        <f t="shared" si="181"/>
        <v>0</v>
      </c>
      <c r="AB60" s="35">
        <f t="shared" si="182"/>
        <v>0</v>
      </c>
      <c r="AC60" s="302"/>
      <c r="AD60" s="292"/>
      <c r="AE60" s="292"/>
      <c r="AF60" s="34">
        <f t="shared" si="170"/>
        <v>0</v>
      </c>
      <c r="AG60" s="35">
        <f t="shared" si="171"/>
        <v>0</v>
      </c>
      <c r="AH60" s="295"/>
      <c r="AI60" s="38"/>
      <c r="AJ60" s="38"/>
      <c r="AK60" s="34">
        <f t="shared" si="158"/>
        <v>0</v>
      </c>
      <c r="AL60" s="44">
        <f t="shared" si="159"/>
        <v>0</v>
      </c>
      <c r="AM60" s="45">
        <f t="shared" si="191"/>
        <v>0</v>
      </c>
      <c r="AN60" s="51">
        <f t="shared" si="192"/>
        <v>0</v>
      </c>
      <c r="AO60" s="51">
        <f t="shared" si="193"/>
        <v>0</v>
      </c>
      <c r="AP60" s="47" t="e">
        <f t="shared" si="163"/>
        <v>#DIV/0!</v>
      </c>
      <c r="AQ60" s="48">
        <f t="shared" si="20"/>
        <v>0</v>
      </c>
      <c r="AR60" s="49">
        <f t="shared" si="21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30"/>
        <v>46202</v>
      </c>
      <c r="C61" s="23" t="s">
        <v>55</v>
      </c>
      <c r="D61" s="50">
        <f t="shared" si="232"/>
        <v>0</v>
      </c>
      <c r="E61" s="34">
        <f t="shared" si="233"/>
        <v>0</v>
      </c>
      <c r="F61" s="34">
        <f t="shared" si="234"/>
        <v>0</v>
      </c>
      <c r="G61" s="34">
        <f t="shared" si="156"/>
        <v>0</v>
      </c>
      <c r="H61" s="35">
        <f t="shared" si="157"/>
        <v>0</v>
      </c>
      <c r="I61" s="26">
        <f t="shared" si="15"/>
        <v>0</v>
      </c>
      <c r="J61" s="27"/>
      <c r="K61" s="28"/>
      <c r="L61" s="28"/>
      <c r="M61" s="61"/>
      <c r="N61" s="61"/>
      <c r="O61" s="31"/>
      <c r="P61" s="28"/>
      <c r="Q61" s="28"/>
      <c r="R61" s="64">
        <f t="shared" si="167"/>
        <v>0</v>
      </c>
      <c r="S61" s="34">
        <f t="shared" si="168"/>
        <v>0</v>
      </c>
      <c r="T61" s="35">
        <f t="shared" si="169"/>
        <v>0</v>
      </c>
      <c r="U61" s="314"/>
      <c r="V61" s="37"/>
      <c r="W61" s="38"/>
      <c r="X61" s="39"/>
      <c r="Y61" s="40"/>
      <c r="Z61" s="40"/>
      <c r="AA61" s="34">
        <f t="shared" si="181"/>
        <v>0</v>
      </c>
      <c r="AB61" s="35">
        <f t="shared" si="182"/>
        <v>0</v>
      </c>
      <c r="AC61" s="303"/>
      <c r="AD61" s="290"/>
      <c r="AE61" s="290"/>
      <c r="AF61" s="34">
        <f t="shared" si="170"/>
        <v>0</v>
      </c>
      <c r="AG61" s="35">
        <f t="shared" si="171"/>
        <v>0</v>
      </c>
      <c r="AH61" s="295"/>
      <c r="AI61" s="38"/>
      <c r="AJ61" s="38"/>
      <c r="AK61" s="34">
        <f t="shared" si="158"/>
        <v>0</v>
      </c>
      <c r="AL61" s="44">
        <f t="shared" si="159"/>
        <v>0</v>
      </c>
      <c r="AM61" s="45">
        <f t="shared" si="191"/>
        <v>0</v>
      </c>
      <c r="AN61" s="51">
        <f t="shared" si="192"/>
        <v>0</v>
      </c>
      <c r="AO61" s="51">
        <f t="shared" si="193"/>
        <v>0</v>
      </c>
      <c r="AP61" s="47" t="e">
        <f t="shared" si="163"/>
        <v>#DIV/0!</v>
      </c>
      <c r="AQ61" s="48">
        <f t="shared" si="20"/>
        <v>0</v>
      </c>
      <c r="AR61" s="49">
        <f t="shared" si="21"/>
        <v>0</v>
      </c>
      <c r="AS61" s="49"/>
      <c r="AT61" s="52"/>
      <c r="AU61" s="52"/>
      <c r="AV61" s="52"/>
      <c r="AW61" s="52"/>
    </row>
    <row r="62" spans="2:49" x14ac:dyDescent="0.25">
      <c r="B62" s="22">
        <f t="shared" si="30"/>
        <v>46203</v>
      </c>
      <c r="C62" s="23" t="s">
        <v>54</v>
      </c>
      <c r="D62" s="50">
        <f t="shared" si="232"/>
        <v>0</v>
      </c>
      <c r="E62" s="34">
        <f t="shared" si="233"/>
        <v>0</v>
      </c>
      <c r="F62" s="34">
        <f t="shared" si="234"/>
        <v>0</v>
      </c>
      <c r="G62" s="34">
        <f t="shared" si="156"/>
        <v>0</v>
      </c>
      <c r="H62" s="35">
        <f t="shared" si="157"/>
        <v>0</v>
      </c>
      <c r="I62" s="26">
        <f t="shared" si="15"/>
        <v>0</v>
      </c>
      <c r="J62" s="27"/>
      <c r="K62" s="28"/>
      <c r="L62" s="28"/>
      <c r="M62" s="61"/>
      <c r="N62" s="106"/>
      <c r="O62" s="31"/>
      <c r="P62" s="28"/>
      <c r="Q62" s="28"/>
      <c r="R62" s="64">
        <f t="shared" si="167"/>
        <v>0</v>
      </c>
      <c r="S62" s="34">
        <f t="shared" si="168"/>
        <v>0</v>
      </c>
      <c r="T62" s="35">
        <f t="shared" si="169"/>
        <v>0</v>
      </c>
      <c r="U62" s="314"/>
      <c r="V62" s="37"/>
      <c r="W62" s="38"/>
      <c r="X62" s="39"/>
      <c r="Y62" s="40"/>
      <c r="Z62" s="40"/>
      <c r="AA62" s="34">
        <f t="shared" si="181"/>
        <v>0</v>
      </c>
      <c r="AB62" s="35">
        <f t="shared" si="182"/>
        <v>0</v>
      </c>
      <c r="AC62" s="302"/>
      <c r="AD62" s="292"/>
      <c r="AE62" s="292"/>
      <c r="AF62" s="34">
        <f t="shared" si="170"/>
        <v>0</v>
      </c>
      <c r="AG62" s="35">
        <f t="shared" si="171"/>
        <v>0</v>
      </c>
      <c r="AH62" s="295"/>
      <c r="AI62" s="38"/>
      <c r="AJ62" s="38"/>
      <c r="AK62" s="34">
        <f t="shared" si="158"/>
        <v>0</v>
      </c>
      <c r="AL62" s="44">
        <f t="shared" si="159"/>
        <v>0</v>
      </c>
      <c r="AM62" s="45">
        <f t="shared" si="191"/>
        <v>0</v>
      </c>
      <c r="AN62" s="51">
        <f t="shared" si="192"/>
        <v>0</v>
      </c>
      <c r="AO62" s="51">
        <f t="shared" si="193"/>
        <v>0</v>
      </c>
      <c r="AP62" s="47" t="e">
        <f t="shared" si="163"/>
        <v>#DIV/0!</v>
      </c>
      <c r="AQ62" s="48">
        <f t="shared" si="20"/>
        <v>0</v>
      </c>
      <c r="AR62" s="49">
        <f t="shared" si="21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30"/>
        <v>46203</v>
      </c>
      <c r="C63" s="23" t="s">
        <v>55</v>
      </c>
      <c r="D63" s="50">
        <f t="shared" si="232"/>
        <v>0</v>
      </c>
      <c r="E63" s="34">
        <f t="shared" si="233"/>
        <v>0</v>
      </c>
      <c r="F63" s="34">
        <f t="shared" si="234"/>
        <v>0</v>
      </c>
      <c r="G63" s="34">
        <f t="shared" si="156"/>
        <v>0</v>
      </c>
      <c r="H63" s="35">
        <f t="shared" si="157"/>
        <v>0</v>
      </c>
      <c r="I63" s="26">
        <f t="shared" si="15"/>
        <v>0</v>
      </c>
      <c r="J63" s="27"/>
      <c r="K63" s="28"/>
      <c r="L63" s="28"/>
      <c r="M63" s="61"/>
      <c r="N63" s="61"/>
      <c r="O63" s="31"/>
      <c r="P63" s="28"/>
      <c r="Q63" s="28"/>
      <c r="R63" s="64">
        <f t="shared" si="167"/>
        <v>0</v>
      </c>
      <c r="S63" s="34">
        <f t="shared" si="168"/>
        <v>0</v>
      </c>
      <c r="T63" s="35">
        <f t="shared" si="169"/>
        <v>0</v>
      </c>
      <c r="U63" s="314"/>
      <c r="V63" s="37"/>
      <c r="W63" s="38"/>
      <c r="X63" s="39"/>
      <c r="Y63" s="40"/>
      <c r="Z63" s="40"/>
      <c r="AA63" s="34">
        <f t="shared" si="181"/>
        <v>0</v>
      </c>
      <c r="AB63" s="44">
        <f t="shared" si="182"/>
        <v>0</v>
      </c>
      <c r="AC63" s="289"/>
      <c r="AD63" s="290"/>
      <c r="AE63" s="290"/>
      <c r="AF63" s="34">
        <f t="shared" si="170"/>
        <v>0</v>
      </c>
      <c r="AG63" s="35">
        <f t="shared" si="171"/>
        <v>0</v>
      </c>
      <c r="AH63" s="295"/>
      <c r="AI63" s="38"/>
      <c r="AJ63" s="38"/>
      <c r="AK63" s="34">
        <f t="shared" si="158"/>
        <v>0</v>
      </c>
      <c r="AL63" s="44">
        <f t="shared" si="159"/>
        <v>0</v>
      </c>
      <c r="AM63" s="45">
        <f t="shared" si="191"/>
        <v>0</v>
      </c>
      <c r="AN63" s="51">
        <f t="shared" si="192"/>
        <v>0</v>
      </c>
      <c r="AO63" s="51">
        <f t="shared" si="193"/>
        <v>0</v>
      </c>
      <c r="AP63" s="47" t="e">
        <f t="shared" si="163"/>
        <v>#DIV/0!</v>
      </c>
      <c r="AQ63" s="48">
        <f t="shared" si="20"/>
        <v>0</v>
      </c>
      <c r="AR63" s="49">
        <f t="shared" si="21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30"/>
        <v>46204</v>
      </c>
      <c r="C64" s="23" t="s">
        <v>54</v>
      </c>
      <c r="D64" s="50"/>
      <c r="E64" s="34"/>
      <c r="F64" s="34"/>
      <c r="G64" s="34">
        <f t="shared" si="156"/>
        <v>0</v>
      </c>
      <c r="H64" s="35">
        <f t="shared" si="157"/>
        <v>0</v>
      </c>
      <c r="I64" s="26">
        <f t="shared" si="15"/>
        <v>0</v>
      </c>
      <c r="J64" s="27"/>
      <c r="K64" s="28"/>
      <c r="L64" s="28"/>
      <c r="M64" s="61"/>
      <c r="N64" s="106"/>
      <c r="O64" s="31"/>
      <c r="P64" s="28"/>
      <c r="Q64" s="28"/>
      <c r="R64" s="64">
        <f t="shared" si="167"/>
        <v>0</v>
      </c>
      <c r="S64" s="34">
        <f t="shared" si="168"/>
        <v>0</v>
      </c>
      <c r="T64" s="35">
        <f t="shared" si="169"/>
        <v>0</v>
      </c>
      <c r="U64" s="314"/>
      <c r="V64" s="37"/>
      <c r="W64" s="38"/>
      <c r="X64" s="39"/>
      <c r="Y64" s="40"/>
      <c r="Z64" s="40"/>
      <c r="AA64" s="34">
        <f t="shared" si="181"/>
        <v>0</v>
      </c>
      <c r="AB64" s="44">
        <f t="shared" si="182"/>
        <v>0</v>
      </c>
      <c r="AC64" s="129"/>
      <c r="AD64" s="130"/>
      <c r="AE64" s="130"/>
      <c r="AF64" s="34">
        <f t="shared" si="170"/>
        <v>0</v>
      </c>
      <c r="AG64" s="35">
        <f t="shared" si="171"/>
        <v>0</v>
      </c>
      <c r="AH64" s="295"/>
      <c r="AI64" s="38"/>
      <c r="AJ64" s="38"/>
      <c r="AK64" s="34">
        <f t="shared" si="158"/>
        <v>0</v>
      </c>
      <c r="AL64" s="44">
        <f t="shared" si="159"/>
        <v>0</v>
      </c>
      <c r="AM64" s="45">
        <f t="shared" si="191"/>
        <v>0</v>
      </c>
      <c r="AN64" s="51">
        <f t="shared" si="192"/>
        <v>0</v>
      </c>
      <c r="AO64" s="51">
        <f t="shared" si="193"/>
        <v>0</v>
      </c>
      <c r="AP64" s="47" t="e">
        <f t="shared" si="163"/>
        <v>#DIV/0!</v>
      </c>
      <c r="AQ64" s="48">
        <f t="shared" si="20"/>
        <v>0</v>
      </c>
      <c r="AR64" s="49">
        <f t="shared" si="21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0"/>
        <v>46204</v>
      </c>
      <c r="C65" s="23" t="s">
        <v>55</v>
      </c>
      <c r="D65" s="50">
        <f t="shared" si="232"/>
        <v>0</v>
      </c>
      <c r="E65" s="34">
        <f t="shared" si="233"/>
        <v>0</v>
      </c>
      <c r="F65" s="34">
        <f t="shared" si="234"/>
        <v>0</v>
      </c>
      <c r="G65" s="34">
        <f t="shared" si="156"/>
        <v>0</v>
      </c>
      <c r="H65" s="35">
        <f t="shared" si="157"/>
        <v>0</v>
      </c>
      <c r="I65" s="26">
        <f t="shared" si="15"/>
        <v>0</v>
      </c>
      <c r="J65" s="27"/>
      <c r="K65" s="28"/>
      <c r="L65" s="28"/>
      <c r="M65" s="61"/>
      <c r="N65" s="61"/>
      <c r="O65" s="31"/>
      <c r="P65" s="28"/>
      <c r="Q65" s="28"/>
      <c r="R65" s="64">
        <f t="shared" si="167"/>
        <v>0</v>
      </c>
      <c r="S65" s="34">
        <f t="shared" si="168"/>
        <v>0</v>
      </c>
      <c r="T65" s="35">
        <f t="shared" si="169"/>
        <v>0</v>
      </c>
      <c r="U65" s="314"/>
      <c r="V65" s="37"/>
      <c r="W65" s="38"/>
      <c r="X65" s="39"/>
      <c r="Y65" s="40"/>
      <c r="Z65" s="40"/>
      <c r="AA65" s="34">
        <f t="shared" si="181"/>
        <v>0</v>
      </c>
      <c r="AB65" s="44">
        <f t="shared" si="182"/>
        <v>0</v>
      </c>
      <c r="AC65" s="129"/>
      <c r="AD65" s="130"/>
      <c r="AE65" s="130"/>
      <c r="AF65" s="34">
        <f t="shared" si="170"/>
        <v>0</v>
      </c>
      <c r="AG65" s="35">
        <f t="shared" si="171"/>
        <v>0</v>
      </c>
      <c r="AH65" s="295"/>
      <c r="AI65" s="38"/>
      <c r="AJ65" s="38"/>
      <c r="AK65" s="34">
        <f t="shared" si="158"/>
        <v>0</v>
      </c>
      <c r="AL65" s="44">
        <f t="shared" si="159"/>
        <v>0</v>
      </c>
      <c r="AM65" s="45">
        <f t="shared" si="191"/>
        <v>0</v>
      </c>
      <c r="AN65" s="51">
        <f t="shared" si="192"/>
        <v>0</v>
      </c>
      <c r="AO65" s="51">
        <f t="shared" si="193"/>
        <v>0</v>
      </c>
      <c r="AP65" s="47" t="e">
        <f t="shared" si="163"/>
        <v>#DIV/0!</v>
      </c>
      <c r="AQ65" s="48">
        <f t="shared" si="20"/>
        <v>0</v>
      </c>
      <c r="AR65" s="49">
        <f t="shared" si="21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2880.0345000000002</v>
      </c>
      <c r="K66">
        <f>SUMPRODUCT(J4:J65,K4:K65)/J66</f>
        <v>4.3896071383867108</v>
      </c>
      <c r="L66">
        <f>SUMPRODUCT(J4:J65,L4:L65)/J66</f>
        <v>8.4952524006222827</v>
      </c>
      <c r="X66" s="49">
        <f>SUM(X6:X65)</f>
        <v>1502</v>
      </c>
      <c r="AC66" s="152">
        <f>SUM(AC6:AC65)</f>
        <v>1519</v>
      </c>
      <c r="AM66" s="55">
        <f>-SUM(AM4:AM65)</f>
        <v>14.525499999999965</v>
      </c>
      <c r="AN66" s="55">
        <f>-SUM(AN4:AN65)</f>
        <v>-3.0914639999999984</v>
      </c>
      <c r="AO66" s="55">
        <f>-SUM(AO4:AO65)</f>
        <v>-6.6806920000000218</v>
      </c>
      <c r="AQ66" s="55">
        <f>-SUM(AQ4:AQ65)</f>
        <v>-3395.3664000000063</v>
      </c>
    </row>
    <row r="67" spans="2:49" x14ac:dyDescent="0.25">
      <c r="J67" s="49">
        <f>J66</f>
        <v>2880.0345000000002</v>
      </c>
      <c r="K67">
        <f>J67*K66%</f>
        <v>126.42220000000002</v>
      </c>
      <c r="L67" s="49">
        <f>J67*L66%</f>
        <v>244.66619999999998</v>
      </c>
    </row>
    <row r="68" spans="2:49" x14ac:dyDescent="0.25">
      <c r="B68" t="s">
        <v>119</v>
      </c>
    </row>
    <row r="69" spans="2:49" x14ac:dyDescent="0.25">
      <c r="B69" t="s">
        <v>120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9" priority="3" operator="lessThan">
      <formula>0.1</formula>
    </cfRule>
    <cfRule type="cellIs" dxfId="18" priority="4" operator="greaterThan">
      <formula>0.1</formula>
    </cfRule>
  </conditionalFormatting>
  <conditionalFormatting sqref="AP1:AQ1">
    <cfRule type="cellIs" dxfId="17" priority="5" operator="lessThan">
      <formula>1</formula>
    </cfRule>
  </conditionalFormatting>
  <conditionalFormatting sqref="AQ4:AQ65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AB14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E20" sqref="AE20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77"/>
      <c r="O3" s="108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77"/>
      <c r="O4" s="108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98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8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108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8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108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108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86"/>
      <c r="H18" s="86"/>
      <c r="I18" s="86"/>
      <c r="J18" s="86"/>
      <c r="K18" s="86"/>
      <c r="L18" s="86"/>
      <c r="M18" s="87"/>
      <c r="N18" s="80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77"/>
      <c r="O19" s="108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77"/>
      <c r="O24" s="108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0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/>
      <c r="E27" s="86"/>
      <c r="F27" s="86"/>
      <c r="G27" s="86"/>
      <c r="H27" s="86"/>
      <c r="I27" s="86"/>
      <c r="J27" s="86"/>
      <c r="K27" s="86"/>
      <c r="L27" s="86"/>
      <c r="M27" s="107"/>
      <c r="N27" s="88"/>
      <c r="O27" s="108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0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138"/>
      <c r="I30" s="139"/>
      <c r="J30" s="139"/>
      <c r="K30" s="86"/>
      <c r="L30" s="86"/>
      <c r="M30" s="87"/>
      <c r="N30" s="77"/>
      <c r="O30" s="108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77"/>
      <c r="O31" s="108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77"/>
      <c r="O33" s="108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98"/>
      <c r="E36" s="86"/>
      <c r="F36" s="86"/>
      <c r="G36" s="86"/>
      <c r="H36" s="86"/>
      <c r="I36" s="86"/>
      <c r="J36" s="86"/>
      <c r="K36" s="86"/>
      <c r="L36" s="86"/>
      <c r="M36" s="87"/>
      <c r="N36" s="8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/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0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/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0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0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/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98"/>
      <c r="E48" s="86"/>
      <c r="F48" s="86"/>
      <c r="G48" s="86"/>
      <c r="H48" s="86"/>
      <c r="I48" s="86"/>
      <c r="J48" s="86"/>
      <c r="K48" s="86"/>
      <c r="L48" s="86"/>
      <c r="M48" s="87"/>
      <c r="N48" s="80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/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80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8"/>
      <c r="O52" s="108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98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108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108"/>
      <c r="P55" s="89"/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0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/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98"/>
      <c r="E60" s="86"/>
      <c r="F60" s="86"/>
      <c r="G60" s="86"/>
      <c r="H60" s="86"/>
      <c r="I60" s="86"/>
      <c r="J60" s="86"/>
      <c r="K60" s="86"/>
      <c r="L60" s="86"/>
      <c r="M60" s="87"/>
      <c r="N60" s="80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/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/>
      <c r="L63" s="86"/>
      <c r="M63" s="87"/>
      <c r="N63" s="80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/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86"/>
      <c r="I65" s="86"/>
      <c r="J65" s="86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0"/>
      <c r="W65" s="91"/>
      <c r="X65" s="92"/>
      <c r="Y65" s="92"/>
      <c r="Z65" s="92"/>
      <c r="AA65" s="92"/>
      <c r="AB65" s="93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86"/>
      <c r="I77" s="86"/>
      <c r="J77" s="86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8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  <row r="81" spans="1:28" x14ac:dyDescent="0.25">
      <c r="A81" s="83"/>
      <c r="B81" s="84" t="s">
        <v>76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77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73</v>
      </c>
      <c r="C87" s="85"/>
      <c r="D87" s="86"/>
      <c r="E87" s="86"/>
      <c r="F87" s="86"/>
      <c r="G87" s="86"/>
      <c r="H87" s="86"/>
      <c r="I87" s="86"/>
      <c r="J87" s="86"/>
      <c r="K87" s="86">
        <f>H87*I87%</f>
        <v>0</v>
      </c>
      <c r="L87" s="86">
        <f>H87*J87%</f>
        <v>0</v>
      </c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>
        <f>H88*I88%</f>
        <v>0</v>
      </c>
      <c r="L88" s="86">
        <f>H88*J88%</f>
        <v>0</v>
      </c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77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/>
      <c r="Q99" s="79"/>
      <c r="R99" s="80"/>
      <c r="S99" s="80"/>
      <c r="T99" s="80"/>
      <c r="U99" s="80"/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/>
      <c r="R100" s="80"/>
      <c r="S100" s="80"/>
      <c r="T100" s="80"/>
      <c r="U100" s="80"/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76</v>
      </c>
      <c r="C102" s="85"/>
      <c r="D102" s="86"/>
      <c r="E102" s="86"/>
      <c r="F102" s="86"/>
      <c r="G102" s="86"/>
      <c r="H102" s="86"/>
      <c r="I102" s="86"/>
      <c r="J102" s="86"/>
      <c r="K102" s="86">
        <f t="shared" ref="K102:K103" si="0">H102*I102%</f>
        <v>0</v>
      </c>
      <c r="L102" s="86">
        <f t="shared" ref="L102:L103" si="1">H102*J102%</f>
        <v>0</v>
      </c>
      <c r="M102" s="87"/>
      <c r="N102" s="88"/>
      <c r="O102" s="77"/>
      <c r="P102" s="89"/>
      <c r="Q102" s="79"/>
      <c r="R102" s="80"/>
      <c r="S102" s="80"/>
      <c r="T102" s="80"/>
      <c r="U102" s="80"/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>
        <f t="shared" si="0"/>
        <v>0</v>
      </c>
      <c r="L103" s="86">
        <f t="shared" si="1"/>
        <v>0</v>
      </c>
      <c r="M103" s="87"/>
      <c r="N103" s="80"/>
      <c r="O103" s="77"/>
      <c r="P103" s="89"/>
      <c r="Q103" s="79"/>
      <c r="R103" s="80"/>
      <c r="S103" s="80"/>
      <c r="T103" s="80"/>
      <c r="U103" s="80"/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73</v>
      </c>
      <c r="C105" s="85"/>
      <c r="D105" s="86"/>
      <c r="E105" s="86"/>
      <c r="F105" s="86"/>
      <c r="G105" s="86"/>
      <c r="H105" s="86"/>
      <c r="I105" s="86"/>
      <c r="J105" s="86"/>
      <c r="K105" s="86">
        <f t="shared" ref="K105:K106" si="2">H105*I105%</f>
        <v>0</v>
      </c>
      <c r="L105" s="86">
        <f t="shared" ref="L105:L106" si="3">H105*J105%</f>
        <v>0</v>
      </c>
      <c r="M105" s="87"/>
      <c r="N105" s="88"/>
      <c r="O105" s="77"/>
      <c r="P105" s="89"/>
      <c r="Q105" s="79"/>
      <c r="R105" s="80"/>
      <c r="S105" s="80"/>
      <c r="T105" s="80"/>
      <c r="U105" s="80"/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>
        <f t="shared" si="2"/>
        <v>0</v>
      </c>
      <c r="L106" s="86">
        <f t="shared" si="3"/>
        <v>0</v>
      </c>
      <c r="M106" s="87"/>
      <c r="N106" s="80"/>
      <c r="O106" s="77"/>
      <c r="P106" s="89"/>
      <c r="Q106" s="79"/>
      <c r="R106" s="80"/>
      <c r="S106" s="80"/>
      <c r="T106" s="80"/>
      <c r="U106" s="80"/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/>
      <c r="Q108" s="79"/>
      <c r="R108" s="80"/>
      <c r="S108" s="80"/>
      <c r="T108" s="80"/>
      <c r="U108" s="80"/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/>
      <c r="R109" s="80"/>
      <c r="S109" s="80"/>
      <c r="T109" s="80"/>
      <c r="U109" s="80"/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>
        <f t="shared" ref="K116:K122" si="4">H116*I116%</f>
        <v>0</v>
      </c>
      <c r="L116" s="86">
        <f t="shared" ref="L116:L122" si="5">H116*J116%</f>
        <v>0</v>
      </c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  <c r="AB116" s="93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>
        <f t="shared" si="4"/>
        <v>0</v>
      </c>
      <c r="L117" s="86">
        <f t="shared" si="5"/>
        <v>0</v>
      </c>
      <c r="M117" s="87"/>
      <c r="N117" s="88"/>
      <c r="O117" s="77"/>
      <c r="P117" s="89"/>
      <c r="Q117" s="79"/>
      <c r="R117" s="80"/>
      <c r="S117" s="80"/>
      <c r="T117" s="80"/>
      <c r="U117" s="80"/>
      <c r="V117" s="95"/>
      <c r="W117" s="96"/>
      <c r="X117" s="97"/>
      <c r="Y117" s="97"/>
      <c r="Z117" s="97"/>
      <c r="AA117" s="97"/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>
        <f t="shared" si="4"/>
        <v>0</v>
      </c>
      <c r="L118" s="86">
        <f t="shared" si="5"/>
        <v>0</v>
      </c>
      <c r="M118" s="87"/>
      <c r="N118" s="80"/>
      <c r="O118" s="77"/>
      <c r="P118" s="89"/>
      <c r="Q118" s="79"/>
      <c r="R118" s="80"/>
      <c r="S118" s="80"/>
      <c r="T118" s="80"/>
      <c r="U118" s="80"/>
      <c r="V118" s="95"/>
      <c r="W118" s="96"/>
      <c r="X118" s="97"/>
      <c r="Y118" s="97"/>
      <c r="Z118" s="97"/>
      <c r="AA118" s="97"/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>
        <f t="shared" si="4"/>
        <v>0</v>
      </c>
      <c r="L119" s="86">
        <f t="shared" si="5"/>
        <v>0</v>
      </c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>
        <f t="shared" si="4"/>
        <v>0</v>
      </c>
      <c r="L120" s="86">
        <f t="shared" si="5"/>
        <v>0</v>
      </c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>
        <f t="shared" si="4"/>
        <v>0</v>
      </c>
      <c r="L121" s="86">
        <f t="shared" si="5"/>
        <v>0</v>
      </c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>
        <f t="shared" si="4"/>
        <v>0</v>
      </c>
      <c r="L122" s="86">
        <f t="shared" si="5"/>
        <v>0</v>
      </c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/>
    </row>
    <row r="125" spans="1:28" x14ac:dyDescent="0.25">
      <c r="A125" s="83"/>
      <c r="B125" s="84"/>
      <c r="C125" s="85"/>
      <c r="D125" s="86"/>
      <c r="E125" s="86"/>
      <c r="F125" s="86"/>
      <c r="G125" s="86"/>
      <c r="H125" s="86"/>
      <c r="I125" s="86"/>
      <c r="J125" s="86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/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  <c r="AB137" s="93"/>
    </row>
    <row r="138" spans="1:28" x14ac:dyDescent="0.25">
      <c r="A138" s="83"/>
      <c r="B138" s="84" t="s">
        <v>73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76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</sheetData>
  <autoFilter ref="A1:AB58" xr:uid="{00000000-0009-0000-0000-000011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AW67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:L7"/>
    </sheetView>
  </sheetViews>
  <sheetFormatPr defaultRowHeight="15" x14ac:dyDescent="0.25"/>
  <cols>
    <col min="1" max="1" width="8.5703125" bestFit="1" customWidth="1"/>
    <col min="2" max="2" width="12.7109375" bestFit="1" customWidth="1"/>
    <col min="3" max="3" width="5" customWidth="1"/>
    <col min="4" max="4" width="7.7109375" customWidth="1"/>
    <col min="5" max="6" width="5.28515625" customWidth="1"/>
    <col min="7" max="7" width="6.85546875" customWidth="1"/>
    <col min="8" max="8" width="7.140625" customWidth="1"/>
    <col min="9" max="9" width="7" customWidth="1"/>
    <col min="10" max="10" width="8.28515625" customWidth="1"/>
    <col min="11" max="11" width="5.28515625" customWidth="1"/>
    <col min="12" max="12" width="8.28515625" style="256" customWidth="1"/>
    <col min="13" max="13" width="7.28515625" hidden="1" customWidth="1"/>
    <col min="14" max="14" width="12" hidden="1" customWidth="1"/>
    <col min="15" max="15" width="6.7109375" hidden="1" customWidth="1"/>
    <col min="16" max="16" width="7.5703125" hidden="1" customWidth="1"/>
    <col min="17" max="17" width="5.28515625" hidden="1" customWidth="1"/>
    <col min="18" max="18" width="10" customWidth="1"/>
    <col min="19" max="19" width="8.5703125" customWidth="1"/>
    <col min="20" max="20" width="7" customWidth="1"/>
    <col min="21" max="21" width="6.85546875" customWidth="1"/>
    <col min="22" max="22" width="7.42578125" customWidth="1"/>
    <col min="23" max="23" width="10.140625" customWidth="1"/>
    <col min="24" max="24" width="7.140625" customWidth="1"/>
    <col min="25" max="26" width="5.28515625" customWidth="1"/>
    <col min="27" max="27" width="8.28515625" customWidth="1"/>
    <col min="28" max="28" width="7.140625" bestFit="1" customWidth="1"/>
    <col min="29" max="29" width="9.28515625" customWidth="1"/>
    <col min="30" max="31" width="5.28515625" customWidth="1"/>
    <col min="32" max="32" width="6.85546875" customWidth="1"/>
    <col min="33" max="33" width="7" customWidth="1"/>
    <col min="34" max="34" width="7.140625" customWidth="1"/>
    <col min="35" max="36" width="5.28515625" customWidth="1"/>
    <col min="37" max="37" width="6.85546875" customWidth="1"/>
    <col min="38" max="38" width="7.140625" customWidth="1"/>
    <col min="39" max="39" width="8.14062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28515625" bestFit="1" customWidth="1"/>
    <col min="45" max="48" width="8.7109375" bestFit="1" customWidth="1"/>
    <col min="49" max="49" width="10" bestFit="1" customWidth="1"/>
  </cols>
  <sheetData>
    <row r="1" spans="1:49" ht="15.75" thickBot="1" x14ac:dyDescent="0.3">
      <c r="B1" s="14" t="s">
        <v>80</v>
      </c>
      <c r="C1" s="15"/>
      <c r="D1" s="176"/>
      <c r="E1" s="210"/>
      <c r="F1" s="210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266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62">
        <v>6465</v>
      </c>
      <c r="E4" s="38">
        <v>3.87</v>
      </c>
      <c r="F4" s="38">
        <v>8.2899999999999991</v>
      </c>
      <c r="G4" s="24">
        <f>+D4*E4%</f>
        <v>250.19549999999998</v>
      </c>
      <c r="H4" s="25">
        <f>+D4*F4%</f>
        <v>535.94849999999997</v>
      </c>
      <c r="I4" s="26">
        <f>J4/1.03</f>
        <v>1556.9799999999998</v>
      </c>
      <c r="J4" s="265">
        <v>1603.6893999999998</v>
      </c>
      <c r="K4" s="265">
        <v>4.0032627265603935</v>
      </c>
      <c r="L4" s="267">
        <v>8.3302290331282371</v>
      </c>
      <c r="M4" s="30"/>
      <c r="N4" s="131"/>
      <c r="O4" s="31"/>
      <c r="P4" s="28"/>
      <c r="Q4" s="32"/>
      <c r="R4" s="53">
        <f t="shared" ref="R4:R7" si="0">O4+J4</f>
        <v>1603.6893999999998</v>
      </c>
      <c r="S4" s="34">
        <f t="shared" ref="S4:S8" si="1">(J4*K4%)+(O4*P4%)</f>
        <v>64.1999</v>
      </c>
      <c r="T4" s="35">
        <f t="shared" ref="T4:T8" si="2">(J4*L4%)+(O4*Q4%)</f>
        <v>133.59100000000001</v>
      </c>
      <c r="U4" s="36"/>
      <c r="V4" s="37"/>
      <c r="W4" s="38"/>
      <c r="X4" s="39">
        <v>6630</v>
      </c>
      <c r="Y4" s="40">
        <v>4</v>
      </c>
      <c r="Z4" s="40">
        <v>8.4</v>
      </c>
      <c r="AA4" s="34">
        <f t="shared" ref="AA4:AA65" si="3">X4*Y4%</f>
        <v>265.2</v>
      </c>
      <c r="AB4" s="34">
        <f t="shared" ref="AB4:AB65" si="4">X4*Z4%</f>
        <v>556.92000000000007</v>
      </c>
      <c r="AC4" s="129">
        <v>6630</v>
      </c>
      <c r="AD4" s="130">
        <v>4</v>
      </c>
      <c r="AE4" s="130">
        <v>8.4</v>
      </c>
      <c r="AF4" s="34">
        <f t="shared" ref="AF4:AF65" si="5">AC4*AD4%</f>
        <v>265.2</v>
      </c>
      <c r="AG4" s="34">
        <f t="shared" ref="AG4:AG65" si="6">AC4*AE4%</f>
        <v>556.92000000000007</v>
      </c>
      <c r="AH4" s="43">
        <v>1320</v>
      </c>
      <c r="AI4" s="38">
        <v>3.9</v>
      </c>
      <c r="AJ4" s="38">
        <v>8.3000000000000007</v>
      </c>
      <c r="AK4" s="34">
        <f t="shared" ref="AK4:AK65" si="7">AH4*AI4%</f>
        <v>51.48</v>
      </c>
      <c r="AL4" s="44">
        <f t="shared" ref="AL4:AL65" si="8">AH4*AJ4%</f>
        <v>109.56</v>
      </c>
      <c r="AM4" s="45">
        <f>+D4+R4-AC4-AH4</f>
        <v>118.6893999999993</v>
      </c>
      <c r="AN4" s="46">
        <f t="shared" ref="AN4:AO19" si="9">+G4+S4-AF4-AK4</f>
        <v>-2.2845999999999904</v>
      </c>
      <c r="AO4" s="46">
        <f t="shared" si="9"/>
        <v>3.0594999999999004</v>
      </c>
      <c r="AP4" s="47">
        <f>(AN4+AO4)/(S4+T4)</f>
        <v>3.9177737701780509E-3</v>
      </c>
      <c r="AQ4" s="48">
        <f t="shared" ref="AQ4:AQ65" si="10">($AP$1*AN4+$AQ$1*AO4)</f>
        <v>-110.22000000002549</v>
      </c>
      <c r="AR4" s="49">
        <f>(D4+J4+O4)-(X4+AH4)</f>
        <v>118.6893999999993</v>
      </c>
      <c r="AS4" s="49"/>
    </row>
    <row r="5" spans="1:49" x14ac:dyDescent="0.25">
      <c r="A5" t="str">
        <f t="shared" ref="A5:A13" si="11">CONCATENATE(B5,C5)</f>
        <v>46174E</v>
      </c>
      <c r="B5" s="22">
        <f>+B4</f>
        <v>46174</v>
      </c>
      <c r="C5" s="23" t="s">
        <v>55</v>
      </c>
      <c r="D5" s="50">
        <f t="shared" ref="D5:F5" si="12">AH4</f>
        <v>1320</v>
      </c>
      <c r="E5" s="34">
        <f t="shared" si="12"/>
        <v>3.9</v>
      </c>
      <c r="F5" s="34">
        <f t="shared" si="12"/>
        <v>8.3000000000000007</v>
      </c>
      <c r="G5" s="34">
        <f t="shared" ref="G5:G65" si="13">+D5*E5%</f>
        <v>51.48</v>
      </c>
      <c r="H5" s="35">
        <f t="shared" ref="H5:H65" si="14">+D5*F5%</f>
        <v>109.56</v>
      </c>
      <c r="I5" s="26">
        <f t="shared" ref="I5:I65" si="15">J5/1.03</f>
        <v>801.8</v>
      </c>
      <c r="J5" s="265">
        <v>825.85399999999993</v>
      </c>
      <c r="K5" s="265">
        <v>3.7266151159890253</v>
      </c>
      <c r="L5" s="267">
        <v>8.3262659017211291</v>
      </c>
      <c r="M5" s="30"/>
      <c r="N5" s="30"/>
      <c r="O5" s="31"/>
      <c r="P5" s="28"/>
      <c r="Q5" s="32"/>
      <c r="R5" s="53">
        <f t="shared" si="0"/>
        <v>825.85399999999993</v>
      </c>
      <c r="S5" s="34">
        <f t="shared" si="1"/>
        <v>30.776400000000002</v>
      </c>
      <c r="T5" s="35">
        <f t="shared" si="2"/>
        <v>68.762800000000013</v>
      </c>
      <c r="U5" s="36"/>
      <c r="V5" s="37"/>
      <c r="W5" s="38"/>
      <c r="X5" s="39"/>
      <c r="Y5" s="40"/>
      <c r="Z5" s="40"/>
      <c r="AA5" s="34">
        <f t="shared" ref="AA5:AA16" si="16">X5*Y5%</f>
        <v>0</v>
      </c>
      <c r="AB5" s="34">
        <f t="shared" ref="AB5:AB16" si="17">X5*Z5%</f>
        <v>0</v>
      </c>
      <c r="AC5" s="129"/>
      <c r="AD5" s="130"/>
      <c r="AE5" s="130"/>
      <c r="AF5" s="34">
        <f t="shared" si="5"/>
        <v>0</v>
      </c>
      <c r="AG5" s="34">
        <f t="shared" si="6"/>
        <v>0</v>
      </c>
      <c r="AH5" s="43">
        <v>2145.85</v>
      </c>
      <c r="AI5" s="38">
        <v>3.82</v>
      </c>
      <c r="AJ5" s="38">
        <v>8.31</v>
      </c>
      <c r="AK5" s="34">
        <f t="shared" si="7"/>
        <v>81.971469999999997</v>
      </c>
      <c r="AL5" s="44">
        <f t="shared" si="8"/>
        <v>178.32013500000002</v>
      </c>
      <c r="AM5" s="45">
        <f t="shared" ref="AM5:AM65" si="18">+D5+R5-AC5-AH5</f>
        <v>3.9999999999054126E-3</v>
      </c>
      <c r="AN5" s="51">
        <f t="shared" si="9"/>
        <v>0.28493000000000279</v>
      </c>
      <c r="AO5" s="51">
        <f t="shared" si="9"/>
        <v>2.665000000007467E-3</v>
      </c>
      <c r="AP5" s="47">
        <f t="shared" ref="AP5:AP65" si="19">(AN5+AO5)/(S5+T5)</f>
        <v>2.8892637272552942E-3</v>
      </c>
      <c r="AQ5" s="48">
        <f t="shared" si="10"/>
        <v>129.0180000000035</v>
      </c>
      <c r="AR5" s="49">
        <f t="shared" ref="AR5:AR65" si="20">(D5+J5+O5)-(X5+AH5)</f>
        <v>3.9999999999054126E-3</v>
      </c>
      <c r="AS5" s="49"/>
    </row>
    <row r="6" spans="1:49" x14ac:dyDescent="0.25">
      <c r="A6" t="str">
        <f t="shared" si="11"/>
        <v>46175M</v>
      </c>
      <c r="B6" s="22">
        <f>+B4+1</f>
        <v>46175</v>
      </c>
      <c r="C6" s="23" t="s">
        <v>54</v>
      </c>
      <c r="D6" s="50">
        <f t="shared" ref="D6" si="21">AH5</f>
        <v>2145.85</v>
      </c>
      <c r="E6" s="34">
        <f t="shared" ref="E6" si="22">AI5</f>
        <v>3.82</v>
      </c>
      <c r="F6" s="34">
        <f t="shared" ref="F6" si="23">AJ5</f>
        <v>8.31</v>
      </c>
      <c r="G6" s="34">
        <f t="shared" si="13"/>
        <v>81.971469999999997</v>
      </c>
      <c r="H6" s="35">
        <f t="shared" si="14"/>
        <v>178.32013500000002</v>
      </c>
      <c r="I6" s="26">
        <f t="shared" si="15"/>
        <v>1585.8400000000001</v>
      </c>
      <c r="J6" s="265">
        <v>1633.4152000000001</v>
      </c>
      <c r="K6" s="265">
        <v>4.0016647328860415</v>
      </c>
      <c r="L6" s="267">
        <v>8.2889824950814717</v>
      </c>
      <c r="M6" s="30"/>
      <c r="N6" s="131"/>
      <c r="O6" s="31"/>
      <c r="P6" s="28"/>
      <c r="Q6" s="32"/>
      <c r="R6" s="53">
        <f t="shared" si="0"/>
        <v>1633.4152000000001</v>
      </c>
      <c r="S6" s="34">
        <f t="shared" si="1"/>
        <v>65.363799999999998</v>
      </c>
      <c r="T6" s="35">
        <f t="shared" si="2"/>
        <v>135.39350000000002</v>
      </c>
      <c r="U6" s="36"/>
      <c r="V6" s="37"/>
      <c r="W6" s="38"/>
      <c r="X6" s="39"/>
      <c r="Y6" s="40"/>
      <c r="Z6" s="40"/>
      <c r="AA6" s="34">
        <f t="shared" si="16"/>
        <v>0</v>
      </c>
      <c r="AB6" s="34">
        <f t="shared" si="17"/>
        <v>0</v>
      </c>
      <c r="AC6" s="129"/>
      <c r="AD6" s="130"/>
      <c r="AE6" s="130"/>
      <c r="AF6" s="34">
        <f t="shared" si="5"/>
        <v>0</v>
      </c>
      <c r="AG6" s="34">
        <f t="shared" si="6"/>
        <v>0</v>
      </c>
      <c r="AH6" s="43">
        <v>3779.26</v>
      </c>
      <c r="AI6" s="38">
        <v>3.9</v>
      </c>
      <c r="AJ6" s="38">
        <v>8.2899999999999991</v>
      </c>
      <c r="AK6" s="34">
        <f t="shared" si="7"/>
        <v>147.39114000000001</v>
      </c>
      <c r="AL6" s="44">
        <f t="shared" si="8"/>
        <v>313.30065399999995</v>
      </c>
      <c r="AM6" s="54">
        <f t="shared" si="18"/>
        <v>5.1999999996041879E-3</v>
      </c>
      <c r="AN6" s="51">
        <f t="shared" si="9"/>
        <v>-5.5870000000027176E-2</v>
      </c>
      <c r="AO6" s="51">
        <f t="shared" si="9"/>
        <v>0.41298100000011573</v>
      </c>
      <c r="AP6" s="47">
        <f t="shared" si="19"/>
        <v>1.7788194999638295E-3</v>
      </c>
      <c r="AQ6" s="48">
        <f t="shared" si="10"/>
        <v>98.752800000022489</v>
      </c>
      <c r="AR6" s="49">
        <f t="shared" si="20"/>
        <v>5.1999999996041879E-3</v>
      </c>
      <c r="AS6" s="49"/>
    </row>
    <row r="7" spans="1:49" x14ac:dyDescent="0.25">
      <c r="A7" t="str">
        <f t="shared" si="11"/>
        <v>46175E</v>
      </c>
      <c r="B7" s="22">
        <f>+B5+1</f>
        <v>46175</v>
      </c>
      <c r="C7" s="23" t="s">
        <v>55</v>
      </c>
      <c r="D7" s="50">
        <f t="shared" ref="D7" si="24">AH6</f>
        <v>3779.26</v>
      </c>
      <c r="E7" s="34">
        <f t="shared" ref="E7" si="25">AI6</f>
        <v>3.9</v>
      </c>
      <c r="F7" s="34">
        <f t="shared" ref="F7" si="26">AJ6</f>
        <v>8.2899999999999991</v>
      </c>
      <c r="G7" s="34">
        <f t="shared" si="13"/>
        <v>147.39114000000001</v>
      </c>
      <c r="H7" s="35">
        <f t="shared" si="14"/>
        <v>313.30065399999995</v>
      </c>
      <c r="I7" s="26">
        <f t="shared" si="15"/>
        <v>847.90000000000009</v>
      </c>
      <c r="J7" s="265">
        <v>873.3370000000001</v>
      </c>
      <c r="K7" s="265">
        <v>3.820025946455949</v>
      </c>
      <c r="L7" s="267">
        <v>8.3712701969571857</v>
      </c>
      <c r="M7" s="30"/>
      <c r="N7" s="30"/>
      <c r="O7" s="31"/>
      <c r="P7" s="28"/>
      <c r="Q7" s="32"/>
      <c r="R7" s="53">
        <f t="shared" si="0"/>
        <v>873.3370000000001</v>
      </c>
      <c r="S7" s="34">
        <f t="shared" si="1"/>
        <v>33.361699999999992</v>
      </c>
      <c r="T7" s="35">
        <f t="shared" si="2"/>
        <v>73.10939999999998</v>
      </c>
      <c r="U7" s="36"/>
      <c r="V7" s="37"/>
      <c r="W7" s="38"/>
      <c r="X7" s="39"/>
      <c r="Y7" s="40"/>
      <c r="Z7" s="40"/>
      <c r="AA7" s="34">
        <f t="shared" si="16"/>
        <v>0</v>
      </c>
      <c r="AB7" s="34">
        <f t="shared" si="17"/>
        <v>0</v>
      </c>
      <c r="AC7" s="129"/>
      <c r="AD7" s="130"/>
      <c r="AE7" s="130"/>
      <c r="AF7" s="34">
        <f t="shared" si="5"/>
        <v>0</v>
      </c>
      <c r="AG7" s="34">
        <f t="shared" si="6"/>
        <v>0</v>
      </c>
      <c r="AH7" s="43">
        <v>4652</v>
      </c>
      <c r="AI7" s="38">
        <v>3.88</v>
      </c>
      <c r="AJ7" s="38">
        <v>8.3000000000000007</v>
      </c>
      <c r="AK7" s="34">
        <f t="shared" si="7"/>
        <v>180.49760000000001</v>
      </c>
      <c r="AL7" s="44">
        <f t="shared" si="8"/>
        <v>386.11600000000004</v>
      </c>
      <c r="AM7" s="54">
        <f t="shared" si="18"/>
        <v>0.59700000000066211</v>
      </c>
      <c r="AN7" s="51">
        <f t="shared" si="9"/>
        <v>0.25523999999998637</v>
      </c>
      <c r="AO7" s="51">
        <f t="shared" si="9"/>
        <v>0.29405399999990323</v>
      </c>
      <c r="AP7" s="47">
        <f t="shared" si="19"/>
        <v>5.1590901192895512E-3</v>
      </c>
      <c r="AQ7" s="48">
        <f t="shared" si="10"/>
        <v>203.07419999996483</v>
      </c>
      <c r="AR7" s="49">
        <f t="shared" si="20"/>
        <v>0.59700000000066211</v>
      </c>
      <c r="AS7" s="49"/>
    </row>
    <row r="8" spans="1:49" x14ac:dyDescent="0.25">
      <c r="A8" t="str">
        <f t="shared" si="11"/>
        <v>46176M</v>
      </c>
      <c r="B8" s="22">
        <f>+B6+1</f>
        <v>46176</v>
      </c>
      <c r="C8" s="23" t="s">
        <v>54</v>
      </c>
      <c r="D8" s="50"/>
      <c r="E8" s="34"/>
      <c r="F8" s="34"/>
      <c r="G8" s="34">
        <f t="shared" si="13"/>
        <v>0</v>
      </c>
      <c r="H8" s="35">
        <f t="shared" si="14"/>
        <v>0</v>
      </c>
      <c r="I8" s="26">
        <f t="shared" si="15"/>
        <v>0</v>
      </c>
      <c r="J8" s="265"/>
      <c r="K8" s="265"/>
      <c r="L8" s="267"/>
      <c r="M8" s="30"/>
      <c r="N8" s="131"/>
      <c r="O8" s="31"/>
      <c r="P8" s="28"/>
      <c r="Q8" s="32"/>
      <c r="R8" s="53">
        <f>O8+J8</f>
        <v>0</v>
      </c>
      <c r="S8" s="34">
        <f t="shared" si="1"/>
        <v>0</v>
      </c>
      <c r="T8" s="35">
        <f t="shared" si="2"/>
        <v>0</v>
      </c>
      <c r="U8" s="36"/>
      <c r="V8" s="37"/>
      <c r="W8" s="38"/>
      <c r="X8" s="39"/>
      <c r="Y8" s="40"/>
      <c r="Z8" s="40"/>
      <c r="AA8" s="34">
        <f t="shared" si="16"/>
        <v>0</v>
      </c>
      <c r="AB8" s="34">
        <f t="shared" si="17"/>
        <v>0</v>
      </c>
      <c r="AC8" s="129"/>
      <c r="AD8" s="130"/>
      <c r="AE8" s="130"/>
      <c r="AF8" s="34">
        <f t="shared" si="5"/>
        <v>0</v>
      </c>
      <c r="AG8" s="34">
        <f t="shared" si="6"/>
        <v>0</v>
      </c>
      <c r="AH8" s="43"/>
      <c r="AI8" s="38"/>
      <c r="AJ8" s="38"/>
      <c r="AK8" s="34">
        <f t="shared" si="7"/>
        <v>0</v>
      </c>
      <c r="AL8" s="44">
        <f t="shared" si="8"/>
        <v>0</v>
      </c>
      <c r="AM8" s="45">
        <f t="shared" si="18"/>
        <v>0</v>
      </c>
      <c r="AN8" s="46">
        <f t="shared" si="9"/>
        <v>0</v>
      </c>
      <c r="AO8" s="46">
        <f t="shared" si="9"/>
        <v>0</v>
      </c>
      <c r="AP8" s="47" t="e">
        <f t="shared" si="19"/>
        <v>#DIV/0!</v>
      </c>
      <c r="AQ8" s="48">
        <f t="shared" si="10"/>
        <v>0</v>
      </c>
      <c r="AR8" s="49">
        <f t="shared" si="20"/>
        <v>0</v>
      </c>
      <c r="AS8" s="49"/>
    </row>
    <row r="9" spans="1:49" x14ac:dyDescent="0.25">
      <c r="A9" t="str">
        <f t="shared" si="11"/>
        <v>46176E</v>
      </c>
      <c r="B9" s="22">
        <f t="shared" ref="B9:B65" si="27">+B7+1</f>
        <v>46176</v>
      </c>
      <c r="C9" s="23" t="s">
        <v>55</v>
      </c>
      <c r="D9" s="50">
        <f t="shared" ref="D9:F19" si="28">AH8</f>
        <v>0</v>
      </c>
      <c r="E9" s="34">
        <f t="shared" si="28"/>
        <v>0</v>
      </c>
      <c r="F9" s="34">
        <f t="shared" si="28"/>
        <v>0</v>
      </c>
      <c r="G9" s="34">
        <f t="shared" si="13"/>
        <v>0</v>
      </c>
      <c r="H9" s="35">
        <f t="shared" si="14"/>
        <v>0</v>
      </c>
      <c r="I9" s="26">
        <f t="shared" si="15"/>
        <v>0</v>
      </c>
      <c r="J9" s="265"/>
      <c r="K9" s="265"/>
      <c r="L9" s="267"/>
      <c r="M9" s="30"/>
      <c r="N9" s="131"/>
      <c r="O9" s="31"/>
      <c r="P9" s="28"/>
      <c r="Q9" s="32"/>
      <c r="R9" s="53">
        <f t="shared" ref="R9:R65" si="29">O9+J9</f>
        <v>0</v>
      </c>
      <c r="S9" s="34">
        <f t="shared" ref="S9:S65" si="30">(J9*K9%)+(O9*P9%)</f>
        <v>0</v>
      </c>
      <c r="T9" s="35">
        <f t="shared" ref="T9:T65" si="31">(J9*L9%)+(O9*Q9%)</f>
        <v>0</v>
      </c>
      <c r="U9" s="36"/>
      <c r="V9" s="37"/>
      <c r="W9" s="38"/>
      <c r="X9" s="39"/>
      <c r="Y9" s="40"/>
      <c r="Z9" s="40"/>
      <c r="AA9" s="34">
        <f t="shared" si="16"/>
        <v>0</v>
      </c>
      <c r="AB9" s="34">
        <f t="shared" si="17"/>
        <v>0</v>
      </c>
      <c r="AC9" s="129"/>
      <c r="AD9" s="130"/>
      <c r="AE9" s="130"/>
      <c r="AF9" s="34">
        <f t="shared" si="5"/>
        <v>0</v>
      </c>
      <c r="AG9" s="34">
        <f t="shared" si="6"/>
        <v>0</v>
      </c>
      <c r="AH9" s="43"/>
      <c r="AI9" s="38"/>
      <c r="AJ9" s="38"/>
      <c r="AK9" s="34">
        <f t="shared" si="7"/>
        <v>0</v>
      </c>
      <c r="AL9" s="44">
        <f t="shared" si="8"/>
        <v>0</v>
      </c>
      <c r="AM9" s="45">
        <f t="shared" si="18"/>
        <v>0</v>
      </c>
      <c r="AN9" s="46">
        <f t="shared" si="9"/>
        <v>0</v>
      </c>
      <c r="AO9" s="46">
        <f t="shared" si="9"/>
        <v>0</v>
      </c>
      <c r="AP9" s="47" t="e">
        <f t="shared" si="19"/>
        <v>#DIV/0!</v>
      </c>
      <c r="AQ9" s="48">
        <f t="shared" si="10"/>
        <v>0</v>
      </c>
      <c r="AR9" s="49">
        <f t="shared" si="20"/>
        <v>0</v>
      </c>
      <c r="AS9" s="49"/>
    </row>
    <row r="10" spans="1:49" x14ac:dyDescent="0.25">
      <c r="A10" t="str">
        <f t="shared" si="11"/>
        <v>46177M</v>
      </c>
      <c r="B10" s="22">
        <f t="shared" si="27"/>
        <v>46177</v>
      </c>
      <c r="C10" s="23" t="s">
        <v>54</v>
      </c>
      <c r="D10" s="50">
        <f t="shared" ref="D10" si="32">AH9</f>
        <v>0</v>
      </c>
      <c r="E10" s="34">
        <f t="shared" ref="E10" si="33">AI9</f>
        <v>0</v>
      </c>
      <c r="F10" s="34">
        <f t="shared" ref="F10" si="34">AJ9</f>
        <v>0</v>
      </c>
      <c r="G10" s="34">
        <f t="shared" si="13"/>
        <v>0</v>
      </c>
      <c r="H10" s="35">
        <f t="shared" si="14"/>
        <v>0</v>
      </c>
      <c r="I10" s="26">
        <f t="shared" si="15"/>
        <v>0</v>
      </c>
      <c r="J10" s="265"/>
      <c r="K10" s="265"/>
      <c r="L10" s="267"/>
      <c r="M10" s="30"/>
      <c r="N10" s="131"/>
      <c r="O10" s="31"/>
      <c r="P10" s="28"/>
      <c r="Q10" s="32"/>
      <c r="R10" s="53">
        <f t="shared" si="29"/>
        <v>0</v>
      </c>
      <c r="S10" s="34">
        <f t="shared" si="30"/>
        <v>0</v>
      </c>
      <c r="T10" s="35">
        <f t="shared" si="31"/>
        <v>0</v>
      </c>
      <c r="U10" s="36"/>
      <c r="V10" s="37"/>
      <c r="W10" s="38"/>
      <c r="X10" s="39"/>
      <c r="Y10" s="40"/>
      <c r="Z10" s="40"/>
      <c r="AA10" s="34">
        <f t="shared" si="16"/>
        <v>0</v>
      </c>
      <c r="AB10" s="34">
        <f t="shared" si="17"/>
        <v>0</v>
      </c>
      <c r="AC10" s="129"/>
      <c r="AD10" s="130"/>
      <c r="AE10" s="130"/>
      <c r="AF10" s="34">
        <f t="shared" si="5"/>
        <v>0</v>
      </c>
      <c r="AG10" s="34">
        <f t="shared" si="6"/>
        <v>0</v>
      </c>
      <c r="AH10" s="43"/>
      <c r="AI10" s="38"/>
      <c r="AJ10" s="38"/>
      <c r="AK10" s="34">
        <f t="shared" si="7"/>
        <v>0</v>
      </c>
      <c r="AL10" s="44">
        <f t="shared" si="8"/>
        <v>0</v>
      </c>
      <c r="AM10" s="45">
        <f t="shared" si="18"/>
        <v>0</v>
      </c>
      <c r="AN10" s="46">
        <f t="shared" si="9"/>
        <v>0</v>
      </c>
      <c r="AO10" s="46">
        <f t="shared" si="9"/>
        <v>0</v>
      </c>
      <c r="AP10" s="47" t="e">
        <f t="shared" si="19"/>
        <v>#DIV/0!</v>
      </c>
      <c r="AQ10" s="48">
        <f t="shared" si="10"/>
        <v>0</v>
      </c>
      <c r="AR10" s="49">
        <f t="shared" si="20"/>
        <v>0</v>
      </c>
      <c r="AS10" s="49"/>
    </row>
    <row r="11" spans="1:49" x14ac:dyDescent="0.25">
      <c r="A11" t="str">
        <f t="shared" si="11"/>
        <v>46177E</v>
      </c>
      <c r="B11" s="22">
        <f t="shared" si="27"/>
        <v>46177</v>
      </c>
      <c r="C11" s="23" t="s">
        <v>55</v>
      </c>
      <c r="D11" s="50">
        <f t="shared" ref="D11" si="35">AH10</f>
        <v>0</v>
      </c>
      <c r="E11" s="34">
        <f t="shared" ref="E11" si="36">AI10</f>
        <v>0</v>
      </c>
      <c r="F11" s="34">
        <f t="shared" ref="F11" si="37">AJ10</f>
        <v>0</v>
      </c>
      <c r="G11" s="34">
        <f t="shared" si="13"/>
        <v>0</v>
      </c>
      <c r="H11" s="35">
        <f t="shared" si="14"/>
        <v>0</v>
      </c>
      <c r="I11" s="26">
        <f t="shared" si="15"/>
        <v>0</v>
      </c>
      <c r="J11" s="265"/>
      <c r="K11" s="265"/>
      <c r="L11" s="267"/>
      <c r="M11" s="30"/>
      <c r="N11" s="30"/>
      <c r="O11" s="31"/>
      <c r="P11" s="28"/>
      <c r="Q11" s="32"/>
      <c r="R11" s="53">
        <f t="shared" si="29"/>
        <v>0</v>
      </c>
      <c r="S11" s="34">
        <f t="shared" si="30"/>
        <v>0</v>
      </c>
      <c r="T11" s="35">
        <f t="shared" si="31"/>
        <v>0</v>
      </c>
      <c r="U11" s="36"/>
      <c r="V11" s="37"/>
      <c r="W11" s="38"/>
      <c r="X11" s="39"/>
      <c r="Y11" s="40"/>
      <c r="Z11" s="40"/>
      <c r="AA11" s="34">
        <f t="shared" si="16"/>
        <v>0</v>
      </c>
      <c r="AB11" s="34">
        <f t="shared" si="17"/>
        <v>0</v>
      </c>
      <c r="AC11" s="129"/>
      <c r="AD11" s="130"/>
      <c r="AE11" s="130"/>
      <c r="AF11" s="34">
        <f t="shared" si="5"/>
        <v>0</v>
      </c>
      <c r="AG11" s="34">
        <f t="shared" si="6"/>
        <v>0</v>
      </c>
      <c r="AH11" s="43"/>
      <c r="AI11" s="38"/>
      <c r="AJ11" s="38"/>
      <c r="AK11" s="34">
        <f t="shared" si="7"/>
        <v>0</v>
      </c>
      <c r="AL11" s="44">
        <f t="shared" si="8"/>
        <v>0</v>
      </c>
      <c r="AM11" s="45">
        <f t="shared" si="18"/>
        <v>0</v>
      </c>
      <c r="AN11" s="46">
        <f t="shared" si="9"/>
        <v>0</v>
      </c>
      <c r="AO11" s="46">
        <f t="shared" si="9"/>
        <v>0</v>
      </c>
      <c r="AP11" s="47" t="e">
        <f t="shared" si="19"/>
        <v>#DIV/0!</v>
      </c>
      <c r="AQ11" s="48">
        <f t="shared" si="10"/>
        <v>0</v>
      </c>
      <c r="AR11" s="49">
        <f t="shared" si="20"/>
        <v>0</v>
      </c>
      <c r="AS11" s="57"/>
    </row>
    <row r="12" spans="1:49" x14ac:dyDescent="0.25">
      <c r="A12" t="str">
        <f t="shared" si="11"/>
        <v>46178M</v>
      </c>
      <c r="B12" s="22">
        <f t="shared" si="27"/>
        <v>46178</v>
      </c>
      <c r="C12" s="23" t="s">
        <v>54</v>
      </c>
      <c r="D12" s="50">
        <f t="shared" ref="D12" si="38">AH11</f>
        <v>0</v>
      </c>
      <c r="E12" s="34">
        <f t="shared" ref="E12" si="39">AI11</f>
        <v>0</v>
      </c>
      <c r="F12" s="34">
        <f t="shared" ref="F12" si="40">AJ11</f>
        <v>0</v>
      </c>
      <c r="G12" s="34">
        <f t="shared" si="13"/>
        <v>0</v>
      </c>
      <c r="H12" s="35">
        <f t="shared" si="14"/>
        <v>0</v>
      </c>
      <c r="I12" s="26">
        <f t="shared" si="15"/>
        <v>0</v>
      </c>
      <c r="J12" s="265"/>
      <c r="K12" s="265"/>
      <c r="L12" s="267"/>
      <c r="M12" s="30"/>
      <c r="N12" s="30"/>
      <c r="O12" s="31"/>
      <c r="P12" s="28"/>
      <c r="Q12" s="32"/>
      <c r="R12" s="53">
        <f t="shared" si="29"/>
        <v>0</v>
      </c>
      <c r="S12" s="34">
        <f t="shared" si="30"/>
        <v>0</v>
      </c>
      <c r="T12" s="35">
        <f t="shared" si="31"/>
        <v>0</v>
      </c>
      <c r="U12" s="36"/>
      <c r="V12" s="37"/>
      <c r="W12" s="38"/>
      <c r="X12" s="39"/>
      <c r="Y12" s="40"/>
      <c r="Z12" s="40"/>
      <c r="AA12" s="34">
        <f t="shared" si="16"/>
        <v>0</v>
      </c>
      <c r="AB12" s="34">
        <f t="shared" si="17"/>
        <v>0</v>
      </c>
      <c r="AC12" s="129"/>
      <c r="AD12" s="130"/>
      <c r="AE12" s="130"/>
      <c r="AF12" s="34">
        <f t="shared" si="5"/>
        <v>0</v>
      </c>
      <c r="AG12" s="34">
        <f t="shared" si="6"/>
        <v>0</v>
      </c>
      <c r="AH12" s="43"/>
      <c r="AI12" s="38"/>
      <c r="AJ12" s="38"/>
      <c r="AK12" s="34">
        <f t="shared" si="7"/>
        <v>0</v>
      </c>
      <c r="AL12" s="44">
        <f t="shared" si="8"/>
        <v>0</v>
      </c>
      <c r="AM12" s="45">
        <f t="shared" si="18"/>
        <v>0</v>
      </c>
      <c r="AN12" s="46">
        <f t="shared" si="9"/>
        <v>0</v>
      </c>
      <c r="AO12" s="46">
        <f t="shared" si="9"/>
        <v>0</v>
      </c>
      <c r="AP12" s="47" t="e">
        <f t="shared" si="19"/>
        <v>#DIV/0!</v>
      </c>
      <c r="AQ12" s="48">
        <f t="shared" si="10"/>
        <v>0</v>
      </c>
      <c r="AR12" s="49">
        <f t="shared" si="20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1"/>
        <v>46178E</v>
      </c>
      <c r="B13" s="22">
        <f t="shared" si="27"/>
        <v>46178</v>
      </c>
      <c r="C13" s="23" t="s">
        <v>55</v>
      </c>
      <c r="D13" s="50">
        <f t="shared" si="28"/>
        <v>0</v>
      </c>
      <c r="E13" s="34">
        <f t="shared" si="28"/>
        <v>0</v>
      </c>
      <c r="F13" s="34">
        <f t="shared" si="28"/>
        <v>0</v>
      </c>
      <c r="G13" s="34">
        <f t="shared" si="13"/>
        <v>0</v>
      </c>
      <c r="H13" s="35">
        <f t="shared" si="14"/>
        <v>0</v>
      </c>
      <c r="I13" s="26">
        <f t="shared" si="15"/>
        <v>0</v>
      </c>
      <c r="J13" s="265"/>
      <c r="K13" s="265"/>
      <c r="L13" s="267"/>
      <c r="M13" s="30"/>
      <c r="N13" s="131"/>
      <c r="O13" s="31"/>
      <c r="P13" s="28"/>
      <c r="Q13" s="32"/>
      <c r="R13" s="53">
        <f t="shared" si="29"/>
        <v>0</v>
      </c>
      <c r="S13" s="34">
        <f t="shared" si="30"/>
        <v>0</v>
      </c>
      <c r="T13" s="35">
        <f t="shared" si="31"/>
        <v>0</v>
      </c>
      <c r="U13" s="36"/>
      <c r="V13" s="37"/>
      <c r="W13" s="38"/>
      <c r="X13" s="39"/>
      <c r="Y13" s="40"/>
      <c r="Z13" s="40"/>
      <c r="AA13" s="34">
        <f t="shared" si="16"/>
        <v>0</v>
      </c>
      <c r="AB13" s="34">
        <f t="shared" si="17"/>
        <v>0</v>
      </c>
      <c r="AC13" s="129"/>
      <c r="AD13" s="130"/>
      <c r="AE13" s="130"/>
      <c r="AF13" s="34">
        <f t="shared" si="5"/>
        <v>0</v>
      </c>
      <c r="AG13" s="34">
        <f t="shared" si="6"/>
        <v>0</v>
      </c>
      <c r="AH13" s="43"/>
      <c r="AI13" s="38"/>
      <c r="AJ13" s="38"/>
      <c r="AK13" s="34">
        <f t="shared" si="7"/>
        <v>0</v>
      </c>
      <c r="AL13" s="44">
        <f t="shared" si="8"/>
        <v>0</v>
      </c>
      <c r="AM13" s="45">
        <f t="shared" si="18"/>
        <v>0</v>
      </c>
      <c r="AN13" s="46">
        <f t="shared" si="9"/>
        <v>0</v>
      </c>
      <c r="AO13" s="46">
        <f t="shared" si="9"/>
        <v>0</v>
      </c>
      <c r="AP13" s="47" t="e">
        <f t="shared" si="19"/>
        <v>#DIV/0!</v>
      </c>
      <c r="AQ13" s="48">
        <f t="shared" si="10"/>
        <v>0</v>
      </c>
      <c r="AR13" s="49">
        <f t="shared" si="20"/>
        <v>0</v>
      </c>
      <c r="AS13" s="49">
        <f>SUM(J4:J13)</f>
        <v>4936.2956000000004</v>
      </c>
      <c r="AT13" s="58">
        <f>SUM(AM4:AM13)</f>
        <v>119.29559999999947</v>
      </c>
      <c r="AU13" s="58">
        <f t="shared" ref="AU13:AV13" si="41">SUM(AN4:AN13)</f>
        <v>-1.8003000000000284</v>
      </c>
      <c r="AV13" s="58">
        <f t="shared" si="41"/>
        <v>3.7691999999999268</v>
      </c>
      <c r="AW13" s="58">
        <f>-SUM(AQ4:AQ13)</f>
        <v>-320.62499999996533</v>
      </c>
    </row>
    <row r="14" spans="1:49" x14ac:dyDescent="0.25">
      <c r="B14" s="22">
        <f t="shared" si="27"/>
        <v>46179</v>
      </c>
      <c r="C14" s="23" t="s">
        <v>54</v>
      </c>
      <c r="D14" s="50">
        <f t="shared" ref="D14" si="42">AH13</f>
        <v>0</v>
      </c>
      <c r="E14" s="34">
        <f t="shared" ref="E14" si="43">AI13</f>
        <v>0</v>
      </c>
      <c r="F14" s="34">
        <f t="shared" ref="F14" si="44">AJ13</f>
        <v>0</v>
      </c>
      <c r="G14" s="34">
        <f t="shared" si="13"/>
        <v>0</v>
      </c>
      <c r="H14" s="35">
        <f t="shared" si="14"/>
        <v>0</v>
      </c>
      <c r="I14" s="26">
        <f t="shared" si="15"/>
        <v>0</v>
      </c>
      <c r="J14" s="265"/>
      <c r="K14" s="265"/>
      <c r="L14" s="267"/>
      <c r="M14" s="30"/>
      <c r="N14" s="30"/>
      <c r="O14" s="31"/>
      <c r="P14" s="28"/>
      <c r="Q14" s="32"/>
      <c r="R14" s="53">
        <f t="shared" si="29"/>
        <v>0</v>
      </c>
      <c r="S14" s="34">
        <f t="shared" si="30"/>
        <v>0</v>
      </c>
      <c r="T14" s="35">
        <f t="shared" si="31"/>
        <v>0</v>
      </c>
      <c r="U14" s="36"/>
      <c r="V14" s="37"/>
      <c r="W14" s="38"/>
      <c r="X14" s="39"/>
      <c r="Y14" s="40"/>
      <c r="Z14" s="40"/>
      <c r="AA14" s="34">
        <f t="shared" si="16"/>
        <v>0</v>
      </c>
      <c r="AB14" s="34">
        <f t="shared" si="17"/>
        <v>0</v>
      </c>
      <c r="AC14" s="129"/>
      <c r="AD14" s="130"/>
      <c r="AE14" s="130"/>
      <c r="AF14" s="34">
        <f t="shared" si="5"/>
        <v>0</v>
      </c>
      <c r="AG14" s="34">
        <f t="shared" si="6"/>
        <v>0</v>
      </c>
      <c r="AH14" s="43"/>
      <c r="AI14" s="38"/>
      <c r="AJ14" s="38"/>
      <c r="AK14" s="34">
        <f t="shared" si="7"/>
        <v>0</v>
      </c>
      <c r="AL14" s="44">
        <f t="shared" si="8"/>
        <v>0</v>
      </c>
      <c r="AM14" s="45">
        <f t="shared" si="18"/>
        <v>0</v>
      </c>
      <c r="AN14" s="46">
        <f t="shared" si="9"/>
        <v>0</v>
      </c>
      <c r="AO14" s="46">
        <f t="shared" si="9"/>
        <v>0</v>
      </c>
      <c r="AP14" s="47" t="e">
        <f t="shared" si="19"/>
        <v>#DIV/0!</v>
      </c>
      <c r="AQ14" s="48">
        <f t="shared" si="10"/>
        <v>0</v>
      </c>
      <c r="AR14" s="49">
        <f t="shared" si="20"/>
        <v>0</v>
      </c>
      <c r="AS14" s="49"/>
    </row>
    <row r="15" spans="1:49" x14ac:dyDescent="0.25">
      <c r="B15" s="22">
        <f t="shared" si="27"/>
        <v>46179</v>
      </c>
      <c r="C15" s="23" t="s">
        <v>55</v>
      </c>
      <c r="D15" s="50">
        <f t="shared" si="28"/>
        <v>0</v>
      </c>
      <c r="E15" s="34">
        <f t="shared" si="28"/>
        <v>0</v>
      </c>
      <c r="F15" s="34">
        <f t="shared" si="28"/>
        <v>0</v>
      </c>
      <c r="G15" s="34">
        <f t="shared" si="13"/>
        <v>0</v>
      </c>
      <c r="H15" s="35">
        <f t="shared" si="14"/>
        <v>0</v>
      </c>
      <c r="I15" s="26">
        <f t="shared" si="15"/>
        <v>0</v>
      </c>
      <c r="J15" s="265"/>
      <c r="K15" s="265"/>
      <c r="L15" s="267"/>
      <c r="M15" s="30"/>
      <c r="N15" s="131"/>
      <c r="O15" s="31"/>
      <c r="P15" s="28"/>
      <c r="Q15" s="32"/>
      <c r="R15" s="53">
        <f t="shared" si="29"/>
        <v>0</v>
      </c>
      <c r="S15" s="34">
        <f t="shared" si="30"/>
        <v>0</v>
      </c>
      <c r="T15" s="35">
        <f t="shared" si="31"/>
        <v>0</v>
      </c>
      <c r="U15" s="36"/>
      <c r="V15" s="37"/>
      <c r="W15" s="38"/>
      <c r="X15" s="39"/>
      <c r="Y15" s="40"/>
      <c r="Z15" s="40"/>
      <c r="AA15" s="34">
        <f t="shared" si="16"/>
        <v>0</v>
      </c>
      <c r="AB15" s="34">
        <f t="shared" si="17"/>
        <v>0</v>
      </c>
      <c r="AC15" s="129"/>
      <c r="AD15" s="130"/>
      <c r="AE15" s="130"/>
      <c r="AF15" s="34">
        <f t="shared" si="5"/>
        <v>0</v>
      </c>
      <c r="AG15" s="34">
        <f t="shared" si="6"/>
        <v>0</v>
      </c>
      <c r="AH15" s="43"/>
      <c r="AI15" s="38"/>
      <c r="AJ15" s="38"/>
      <c r="AK15" s="34">
        <f t="shared" si="7"/>
        <v>0</v>
      </c>
      <c r="AL15" s="44">
        <f t="shared" si="8"/>
        <v>0</v>
      </c>
      <c r="AM15" s="45">
        <f t="shared" si="18"/>
        <v>0</v>
      </c>
      <c r="AN15" s="46">
        <f t="shared" si="9"/>
        <v>0</v>
      </c>
      <c r="AO15" s="46">
        <f t="shared" si="9"/>
        <v>0</v>
      </c>
      <c r="AP15" s="47" t="e">
        <f t="shared" si="19"/>
        <v>#DIV/0!</v>
      </c>
      <c r="AQ15" s="48">
        <f t="shared" si="10"/>
        <v>0</v>
      </c>
      <c r="AR15" s="49">
        <f t="shared" si="20"/>
        <v>0</v>
      </c>
      <c r="AS15" s="49"/>
    </row>
    <row r="16" spans="1:49" x14ac:dyDescent="0.25">
      <c r="B16" s="22">
        <f t="shared" si="27"/>
        <v>46180</v>
      </c>
      <c r="C16" s="23" t="s">
        <v>54</v>
      </c>
      <c r="D16" s="50">
        <f t="shared" ref="D16" si="45">AH15</f>
        <v>0</v>
      </c>
      <c r="E16" s="34">
        <f t="shared" ref="E16" si="46">AI15</f>
        <v>0</v>
      </c>
      <c r="F16" s="34">
        <f t="shared" ref="F16" si="47">AJ15</f>
        <v>0</v>
      </c>
      <c r="G16" s="34">
        <f t="shared" ref="G16" si="48">+D16*E16%</f>
        <v>0</v>
      </c>
      <c r="H16" s="35">
        <f t="shared" si="14"/>
        <v>0</v>
      </c>
      <c r="I16" s="26">
        <f t="shared" si="15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29"/>
        <v>0</v>
      </c>
      <c r="S16" s="34">
        <f t="shared" si="30"/>
        <v>0</v>
      </c>
      <c r="T16" s="35">
        <f t="shared" si="31"/>
        <v>0</v>
      </c>
      <c r="U16" s="36"/>
      <c r="V16" s="37"/>
      <c r="W16" s="38"/>
      <c r="X16" s="39"/>
      <c r="Y16" s="40"/>
      <c r="Z16" s="40"/>
      <c r="AA16" s="34">
        <f t="shared" si="16"/>
        <v>0</v>
      </c>
      <c r="AB16" s="34">
        <f t="shared" si="17"/>
        <v>0</v>
      </c>
      <c r="AC16" s="129"/>
      <c r="AD16" s="130"/>
      <c r="AE16" s="130"/>
      <c r="AF16" s="34">
        <f t="shared" si="5"/>
        <v>0</v>
      </c>
      <c r="AG16" s="34">
        <f t="shared" si="6"/>
        <v>0</v>
      </c>
      <c r="AH16" s="43"/>
      <c r="AI16" s="38"/>
      <c r="AJ16" s="38"/>
      <c r="AK16" s="34">
        <f t="shared" si="7"/>
        <v>0</v>
      </c>
      <c r="AL16" s="44">
        <f t="shared" si="8"/>
        <v>0</v>
      </c>
      <c r="AM16" s="45">
        <f t="shared" si="18"/>
        <v>0</v>
      </c>
      <c r="AN16" s="46">
        <f t="shared" si="9"/>
        <v>0</v>
      </c>
      <c r="AO16" s="46">
        <f t="shared" si="9"/>
        <v>0</v>
      </c>
      <c r="AP16" s="47" t="e">
        <f t="shared" si="19"/>
        <v>#DIV/0!</v>
      </c>
      <c r="AQ16" s="48">
        <f t="shared" si="10"/>
        <v>0</v>
      </c>
      <c r="AR16" s="49">
        <f t="shared" si="20"/>
        <v>0</v>
      </c>
      <c r="AS16" s="49"/>
    </row>
    <row r="17" spans="2:49" x14ac:dyDescent="0.25">
      <c r="B17" s="22">
        <f t="shared" si="27"/>
        <v>46180</v>
      </c>
      <c r="C17" s="23" t="s">
        <v>55</v>
      </c>
      <c r="D17" s="50">
        <f t="shared" ref="D17" si="49">AH16</f>
        <v>0</v>
      </c>
      <c r="E17" s="34">
        <f t="shared" ref="E17" si="50">AI16</f>
        <v>0</v>
      </c>
      <c r="F17" s="34">
        <f t="shared" ref="F17" si="51">AJ16</f>
        <v>0</v>
      </c>
      <c r="G17" s="34">
        <f t="shared" si="13"/>
        <v>0</v>
      </c>
      <c r="H17" s="35">
        <f t="shared" si="14"/>
        <v>0</v>
      </c>
      <c r="I17" s="26">
        <f t="shared" si="15"/>
        <v>0</v>
      </c>
      <c r="J17" s="27"/>
      <c r="K17" s="28"/>
      <c r="L17" s="32"/>
      <c r="M17" s="29"/>
      <c r="N17" s="131"/>
      <c r="O17" s="31"/>
      <c r="P17" s="28"/>
      <c r="Q17" s="32"/>
      <c r="R17" s="53">
        <f t="shared" si="29"/>
        <v>0</v>
      </c>
      <c r="S17" s="34">
        <f t="shared" si="30"/>
        <v>0</v>
      </c>
      <c r="T17" s="35">
        <f t="shared" si="31"/>
        <v>0</v>
      </c>
      <c r="U17" s="36"/>
      <c r="V17" s="37"/>
      <c r="W17" s="38"/>
      <c r="X17" s="39"/>
      <c r="Y17" s="40"/>
      <c r="Z17" s="40"/>
      <c r="AA17" s="34">
        <f t="shared" si="3"/>
        <v>0</v>
      </c>
      <c r="AB17" s="34">
        <f t="shared" si="4"/>
        <v>0</v>
      </c>
      <c r="AC17" s="144"/>
      <c r="AD17" s="145"/>
      <c r="AE17" s="145"/>
      <c r="AF17" s="34">
        <f t="shared" si="5"/>
        <v>0</v>
      </c>
      <c r="AG17" s="34">
        <f t="shared" si="6"/>
        <v>0</v>
      </c>
      <c r="AH17" s="43"/>
      <c r="AI17" s="38"/>
      <c r="AJ17" s="38"/>
      <c r="AK17" s="34">
        <f t="shared" si="7"/>
        <v>0</v>
      </c>
      <c r="AL17" s="44">
        <f t="shared" si="8"/>
        <v>0</v>
      </c>
      <c r="AM17" s="45">
        <f t="shared" si="18"/>
        <v>0</v>
      </c>
      <c r="AN17" s="46">
        <f t="shared" si="9"/>
        <v>0</v>
      </c>
      <c r="AO17" s="46">
        <f t="shared" si="9"/>
        <v>0</v>
      </c>
      <c r="AP17" s="47" t="e">
        <f t="shared" si="19"/>
        <v>#DIV/0!</v>
      </c>
      <c r="AQ17" s="48">
        <f t="shared" si="10"/>
        <v>0</v>
      </c>
      <c r="AR17" s="49">
        <f t="shared" si="20"/>
        <v>0</v>
      </c>
      <c r="AS17" s="49"/>
    </row>
    <row r="18" spans="2:49" x14ac:dyDescent="0.25">
      <c r="B18" s="22">
        <f t="shared" si="27"/>
        <v>46181</v>
      </c>
      <c r="C18" s="23" t="s">
        <v>54</v>
      </c>
      <c r="D18" s="50">
        <f t="shared" ref="D18" si="52">AH17</f>
        <v>0</v>
      </c>
      <c r="E18" s="34">
        <f t="shared" ref="E18" si="53">AI17</f>
        <v>0</v>
      </c>
      <c r="F18" s="34">
        <f t="shared" ref="F18" si="54">AJ17</f>
        <v>0</v>
      </c>
      <c r="G18" s="34">
        <f t="shared" si="13"/>
        <v>0</v>
      </c>
      <c r="H18" s="35">
        <f t="shared" si="14"/>
        <v>0</v>
      </c>
      <c r="I18" s="26">
        <f t="shared" si="15"/>
        <v>0</v>
      </c>
      <c r="J18" s="27"/>
      <c r="K18" s="28"/>
      <c r="L18" s="32"/>
      <c r="M18" s="29"/>
      <c r="N18" s="30"/>
      <c r="O18" s="31"/>
      <c r="P18" s="28"/>
      <c r="Q18" s="32"/>
      <c r="R18" s="53">
        <f t="shared" si="29"/>
        <v>0</v>
      </c>
      <c r="S18" s="34">
        <f t="shared" si="30"/>
        <v>0</v>
      </c>
      <c r="T18" s="35">
        <f t="shared" si="31"/>
        <v>0</v>
      </c>
      <c r="U18" s="36"/>
      <c r="V18" s="37"/>
      <c r="W18" s="38"/>
      <c r="X18" s="39"/>
      <c r="Y18" s="40"/>
      <c r="Z18" s="40"/>
      <c r="AA18" s="34">
        <f t="shared" si="3"/>
        <v>0</v>
      </c>
      <c r="AB18" s="34">
        <f t="shared" si="4"/>
        <v>0</v>
      </c>
      <c r="AC18" s="129"/>
      <c r="AD18" s="130"/>
      <c r="AE18" s="130"/>
      <c r="AF18" s="34">
        <f t="shared" si="5"/>
        <v>0</v>
      </c>
      <c r="AG18" s="34">
        <f t="shared" si="6"/>
        <v>0</v>
      </c>
      <c r="AH18" s="43"/>
      <c r="AI18" s="38"/>
      <c r="AJ18" s="38"/>
      <c r="AK18" s="34">
        <f t="shared" si="7"/>
        <v>0</v>
      </c>
      <c r="AL18" s="44">
        <f t="shared" si="8"/>
        <v>0</v>
      </c>
      <c r="AM18" s="45">
        <f t="shared" si="18"/>
        <v>0</v>
      </c>
      <c r="AN18" s="51">
        <f t="shared" si="9"/>
        <v>0</v>
      </c>
      <c r="AO18" s="51">
        <f t="shared" si="9"/>
        <v>0</v>
      </c>
      <c r="AP18" s="47" t="e">
        <f t="shared" si="19"/>
        <v>#DIV/0!</v>
      </c>
      <c r="AQ18" s="48">
        <f t="shared" si="10"/>
        <v>0</v>
      </c>
      <c r="AR18" s="49">
        <f t="shared" si="20"/>
        <v>0</v>
      </c>
      <c r="AS18" s="49"/>
    </row>
    <row r="19" spans="2:49" x14ac:dyDescent="0.25">
      <c r="B19" s="22">
        <f t="shared" si="27"/>
        <v>46181</v>
      </c>
      <c r="C19" s="23" t="s">
        <v>55</v>
      </c>
      <c r="D19" s="50">
        <f t="shared" si="28"/>
        <v>0</v>
      </c>
      <c r="E19" s="34">
        <f t="shared" si="28"/>
        <v>0</v>
      </c>
      <c r="F19" s="34">
        <f t="shared" si="28"/>
        <v>0</v>
      </c>
      <c r="G19" s="34">
        <f t="shared" si="13"/>
        <v>0</v>
      </c>
      <c r="H19" s="35">
        <f t="shared" si="14"/>
        <v>0</v>
      </c>
      <c r="I19" s="26">
        <f t="shared" si="15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29"/>
        <v>0</v>
      </c>
      <c r="S19" s="34">
        <f t="shared" si="30"/>
        <v>0</v>
      </c>
      <c r="T19" s="35">
        <f t="shared" si="31"/>
        <v>0</v>
      </c>
      <c r="U19" s="36"/>
      <c r="V19" s="37"/>
      <c r="W19" s="38"/>
      <c r="X19" s="39"/>
      <c r="Y19" s="40"/>
      <c r="Z19" s="40"/>
      <c r="AA19" s="34">
        <f t="shared" si="3"/>
        <v>0</v>
      </c>
      <c r="AB19" s="34">
        <f t="shared" si="4"/>
        <v>0</v>
      </c>
      <c r="AC19" s="129"/>
      <c r="AD19" s="130"/>
      <c r="AE19" s="130"/>
      <c r="AF19" s="34">
        <f t="shared" si="5"/>
        <v>0</v>
      </c>
      <c r="AG19" s="34">
        <f t="shared" si="6"/>
        <v>0</v>
      </c>
      <c r="AH19" s="43"/>
      <c r="AI19" s="38"/>
      <c r="AJ19" s="38"/>
      <c r="AK19" s="34">
        <f t="shared" si="7"/>
        <v>0</v>
      </c>
      <c r="AL19" s="44">
        <f t="shared" si="8"/>
        <v>0</v>
      </c>
      <c r="AM19" s="45">
        <f t="shared" si="18"/>
        <v>0</v>
      </c>
      <c r="AN19" s="51">
        <f t="shared" si="9"/>
        <v>0</v>
      </c>
      <c r="AO19" s="51">
        <f t="shared" si="9"/>
        <v>0</v>
      </c>
      <c r="AP19" s="47" t="e">
        <f t="shared" si="19"/>
        <v>#DIV/0!</v>
      </c>
      <c r="AQ19" s="48">
        <f t="shared" si="10"/>
        <v>0</v>
      </c>
      <c r="AR19" s="49">
        <f t="shared" si="20"/>
        <v>0</v>
      </c>
      <c r="AS19" s="49"/>
    </row>
    <row r="20" spans="2:49" x14ac:dyDescent="0.25">
      <c r="B20" s="22">
        <f t="shared" si="27"/>
        <v>46182</v>
      </c>
      <c r="C20" s="23" t="s">
        <v>54</v>
      </c>
      <c r="D20" s="50">
        <f t="shared" ref="D20" si="55">AH19</f>
        <v>0</v>
      </c>
      <c r="E20" s="34">
        <f t="shared" ref="E20" si="56">AI19</f>
        <v>0</v>
      </c>
      <c r="F20" s="34">
        <f t="shared" ref="F20" si="57">AJ19</f>
        <v>0</v>
      </c>
      <c r="G20" s="34">
        <f t="shared" ref="G20" si="58">+D20*E20%</f>
        <v>0</v>
      </c>
      <c r="H20" s="35">
        <f t="shared" si="14"/>
        <v>0</v>
      </c>
      <c r="I20" s="26">
        <f t="shared" si="15"/>
        <v>0</v>
      </c>
      <c r="J20" s="27"/>
      <c r="K20" s="28"/>
      <c r="L20" s="32"/>
      <c r="M20" s="29"/>
      <c r="N20" s="30"/>
      <c r="O20" s="31"/>
      <c r="P20" s="28"/>
      <c r="Q20" s="32"/>
      <c r="R20" s="53">
        <f t="shared" si="29"/>
        <v>0</v>
      </c>
      <c r="S20" s="34">
        <f t="shared" si="30"/>
        <v>0</v>
      </c>
      <c r="T20" s="35">
        <f t="shared" si="31"/>
        <v>0</v>
      </c>
      <c r="U20" s="36"/>
      <c r="V20" s="37"/>
      <c r="W20" s="38"/>
      <c r="X20" s="39"/>
      <c r="Y20" s="40"/>
      <c r="Z20" s="40"/>
      <c r="AA20" s="34">
        <f t="shared" si="3"/>
        <v>0</v>
      </c>
      <c r="AB20" s="34">
        <f t="shared" si="4"/>
        <v>0</v>
      </c>
      <c r="AC20" s="129"/>
      <c r="AD20" s="130"/>
      <c r="AE20" s="130"/>
      <c r="AF20" s="34">
        <f t="shared" si="5"/>
        <v>0</v>
      </c>
      <c r="AG20" s="34">
        <f t="shared" si="6"/>
        <v>0</v>
      </c>
      <c r="AH20" s="43"/>
      <c r="AI20" s="38"/>
      <c r="AJ20" s="38"/>
      <c r="AK20" s="34">
        <f t="shared" si="7"/>
        <v>0</v>
      </c>
      <c r="AL20" s="44">
        <f t="shared" si="8"/>
        <v>0</v>
      </c>
      <c r="AM20" s="45">
        <f t="shared" si="18"/>
        <v>0</v>
      </c>
      <c r="AN20" s="51">
        <f t="shared" ref="AN20:AO35" si="59">+G20+S20-AF20-AK20</f>
        <v>0</v>
      </c>
      <c r="AO20" s="51">
        <f t="shared" si="59"/>
        <v>0</v>
      </c>
      <c r="AP20" s="47" t="e">
        <f t="shared" si="19"/>
        <v>#DIV/0!</v>
      </c>
      <c r="AQ20" s="48">
        <f t="shared" si="10"/>
        <v>0</v>
      </c>
      <c r="AR20" s="49">
        <f t="shared" si="20"/>
        <v>0</v>
      </c>
      <c r="AS20" s="49"/>
    </row>
    <row r="21" spans="2:49" x14ac:dyDescent="0.25">
      <c r="B21" s="22">
        <f t="shared" si="27"/>
        <v>46182</v>
      </c>
      <c r="C21" s="23" t="s">
        <v>55</v>
      </c>
      <c r="D21" s="50">
        <f t="shared" ref="D21:F35" si="60">AH20</f>
        <v>0</v>
      </c>
      <c r="E21" s="34">
        <f t="shared" si="60"/>
        <v>0</v>
      </c>
      <c r="F21" s="34">
        <f t="shared" si="60"/>
        <v>0</v>
      </c>
      <c r="G21" s="34">
        <f t="shared" si="13"/>
        <v>0</v>
      </c>
      <c r="H21" s="35">
        <f t="shared" si="14"/>
        <v>0</v>
      </c>
      <c r="I21" s="26">
        <f t="shared" si="15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si="29"/>
        <v>0</v>
      </c>
      <c r="S21" s="34">
        <f t="shared" si="30"/>
        <v>0</v>
      </c>
      <c r="T21" s="35">
        <f t="shared" si="31"/>
        <v>0</v>
      </c>
      <c r="U21" s="36"/>
      <c r="V21" s="37"/>
      <c r="W21" s="38"/>
      <c r="X21" s="39"/>
      <c r="Y21" s="40"/>
      <c r="Z21" s="40"/>
      <c r="AA21" s="34">
        <f t="shared" si="3"/>
        <v>0</v>
      </c>
      <c r="AB21" s="34">
        <f t="shared" si="4"/>
        <v>0</v>
      </c>
      <c r="AC21" s="129"/>
      <c r="AD21" s="130"/>
      <c r="AE21" s="130"/>
      <c r="AF21" s="34">
        <f t="shared" si="5"/>
        <v>0</v>
      </c>
      <c r="AG21" s="34">
        <f t="shared" si="6"/>
        <v>0</v>
      </c>
      <c r="AH21" s="43"/>
      <c r="AI21" s="38"/>
      <c r="AJ21" s="38"/>
      <c r="AK21" s="34">
        <f t="shared" si="7"/>
        <v>0</v>
      </c>
      <c r="AL21" s="44">
        <f t="shared" si="8"/>
        <v>0</v>
      </c>
      <c r="AM21" s="45">
        <f t="shared" si="18"/>
        <v>0</v>
      </c>
      <c r="AN21" s="51">
        <f t="shared" si="59"/>
        <v>0</v>
      </c>
      <c r="AO21" s="51">
        <f t="shared" si="59"/>
        <v>0</v>
      </c>
      <c r="AP21" s="47" t="e">
        <f t="shared" si="19"/>
        <v>#DIV/0!</v>
      </c>
      <c r="AQ21" s="48">
        <f t="shared" si="10"/>
        <v>0</v>
      </c>
      <c r="AR21" s="49">
        <f t="shared" si="20"/>
        <v>0</v>
      </c>
      <c r="AS21" s="49"/>
    </row>
    <row r="22" spans="2:49" x14ac:dyDescent="0.25">
      <c r="B22" s="22">
        <f t="shared" si="27"/>
        <v>46183</v>
      </c>
      <c r="C22" s="23" t="s">
        <v>54</v>
      </c>
      <c r="D22" s="50">
        <f t="shared" ref="D22" si="61">AH21</f>
        <v>0</v>
      </c>
      <c r="E22" s="34">
        <f t="shared" ref="E22" si="62">AI21</f>
        <v>0</v>
      </c>
      <c r="F22" s="34">
        <f t="shared" ref="F22" si="63">AJ21</f>
        <v>0</v>
      </c>
      <c r="G22" s="34">
        <f t="shared" si="13"/>
        <v>0</v>
      </c>
      <c r="H22" s="35">
        <f t="shared" si="14"/>
        <v>0</v>
      </c>
      <c r="I22" s="26">
        <f t="shared" si="15"/>
        <v>0</v>
      </c>
      <c r="J22" s="27"/>
      <c r="K22" s="28"/>
      <c r="L22" s="32"/>
      <c r="M22" s="29"/>
      <c r="N22" s="30"/>
      <c r="O22" s="31"/>
      <c r="P22" s="28"/>
      <c r="Q22" s="32"/>
      <c r="R22" s="53">
        <f t="shared" si="29"/>
        <v>0</v>
      </c>
      <c r="S22" s="34">
        <f t="shared" si="30"/>
        <v>0</v>
      </c>
      <c r="T22" s="35">
        <f t="shared" si="31"/>
        <v>0</v>
      </c>
      <c r="U22" s="36"/>
      <c r="V22" s="37"/>
      <c r="W22" s="38"/>
      <c r="X22" s="39"/>
      <c r="Y22" s="40"/>
      <c r="Z22" s="40"/>
      <c r="AA22" s="34">
        <f t="shared" si="3"/>
        <v>0</v>
      </c>
      <c r="AB22" s="34">
        <f t="shared" si="4"/>
        <v>0</v>
      </c>
      <c r="AC22" s="129"/>
      <c r="AD22" s="130"/>
      <c r="AE22" s="130"/>
      <c r="AF22" s="34">
        <f t="shared" si="5"/>
        <v>0</v>
      </c>
      <c r="AG22" s="34">
        <f t="shared" si="6"/>
        <v>0</v>
      </c>
      <c r="AH22" s="43"/>
      <c r="AI22" s="38"/>
      <c r="AJ22" s="38"/>
      <c r="AK22" s="34">
        <f t="shared" si="7"/>
        <v>0</v>
      </c>
      <c r="AL22" s="44">
        <f t="shared" si="8"/>
        <v>0</v>
      </c>
      <c r="AM22" s="45">
        <f t="shared" si="18"/>
        <v>0</v>
      </c>
      <c r="AN22" s="51">
        <f t="shared" si="59"/>
        <v>0</v>
      </c>
      <c r="AO22" s="51">
        <f t="shared" si="59"/>
        <v>0</v>
      </c>
      <c r="AP22" s="47" t="e">
        <f t="shared" si="19"/>
        <v>#DIV/0!</v>
      </c>
      <c r="AQ22" s="48">
        <f t="shared" si="10"/>
        <v>0</v>
      </c>
      <c r="AR22" s="49">
        <f t="shared" si="20"/>
        <v>0</v>
      </c>
      <c r="AS22" s="49"/>
    </row>
    <row r="23" spans="2:49" x14ac:dyDescent="0.25">
      <c r="B23" s="22">
        <f t="shared" si="27"/>
        <v>46183</v>
      </c>
      <c r="C23" s="23" t="s">
        <v>55</v>
      </c>
      <c r="D23" s="50">
        <f t="shared" si="60"/>
        <v>0</v>
      </c>
      <c r="E23" s="34">
        <f t="shared" si="60"/>
        <v>0</v>
      </c>
      <c r="F23" s="34">
        <f t="shared" si="60"/>
        <v>0</v>
      </c>
      <c r="G23" s="34">
        <f t="shared" si="13"/>
        <v>0</v>
      </c>
      <c r="H23" s="35">
        <f t="shared" si="14"/>
        <v>0</v>
      </c>
      <c r="I23" s="26">
        <f t="shared" si="15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29"/>
        <v>0</v>
      </c>
      <c r="S23" s="34">
        <f t="shared" si="30"/>
        <v>0</v>
      </c>
      <c r="T23" s="35">
        <f t="shared" si="31"/>
        <v>0</v>
      </c>
      <c r="U23" s="36"/>
      <c r="V23" s="37"/>
      <c r="W23" s="38"/>
      <c r="X23" s="39"/>
      <c r="Y23" s="40"/>
      <c r="Z23" s="40"/>
      <c r="AA23" s="34">
        <f t="shared" si="3"/>
        <v>0</v>
      </c>
      <c r="AB23" s="34">
        <f t="shared" si="4"/>
        <v>0</v>
      </c>
      <c r="AC23" s="129"/>
      <c r="AD23" s="130"/>
      <c r="AE23" s="130"/>
      <c r="AF23" s="34">
        <f t="shared" si="5"/>
        <v>0</v>
      </c>
      <c r="AG23" s="34">
        <f t="shared" si="6"/>
        <v>0</v>
      </c>
      <c r="AH23" s="43"/>
      <c r="AI23" s="38"/>
      <c r="AJ23" s="38"/>
      <c r="AK23" s="34">
        <f t="shared" si="7"/>
        <v>0</v>
      </c>
      <c r="AL23" s="44">
        <f t="shared" si="8"/>
        <v>0</v>
      </c>
      <c r="AM23" s="45">
        <f t="shared" si="18"/>
        <v>0</v>
      </c>
      <c r="AN23" s="51">
        <f t="shared" si="59"/>
        <v>0</v>
      </c>
      <c r="AO23" s="51">
        <f t="shared" si="59"/>
        <v>0</v>
      </c>
      <c r="AP23" s="47" t="e">
        <f t="shared" si="19"/>
        <v>#DIV/0!</v>
      </c>
      <c r="AQ23" s="48">
        <f t="shared" si="10"/>
        <v>0</v>
      </c>
      <c r="AR23" s="49">
        <f t="shared" si="20"/>
        <v>0</v>
      </c>
      <c r="AS23" s="49"/>
    </row>
    <row r="24" spans="2:49" x14ac:dyDescent="0.25">
      <c r="B24" s="22">
        <f t="shared" si="27"/>
        <v>46184</v>
      </c>
      <c r="C24" s="23" t="s">
        <v>54</v>
      </c>
      <c r="D24" s="50">
        <f t="shared" ref="D24" si="64">AH23</f>
        <v>0</v>
      </c>
      <c r="E24" s="34">
        <f t="shared" ref="E24" si="65">AI23</f>
        <v>0</v>
      </c>
      <c r="F24" s="34">
        <f t="shared" ref="F24" si="66">AJ23</f>
        <v>0</v>
      </c>
      <c r="G24" s="34">
        <f t="shared" si="13"/>
        <v>0</v>
      </c>
      <c r="H24" s="35">
        <f t="shared" si="14"/>
        <v>0</v>
      </c>
      <c r="I24" s="26">
        <f t="shared" si="15"/>
        <v>0</v>
      </c>
      <c r="J24" s="27"/>
      <c r="K24" s="28"/>
      <c r="L24" s="32"/>
      <c r="M24" s="29"/>
      <c r="N24" s="131"/>
      <c r="O24" s="31"/>
      <c r="P24" s="28"/>
      <c r="Q24" s="32"/>
      <c r="R24" s="53">
        <f t="shared" si="29"/>
        <v>0</v>
      </c>
      <c r="S24" s="34">
        <f t="shared" si="30"/>
        <v>0</v>
      </c>
      <c r="T24" s="35">
        <f t="shared" si="31"/>
        <v>0</v>
      </c>
      <c r="U24" s="36"/>
      <c r="V24" s="37"/>
      <c r="W24" s="38"/>
      <c r="X24" s="39"/>
      <c r="Y24" s="40"/>
      <c r="Z24" s="40"/>
      <c r="AA24" s="34">
        <f t="shared" si="3"/>
        <v>0</v>
      </c>
      <c r="AB24" s="34">
        <f t="shared" si="4"/>
        <v>0</v>
      </c>
      <c r="AC24" s="129"/>
      <c r="AD24" s="130"/>
      <c r="AE24" s="130"/>
      <c r="AF24" s="34">
        <f t="shared" si="5"/>
        <v>0</v>
      </c>
      <c r="AG24" s="34">
        <f t="shared" si="6"/>
        <v>0</v>
      </c>
      <c r="AH24" s="43"/>
      <c r="AI24" s="38"/>
      <c r="AJ24" s="38"/>
      <c r="AK24" s="34">
        <f t="shared" si="7"/>
        <v>0</v>
      </c>
      <c r="AL24" s="44">
        <f t="shared" si="8"/>
        <v>0</v>
      </c>
      <c r="AM24" s="45">
        <f t="shared" si="18"/>
        <v>0</v>
      </c>
      <c r="AN24" s="51">
        <f t="shared" si="59"/>
        <v>0</v>
      </c>
      <c r="AO24" s="51">
        <f t="shared" si="59"/>
        <v>0</v>
      </c>
      <c r="AP24" s="47" t="e">
        <f t="shared" si="19"/>
        <v>#DIV/0!</v>
      </c>
      <c r="AQ24" s="48">
        <f t="shared" si="10"/>
        <v>0</v>
      </c>
      <c r="AR24" s="49">
        <f t="shared" si="20"/>
        <v>0</v>
      </c>
      <c r="AS24" s="49"/>
    </row>
    <row r="25" spans="2:49" x14ac:dyDescent="0.25">
      <c r="B25" s="22">
        <f t="shared" si="27"/>
        <v>46184</v>
      </c>
      <c r="C25" s="23" t="s">
        <v>55</v>
      </c>
      <c r="D25" s="50">
        <f t="shared" ref="D25" si="67">AH24</f>
        <v>0</v>
      </c>
      <c r="E25" s="34">
        <f t="shared" ref="E25" si="68">AI24</f>
        <v>0</v>
      </c>
      <c r="F25" s="34">
        <f t="shared" ref="F25" si="69">AJ24</f>
        <v>0</v>
      </c>
      <c r="G25" s="34">
        <f t="shared" si="13"/>
        <v>0</v>
      </c>
      <c r="H25" s="35">
        <f t="shared" si="14"/>
        <v>0</v>
      </c>
      <c r="I25" s="26">
        <f t="shared" si="15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29"/>
        <v>0</v>
      </c>
      <c r="S25" s="34">
        <f t="shared" si="30"/>
        <v>0</v>
      </c>
      <c r="T25" s="35">
        <f t="shared" si="31"/>
        <v>0</v>
      </c>
      <c r="U25" s="36"/>
      <c r="V25" s="37"/>
      <c r="W25" s="38"/>
      <c r="X25" s="39"/>
      <c r="Y25" s="40"/>
      <c r="Z25" s="40"/>
      <c r="AA25" s="34">
        <f t="shared" si="3"/>
        <v>0</v>
      </c>
      <c r="AB25" s="34">
        <f t="shared" si="4"/>
        <v>0</v>
      </c>
      <c r="AC25" s="129"/>
      <c r="AD25" s="130"/>
      <c r="AE25" s="130"/>
      <c r="AF25" s="34">
        <f t="shared" si="5"/>
        <v>0</v>
      </c>
      <c r="AG25" s="34">
        <f t="shared" si="6"/>
        <v>0</v>
      </c>
      <c r="AH25" s="43"/>
      <c r="AI25" s="38"/>
      <c r="AJ25" s="38"/>
      <c r="AK25" s="34">
        <f t="shared" si="7"/>
        <v>0</v>
      </c>
      <c r="AL25" s="44">
        <f t="shared" si="8"/>
        <v>0</v>
      </c>
      <c r="AM25" s="45">
        <f t="shared" si="18"/>
        <v>0</v>
      </c>
      <c r="AN25" s="51">
        <f t="shared" si="59"/>
        <v>0</v>
      </c>
      <c r="AO25" s="51">
        <f t="shared" si="59"/>
        <v>0</v>
      </c>
      <c r="AP25" s="47" t="e">
        <f t="shared" si="19"/>
        <v>#DIV/0!</v>
      </c>
      <c r="AQ25" s="48">
        <f t="shared" si="10"/>
        <v>0</v>
      </c>
      <c r="AR25" s="49">
        <f t="shared" si="20"/>
        <v>0</v>
      </c>
      <c r="AS25" s="49"/>
    </row>
    <row r="26" spans="2:49" x14ac:dyDescent="0.25">
      <c r="B26" s="22">
        <f t="shared" si="27"/>
        <v>46185</v>
      </c>
      <c r="C26" s="23" t="s">
        <v>54</v>
      </c>
      <c r="D26" s="50">
        <f t="shared" ref="D26" si="70">AH25</f>
        <v>0</v>
      </c>
      <c r="E26" s="34">
        <f t="shared" ref="E26" si="71">AI25</f>
        <v>0</v>
      </c>
      <c r="F26" s="34">
        <f t="shared" ref="F26" si="72">AJ25</f>
        <v>0</v>
      </c>
      <c r="G26" s="34">
        <f t="shared" si="13"/>
        <v>0</v>
      </c>
      <c r="H26" s="35">
        <f t="shared" si="14"/>
        <v>0</v>
      </c>
      <c r="I26" s="26">
        <f t="shared" si="15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si="29"/>
        <v>0</v>
      </c>
      <c r="S26" s="34">
        <f t="shared" si="30"/>
        <v>0</v>
      </c>
      <c r="T26" s="35">
        <f t="shared" si="31"/>
        <v>0</v>
      </c>
      <c r="U26" s="36"/>
      <c r="V26" s="37"/>
      <c r="W26" s="38"/>
      <c r="X26" s="39"/>
      <c r="Y26" s="40"/>
      <c r="Z26" s="40"/>
      <c r="AA26" s="34">
        <f t="shared" si="3"/>
        <v>0</v>
      </c>
      <c r="AB26" s="34">
        <f t="shared" si="4"/>
        <v>0</v>
      </c>
      <c r="AC26" s="129"/>
      <c r="AD26" s="130"/>
      <c r="AE26" s="130"/>
      <c r="AF26" s="34">
        <f t="shared" si="5"/>
        <v>0</v>
      </c>
      <c r="AG26" s="34">
        <f t="shared" si="6"/>
        <v>0</v>
      </c>
      <c r="AH26" s="43"/>
      <c r="AI26" s="38"/>
      <c r="AJ26" s="38"/>
      <c r="AK26" s="34">
        <f t="shared" si="7"/>
        <v>0</v>
      </c>
      <c r="AL26" s="44">
        <f t="shared" si="8"/>
        <v>0</v>
      </c>
      <c r="AM26" s="45">
        <f t="shared" si="18"/>
        <v>0</v>
      </c>
      <c r="AN26" s="51">
        <f t="shared" si="59"/>
        <v>0</v>
      </c>
      <c r="AO26" s="51">
        <f t="shared" si="59"/>
        <v>0</v>
      </c>
      <c r="AP26" s="47" t="e">
        <f t="shared" si="19"/>
        <v>#DIV/0!</v>
      </c>
      <c r="AQ26" s="48">
        <f t="shared" si="10"/>
        <v>0</v>
      </c>
      <c r="AR26" s="49">
        <f t="shared" si="20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27"/>
        <v>46185</v>
      </c>
      <c r="C27" s="23" t="s">
        <v>55</v>
      </c>
      <c r="D27" s="50">
        <f t="shared" ref="D27" si="73">AH26</f>
        <v>0</v>
      </c>
      <c r="E27" s="34">
        <f t="shared" ref="E27" si="74">AI26</f>
        <v>0</v>
      </c>
      <c r="F27" s="34">
        <f t="shared" ref="F27" si="75">AJ26</f>
        <v>0</v>
      </c>
      <c r="G27" s="34">
        <f t="shared" si="13"/>
        <v>0</v>
      </c>
      <c r="H27" s="35">
        <f t="shared" si="14"/>
        <v>0</v>
      </c>
      <c r="I27" s="26">
        <f t="shared" si="15"/>
        <v>0</v>
      </c>
      <c r="J27" s="27"/>
      <c r="K27" s="28"/>
      <c r="L27" s="32"/>
      <c r="M27" s="29"/>
      <c r="N27" s="131"/>
      <c r="O27" s="31"/>
      <c r="P27" s="28"/>
      <c r="Q27" s="32"/>
      <c r="R27" s="53">
        <f t="shared" si="29"/>
        <v>0</v>
      </c>
      <c r="S27" s="34">
        <f t="shared" si="30"/>
        <v>0</v>
      </c>
      <c r="T27" s="35">
        <f t="shared" si="31"/>
        <v>0</v>
      </c>
      <c r="U27" s="36"/>
      <c r="V27" s="37"/>
      <c r="W27" s="38"/>
      <c r="X27" s="39"/>
      <c r="Y27" s="40"/>
      <c r="Z27" s="40"/>
      <c r="AA27" s="34">
        <f t="shared" si="3"/>
        <v>0</v>
      </c>
      <c r="AB27" s="34">
        <f t="shared" si="4"/>
        <v>0</v>
      </c>
      <c r="AC27" s="129"/>
      <c r="AD27" s="130"/>
      <c r="AE27" s="130"/>
      <c r="AF27" s="34">
        <f t="shared" si="5"/>
        <v>0</v>
      </c>
      <c r="AG27" s="34">
        <f t="shared" si="6"/>
        <v>0</v>
      </c>
      <c r="AH27" s="43"/>
      <c r="AI27" s="38"/>
      <c r="AJ27" s="38"/>
      <c r="AK27" s="34">
        <f t="shared" si="7"/>
        <v>0</v>
      </c>
      <c r="AL27" s="44">
        <f t="shared" si="8"/>
        <v>0</v>
      </c>
      <c r="AM27" s="45">
        <f t="shared" si="18"/>
        <v>0</v>
      </c>
      <c r="AN27" s="51">
        <f t="shared" si="59"/>
        <v>0</v>
      </c>
      <c r="AO27" s="51">
        <f t="shared" si="59"/>
        <v>0</v>
      </c>
      <c r="AP27" s="47" t="e">
        <f t="shared" si="19"/>
        <v>#DIV/0!</v>
      </c>
      <c r="AQ27" s="48">
        <f t="shared" si="10"/>
        <v>0</v>
      </c>
      <c r="AR27" s="49">
        <f t="shared" si="20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2:49" x14ac:dyDescent="0.25">
      <c r="B28" s="22">
        <f t="shared" si="27"/>
        <v>46186</v>
      </c>
      <c r="C28" s="23" t="s">
        <v>54</v>
      </c>
      <c r="D28" s="50">
        <f t="shared" ref="D28" si="76">AH27</f>
        <v>0</v>
      </c>
      <c r="E28" s="34">
        <f t="shared" ref="E28" si="77">AI27</f>
        <v>0</v>
      </c>
      <c r="F28" s="34">
        <f t="shared" ref="F28" si="78">AJ27</f>
        <v>0</v>
      </c>
      <c r="G28" s="34">
        <f t="shared" si="13"/>
        <v>0</v>
      </c>
      <c r="H28" s="35">
        <f t="shared" si="14"/>
        <v>0</v>
      </c>
      <c r="I28" s="26">
        <f t="shared" si="15"/>
        <v>0</v>
      </c>
      <c r="J28" s="27"/>
      <c r="K28" s="28"/>
      <c r="L28" s="32"/>
      <c r="M28" s="29"/>
      <c r="N28" s="30"/>
      <c r="O28" s="137"/>
      <c r="P28" s="135"/>
      <c r="Q28" s="136"/>
      <c r="R28" s="53">
        <f t="shared" si="29"/>
        <v>0</v>
      </c>
      <c r="S28" s="34">
        <f t="shared" si="30"/>
        <v>0</v>
      </c>
      <c r="T28" s="35">
        <f t="shared" si="31"/>
        <v>0</v>
      </c>
      <c r="U28" s="36"/>
      <c r="V28" s="37"/>
      <c r="W28" s="38"/>
      <c r="X28" s="39"/>
      <c r="Y28" s="40"/>
      <c r="Z28" s="40"/>
      <c r="AA28" s="34">
        <f t="shared" si="3"/>
        <v>0</v>
      </c>
      <c r="AB28" s="34">
        <f t="shared" si="4"/>
        <v>0</v>
      </c>
      <c r="AC28" s="129"/>
      <c r="AD28" s="130"/>
      <c r="AE28" s="130"/>
      <c r="AF28" s="34">
        <f t="shared" si="5"/>
        <v>0</v>
      </c>
      <c r="AG28" s="34">
        <f t="shared" si="6"/>
        <v>0</v>
      </c>
      <c r="AH28" s="43"/>
      <c r="AI28" s="38"/>
      <c r="AJ28" s="38"/>
      <c r="AK28" s="34">
        <f t="shared" si="7"/>
        <v>0</v>
      </c>
      <c r="AL28" s="44">
        <f t="shared" si="8"/>
        <v>0</v>
      </c>
      <c r="AM28" s="45">
        <f t="shared" si="18"/>
        <v>0</v>
      </c>
      <c r="AN28" s="46">
        <f t="shared" si="59"/>
        <v>0</v>
      </c>
      <c r="AO28" s="46">
        <f t="shared" si="59"/>
        <v>0</v>
      </c>
      <c r="AP28" s="47" t="e">
        <f t="shared" si="19"/>
        <v>#DIV/0!</v>
      </c>
      <c r="AQ28" s="48">
        <f t="shared" si="10"/>
        <v>0</v>
      </c>
      <c r="AR28" s="49">
        <f t="shared" si="20"/>
        <v>0</v>
      </c>
    </row>
    <row r="29" spans="2:49" x14ac:dyDescent="0.25">
      <c r="B29" s="22">
        <f t="shared" si="27"/>
        <v>46186</v>
      </c>
      <c r="C29" s="23" t="s">
        <v>55</v>
      </c>
      <c r="D29" s="50">
        <f t="shared" ref="D29" si="79">AH28</f>
        <v>0</v>
      </c>
      <c r="E29" s="34">
        <f t="shared" ref="E29" si="80">AI28</f>
        <v>0</v>
      </c>
      <c r="F29" s="34">
        <f t="shared" ref="F29" si="81">AJ28</f>
        <v>0</v>
      </c>
      <c r="G29" s="34">
        <f t="shared" si="13"/>
        <v>0</v>
      </c>
      <c r="H29" s="35">
        <f t="shared" si="14"/>
        <v>0</v>
      </c>
      <c r="I29" s="26">
        <f t="shared" si="15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29"/>
        <v>0</v>
      </c>
      <c r="S29" s="34">
        <f t="shared" si="30"/>
        <v>0</v>
      </c>
      <c r="T29" s="35">
        <f t="shared" si="31"/>
        <v>0</v>
      </c>
      <c r="U29" s="36"/>
      <c r="V29" s="37"/>
      <c r="W29" s="38"/>
      <c r="X29" s="39"/>
      <c r="Y29" s="40"/>
      <c r="Z29" s="40"/>
      <c r="AA29" s="34">
        <f t="shared" si="3"/>
        <v>0</v>
      </c>
      <c r="AB29" s="34">
        <f t="shared" si="4"/>
        <v>0</v>
      </c>
      <c r="AC29" s="129"/>
      <c r="AD29" s="130"/>
      <c r="AE29" s="130"/>
      <c r="AF29" s="34">
        <f t="shared" si="5"/>
        <v>0</v>
      </c>
      <c r="AG29" s="34">
        <f t="shared" si="6"/>
        <v>0</v>
      </c>
      <c r="AH29" s="43"/>
      <c r="AI29" s="38"/>
      <c r="AJ29" s="38"/>
      <c r="AK29" s="34">
        <f t="shared" si="7"/>
        <v>0</v>
      </c>
      <c r="AL29" s="44">
        <f t="shared" si="8"/>
        <v>0</v>
      </c>
      <c r="AM29" s="45">
        <f t="shared" si="18"/>
        <v>0</v>
      </c>
      <c r="AN29" s="46">
        <f t="shared" si="59"/>
        <v>0</v>
      </c>
      <c r="AO29" s="46">
        <f t="shared" si="59"/>
        <v>0</v>
      </c>
      <c r="AP29" s="47" t="e">
        <f t="shared" si="19"/>
        <v>#DIV/0!</v>
      </c>
      <c r="AQ29" s="48">
        <f t="shared" si="10"/>
        <v>0</v>
      </c>
      <c r="AR29" s="49">
        <f t="shared" si="20"/>
        <v>0</v>
      </c>
    </row>
    <row r="30" spans="2:49" x14ac:dyDescent="0.25">
      <c r="B30" s="22">
        <f t="shared" si="27"/>
        <v>46187</v>
      </c>
      <c r="C30" s="23" t="s">
        <v>54</v>
      </c>
      <c r="D30" s="50">
        <f t="shared" ref="D30" si="82">AH29</f>
        <v>0</v>
      </c>
      <c r="E30" s="34">
        <f t="shared" ref="E30" si="83">AI29</f>
        <v>0</v>
      </c>
      <c r="F30" s="34">
        <f t="shared" ref="F30" si="84">AJ29</f>
        <v>0</v>
      </c>
      <c r="G30" s="34">
        <f t="shared" si="13"/>
        <v>0</v>
      </c>
      <c r="H30" s="35">
        <f t="shared" si="14"/>
        <v>0</v>
      </c>
      <c r="I30" s="26">
        <f t="shared" si="15"/>
        <v>0</v>
      </c>
      <c r="J30" s="27"/>
      <c r="K30" s="28"/>
      <c r="L30" s="32"/>
      <c r="M30" s="29"/>
      <c r="N30" s="131"/>
      <c r="O30" s="31"/>
      <c r="P30" s="28"/>
      <c r="Q30" s="32"/>
      <c r="R30" s="53">
        <f t="shared" si="29"/>
        <v>0</v>
      </c>
      <c r="S30" s="34">
        <f t="shared" si="30"/>
        <v>0</v>
      </c>
      <c r="T30" s="35">
        <f t="shared" si="31"/>
        <v>0</v>
      </c>
      <c r="U30" s="36"/>
      <c r="V30" s="37"/>
      <c r="W30" s="38"/>
      <c r="X30" s="39"/>
      <c r="Y30" s="40"/>
      <c r="Z30" s="40"/>
      <c r="AA30" s="34">
        <f t="shared" si="3"/>
        <v>0</v>
      </c>
      <c r="AB30" s="34">
        <f t="shared" si="4"/>
        <v>0</v>
      </c>
      <c r="AC30" s="129"/>
      <c r="AD30" s="130"/>
      <c r="AE30" s="130"/>
      <c r="AF30" s="34">
        <f t="shared" si="5"/>
        <v>0</v>
      </c>
      <c r="AG30" s="34">
        <f t="shared" si="6"/>
        <v>0</v>
      </c>
      <c r="AH30" s="43"/>
      <c r="AI30" s="38"/>
      <c r="AJ30" s="38"/>
      <c r="AK30" s="34">
        <f t="shared" si="7"/>
        <v>0</v>
      </c>
      <c r="AL30" s="44">
        <f t="shared" si="8"/>
        <v>0</v>
      </c>
      <c r="AM30" s="45">
        <f t="shared" si="18"/>
        <v>0</v>
      </c>
      <c r="AN30" s="51">
        <f t="shared" si="59"/>
        <v>0</v>
      </c>
      <c r="AO30" s="51">
        <f t="shared" si="59"/>
        <v>0</v>
      </c>
      <c r="AP30" s="47" t="e">
        <f t="shared" si="19"/>
        <v>#DIV/0!</v>
      </c>
      <c r="AQ30" s="48">
        <f>($AP$1*AN30+$AQ$1*AO30)</f>
        <v>0</v>
      </c>
      <c r="AR30" s="49">
        <f t="shared" si="20"/>
        <v>0</v>
      </c>
    </row>
    <row r="31" spans="2:49" x14ac:dyDescent="0.25">
      <c r="B31" s="22">
        <f t="shared" si="27"/>
        <v>46187</v>
      </c>
      <c r="C31" s="23" t="s">
        <v>55</v>
      </c>
      <c r="D31" s="50">
        <f t="shared" si="60"/>
        <v>0</v>
      </c>
      <c r="E31" s="34">
        <f t="shared" si="60"/>
        <v>0</v>
      </c>
      <c r="F31" s="34">
        <f t="shared" si="60"/>
        <v>0</v>
      </c>
      <c r="G31" s="34">
        <f t="shared" si="13"/>
        <v>0</v>
      </c>
      <c r="H31" s="35">
        <f t="shared" si="14"/>
        <v>0</v>
      </c>
      <c r="I31" s="26">
        <f t="shared" si="15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29"/>
        <v>0</v>
      </c>
      <c r="S31" s="34">
        <f t="shared" si="30"/>
        <v>0</v>
      </c>
      <c r="T31" s="35">
        <f t="shared" si="31"/>
        <v>0</v>
      </c>
      <c r="U31" s="36"/>
      <c r="V31" s="37"/>
      <c r="W31" s="38"/>
      <c r="X31" s="39"/>
      <c r="Y31" s="40"/>
      <c r="Z31" s="40"/>
      <c r="AA31" s="34">
        <f t="shared" si="3"/>
        <v>0</v>
      </c>
      <c r="AB31" s="34">
        <f t="shared" si="4"/>
        <v>0</v>
      </c>
      <c r="AC31" s="129"/>
      <c r="AD31" s="130"/>
      <c r="AE31" s="130"/>
      <c r="AF31" s="34">
        <f t="shared" si="5"/>
        <v>0</v>
      </c>
      <c r="AG31" s="34">
        <f t="shared" si="6"/>
        <v>0</v>
      </c>
      <c r="AH31" s="43"/>
      <c r="AI31" s="38"/>
      <c r="AJ31" s="38"/>
      <c r="AK31" s="34">
        <f t="shared" si="7"/>
        <v>0</v>
      </c>
      <c r="AL31" s="44">
        <f t="shared" si="8"/>
        <v>0</v>
      </c>
      <c r="AM31" s="45">
        <f t="shared" si="18"/>
        <v>0</v>
      </c>
      <c r="AN31" s="51">
        <f t="shared" si="59"/>
        <v>0</v>
      </c>
      <c r="AO31" s="51">
        <f t="shared" si="59"/>
        <v>0</v>
      </c>
      <c r="AP31" s="47" t="e">
        <f t="shared" si="19"/>
        <v>#DIV/0!</v>
      </c>
      <c r="AQ31" s="48">
        <f t="shared" si="10"/>
        <v>0</v>
      </c>
      <c r="AR31" s="49">
        <f t="shared" si="20"/>
        <v>0</v>
      </c>
    </row>
    <row r="32" spans="2:49" x14ac:dyDescent="0.25">
      <c r="B32" s="22">
        <f t="shared" si="27"/>
        <v>46188</v>
      </c>
      <c r="C32" s="23" t="s">
        <v>54</v>
      </c>
      <c r="D32" s="50">
        <f t="shared" ref="D32" si="85">AH31</f>
        <v>0</v>
      </c>
      <c r="E32" s="34">
        <f t="shared" ref="E32" si="86">AI31</f>
        <v>0</v>
      </c>
      <c r="F32" s="34">
        <f t="shared" ref="F32" si="87">AJ31</f>
        <v>0</v>
      </c>
      <c r="G32" s="34">
        <f t="shared" si="13"/>
        <v>0</v>
      </c>
      <c r="H32" s="35">
        <f t="shared" si="14"/>
        <v>0</v>
      </c>
      <c r="I32" s="26">
        <f t="shared" si="15"/>
        <v>0</v>
      </c>
      <c r="J32" s="27"/>
      <c r="K32" s="28"/>
      <c r="L32" s="32"/>
      <c r="M32" s="29"/>
      <c r="N32" s="30"/>
      <c r="O32" s="31"/>
      <c r="P32" s="28"/>
      <c r="Q32" s="32"/>
      <c r="R32" s="53">
        <f t="shared" si="29"/>
        <v>0</v>
      </c>
      <c r="S32" s="34">
        <f t="shared" si="30"/>
        <v>0</v>
      </c>
      <c r="T32" s="35">
        <f t="shared" si="31"/>
        <v>0</v>
      </c>
      <c r="U32" s="36"/>
      <c r="V32" s="37"/>
      <c r="W32" s="38"/>
      <c r="X32" s="39"/>
      <c r="Y32" s="40"/>
      <c r="Z32" s="40"/>
      <c r="AA32" s="34">
        <f t="shared" si="3"/>
        <v>0</v>
      </c>
      <c r="AB32" s="34">
        <f t="shared" si="4"/>
        <v>0</v>
      </c>
      <c r="AC32" s="129"/>
      <c r="AD32" s="130"/>
      <c r="AE32" s="130"/>
      <c r="AF32" s="34">
        <f t="shared" si="5"/>
        <v>0</v>
      </c>
      <c r="AG32" s="34">
        <f t="shared" si="6"/>
        <v>0</v>
      </c>
      <c r="AH32" s="43"/>
      <c r="AI32" s="38"/>
      <c r="AJ32" s="38"/>
      <c r="AK32" s="34">
        <f t="shared" si="7"/>
        <v>0</v>
      </c>
      <c r="AL32" s="44">
        <f t="shared" si="8"/>
        <v>0</v>
      </c>
      <c r="AM32" s="45">
        <f t="shared" si="18"/>
        <v>0</v>
      </c>
      <c r="AN32" s="51">
        <f t="shared" si="59"/>
        <v>0</v>
      </c>
      <c r="AO32" s="51">
        <f t="shared" si="59"/>
        <v>0</v>
      </c>
      <c r="AP32" s="47" t="e">
        <f t="shared" si="19"/>
        <v>#DIV/0!</v>
      </c>
      <c r="AQ32" s="48">
        <f t="shared" si="10"/>
        <v>0</v>
      </c>
      <c r="AR32" s="49">
        <f t="shared" si="20"/>
        <v>0</v>
      </c>
    </row>
    <row r="33" spans="2:49" x14ac:dyDescent="0.25">
      <c r="B33" s="22">
        <f t="shared" si="27"/>
        <v>46188</v>
      </c>
      <c r="C33" s="23" t="s">
        <v>55</v>
      </c>
      <c r="D33" s="50">
        <f t="shared" si="60"/>
        <v>0</v>
      </c>
      <c r="E33" s="34">
        <f t="shared" si="60"/>
        <v>0</v>
      </c>
      <c r="F33" s="34">
        <f t="shared" si="60"/>
        <v>0</v>
      </c>
      <c r="G33" s="34">
        <f t="shared" si="13"/>
        <v>0</v>
      </c>
      <c r="H33" s="35">
        <f t="shared" si="14"/>
        <v>0</v>
      </c>
      <c r="I33" s="26">
        <f t="shared" si="15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29"/>
        <v>0</v>
      </c>
      <c r="S33" s="34">
        <f t="shared" si="30"/>
        <v>0</v>
      </c>
      <c r="T33" s="35">
        <f t="shared" si="31"/>
        <v>0</v>
      </c>
      <c r="U33" s="36"/>
      <c r="V33" s="37"/>
      <c r="W33" s="38"/>
      <c r="X33" s="39"/>
      <c r="Y33" s="40"/>
      <c r="Z33" s="40"/>
      <c r="AA33" s="34">
        <f t="shared" si="3"/>
        <v>0</v>
      </c>
      <c r="AB33" s="34">
        <f t="shared" si="4"/>
        <v>0</v>
      </c>
      <c r="AC33" s="129"/>
      <c r="AD33" s="130"/>
      <c r="AE33" s="130"/>
      <c r="AF33" s="34">
        <f t="shared" si="5"/>
        <v>0</v>
      </c>
      <c r="AG33" s="34">
        <f t="shared" si="6"/>
        <v>0</v>
      </c>
      <c r="AH33" s="43"/>
      <c r="AI33" s="38"/>
      <c r="AJ33" s="38"/>
      <c r="AK33" s="34">
        <f t="shared" si="7"/>
        <v>0</v>
      </c>
      <c r="AL33" s="44">
        <f t="shared" si="8"/>
        <v>0</v>
      </c>
      <c r="AM33" s="45">
        <f t="shared" si="18"/>
        <v>0</v>
      </c>
      <c r="AN33" s="51">
        <f t="shared" si="59"/>
        <v>0</v>
      </c>
      <c r="AO33" s="51">
        <f t="shared" si="59"/>
        <v>0</v>
      </c>
      <c r="AP33" s="47" t="e">
        <f t="shared" si="19"/>
        <v>#DIV/0!</v>
      </c>
      <c r="AQ33" s="48">
        <f t="shared" si="10"/>
        <v>0</v>
      </c>
      <c r="AR33" s="49">
        <f t="shared" si="20"/>
        <v>0</v>
      </c>
    </row>
    <row r="34" spans="2:49" x14ac:dyDescent="0.25">
      <c r="B34" s="22">
        <f t="shared" si="27"/>
        <v>46189</v>
      </c>
      <c r="C34" s="23" t="s">
        <v>54</v>
      </c>
      <c r="D34" s="50">
        <f t="shared" ref="D34" si="88">AH33</f>
        <v>0</v>
      </c>
      <c r="E34" s="34">
        <f t="shared" ref="E34" si="89">AI33</f>
        <v>0</v>
      </c>
      <c r="F34" s="34">
        <f t="shared" ref="F34" si="90">AJ33</f>
        <v>0</v>
      </c>
      <c r="G34" s="34">
        <f t="shared" si="13"/>
        <v>0</v>
      </c>
      <c r="H34" s="35">
        <f t="shared" si="14"/>
        <v>0</v>
      </c>
      <c r="I34" s="26">
        <f t="shared" si="15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29"/>
        <v>0</v>
      </c>
      <c r="S34" s="34">
        <f t="shared" si="30"/>
        <v>0</v>
      </c>
      <c r="T34" s="35">
        <f t="shared" si="31"/>
        <v>0</v>
      </c>
      <c r="U34" s="36"/>
      <c r="V34" s="37"/>
      <c r="W34" s="38"/>
      <c r="X34" s="39"/>
      <c r="Y34" s="40"/>
      <c r="Z34" s="40"/>
      <c r="AA34" s="34">
        <f t="shared" si="3"/>
        <v>0</v>
      </c>
      <c r="AB34" s="34">
        <f t="shared" si="4"/>
        <v>0</v>
      </c>
      <c r="AC34" s="144"/>
      <c r="AD34" s="145"/>
      <c r="AE34" s="145"/>
      <c r="AF34" s="34">
        <f t="shared" si="5"/>
        <v>0</v>
      </c>
      <c r="AG34" s="34">
        <f t="shared" si="6"/>
        <v>0</v>
      </c>
      <c r="AH34" s="43"/>
      <c r="AI34" s="38"/>
      <c r="AJ34" s="38"/>
      <c r="AK34" s="34">
        <f t="shared" si="7"/>
        <v>0</v>
      </c>
      <c r="AL34" s="44">
        <f t="shared" si="8"/>
        <v>0</v>
      </c>
      <c r="AM34" s="45">
        <f t="shared" si="18"/>
        <v>0</v>
      </c>
      <c r="AN34" s="51">
        <f t="shared" si="59"/>
        <v>0</v>
      </c>
      <c r="AO34" s="51">
        <f t="shared" si="59"/>
        <v>0</v>
      </c>
      <c r="AP34" s="47" t="e">
        <f t="shared" si="19"/>
        <v>#DIV/0!</v>
      </c>
      <c r="AQ34" s="48">
        <f t="shared" si="10"/>
        <v>0</v>
      </c>
      <c r="AR34" s="49">
        <f t="shared" si="20"/>
        <v>0</v>
      </c>
    </row>
    <row r="35" spans="2:49" x14ac:dyDescent="0.25">
      <c r="B35" s="22">
        <f t="shared" si="27"/>
        <v>46189</v>
      </c>
      <c r="C35" s="23" t="s">
        <v>55</v>
      </c>
      <c r="D35" s="50">
        <f t="shared" si="60"/>
        <v>0</v>
      </c>
      <c r="E35" s="34">
        <f t="shared" si="60"/>
        <v>0</v>
      </c>
      <c r="F35" s="34">
        <f t="shared" si="60"/>
        <v>0</v>
      </c>
      <c r="G35" s="34">
        <f t="shared" si="13"/>
        <v>0</v>
      </c>
      <c r="H35" s="35">
        <f t="shared" si="14"/>
        <v>0</v>
      </c>
      <c r="I35" s="26">
        <f t="shared" si="15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29"/>
        <v>0</v>
      </c>
      <c r="S35" s="34">
        <f t="shared" si="30"/>
        <v>0</v>
      </c>
      <c r="T35" s="35">
        <f t="shared" si="31"/>
        <v>0</v>
      </c>
      <c r="U35" s="36"/>
      <c r="V35" s="37"/>
      <c r="W35" s="38"/>
      <c r="X35" s="39"/>
      <c r="Y35" s="40"/>
      <c r="Z35" s="40"/>
      <c r="AA35" s="34">
        <f t="shared" si="3"/>
        <v>0</v>
      </c>
      <c r="AB35" s="34">
        <f t="shared" si="4"/>
        <v>0</v>
      </c>
      <c r="AC35" s="129"/>
      <c r="AD35" s="130"/>
      <c r="AE35" s="130"/>
      <c r="AF35" s="34">
        <f t="shared" si="5"/>
        <v>0</v>
      </c>
      <c r="AG35" s="34">
        <f t="shared" si="6"/>
        <v>0</v>
      </c>
      <c r="AH35" s="43"/>
      <c r="AI35" s="38"/>
      <c r="AJ35" s="38"/>
      <c r="AK35" s="34">
        <f t="shared" si="7"/>
        <v>0</v>
      </c>
      <c r="AL35" s="44">
        <f t="shared" si="8"/>
        <v>0</v>
      </c>
      <c r="AM35" s="45">
        <f t="shared" si="18"/>
        <v>0</v>
      </c>
      <c r="AN35" s="51">
        <f t="shared" si="59"/>
        <v>0</v>
      </c>
      <c r="AO35" s="51">
        <f t="shared" si="59"/>
        <v>0</v>
      </c>
      <c r="AP35" s="47" t="e">
        <f t="shared" si="19"/>
        <v>#DIV/0!</v>
      </c>
      <c r="AQ35" s="48">
        <f t="shared" si="10"/>
        <v>0</v>
      </c>
      <c r="AR35" s="49">
        <f t="shared" si="20"/>
        <v>0</v>
      </c>
    </row>
    <row r="36" spans="2:49" x14ac:dyDescent="0.25">
      <c r="B36" s="22">
        <f t="shared" si="27"/>
        <v>46190</v>
      </c>
      <c r="C36" s="23" t="s">
        <v>54</v>
      </c>
      <c r="D36" s="50">
        <f t="shared" ref="D36" si="91">AH35</f>
        <v>0</v>
      </c>
      <c r="E36" s="34">
        <f t="shared" ref="E36" si="92">AI35</f>
        <v>0</v>
      </c>
      <c r="F36" s="34">
        <f t="shared" ref="F36" si="93">AJ35</f>
        <v>0</v>
      </c>
      <c r="G36" s="34">
        <f t="shared" si="13"/>
        <v>0</v>
      </c>
      <c r="H36" s="35">
        <f t="shared" si="14"/>
        <v>0</v>
      </c>
      <c r="I36" s="26">
        <f t="shared" si="15"/>
        <v>0</v>
      </c>
      <c r="J36" s="27"/>
      <c r="K36" s="28"/>
      <c r="L36" s="32"/>
      <c r="M36" s="29"/>
      <c r="N36" s="30"/>
      <c r="O36" s="31"/>
      <c r="P36" s="28"/>
      <c r="Q36" s="32"/>
      <c r="R36" s="53">
        <f t="shared" si="29"/>
        <v>0</v>
      </c>
      <c r="S36" s="34">
        <f t="shared" si="30"/>
        <v>0</v>
      </c>
      <c r="T36" s="35">
        <f t="shared" si="31"/>
        <v>0</v>
      </c>
      <c r="U36" s="36"/>
      <c r="V36" s="37"/>
      <c r="W36" s="38"/>
      <c r="X36" s="39"/>
      <c r="Y36" s="40"/>
      <c r="Z36" s="40"/>
      <c r="AA36" s="34">
        <f t="shared" si="3"/>
        <v>0</v>
      </c>
      <c r="AB36" s="34">
        <f t="shared" si="4"/>
        <v>0</v>
      </c>
      <c r="AC36" s="129"/>
      <c r="AD36" s="130"/>
      <c r="AE36" s="130"/>
      <c r="AF36" s="34">
        <f t="shared" si="5"/>
        <v>0</v>
      </c>
      <c r="AG36" s="34">
        <f t="shared" si="6"/>
        <v>0</v>
      </c>
      <c r="AH36" s="43"/>
      <c r="AI36" s="38"/>
      <c r="AJ36" s="38"/>
      <c r="AK36" s="34">
        <f t="shared" si="7"/>
        <v>0</v>
      </c>
      <c r="AL36" s="44">
        <f t="shared" si="8"/>
        <v>0</v>
      </c>
      <c r="AM36" s="45">
        <f t="shared" si="18"/>
        <v>0</v>
      </c>
      <c r="AN36" s="51">
        <f t="shared" ref="AN36:AO51" si="94">+G36+S36-AF36-AK36</f>
        <v>0</v>
      </c>
      <c r="AO36" s="51">
        <f t="shared" si="94"/>
        <v>0</v>
      </c>
      <c r="AP36" s="47" t="e">
        <f t="shared" si="19"/>
        <v>#DIV/0!</v>
      </c>
      <c r="AQ36" s="48">
        <f t="shared" si="10"/>
        <v>0</v>
      </c>
      <c r="AR36" s="49">
        <f t="shared" si="20"/>
        <v>0</v>
      </c>
    </row>
    <row r="37" spans="2:49" x14ac:dyDescent="0.25">
      <c r="B37" s="22">
        <f t="shared" si="27"/>
        <v>46190</v>
      </c>
      <c r="C37" s="23" t="s">
        <v>55</v>
      </c>
      <c r="D37" s="50">
        <f t="shared" ref="D37:F43" si="95">AH36</f>
        <v>0</v>
      </c>
      <c r="E37" s="34">
        <f t="shared" si="95"/>
        <v>0</v>
      </c>
      <c r="F37" s="34">
        <f t="shared" si="95"/>
        <v>0</v>
      </c>
      <c r="G37" s="34">
        <f t="shared" si="13"/>
        <v>0</v>
      </c>
      <c r="H37" s="35">
        <f t="shared" si="14"/>
        <v>0</v>
      </c>
      <c r="I37" s="26">
        <f t="shared" si="15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29"/>
        <v>0</v>
      </c>
      <c r="S37" s="34">
        <f t="shared" si="30"/>
        <v>0</v>
      </c>
      <c r="T37" s="35">
        <f t="shared" si="31"/>
        <v>0</v>
      </c>
      <c r="U37" s="36"/>
      <c r="V37" s="37"/>
      <c r="W37" s="38"/>
      <c r="X37" s="39"/>
      <c r="Y37" s="40"/>
      <c r="Z37" s="40"/>
      <c r="AA37" s="34">
        <f t="shared" si="3"/>
        <v>0</v>
      </c>
      <c r="AB37" s="34">
        <f t="shared" si="4"/>
        <v>0</v>
      </c>
      <c r="AC37" s="129"/>
      <c r="AD37" s="130"/>
      <c r="AE37" s="130"/>
      <c r="AF37" s="34">
        <f t="shared" si="5"/>
        <v>0</v>
      </c>
      <c r="AG37" s="34">
        <f t="shared" si="6"/>
        <v>0</v>
      </c>
      <c r="AH37" s="43"/>
      <c r="AI37" s="38"/>
      <c r="AJ37" s="38"/>
      <c r="AK37" s="34">
        <f t="shared" si="7"/>
        <v>0</v>
      </c>
      <c r="AL37" s="44">
        <f t="shared" si="8"/>
        <v>0</v>
      </c>
      <c r="AM37" s="45">
        <f t="shared" si="18"/>
        <v>0</v>
      </c>
      <c r="AN37" s="51">
        <f t="shared" si="94"/>
        <v>0</v>
      </c>
      <c r="AO37" s="51">
        <f t="shared" si="94"/>
        <v>0</v>
      </c>
      <c r="AP37" s="47" t="e">
        <f t="shared" si="19"/>
        <v>#DIV/0!</v>
      </c>
      <c r="AQ37" s="48">
        <f t="shared" si="10"/>
        <v>0</v>
      </c>
      <c r="AR37" s="49">
        <f t="shared" si="20"/>
        <v>0</v>
      </c>
    </row>
    <row r="38" spans="2:49" x14ac:dyDescent="0.25">
      <c r="B38" s="22">
        <f t="shared" si="27"/>
        <v>46191</v>
      </c>
      <c r="C38" s="23" t="s">
        <v>54</v>
      </c>
      <c r="D38" s="50">
        <f t="shared" ref="D38:D39" si="96">AH37</f>
        <v>0</v>
      </c>
      <c r="E38" s="34">
        <f t="shared" ref="E38:E39" si="97">AI37</f>
        <v>0</v>
      </c>
      <c r="F38" s="34">
        <f t="shared" ref="F38" si="98">AJ37</f>
        <v>0</v>
      </c>
      <c r="G38" s="34">
        <f t="shared" si="13"/>
        <v>0</v>
      </c>
      <c r="H38" s="35">
        <f t="shared" si="14"/>
        <v>0</v>
      </c>
      <c r="I38" s="26">
        <f t="shared" si="15"/>
        <v>0</v>
      </c>
      <c r="J38" s="27"/>
      <c r="K38" s="28"/>
      <c r="L38" s="32"/>
      <c r="M38" s="29"/>
      <c r="N38" s="131"/>
      <c r="O38" s="31"/>
      <c r="P38" s="28"/>
      <c r="Q38" s="32"/>
      <c r="R38" s="53">
        <f t="shared" si="29"/>
        <v>0</v>
      </c>
      <c r="S38" s="34">
        <f t="shared" si="30"/>
        <v>0</v>
      </c>
      <c r="T38" s="35">
        <f t="shared" si="31"/>
        <v>0</v>
      </c>
      <c r="U38" s="36"/>
      <c r="V38" s="37"/>
      <c r="W38" s="38"/>
      <c r="X38" s="39"/>
      <c r="Y38" s="40"/>
      <c r="Z38" s="40"/>
      <c r="AA38" s="34">
        <f t="shared" ref="AA38" si="99">X38*Y38%</f>
        <v>0</v>
      </c>
      <c r="AB38" s="34">
        <f t="shared" ref="AB38:AB39" si="100">X38*Z38%</f>
        <v>0</v>
      </c>
      <c r="AC38" s="144"/>
      <c r="AD38" s="145"/>
      <c r="AE38" s="145"/>
      <c r="AF38" s="34">
        <f t="shared" si="5"/>
        <v>0</v>
      </c>
      <c r="AG38" s="34">
        <f t="shared" si="6"/>
        <v>0</v>
      </c>
      <c r="AH38" s="43"/>
      <c r="AI38" s="38"/>
      <c r="AJ38" s="38"/>
      <c r="AK38" s="34">
        <f t="shared" si="7"/>
        <v>0</v>
      </c>
      <c r="AL38" s="44">
        <f t="shared" si="8"/>
        <v>0</v>
      </c>
      <c r="AM38" s="45">
        <f t="shared" si="18"/>
        <v>0</v>
      </c>
      <c r="AN38" s="51">
        <f t="shared" si="94"/>
        <v>0</v>
      </c>
      <c r="AO38" s="51">
        <f t="shared" si="94"/>
        <v>0</v>
      </c>
      <c r="AP38" s="47" t="e">
        <f t="shared" si="19"/>
        <v>#DIV/0!</v>
      </c>
      <c r="AQ38" s="48">
        <f t="shared" si="10"/>
        <v>0</v>
      </c>
      <c r="AR38" s="49">
        <f t="shared" si="20"/>
        <v>0</v>
      </c>
    </row>
    <row r="39" spans="2:49" x14ac:dyDescent="0.25">
      <c r="B39" s="22">
        <f t="shared" si="27"/>
        <v>46191</v>
      </c>
      <c r="C39" s="23" t="s">
        <v>55</v>
      </c>
      <c r="D39" s="50">
        <f t="shared" si="96"/>
        <v>0</v>
      </c>
      <c r="E39" s="34">
        <f t="shared" si="97"/>
        <v>0</v>
      </c>
      <c r="F39" s="34">
        <f>AJ38</f>
        <v>0</v>
      </c>
      <c r="G39" s="34">
        <f t="shared" si="13"/>
        <v>0</v>
      </c>
      <c r="H39" s="35">
        <f t="shared" si="14"/>
        <v>0</v>
      </c>
      <c r="I39" s="26">
        <f t="shared" si="15"/>
        <v>0</v>
      </c>
      <c r="J39" s="27"/>
      <c r="K39" s="28"/>
      <c r="L39" s="32"/>
      <c r="M39" s="29"/>
      <c r="N39" s="30"/>
      <c r="O39" s="31"/>
      <c r="P39" s="28"/>
      <c r="Q39" s="32"/>
      <c r="R39" s="53">
        <f t="shared" si="29"/>
        <v>0</v>
      </c>
      <c r="S39" s="34">
        <f t="shared" si="30"/>
        <v>0</v>
      </c>
      <c r="T39" s="35">
        <f t="shared" si="31"/>
        <v>0</v>
      </c>
      <c r="U39" s="36"/>
      <c r="V39" s="37"/>
      <c r="W39" s="38"/>
      <c r="X39" s="39"/>
      <c r="Y39" s="40"/>
      <c r="Z39" s="40"/>
      <c r="AA39" s="34">
        <v>0</v>
      </c>
      <c r="AB39" s="34">
        <f t="shared" si="100"/>
        <v>0</v>
      </c>
      <c r="AC39" s="129"/>
      <c r="AD39" s="130"/>
      <c r="AE39" s="130"/>
      <c r="AF39" s="34">
        <f t="shared" si="5"/>
        <v>0</v>
      </c>
      <c r="AG39" s="34">
        <f t="shared" si="6"/>
        <v>0</v>
      </c>
      <c r="AH39" s="43"/>
      <c r="AI39" s="38"/>
      <c r="AJ39" s="38"/>
      <c r="AK39" s="34">
        <f t="shared" si="7"/>
        <v>0</v>
      </c>
      <c r="AL39" s="44">
        <f t="shared" si="8"/>
        <v>0</v>
      </c>
      <c r="AM39" s="45">
        <f t="shared" si="18"/>
        <v>0</v>
      </c>
      <c r="AN39" s="51">
        <f t="shared" si="94"/>
        <v>0</v>
      </c>
      <c r="AO39" s="51">
        <f t="shared" si="94"/>
        <v>0</v>
      </c>
      <c r="AP39" s="47" t="e">
        <f t="shared" si="19"/>
        <v>#DIV/0!</v>
      </c>
      <c r="AQ39" s="48">
        <f t="shared" si="10"/>
        <v>0</v>
      </c>
      <c r="AR39" s="49">
        <f t="shared" si="20"/>
        <v>0</v>
      </c>
    </row>
    <row r="40" spans="2:49" x14ac:dyDescent="0.25">
      <c r="B40" s="22">
        <f t="shared" si="27"/>
        <v>46192</v>
      </c>
      <c r="C40" s="23" t="s">
        <v>54</v>
      </c>
      <c r="D40" s="50">
        <f t="shared" ref="D40" si="101">AH39</f>
        <v>0</v>
      </c>
      <c r="E40" s="34">
        <f t="shared" ref="E40" si="102">AI39</f>
        <v>0</v>
      </c>
      <c r="F40" s="34">
        <f>AJ39</f>
        <v>0</v>
      </c>
      <c r="G40" s="34">
        <f t="shared" si="13"/>
        <v>0</v>
      </c>
      <c r="H40" s="35">
        <f t="shared" si="14"/>
        <v>0</v>
      </c>
      <c r="I40" s="26">
        <f t="shared" si="15"/>
        <v>0</v>
      </c>
      <c r="J40" s="27"/>
      <c r="K40" s="28"/>
      <c r="L40" s="32"/>
      <c r="M40" s="29"/>
      <c r="N40" s="131"/>
      <c r="O40" s="31"/>
      <c r="P40" s="28"/>
      <c r="Q40" s="32"/>
      <c r="R40" s="53">
        <f t="shared" si="29"/>
        <v>0</v>
      </c>
      <c r="S40" s="34">
        <f t="shared" si="30"/>
        <v>0</v>
      </c>
      <c r="T40" s="35">
        <f t="shared" si="31"/>
        <v>0</v>
      </c>
      <c r="U40" s="36"/>
      <c r="V40" s="37"/>
      <c r="W40" s="38"/>
      <c r="X40" s="39"/>
      <c r="Y40" s="40"/>
      <c r="Z40" s="40"/>
      <c r="AA40" s="34">
        <f t="shared" si="3"/>
        <v>0</v>
      </c>
      <c r="AB40" s="34">
        <f t="shared" si="4"/>
        <v>0</v>
      </c>
      <c r="AC40" s="129"/>
      <c r="AD40" s="130"/>
      <c r="AE40" s="130"/>
      <c r="AF40" s="34">
        <f t="shared" si="5"/>
        <v>0</v>
      </c>
      <c r="AG40" s="34">
        <f t="shared" si="6"/>
        <v>0</v>
      </c>
      <c r="AH40" s="43"/>
      <c r="AI40" s="38"/>
      <c r="AJ40" s="38"/>
      <c r="AK40" s="34">
        <f t="shared" si="7"/>
        <v>0</v>
      </c>
      <c r="AL40" s="44">
        <f t="shared" si="8"/>
        <v>0</v>
      </c>
      <c r="AM40" s="45">
        <f t="shared" si="18"/>
        <v>0</v>
      </c>
      <c r="AN40" s="51">
        <f t="shared" si="94"/>
        <v>0</v>
      </c>
      <c r="AO40" s="51">
        <f t="shared" si="94"/>
        <v>0</v>
      </c>
      <c r="AP40" s="47" t="e">
        <f t="shared" si="19"/>
        <v>#DIV/0!</v>
      </c>
      <c r="AQ40" s="48">
        <f t="shared" si="10"/>
        <v>0</v>
      </c>
      <c r="AR40" s="49">
        <f t="shared" si="20"/>
        <v>0</v>
      </c>
    </row>
    <row r="41" spans="2:49" x14ac:dyDescent="0.25">
      <c r="B41" s="22">
        <f t="shared" si="27"/>
        <v>46192</v>
      </c>
      <c r="C41" s="23" t="s">
        <v>55</v>
      </c>
      <c r="D41" s="50">
        <f t="shared" si="95"/>
        <v>0</v>
      </c>
      <c r="E41" s="34">
        <f t="shared" si="95"/>
        <v>0</v>
      </c>
      <c r="F41" s="34">
        <f t="shared" si="95"/>
        <v>0</v>
      </c>
      <c r="G41" s="34">
        <f t="shared" si="13"/>
        <v>0</v>
      </c>
      <c r="H41" s="35">
        <f t="shared" si="14"/>
        <v>0</v>
      </c>
      <c r="I41" s="26">
        <f t="shared" si="15"/>
        <v>0</v>
      </c>
      <c r="J41" s="27"/>
      <c r="K41" s="28"/>
      <c r="L41" s="32"/>
      <c r="M41" s="29"/>
      <c r="N41" s="30"/>
      <c r="O41" s="31"/>
      <c r="P41" s="28"/>
      <c r="Q41" s="32"/>
      <c r="R41" s="53">
        <f t="shared" si="29"/>
        <v>0</v>
      </c>
      <c r="S41" s="34">
        <f t="shared" si="30"/>
        <v>0</v>
      </c>
      <c r="T41" s="35">
        <f t="shared" si="31"/>
        <v>0</v>
      </c>
      <c r="U41" s="36"/>
      <c r="V41" s="37"/>
      <c r="W41" s="38"/>
      <c r="X41" s="39"/>
      <c r="Y41" s="40"/>
      <c r="Z41" s="40"/>
      <c r="AA41" s="34">
        <f t="shared" si="3"/>
        <v>0</v>
      </c>
      <c r="AB41" s="34">
        <f t="shared" si="4"/>
        <v>0</v>
      </c>
      <c r="AC41" s="129"/>
      <c r="AD41" s="130"/>
      <c r="AE41" s="130"/>
      <c r="AF41" s="34">
        <f t="shared" si="5"/>
        <v>0</v>
      </c>
      <c r="AG41" s="34">
        <f t="shared" si="6"/>
        <v>0</v>
      </c>
      <c r="AH41" s="43"/>
      <c r="AI41" s="38"/>
      <c r="AJ41" s="38"/>
      <c r="AK41" s="34">
        <f t="shared" si="7"/>
        <v>0</v>
      </c>
      <c r="AL41" s="44">
        <f t="shared" si="8"/>
        <v>0</v>
      </c>
      <c r="AM41" s="45">
        <f t="shared" si="18"/>
        <v>0</v>
      </c>
      <c r="AN41" s="51">
        <f t="shared" si="94"/>
        <v>0</v>
      </c>
      <c r="AO41" s="51">
        <f t="shared" si="94"/>
        <v>0</v>
      </c>
      <c r="AP41" s="47" t="e">
        <f t="shared" si="19"/>
        <v>#DIV/0!</v>
      </c>
      <c r="AQ41" s="48">
        <f t="shared" si="10"/>
        <v>0</v>
      </c>
      <c r="AR41" s="49">
        <f t="shared" si="20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27"/>
        <v>46193</v>
      </c>
      <c r="C42" s="23" t="s">
        <v>54</v>
      </c>
      <c r="D42" s="50">
        <f t="shared" ref="D42" si="103">AH41</f>
        <v>0</v>
      </c>
      <c r="E42" s="34">
        <f t="shared" ref="E42" si="104">AI41</f>
        <v>0</v>
      </c>
      <c r="F42" s="34">
        <f t="shared" ref="F42" si="105">AJ41</f>
        <v>0</v>
      </c>
      <c r="G42" s="34">
        <f t="shared" si="13"/>
        <v>0</v>
      </c>
      <c r="H42" s="35">
        <f t="shared" si="14"/>
        <v>0</v>
      </c>
      <c r="I42" s="26">
        <f t="shared" si="15"/>
        <v>0</v>
      </c>
      <c r="J42" s="27"/>
      <c r="K42" s="28"/>
      <c r="L42" s="28"/>
      <c r="M42" s="61"/>
      <c r="N42" s="61"/>
      <c r="O42" s="31"/>
      <c r="P42" s="28"/>
      <c r="Q42" s="28"/>
      <c r="R42" s="53">
        <f t="shared" si="29"/>
        <v>0</v>
      </c>
      <c r="S42" s="34">
        <f t="shared" si="30"/>
        <v>0</v>
      </c>
      <c r="T42" s="35">
        <f t="shared" si="31"/>
        <v>0</v>
      </c>
      <c r="U42" s="36"/>
      <c r="V42" s="37"/>
      <c r="W42" s="38"/>
      <c r="X42" s="39"/>
      <c r="Y42" s="40"/>
      <c r="Z42" s="40"/>
      <c r="AA42" s="34">
        <f t="shared" si="3"/>
        <v>0</v>
      </c>
      <c r="AB42" s="34">
        <f t="shared" si="4"/>
        <v>0</v>
      </c>
      <c r="AC42" s="144"/>
      <c r="AD42" s="145"/>
      <c r="AE42" s="145"/>
      <c r="AF42" s="34">
        <f t="shared" si="5"/>
        <v>0</v>
      </c>
      <c r="AG42" s="34">
        <f t="shared" si="6"/>
        <v>0</v>
      </c>
      <c r="AH42" s="62"/>
      <c r="AI42" s="38"/>
      <c r="AJ42" s="38"/>
      <c r="AK42" s="34">
        <f t="shared" si="7"/>
        <v>0</v>
      </c>
      <c r="AL42" s="44">
        <f t="shared" si="8"/>
        <v>0</v>
      </c>
      <c r="AM42" s="45">
        <f t="shared" si="18"/>
        <v>0</v>
      </c>
      <c r="AN42" s="51">
        <f t="shared" si="94"/>
        <v>0</v>
      </c>
      <c r="AO42" s="51">
        <f t="shared" si="94"/>
        <v>0</v>
      </c>
      <c r="AP42" s="47" t="e">
        <f t="shared" si="19"/>
        <v>#DIV/0!</v>
      </c>
      <c r="AQ42" s="48">
        <f t="shared" si="10"/>
        <v>0</v>
      </c>
      <c r="AR42" s="49">
        <f t="shared" si="20"/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27"/>
        <v>46193</v>
      </c>
      <c r="C43" s="23" t="s">
        <v>55</v>
      </c>
      <c r="D43" s="50">
        <f t="shared" si="95"/>
        <v>0</v>
      </c>
      <c r="E43" s="34">
        <f t="shared" si="95"/>
        <v>0</v>
      </c>
      <c r="F43" s="34">
        <f t="shared" si="95"/>
        <v>0</v>
      </c>
      <c r="G43" s="34">
        <f t="shared" si="13"/>
        <v>0</v>
      </c>
      <c r="H43" s="35">
        <f t="shared" si="14"/>
        <v>0</v>
      </c>
      <c r="I43" s="26">
        <f t="shared" si="15"/>
        <v>0</v>
      </c>
      <c r="J43" s="27"/>
      <c r="K43" s="28"/>
      <c r="L43" s="28"/>
      <c r="M43" s="61"/>
      <c r="N43" s="61"/>
      <c r="O43" s="31"/>
      <c r="P43" s="28"/>
      <c r="Q43" s="28"/>
      <c r="R43" s="53">
        <f t="shared" si="29"/>
        <v>0</v>
      </c>
      <c r="S43" s="34">
        <f t="shared" si="30"/>
        <v>0</v>
      </c>
      <c r="T43" s="35">
        <f t="shared" si="31"/>
        <v>0</v>
      </c>
      <c r="U43" s="37"/>
      <c r="V43" s="37"/>
      <c r="W43" s="38"/>
      <c r="X43" s="39"/>
      <c r="Y43" s="40"/>
      <c r="Z43" s="40"/>
      <c r="AA43" s="34">
        <f t="shared" si="3"/>
        <v>0</v>
      </c>
      <c r="AB43" s="34">
        <f t="shared" si="4"/>
        <v>0</v>
      </c>
      <c r="AC43" s="130"/>
      <c r="AD43" s="130"/>
      <c r="AE43" s="130"/>
      <c r="AF43" s="34">
        <f t="shared" si="5"/>
        <v>0</v>
      </c>
      <c r="AG43" s="34">
        <f t="shared" si="6"/>
        <v>0</v>
      </c>
      <c r="AH43" s="43"/>
      <c r="AI43" s="38"/>
      <c r="AJ43" s="38"/>
      <c r="AK43" s="34">
        <f t="shared" si="7"/>
        <v>0</v>
      </c>
      <c r="AL43" s="44">
        <f t="shared" si="8"/>
        <v>0</v>
      </c>
      <c r="AM43" s="45">
        <f t="shared" si="18"/>
        <v>0</v>
      </c>
      <c r="AN43" s="51">
        <f t="shared" si="94"/>
        <v>0</v>
      </c>
      <c r="AO43" s="51">
        <f t="shared" si="94"/>
        <v>0</v>
      </c>
      <c r="AP43" s="47" t="e">
        <f t="shared" si="19"/>
        <v>#DIV/0!</v>
      </c>
      <c r="AQ43" s="48">
        <f t="shared" si="10"/>
        <v>0</v>
      </c>
      <c r="AR43" s="49">
        <f t="shared" si="20"/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27"/>
        <v>46194</v>
      </c>
      <c r="C44" s="23" t="s">
        <v>54</v>
      </c>
      <c r="D44" s="50">
        <f t="shared" ref="D44" si="106">AH43</f>
        <v>0</v>
      </c>
      <c r="E44" s="34">
        <f t="shared" ref="E44" si="107">AI43</f>
        <v>0</v>
      </c>
      <c r="F44" s="34">
        <f t="shared" ref="F44" si="108">AJ43</f>
        <v>0</v>
      </c>
      <c r="G44" s="34">
        <f t="shared" si="13"/>
        <v>0</v>
      </c>
      <c r="H44" s="35">
        <f t="shared" si="14"/>
        <v>0</v>
      </c>
      <c r="I44" s="26">
        <f t="shared" si="15"/>
        <v>0</v>
      </c>
      <c r="J44" s="27"/>
      <c r="K44" s="28"/>
      <c r="L44" s="28"/>
      <c r="M44" s="61"/>
      <c r="N44" s="61"/>
      <c r="O44" s="31"/>
      <c r="P44" s="28"/>
      <c r="Q44" s="28"/>
      <c r="R44" s="53">
        <f t="shared" si="29"/>
        <v>0</v>
      </c>
      <c r="S44" s="34">
        <f t="shared" si="30"/>
        <v>0</v>
      </c>
      <c r="T44" s="35">
        <f t="shared" si="31"/>
        <v>0</v>
      </c>
      <c r="U44" s="36"/>
      <c r="V44" s="37"/>
      <c r="W44" s="38"/>
      <c r="X44" s="39"/>
      <c r="Y44" s="40"/>
      <c r="Z44" s="40"/>
      <c r="AA44" s="34">
        <f t="shared" si="3"/>
        <v>0</v>
      </c>
      <c r="AB44" s="34">
        <f t="shared" si="4"/>
        <v>0</v>
      </c>
      <c r="AC44" s="130"/>
      <c r="AD44" s="130"/>
      <c r="AE44" s="130"/>
      <c r="AF44" s="34">
        <f t="shared" si="5"/>
        <v>0</v>
      </c>
      <c r="AG44" s="34">
        <f t="shared" si="6"/>
        <v>0</v>
      </c>
      <c r="AH44" s="62"/>
      <c r="AI44" s="38"/>
      <c r="AJ44" s="38"/>
      <c r="AK44" s="34">
        <f t="shared" si="7"/>
        <v>0</v>
      </c>
      <c r="AL44" s="44">
        <f t="shared" si="8"/>
        <v>0</v>
      </c>
      <c r="AM44" s="45">
        <f t="shared" si="18"/>
        <v>0</v>
      </c>
      <c r="AN44" s="51">
        <f t="shared" si="94"/>
        <v>0</v>
      </c>
      <c r="AO44" s="51">
        <f t="shared" si="94"/>
        <v>0</v>
      </c>
      <c r="AP44" s="47" t="e">
        <f t="shared" si="19"/>
        <v>#DIV/0!</v>
      </c>
      <c r="AQ44" s="48">
        <f t="shared" si="10"/>
        <v>0</v>
      </c>
      <c r="AR44" s="49">
        <f t="shared" si="20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27"/>
        <v>46194</v>
      </c>
      <c r="C45" s="23" t="s">
        <v>55</v>
      </c>
      <c r="D45" s="50">
        <f t="shared" ref="D45" si="109">AH44</f>
        <v>0</v>
      </c>
      <c r="E45" s="34">
        <f t="shared" ref="E45" si="110">AI44</f>
        <v>0</v>
      </c>
      <c r="F45" s="34">
        <f t="shared" ref="F45" si="111">AJ44</f>
        <v>0</v>
      </c>
      <c r="G45" s="34">
        <f t="shared" si="13"/>
        <v>0</v>
      </c>
      <c r="H45" s="35">
        <f t="shared" si="14"/>
        <v>0</v>
      </c>
      <c r="I45" s="26">
        <f t="shared" si="15"/>
        <v>0</v>
      </c>
      <c r="J45" s="27"/>
      <c r="K45" s="28"/>
      <c r="L45" s="28"/>
      <c r="M45" s="61"/>
      <c r="N45" s="61"/>
      <c r="O45" s="31"/>
      <c r="P45" s="28"/>
      <c r="Q45" s="28"/>
      <c r="R45" s="53">
        <f t="shared" si="29"/>
        <v>0</v>
      </c>
      <c r="S45" s="34">
        <f t="shared" si="30"/>
        <v>0</v>
      </c>
      <c r="T45" s="35">
        <f t="shared" si="31"/>
        <v>0</v>
      </c>
      <c r="U45" s="37"/>
      <c r="V45" s="37"/>
      <c r="W45" s="38"/>
      <c r="X45" s="39"/>
      <c r="Y45" s="40"/>
      <c r="Z45" s="40"/>
      <c r="AA45" s="34">
        <f t="shared" ref="AA45" si="112">X45*Y45%</f>
        <v>0</v>
      </c>
      <c r="AB45" s="34">
        <f t="shared" ref="AB45" si="113">X45*Z45%</f>
        <v>0</v>
      </c>
      <c r="AC45" s="130"/>
      <c r="AD45" s="130"/>
      <c r="AE45" s="130"/>
      <c r="AF45" s="34">
        <f t="shared" si="5"/>
        <v>0</v>
      </c>
      <c r="AG45" s="34">
        <f t="shared" si="6"/>
        <v>0</v>
      </c>
      <c r="AH45" s="62"/>
      <c r="AI45" s="38"/>
      <c r="AJ45" s="38"/>
      <c r="AK45" s="34">
        <f t="shared" si="7"/>
        <v>0</v>
      </c>
      <c r="AL45" s="44">
        <f t="shared" si="8"/>
        <v>0</v>
      </c>
      <c r="AM45" s="45">
        <f t="shared" si="18"/>
        <v>0</v>
      </c>
      <c r="AN45" s="51">
        <f t="shared" si="94"/>
        <v>0</v>
      </c>
      <c r="AO45" s="51">
        <f t="shared" si="94"/>
        <v>0</v>
      </c>
      <c r="AP45" s="47" t="e">
        <f t="shared" si="19"/>
        <v>#DIV/0!</v>
      </c>
      <c r="AQ45" s="48">
        <f t="shared" si="10"/>
        <v>0</v>
      </c>
      <c r="AR45" s="49">
        <f t="shared" si="20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27"/>
        <v>46195</v>
      </c>
      <c r="C46" s="23" t="s">
        <v>54</v>
      </c>
      <c r="D46" s="50">
        <f t="shared" ref="D46" si="114">AH45</f>
        <v>0</v>
      </c>
      <c r="E46" s="34">
        <f t="shared" ref="E46" si="115">AI45</f>
        <v>0</v>
      </c>
      <c r="F46" s="34">
        <f t="shared" ref="F46" si="116">AJ45</f>
        <v>0</v>
      </c>
      <c r="G46" s="34">
        <f t="shared" si="13"/>
        <v>0</v>
      </c>
      <c r="H46" s="35">
        <f t="shared" si="14"/>
        <v>0</v>
      </c>
      <c r="I46" s="26">
        <f t="shared" si="15"/>
        <v>0</v>
      </c>
      <c r="J46" s="27"/>
      <c r="K46" s="28"/>
      <c r="L46" s="28"/>
      <c r="M46" s="61"/>
      <c r="N46" s="61"/>
      <c r="O46" s="31"/>
      <c r="P46" s="28"/>
      <c r="Q46" s="28"/>
      <c r="R46" s="53">
        <f t="shared" si="29"/>
        <v>0</v>
      </c>
      <c r="S46" s="34">
        <f t="shared" si="30"/>
        <v>0</v>
      </c>
      <c r="T46" s="35">
        <f t="shared" si="31"/>
        <v>0</v>
      </c>
      <c r="U46" s="37"/>
      <c r="V46" s="37"/>
      <c r="W46" s="38"/>
      <c r="X46" s="39"/>
      <c r="Y46" s="40"/>
      <c r="Z46" s="40"/>
      <c r="AA46" s="34">
        <f t="shared" si="3"/>
        <v>0</v>
      </c>
      <c r="AB46" s="34">
        <f t="shared" si="4"/>
        <v>0</v>
      </c>
      <c r="AC46" s="144"/>
      <c r="AD46" s="145"/>
      <c r="AE46" s="145"/>
      <c r="AF46" s="34">
        <f t="shared" si="5"/>
        <v>0</v>
      </c>
      <c r="AG46" s="34">
        <f t="shared" si="6"/>
        <v>0</v>
      </c>
      <c r="AH46" s="62"/>
      <c r="AI46" s="38"/>
      <c r="AJ46" s="38"/>
      <c r="AK46" s="34">
        <f t="shared" si="7"/>
        <v>0</v>
      </c>
      <c r="AL46" s="44">
        <f t="shared" si="8"/>
        <v>0</v>
      </c>
      <c r="AM46" s="45">
        <f t="shared" si="18"/>
        <v>0</v>
      </c>
      <c r="AN46" s="51">
        <f t="shared" si="94"/>
        <v>0</v>
      </c>
      <c r="AO46" s="51">
        <f t="shared" si="94"/>
        <v>0</v>
      </c>
      <c r="AP46" s="47" t="e">
        <f t="shared" si="19"/>
        <v>#DIV/0!</v>
      </c>
      <c r="AQ46" s="48">
        <f t="shared" si="10"/>
        <v>0</v>
      </c>
      <c r="AR46" s="49">
        <f t="shared" si="20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27"/>
        <v>46195</v>
      </c>
      <c r="C47" s="23" t="s">
        <v>55</v>
      </c>
      <c r="D47" s="50">
        <f t="shared" ref="D47" si="117">AH46</f>
        <v>0</v>
      </c>
      <c r="E47" s="34">
        <f t="shared" ref="E47" si="118">AI46</f>
        <v>0</v>
      </c>
      <c r="F47" s="34">
        <f t="shared" ref="F47" si="119">AJ46</f>
        <v>0</v>
      </c>
      <c r="G47" s="34">
        <f t="shared" si="13"/>
        <v>0</v>
      </c>
      <c r="H47" s="35">
        <f t="shared" si="14"/>
        <v>0</v>
      </c>
      <c r="I47" s="26">
        <f t="shared" si="15"/>
        <v>0</v>
      </c>
      <c r="J47" s="27"/>
      <c r="K47" s="28"/>
      <c r="L47" s="28"/>
      <c r="M47" s="61"/>
      <c r="N47" s="61"/>
      <c r="O47" s="31"/>
      <c r="P47" s="28"/>
      <c r="Q47" s="28"/>
      <c r="R47" s="53">
        <f t="shared" si="29"/>
        <v>0</v>
      </c>
      <c r="S47" s="34">
        <f t="shared" si="30"/>
        <v>0</v>
      </c>
      <c r="T47" s="35">
        <f t="shared" si="31"/>
        <v>0</v>
      </c>
      <c r="U47" s="37"/>
      <c r="V47" s="37"/>
      <c r="W47" s="38"/>
      <c r="X47" s="39"/>
      <c r="Y47" s="40"/>
      <c r="Z47" s="40"/>
      <c r="AA47" s="34">
        <f t="shared" si="3"/>
        <v>0</v>
      </c>
      <c r="AB47" s="34">
        <f t="shared" si="4"/>
        <v>0</v>
      </c>
      <c r="AC47" s="130"/>
      <c r="AD47" s="130"/>
      <c r="AE47" s="130"/>
      <c r="AF47" s="34">
        <f t="shared" si="5"/>
        <v>0</v>
      </c>
      <c r="AG47" s="34">
        <f t="shared" si="6"/>
        <v>0</v>
      </c>
      <c r="AH47" s="62"/>
      <c r="AI47" s="38"/>
      <c r="AJ47" s="38"/>
      <c r="AK47" s="34">
        <f t="shared" si="7"/>
        <v>0</v>
      </c>
      <c r="AL47" s="44">
        <f t="shared" si="8"/>
        <v>0</v>
      </c>
      <c r="AM47" s="45">
        <f t="shared" si="18"/>
        <v>0</v>
      </c>
      <c r="AN47" s="51">
        <f t="shared" si="94"/>
        <v>0</v>
      </c>
      <c r="AO47" s="51">
        <f t="shared" si="94"/>
        <v>0</v>
      </c>
      <c r="AP47" s="47" t="e">
        <f t="shared" si="19"/>
        <v>#DIV/0!</v>
      </c>
      <c r="AQ47" s="48">
        <f t="shared" si="10"/>
        <v>0</v>
      </c>
      <c r="AR47" s="49">
        <f t="shared" si="20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27"/>
        <v>46196</v>
      </c>
      <c r="C48" s="23" t="s">
        <v>54</v>
      </c>
      <c r="D48" s="50">
        <f t="shared" ref="D48:D49" si="120">AH47</f>
        <v>0</v>
      </c>
      <c r="E48" s="34">
        <f t="shared" ref="E48:E49" si="121">AI47</f>
        <v>0</v>
      </c>
      <c r="F48" s="34">
        <f t="shared" ref="F48:F49" si="122">AJ47</f>
        <v>0</v>
      </c>
      <c r="G48" s="34">
        <f t="shared" si="13"/>
        <v>0</v>
      </c>
      <c r="H48" s="35">
        <f t="shared" si="14"/>
        <v>0</v>
      </c>
      <c r="I48" s="26">
        <f t="shared" si="15"/>
        <v>0</v>
      </c>
      <c r="J48" s="27"/>
      <c r="K48" s="28"/>
      <c r="L48" s="28"/>
      <c r="M48" s="61"/>
      <c r="N48" s="106"/>
      <c r="O48" s="31"/>
      <c r="P48" s="28"/>
      <c r="Q48" s="28"/>
      <c r="R48" s="53">
        <f t="shared" si="29"/>
        <v>0</v>
      </c>
      <c r="S48" s="34">
        <f t="shared" si="30"/>
        <v>0</v>
      </c>
      <c r="T48" s="35">
        <f t="shared" si="31"/>
        <v>0</v>
      </c>
      <c r="U48" s="37"/>
      <c r="V48" s="37"/>
      <c r="W48" s="38"/>
      <c r="X48" s="39"/>
      <c r="Y48" s="40"/>
      <c r="Z48" s="40"/>
      <c r="AA48" s="34">
        <f t="shared" si="3"/>
        <v>0</v>
      </c>
      <c r="AB48" s="34">
        <f t="shared" si="4"/>
        <v>0</v>
      </c>
      <c r="AC48" s="130"/>
      <c r="AD48" s="130"/>
      <c r="AE48" s="130"/>
      <c r="AF48" s="34">
        <f t="shared" si="5"/>
        <v>0</v>
      </c>
      <c r="AG48" s="34">
        <f t="shared" si="6"/>
        <v>0</v>
      </c>
      <c r="AH48" s="62"/>
      <c r="AI48" s="38"/>
      <c r="AJ48" s="38"/>
      <c r="AK48" s="34">
        <f t="shared" si="7"/>
        <v>0</v>
      </c>
      <c r="AL48" s="44">
        <f t="shared" si="8"/>
        <v>0</v>
      </c>
      <c r="AM48" s="45">
        <f t="shared" si="18"/>
        <v>0</v>
      </c>
      <c r="AN48" s="51">
        <f t="shared" si="94"/>
        <v>0</v>
      </c>
      <c r="AO48" s="51">
        <f t="shared" si="94"/>
        <v>0</v>
      </c>
      <c r="AP48" s="47" t="e">
        <f t="shared" si="19"/>
        <v>#DIV/0!</v>
      </c>
      <c r="AQ48" s="48">
        <f t="shared" si="10"/>
        <v>0</v>
      </c>
      <c r="AR48" s="49">
        <f t="shared" si="20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27"/>
        <v>46196</v>
      </c>
      <c r="C49" s="23" t="s">
        <v>55</v>
      </c>
      <c r="D49" s="50">
        <f t="shared" si="120"/>
        <v>0</v>
      </c>
      <c r="E49" s="34">
        <f t="shared" si="121"/>
        <v>0</v>
      </c>
      <c r="F49" s="34">
        <f t="shared" si="122"/>
        <v>0</v>
      </c>
      <c r="G49" s="34">
        <f t="shared" si="13"/>
        <v>0</v>
      </c>
      <c r="H49" s="35">
        <f t="shared" si="14"/>
        <v>0</v>
      </c>
      <c r="I49" s="26">
        <f t="shared" si="15"/>
        <v>0</v>
      </c>
      <c r="J49" s="27"/>
      <c r="K49" s="28"/>
      <c r="L49" s="28"/>
      <c r="M49" s="61"/>
      <c r="N49" s="61"/>
      <c r="O49" s="31"/>
      <c r="P49" s="28"/>
      <c r="Q49" s="28"/>
      <c r="R49" s="53">
        <f t="shared" si="29"/>
        <v>0</v>
      </c>
      <c r="S49" s="34">
        <f t="shared" si="30"/>
        <v>0</v>
      </c>
      <c r="T49" s="35">
        <f t="shared" si="31"/>
        <v>0</v>
      </c>
      <c r="U49" s="37"/>
      <c r="V49" s="37"/>
      <c r="W49" s="38"/>
      <c r="X49" s="39"/>
      <c r="Y49" s="40"/>
      <c r="Z49" s="40"/>
      <c r="AA49" s="34">
        <f t="shared" si="3"/>
        <v>0</v>
      </c>
      <c r="AB49" s="34">
        <f t="shared" si="4"/>
        <v>0</v>
      </c>
      <c r="AC49" s="130"/>
      <c r="AD49" s="130"/>
      <c r="AE49" s="130"/>
      <c r="AF49" s="34">
        <f t="shared" si="5"/>
        <v>0</v>
      </c>
      <c r="AG49" s="34">
        <f t="shared" si="6"/>
        <v>0</v>
      </c>
      <c r="AH49" s="62"/>
      <c r="AI49" s="38"/>
      <c r="AJ49" s="38"/>
      <c r="AK49" s="34">
        <f t="shared" si="7"/>
        <v>0</v>
      </c>
      <c r="AL49" s="44">
        <f t="shared" si="8"/>
        <v>0</v>
      </c>
      <c r="AM49" s="45">
        <f t="shared" si="18"/>
        <v>0</v>
      </c>
      <c r="AN49" s="51">
        <f t="shared" si="94"/>
        <v>0</v>
      </c>
      <c r="AO49" s="51">
        <f t="shared" si="94"/>
        <v>0</v>
      </c>
      <c r="AP49" s="47" t="e">
        <f t="shared" si="19"/>
        <v>#DIV/0!</v>
      </c>
      <c r="AQ49" s="48">
        <f t="shared" si="10"/>
        <v>0</v>
      </c>
      <c r="AR49" s="49">
        <f t="shared" si="20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27"/>
        <v>46197</v>
      </c>
      <c r="C50" s="23" t="s">
        <v>54</v>
      </c>
      <c r="D50" s="50">
        <f t="shared" ref="D50" si="123">AH49</f>
        <v>0</v>
      </c>
      <c r="E50" s="34">
        <f t="shared" ref="E50" si="124">AI49</f>
        <v>0</v>
      </c>
      <c r="F50" s="34">
        <f t="shared" ref="F50" si="125">AJ49</f>
        <v>0</v>
      </c>
      <c r="G50" s="34">
        <f t="shared" si="13"/>
        <v>0</v>
      </c>
      <c r="H50" s="35">
        <f t="shared" si="14"/>
        <v>0</v>
      </c>
      <c r="I50" s="26">
        <f t="shared" si="15"/>
        <v>0</v>
      </c>
      <c r="J50" s="27"/>
      <c r="K50" s="28"/>
      <c r="L50" s="28"/>
      <c r="M50" s="61"/>
      <c r="N50" s="106"/>
      <c r="O50" s="31"/>
      <c r="P50" s="28"/>
      <c r="Q50" s="28"/>
      <c r="R50" s="53">
        <f t="shared" si="29"/>
        <v>0</v>
      </c>
      <c r="S50" s="34">
        <f t="shared" si="30"/>
        <v>0</v>
      </c>
      <c r="T50" s="35">
        <f t="shared" si="31"/>
        <v>0</v>
      </c>
      <c r="U50" s="37"/>
      <c r="V50" s="37"/>
      <c r="W50" s="38"/>
      <c r="X50" s="39"/>
      <c r="Y50" s="40"/>
      <c r="Z50" s="40"/>
      <c r="AA50" s="34">
        <f t="shared" si="3"/>
        <v>0</v>
      </c>
      <c r="AB50" s="34">
        <f t="shared" si="4"/>
        <v>0</v>
      </c>
      <c r="AC50" s="130"/>
      <c r="AD50" s="130"/>
      <c r="AE50" s="130"/>
      <c r="AF50" s="34">
        <f t="shared" si="5"/>
        <v>0</v>
      </c>
      <c r="AG50" s="34">
        <f t="shared" si="6"/>
        <v>0</v>
      </c>
      <c r="AH50" s="62"/>
      <c r="AI50" s="38"/>
      <c r="AJ50" s="38"/>
      <c r="AK50" s="34">
        <f t="shared" si="7"/>
        <v>0</v>
      </c>
      <c r="AL50" s="44">
        <f t="shared" si="8"/>
        <v>0</v>
      </c>
      <c r="AM50" s="45">
        <f t="shared" si="18"/>
        <v>0</v>
      </c>
      <c r="AN50" s="51">
        <f t="shared" si="94"/>
        <v>0</v>
      </c>
      <c r="AO50" s="51">
        <f t="shared" si="94"/>
        <v>0</v>
      </c>
      <c r="AP50" s="47" t="e">
        <f t="shared" si="19"/>
        <v>#DIV/0!</v>
      </c>
      <c r="AQ50" s="48">
        <f t="shared" si="10"/>
        <v>0</v>
      </c>
      <c r="AR50" s="49">
        <f t="shared" si="20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27"/>
        <v>46197</v>
      </c>
      <c r="C51" s="23" t="s">
        <v>55</v>
      </c>
      <c r="D51" s="50">
        <f t="shared" ref="D51" si="126">AH50</f>
        <v>0</v>
      </c>
      <c r="E51" s="34">
        <f t="shared" ref="E51" si="127">AI50</f>
        <v>0</v>
      </c>
      <c r="F51" s="34">
        <f t="shared" ref="F51" si="128">AJ50</f>
        <v>0</v>
      </c>
      <c r="G51" s="34">
        <f t="shared" si="13"/>
        <v>0</v>
      </c>
      <c r="H51" s="35">
        <f t="shared" si="14"/>
        <v>0</v>
      </c>
      <c r="I51" s="26">
        <f t="shared" si="15"/>
        <v>0</v>
      </c>
      <c r="J51" s="27"/>
      <c r="K51" s="28"/>
      <c r="L51" s="28"/>
      <c r="M51" s="61"/>
      <c r="N51" s="61"/>
      <c r="O51" s="31"/>
      <c r="P51" s="28"/>
      <c r="Q51" s="28"/>
      <c r="R51" s="53">
        <f t="shared" si="29"/>
        <v>0</v>
      </c>
      <c r="S51" s="34">
        <f t="shared" si="30"/>
        <v>0</v>
      </c>
      <c r="T51" s="35">
        <f t="shared" si="31"/>
        <v>0</v>
      </c>
      <c r="U51" s="37"/>
      <c r="V51" s="37"/>
      <c r="W51" s="38"/>
      <c r="X51" s="39"/>
      <c r="Y51" s="40"/>
      <c r="Z51" s="40"/>
      <c r="AA51" s="34">
        <f t="shared" si="3"/>
        <v>0</v>
      </c>
      <c r="AB51" s="34">
        <f t="shared" si="4"/>
        <v>0</v>
      </c>
      <c r="AC51" s="130"/>
      <c r="AD51" s="130"/>
      <c r="AE51" s="130"/>
      <c r="AF51" s="34">
        <f t="shared" si="5"/>
        <v>0</v>
      </c>
      <c r="AG51" s="34">
        <f t="shared" si="6"/>
        <v>0</v>
      </c>
      <c r="AH51" s="62"/>
      <c r="AI51" s="38"/>
      <c r="AJ51" s="38"/>
      <c r="AK51" s="34">
        <f t="shared" si="7"/>
        <v>0</v>
      </c>
      <c r="AL51" s="44">
        <f t="shared" si="8"/>
        <v>0</v>
      </c>
      <c r="AM51" s="45">
        <f t="shared" si="18"/>
        <v>0</v>
      </c>
      <c r="AN51" s="51">
        <f t="shared" si="94"/>
        <v>0</v>
      </c>
      <c r="AO51" s="51">
        <f t="shared" si="94"/>
        <v>0</v>
      </c>
      <c r="AP51" s="47" t="e">
        <f t="shared" si="19"/>
        <v>#DIV/0!</v>
      </c>
      <c r="AQ51" s="48">
        <f t="shared" si="10"/>
        <v>0</v>
      </c>
      <c r="AR51" s="49">
        <f t="shared" si="20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27"/>
        <v>46198</v>
      </c>
      <c r="C52" s="23" t="s">
        <v>54</v>
      </c>
      <c r="D52" s="50">
        <f t="shared" ref="D52" si="129">AH51</f>
        <v>0</v>
      </c>
      <c r="E52" s="34">
        <f t="shared" ref="E52" si="130">AI51</f>
        <v>0</v>
      </c>
      <c r="F52" s="34">
        <f t="shared" ref="F52" si="131">AJ51</f>
        <v>0</v>
      </c>
      <c r="G52" s="34">
        <f t="shared" si="13"/>
        <v>0</v>
      </c>
      <c r="H52" s="35">
        <f t="shared" si="14"/>
        <v>0</v>
      </c>
      <c r="I52" s="26">
        <f t="shared" si="15"/>
        <v>0</v>
      </c>
      <c r="J52" s="27"/>
      <c r="K52" s="28"/>
      <c r="L52" s="28"/>
      <c r="M52" s="61"/>
      <c r="N52" s="106"/>
      <c r="O52" s="31"/>
      <c r="P52" s="28"/>
      <c r="Q52" s="28"/>
      <c r="R52" s="53">
        <f t="shared" si="29"/>
        <v>0</v>
      </c>
      <c r="S52" s="34">
        <f t="shared" si="30"/>
        <v>0</v>
      </c>
      <c r="T52" s="35">
        <f t="shared" si="31"/>
        <v>0</v>
      </c>
      <c r="U52" s="37"/>
      <c r="V52" s="37"/>
      <c r="W52" s="38"/>
      <c r="X52" s="39"/>
      <c r="Y52" s="40"/>
      <c r="Z52" s="40"/>
      <c r="AA52" s="34">
        <f t="shared" si="3"/>
        <v>0</v>
      </c>
      <c r="AB52" s="34">
        <f t="shared" si="4"/>
        <v>0</v>
      </c>
      <c r="AC52" s="130"/>
      <c r="AD52" s="130"/>
      <c r="AE52" s="130"/>
      <c r="AF52" s="34">
        <f t="shared" si="5"/>
        <v>0</v>
      </c>
      <c r="AG52" s="34">
        <f t="shared" si="6"/>
        <v>0</v>
      </c>
      <c r="AH52" s="62"/>
      <c r="AI52" s="38"/>
      <c r="AJ52" s="38"/>
      <c r="AK52" s="34">
        <f t="shared" si="7"/>
        <v>0</v>
      </c>
      <c r="AL52" s="44">
        <f t="shared" si="8"/>
        <v>0</v>
      </c>
      <c r="AM52" s="45">
        <f t="shared" si="18"/>
        <v>0</v>
      </c>
      <c r="AN52" s="51">
        <f t="shared" ref="AN52:AO65" si="132">+G52+S52-AF52-AK52</f>
        <v>0</v>
      </c>
      <c r="AO52" s="51">
        <f t="shared" si="132"/>
        <v>0</v>
      </c>
      <c r="AP52" s="47" t="e">
        <f t="shared" si="19"/>
        <v>#DIV/0!</v>
      </c>
      <c r="AQ52" s="48">
        <f t="shared" si="10"/>
        <v>0</v>
      </c>
      <c r="AR52" s="49">
        <f t="shared" si="20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27"/>
        <v>46198</v>
      </c>
      <c r="C53" s="23" t="s">
        <v>55</v>
      </c>
      <c r="D53" s="50">
        <f t="shared" ref="D53" si="133">AH52</f>
        <v>0</v>
      </c>
      <c r="E53" s="34">
        <f t="shared" ref="E53" si="134">AI52</f>
        <v>0</v>
      </c>
      <c r="F53" s="34">
        <f t="shared" ref="F53" si="135">AJ52</f>
        <v>0</v>
      </c>
      <c r="G53" s="34">
        <f t="shared" si="13"/>
        <v>0</v>
      </c>
      <c r="H53" s="35">
        <f t="shared" si="14"/>
        <v>0</v>
      </c>
      <c r="I53" s="26">
        <f t="shared" si="15"/>
        <v>0</v>
      </c>
      <c r="J53" s="27"/>
      <c r="K53" s="28"/>
      <c r="L53" s="28"/>
      <c r="M53" s="61"/>
      <c r="N53" s="61"/>
      <c r="O53" s="31"/>
      <c r="P53" s="28"/>
      <c r="Q53" s="28"/>
      <c r="R53" s="53">
        <f t="shared" si="29"/>
        <v>0</v>
      </c>
      <c r="S53" s="34">
        <f t="shared" si="30"/>
        <v>0</v>
      </c>
      <c r="T53" s="35">
        <f t="shared" si="31"/>
        <v>0</v>
      </c>
      <c r="U53" s="37"/>
      <c r="V53" s="37"/>
      <c r="W53" s="38"/>
      <c r="X53" s="39"/>
      <c r="Y53" s="40"/>
      <c r="Z53" s="40"/>
      <c r="AA53" s="34">
        <f t="shared" si="3"/>
        <v>0</v>
      </c>
      <c r="AB53" s="34">
        <f t="shared" si="4"/>
        <v>0</v>
      </c>
      <c r="AC53" s="130"/>
      <c r="AD53" s="130"/>
      <c r="AE53" s="130"/>
      <c r="AF53" s="34">
        <f t="shared" si="5"/>
        <v>0</v>
      </c>
      <c r="AG53" s="34">
        <f t="shared" si="6"/>
        <v>0</v>
      </c>
      <c r="AH53" s="62"/>
      <c r="AI53" s="38"/>
      <c r="AJ53" s="38"/>
      <c r="AK53" s="34">
        <f t="shared" si="7"/>
        <v>0</v>
      </c>
      <c r="AL53" s="44">
        <f t="shared" si="8"/>
        <v>0</v>
      </c>
      <c r="AM53" s="45">
        <f t="shared" si="18"/>
        <v>0</v>
      </c>
      <c r="AN53" s="51">
        <f t="shared" si="132"/>
        <v>0</v>
      </c>
      <c r="AO53" s="51">
        <f t="shared" si="132"/>
        <v>0</v>
      </c>
      <c r="AP53" s="47" t="e">
        <f t="shared" si="19"/>
        <v>#DIV/0!</v>
      </c>
      <c r="AQ53" s="48">
        <f t="shared" si="10"/>
        <v>0</v>
      </c>
      <c r="AR53" s="49">
        <f t="shared" si="20"/>
        <v>0</v>
      </c>
      <c r="AS53" s="49"/>
      <c r="AT53" s="52">
        <v>1250</v>
      </c>
      <c r="AU53" s="52" t="s">
        <v>130</v>
      </c>
      <c r="AV53" s="52"/>
      <c r="AW53" s="52"/>
    </row>
    <row r="54" spans="2:49" x14ac:dyDescent="0.25">
      <c r="B54" s="22">
        <f t="shared" si="27"/>
        <v>46199</v>
      </c>
      <c r="C54" s="23" t="s">
        <v>54</v>
      </c>
      <c r="D54" s="50">
        <f t="shared" ref="D54" si="136">AH53</f>
        <v>0</v>
      </c>
      <c r="E54" s="34">
        <f t="shared" ref="E54" si="137">AI53</f>
        <v>0</v>
      </c>
      <c r="F54" s="34">
        <f t="shared" ref="F54" si="138">AJ53</f>
        <v>0</v>
      </c>
      <c r="G54" s="34">
        <f t="shared" si="13"/>
        <v>0</v>
      </c>
      <c r="H54" s="35">
        <f t="shared" si="14"/>
        <v>0</v>
      </c>
      <c r="I54" s="26">
        <f t="shared" si="15"/>
        <v>0</v>
      </c>
      <c r="J54" s="27"/>
      <c r="K54" s="28"/>
      <c r="L54" s="28"/>
      <c r="M54" s="61"/>
      <c r="N54" s="61"/>
      <c r="O54" s="31"/>
      <c r="P54" s="28"/>
      <c r="Q54" s="28"/>
      <c r="R54" s="53">
        <f t="shared" si="29"/>
        <v>0</v>
      </c>
      <c r="S54" s="34">
        <f t="shared" si="30"/>
        <v>0</v>
      </c>
      <c r="T54" s="35">
        <f t="shared" si="31"/>
        <v>0</v>
      </c>
      <c r="U54" s="37"/>
      <c r="V54" s="37"/>
      <c r="W54" s="38"/>
      <c r="X54" s="39"/>
      <c r="Y54" s="40"/>
      <c r="Z54" s="40"/>
      <c r="AA54" s="34">
        <f t="shared" si="3"/>
        <v>0</v>
      </c>
      <c r="AB54" s="34">
        <f t="shared" si="4"/>
        <v>0</v>
      </c>
      <c r="AC54" s="144"/>
      <c r="AD54" s="145"/>
      <c r="AE54" s="145"/>
      <c r="AF54" s="34">
        <f t="shared" si="5"/>
        <v>0</v>
      </c>
      <c r="AG54" s="34">
        <f t="shared" si="6"/>
        <v>0</v>
      </c>
      <c r="AH54" s="62"/>
      <c r="AI54" s="38"/>
      <c r="AJ54" s="38"/>
      <c r="AK54" s="34">
        <f t="shared" si="7"/>
        <v>0</v>
      </c>
      <c r="AL54" s="44">
        <f t="shared" si="8"/>
        <v>0</v>
      </c>
      <c r="AM54" s="45">
        <f t="shared" si="18"/>
        <v>0</v>
      </c>
      <c r="AN54" s="51">
        <f t="shared" si="132"/>
        <v>0</v>
      </c>
      <c r="AO54" s="51">
        <f t="shared" si="132"/>
        <v>0</v>
      </c>
      <c r="AP54" s="47" t="e">
        <f t="shared" si="19"/>
        <v>#DIV/0!</v>
      </c>
      <c r="AQ54" s="48">
        <f t="shared" si="10"/>
        <v>0</v>
      </c>
      <c r="AR54" s="49">
        <f t="shared" si="20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27"/>
        <v>46199</v>
      </c>
      <c r="C55" s="23" t="s">
        <v>55</v>
      </c>
      <c r="D55" s="50">
        <f t="shared" ref="D55" si="139">AH54</f>
        <v>0</v>
      </c>
      <c r="E55" s="34">
        <f t="shared" ref="E55" si="140">AI54</f>
        <v>0</v>
      </c>
      <c r="F55" s="34">
        <f t="shared" ref="F55" si="141">AJ54</f>
        <v>0</v>
      </c>
      <c r="G55" s="34">
        <f t="shared" si="13"/>
        <v>0</v>
      </c>
      <c r="H55" s="35">
        <f t="shared" si="14"/>
        <v>0</v>
      </c>
      <c r="I55" s="26">
        <f t="shared" si="15"/>
        <v>0</v>
      </c>
      <c r="J55" s="27"/>
      <c r="K55" s="28"/>
      <c r="L55" s="28"/>
      <c r="M55" s="61"/>
      <c r="N55" s="61"/>
      <c r="O55" s="31"/>
      <c r="P55" s="28"/>
      <c r="Q55" s="28"/>
      <c r="R55" s="53">
        <f t="shared" si="29"/>
        <v>0</v>
      </c>
      <c r="S55" s="34">
        <f t="shared" si="30"/>
        <v>0</v>
      </c>
      <c r="T55" s="35">
        <f t="shared" si="31"/>
        <v>0</v>
      </c>
      <c r="U55" s="37"/>
      <c r="V55" s="37"/>
      <c r="W55" s="38"/>
      <c r="X55" s="39"/>
      <c r="Y55" s="40"/>
      <c r="Z55" s="40"/>
      <c r="AA55" s="34">
        <f t="shared" si="3"/>
        <v>0</v>
      </c>
      <c r="AB55" s="34">
        <f t="shared" si="4"/>
        <v>0</v>
      </c>
      <c r="AC55" s="130"/>
      <c r="AD55" s="130"/>
      <c r="AE55" s="130"/>
      <c r="AF55" s="34">
        <f t="shared" si="5"/>
        <v>0</v>
      </c>
      <c r="AG55" s="34">
        <f t="shared" si="6"/>
        <v>0</v>
      </c>
      <c r="AH55" s="62"/>
      <c r="AI55" s="38"/>
      <c r="AJ55" s="38"/>
      <c r="AK55" s="34">
        <f t="shared" si="7"/>
        <v>0</v>
      </c>
      <c r="AL55" s="44">
        <f t="shared" si="8"/>
        <v>0</v>
      </c>
      <c r="AM55" s="45">
        <f t="shared" si="18"/>
        <v>0</v>
      </c>
      <c r="AN55" s="51">
        <f t="shared" si="132"/>
        <v>0</v>
      </c>
      <c r="AO55" s="51">
        <f t="shared" si="132"/>
        <v>0</v>
      </c>
      <c r="AP55" s="47" t="e">
        <f t="shared" si="19"/>
        <v>#DIV/0!</v>
      </c>
      <c r="AQ55" s="48">
        <f t="shared" si="10"/>
        <v>0</v>
      </c>
      <c r="AR55" s="49">
        <f t="shared" si="20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27"/>
        <v>46200</v>
      </c>
      <c r="C56" s="23" t="s">
        <v>54</v>
      </c>
      <c r="D56" s="50">
        <f t="shared" ref="D56" si="142">AH55</f>
        <v>0</v>
      </c>
      <c r="E56" s="34">
        <f t="shared" ref="E56" si="143">AI55</f>
        <v>0</v>
      </c>
      <c r="F56" s="34">
        <f t="shared" ref="F56" si="144">AJ55</f>
        <v>0</v>
      </c>
      <c r="G56" s="34">
        <f t="shared" ref="G56" si="145">+D56*E56%</f>
        <v>0</v>
      </c>
      <c r="H56" s="35">
        <f t="shared" si="14"/>
        <v>0</v>
      </c>
      <c r="I56" s="26">
        <f t="shared" si="15"/>
        <v>0</v>
      </c>
      <c r="J56" s="27"/>
      <c r="K56" s="28"/>
      <c r="L56" s="28"/>
      <c r="M56" s="61"/>
      <c r="N56" s="106"/>
      <c r="O56" s="31"/>
      <c r="P56" s="28"/>
      <c r="Q56" s="28"/>
      <c r="R56" s="53">
        <f t="shared" si="29"/>
        <v>0</v>
      </c>
      <c r="S56" s="34">
        <f t="shared" si="30"/>
        <v>0</v>
      </c>
      <c r="T56" s="35">
        <f t="shared" si="31"/>
        <v>0</v>
      </c>
      <c r="U56" s="37"/>
      <c r="V56" s="37"/>
      <c r="W56" s="38"/>
      <c r="X56" s="39"/>
      <c r="Y56" s="40"/>
      <c r="Z56" s="40"/>
      <c r="AA56" s="34">
        <f t="shared" si="3"/>
        <v>0</v>
      </c>
      <c r="AB56" s="34">
        <f t="shared" si="4"/>
        <v>0</v>
      </c>
      <c r="AC56" s="130"/>
      <c r="AD56" s="130"/>
      <c r="AE56" s="130"/>
      <c r="AF56" s="34">
        <f t="shared" si="5"/>
        <v>0</v>
      </c>
      <c r="AG56" s="34">
        <f t="shared" si="6"/>
        <v>0</v>
      </c>
      <c r="AH56" s="62"/>
      <c r="AI56" s="38"/>
      <c r="AJ56" s="38"/>
      <c r="AK56" s="34">
        <f t="shared" si="7"/>
        <v>0</v>
      </c>
      <c r="AL56" s="44">
        <f t="shared" si="8"/>
        <v>0</v>
      </c>
      <c r="AM56" s="45">
        <f t="shared" si="18"/>
        <v>0</v>
      </c>
      <c r="AN56" s="51">
        <f t="shared" si="132"/>
        <v>0</v>
      </c>
      <c r="AO56" s="51">
        <f t="shared" si="132"/>
        <v>0</v>
      </c>
      <c r="AP56" s="47" t="e">
        <f t="shared" si="19"/>
        <v>#DIV/0!</v>
      </c>
      <c r="AQ56" s="48">
        <f t="shared" si="10"/>
        <v>0</v>
      </c>
      <c r="AR56" s="49">
        <f t="shared" si="20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27"/>
        <v>46200</v>
      </c>
      <c r="C57" s="23" t="s">
        <v>55</v>
      </c>
      <c r="D57" s="50">
        <f t="shared" ref="D57:F65" si="146">AH56</f>
        <v>0</v>
      </c>
      <c r="E57" s="34">
        <f t="shared" si="146"/>
        <v>0</v>
      </c>
      <c r="F57" s="34">
        <f t="shared" si="146"/>
        <v>0</v>
      </c>
      <c r="G57" s="34">
        <f t="shared" si="13"/>
        <v>0</v>
      </c>
      <c r="H57" s="35">
        <f t="shared" si="14"/>
        <v>0</v>
      </c>
      <c r="I57" s="26">
        <f t="shared" si="15"/>
        <v>0</v>
      </c>
      <c r="J57" s="27"/>
      <c r="K57" s="28"/>
      <c r="L57" s="28"/>
      <c r="M57" s="61"/>
      <c r="N57" s="61"/>
      <c r="O57" s="31"/>
      <c r="P57" s="28"/>
      <c r="Q57" s="28"/>
      <c r="R57" s="53">
        <f t="shared" si="29"/>
        <v>0</v>
      </c>
      <c r="S57" s="34">
        <f t="shared" si="30"/>
        <v>0</v>
      </c>
      <c r="T57" s="35">
        <f t="shared" si="31"/>
        <v>0</v>
      </c>
      <c r="U57" s="37"/>
      <c r="V57" s="37"/>
      <c r="W57" s="38"/>
      <c r="X57" s="39"/>
      <c r="Y57" s="40"/>
      <c r="Z57" s="40"/>
      <c r="AA57" s="34">
        <f t="shared" si="3"/>
        <v>0</v>
      </c>
      <c r="AB57" s="34">
        <f t="shared" si="4"/>
        <v>0</v>
      </c>
      <c r="AC57" s="130"/>
      <c r="AD57" s="130"/>
      <c r="AE57" s="130"/>
      <c r="AF57" s="34">
        <f t="shared" si="5"/>
        <v>0</v>
      </c>
      <c r="AG57" s="34">
        <f t="shared" si="6"/>
        <v>0</v>
      </c>
      <c r="AH57" s="62"/>
      <c r="AI57" s="38"/>
      <c r="AJ57" s="38"/>
      <c r="AK57" s="34">
        <f t="shared" si="7"/>
        <v>0</v>
      </c>
      <c r="AL57" s="44">
        <f t="shared" si="8"/>
        <v>0</v>
      </c>
      <c r="AM57" s="45">
        <f t="shared" si="18"/>
        <v>0</v>
      </c>
      <c r="AN57" s="51">
        <f t="shared" si="132"/>
        <v>0</v>
      </c>
      <c r="AO57" s="51">
        <f t="shared" si="132"/>
        <v>0</v>
      </c>
      <c r="AP57" s="47" t="e">
        <f t="shared" si="19"/>
        <v>#DIV/0!</v>
      </c>
      <c r="AQ57" s="48">
        <f t="shared" si="10"/>
        <v>0</v>
      </c>
      <c r="AR57" s="49">
        <f t="shared" si="20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27"/>
        <v>46201</v>
      </c>
      <c r="C58" s="23" t="s">
        <v>54</v>
      </c>
      <c r="D58" s="50">
        <f t="shared" ref="D58" si="147">AH57</f>
        <v>0</v>
      </c>
      <c r="E58" s="34">
        <f t="shared" ref="E58" si="148">AI57</f>
        <v>0</v>
      </c>
      <c r="F58" s="34">
        <f t="shared" ref="F58" si="149">AJ57</f>
        <v>0</v>
      </c>
      <c r="G58" s="34">
        <f t="shared" si="13"/>
        <v>0</v>
      </c>
      <c r="H58" s="35">
        <f t="shared" si="14"/>
        <v>0</v>
      </c>
      <c r="I58" s="26">
        <f t="shared" si="15"/>
        <v>0</v>
      </c>
      <c r="J58" s="27"/>
      <c r="K58" s="28"/>
      <c r="L58" s="28"/>
      <c r="M58" s="61"/>
      <c r="N58" s="61"/>
      <c r="O58" s="31"/>
      <c r="P58" s="28"/>
      <c r="Q58" s="28"/>
      <c r="R58" s="53">
        <f t="shared" si="29"/>
        <v>0</v>
      </c>
      <c r="S58" s="34">
        <f t="shared" si="30"/>
        <v>0</v>
      </c>
      <c r="T58" s="35">
        <f t="shared" si="31"/>
        <v>0</v>
      </c>
      <c r="U58" s="37"/>
      <c r="V58" s="37"/>
      <c r="W58" s="38"/>
      <c r="X58" s="39"/>
      <c r="Y58" s="40"/>
      <c r="Z58" s="40"/>
      <c r="AA58" s="34">
        <f t="shared" si="3"/>
        <v>0</v>
      </c>
      <c r="AB58" s="34">
        <f t="shared" si="4"/>
        <v>0</v>
      </c>
      <c r="AC58" s="130"/>
      <c r="AD58" s="130"/>
      <c r="AE58" s="130"/>
      <c r="AF58" s="34">
        <f t="shared" si="5"/>
        <v>0</v>
      </c>
      <c r="AG58" s="34">
        <f t="shared" si="6"/>
        <v>0</v>
      </c>
      <c r="AH58" s="62"/>
      <c r="AI58" s="38"/>
      <c r="AJ58" s="38"/>
      <c r="AK58" s="34">
        <f t="shared" si="7"/>
        <v>0</v>
      </c>
      <c r="AL58" s="44">
        <f t="shared" si="8"/>
        <v>0</v>
      </c>
      <c r="AM58" s="45">
        <f t="shared" si="18"/>
        <v>0</v>
      </c>
      <c r="AN58" s="51">
        <f t="shared" si="132"/>
        <v>0</v>
      </c>
      <c r="AO58" s="51">
        <f t="shared" si="132"/>
        <v>0</v>
      </c>
      <c r="AP58" s="47" t="e">
        <f t="shared" si="19"/>
        <v>#DIV/0!</v>
      </c>
      <c r="AQ58" s="48">
        <f t="shared" si="10"/>
        <v>0</v>
      </c>
      <c r="AR58" s="49">
        <f t="shared" si="20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27"/>
        <v>46201</v>
      </c>
      <c r="C59" s="23" t="s">
        <v>55</v>
      </c>
      <c r="D59" s="50">
        <f t="shared" si="146"/>
        <v>0</v>
      </c>
      <c r="E59" s="34">
        <f t="shared" si="146"/>
        <v>0</v>
      </c>
      <c r="F59" s="34">
        <f t="shared" si="146"/>
        <v>0</v>
      </c>
      <c r="G59" s="34">
        <f t="shared" si="13"/>
        <v>0</v>
      </c>
      <c r="H59" s="35">
        <f t="shared" si="14"/>
        <v>0</v>
      </c>
      <c r="I59" s="26">
        <f t="shared" si="15"/>
        <v>0</v>
      </c>
      <c r="J59" s="27"/>
      <c r="K59" s="28"/>
      <c r="L59" s="28"/>
      <c r="M59" s="61"/>
      <c r="N59" s="61"/>
      <c r="O59" s="31"/>
      <c r="P59" s="28"/>
      <c r="Q59" s="28"/>
      <c r="R59" s="53">
        <f t="shared" si="29"/>
        <v>0</v>
      </c>
      <c r="S59" s="34">
        <f t="shared" si="30"/>
        <v>0</v>
      </c>
      <c r="T59" s="35">
        <f t="shared" si="31"/>
        <v>0</v>
      </c>
      <c r="U59" s="37"/>
      <c r="V59" s="37"/>
      <c r="W59" s="38"/>
      <c r="X59" s="39"/>
      <c r="Y59" s="40"/>
      <c r="Z59" s="40"/>
      <c r="AA59" s="34">
        <f t="shared" si="3"/>
        <v>0</v>
      </c>
      <c r="AB59" s="34">
        <f t="shared" si="4"/>
        <v>0</v>
      </c>
      <c r="AC59" s="130"/>
      <c r="AD59" s="130"/>
      <c r="AE59" s="130"/>
      <c r="AF59" s="34">
        <f t="shared" si="5"/>
        <v>0</v>
      </c>
      <c r="AG59" s="34">
        <f t="shared" si="6"/>
        <v>0</v>
      </c>
      <c r="AH59" s="62"/>
      <c r="AI59" s="38"/>
      <c r="AJ59" s="38"/>
      <c r="AK59" s="34">
        <f t="shared" si="7"/>
        <v>0</v>
      </c>
      <c r="AL59" s="44">
        <f t="shared" si="8"/>
        <v>0</v>
      </c>
      <c r="AM59" s="45">
        <f t="shared" si="18"/>
        <v>0</v>
      </c>
      <c r="AN59" s="51">
        <f t="shared" si="132"/>
        <v>0</v>
      </c>
      <c r="AO59" s="51">
        <f t="shared" si="132"/>
        <v>0</v>
      </c>
      <c r="AP59" s="47" t="e">
        <f t="shared" si="19"/>
        <v>#DIV/0!</v>
      </c>
      <c r="AQ59" s="48">
        <f t="shared" si="10"/>
        <v>0</v>
      </c>
      <c r="AR59" s="49">
        <f t="shared" si="20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27"/>
        <v>46202</v>
      </c>
      <c r="C60" s="23" t="s">
        <v>54</v>
      </c>
      <c r="D60" s="50">
        <f t="shared" ref="D60" si="150">AH59</f>
        <v>0</v>
      </c>
      <c r="E60" s="34">
        <f t="shared" ref="E60" si="151">AI59</f>
        <v>0</v>
      </c>
      <c r="F60" s="34">
        <f t="shared" ref="F60" si="152">AJ59</f>
        <v>0</v>
      </c>
      <c r="G60" s="34">
        <f t="shared" si="13"/>
        <v>0</v>
      </c>
      <c r="H60" s="35">
        <f t="shared" si="14"/>
        <v>0</v>
      </c>
      <c r="I60" s="26">
        <f t="shared" si="15"/>
        <v>0</v>
      </c>
      <c r="J60" s="27"/>
      <c r="K60" s="28"/>
      <c r="L60" s="28"/>
      <c r="M60" s="106"/>
      <c r="N60" s="106"/>
      <c r="O60" s="31"/>
      <c r="P60" s="28"/>
      <c r="Q60" s="28"/>
      <c r="R60" s="53">
        <f t="shared" si="29"/>
        <v>0</v>
      </c>
      <c r="S60" s="34">
        <f t="shared" si="30"/>
        <v>0</v>
      </c>
      <c r="T60" s="35">
        <f t="shared" si="31"/>
        <v>0</v>
      </c>
      <c r="U60" s="37"/>
      <c r="V60" s="37"/>
      <c r="W60" s="38"/>
      <c r="X60" s="39"/>
      <c r="Y60" s="40"/>
      <c r="Z60" s="40"/>
      <c r="AA60" s="34">
        <f t="shared" si="3"/>
        <v>0</v>
      </c>
      <c r="AB60" s="34">
        <f t="shared" si="4"/>
        <v>0</v>
      </c>
      <c r="AC60" s="130"/>
      <c r="AD60" s="130"/>
      <c r="AE60" s="130"/>
      <c r="AF60" s="34">
        <f t="shared" si="5"/>
        <v>0</v>
      </c>
      <c r="AG60" s="34">
        <f t="shared" si="6"/>
        <v>0</v>
      </c>
      <c r="AH60" s="62"/>
      <c r="AI60" s="38"/>
      <c r="AJ60" s="38"/>
      <c r="AK60" s="34">
        <f t="shared" si="7"/>
        <v>0</v>
      </c>
      <c r="AL60" s="44">
        <f t="shared" si="8"/>
        <v>0</v>
      </c>
      <c r="AM60" s="45">
        <f t="shared" si="18"/>
        <v>0</v>
      </c>
      <c r="AN60" s="51">
        <f t="shared" si="132"/>
        <v>0</v>
      </c>
      <c r="AO60" s="51">
        <f t="shared" si="132"/>
        <v>0</v>
      </c>
      <c r="AP60" s="47" t="e">
        <f t="shared" si="19"/>
        <v>#DIV/0!</v>
      </c>
      <c r="AQ60" s="48">
        <f t="shared" si="10"/>
        <v>0</v>
      </c>
      <c r="AR60" s="49">
        <f t="shared" si="20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27"/>
        <v>46202</v>
      </c>
      <c r="C61" s="23" t="s">
        <v>55</v>
      </c>
      <c r="D61" s="50">
        <f t="shared" ref="D61" si="153">AH60</f>
        <v>0</v>
      </c>
      <c r="E61" s="34">
        <f t="shared" ref="E61" si="154">AI60</f>
        <v>0</v>
      </c>
      <c r="F61" s="34">
        <f t="shared" ref="F61" si="155">AJ60</f>
        <v>0</v>
      </c>
      <c r="G61" s="34">
        <f t="shared" si="13"/>
        <v>0</v>
      </c>
      <c r="H61" s="35">
        <f t="shared" si="14"/>
        <v>0</v>
      </c>
      <c r="I61" s="26">
        <f t="shared" si="15"/>
        <v>0</v>
      </c>
      <c r="J61" s="27"/>
      <c r="K61" s="28"/>
      <c r="L61" s="28"/>
      <c r="M61" s="61"/>
      <c r="N61" s="61"/>
      <c r="O61" s="31"/>
      <c r="P61" s="28"/>
      <c r="Q61" s="28"/>
      <c r="R61" s="53">
        <f t="shared" si="29"/>
        <v>0</v>
      </c>
      <c r="S61" s="34">
        <f t="shared" si="30"/>
        <v>0</v>
      </c>
      <c r="T61" s="35">
        <f t="shared" si="31"/>
        <v>0</v>
      </c>
      <c r="U61" s="37"/>
      <c r="V61" s="37"/>
      <c r="W61" s="38"/>
      <c r="X61" s="39"/>
      <c r="Y61" s="40"/>
      <c r="Z61" s="40"/>
      <c r="AA61" s="34">
        <f t="shared" si="3"/>
        <v>0</v>
      </c>
      <c r="AB61" s="34">
        <f t="shared" si="4"/>
        <v>0</v>
      </c>
      <c r="AC61" s="130"/>
      <c r="AD61" s="130"/>
      <c r="AE61" s="130"/>
      <c r="AF61" s="34">
        <f t="shared" si="5"/>
        <v>0</v>
      </c>
      <c r="AG61" s="34">
        <f t="shared" si="6"/>
        <v>0</v>
      </c>
      <c r="AH61" s="62"/>
      <c r="AI61" s="38"/>
      <c r="AJ61" s="38"/>
      <c r="AK61" s="34">
        <f t="shared" si="7"/>
        <v>0</v>
      </c>
      <c r="AL61" s="44">
        <f t="shared" si="8"/>
        <v>0</v>
      </c>
      <c r="AM61" s="45">
        <f t="shared" si="18"/>
        <v>0</v>
      </c>
      <c r="AN61" s="51">
        <f t="shared" si="132"/>
        <v>0</v>
      </c>
      <c r="AO61" s="51">
        <f t="shared" si="132"/>
        <v>0</v>
      </c>
      <c r="AP61" s="47" t="e">
        <f t="shared" si="19"/>
        <v>#DIV/0!</v>
      </c>
      <c r="AQ61" s="48">
        <f t="shared" si="10"/>
        <v>0</v>
      </c>
      <c r="AR61" s="49">
        <f t="shared" si="20"/>
        <v>0</v>
      </c>
      <c r="AS61" s="49"/>
      <c r="AT61" s="52"/>
      <c r="AU61" s="52"/>
      <c r="AV61" s="52"/>
      <c r="AW61" s="52"/>
    </row>
    <row r="62" spans="2:49" x14ac:dyDescent="0.25">
      <c r="B62" s="22">
        <f t="shared" si="27"/>
        <v>46203</v>
      </c>
      <c r="C62" s="23" t="s">
        <v>54</v>
      </c>
      <c r="D62" s="50"/>
      <c r="E62" s="34"/>
      <c r="F62" s="34"/>
      <c r="G62" s="34">
        <f t="shared" si="13"/>
        <v>0</v>
      </c>
      <c r="H62" s="35">
        <f t="shared" si="14"/>
        <v>0</v>
      </c>
      <c r="I62" s="26">
        <f t="shared" si="15"/>
        <v>0</v>
      </c>
      <c r="J62" s="27"/>
      <c r="K62" s="28"/>
      <c r="L62" s="28"/>
      <c r="M62" s="61"/>
      <c r="N62" s="106"/>
      <c r="O62" s="31"/>
      <c r="P62" s="28"/>
      <c r="Q62" s="28"/>
      <c r="R62" s="53">
        <f t="shared" si="29"/>
        <v>0</v>
      </c>
      <c r="S62" s="34">
        <f t="shared" si="30"/>
        <v>0</v>
      </c>
      <c r="T62" s="35">
        <f t="shared" si="31"/>
        <v>0</v>
      </c>
      <c r="U62" s="37"/>
      <c r="V62" s="37"/>
      <c r="W62" s="38"/>
      <c r="X62" s="39"/>
      <c r="Y62" s="40"/>
      <c r="Z62" s="40"/>
      <c r="AA62" s="34">
        <f t="shared" si="3"/>
        <v>0</v>
      </c>
      <c r="AB62" s="34">
        <f t="shared" si="4"/>
        <v>0</v>
      </c>
      <c r="AC62" s="130"/>
      <c r="AD62" s="130"/>
      <c r="AE62" s="130"/>
      <c r="AF62" s="34">
        <f t="shared" si="5"/>
        <v>0</v>
      </c>
      <c r="AG62" s="34">
        <f t="shared" si="6"/>
        <v>0</v>
      </c>
      <c r="AH62" s="62"/>
      <c r="AI62" s="38"/>
      <c r="AJ62" s="38"/>
      <c r="AK62" s="34">
        <f t="shared" si="7"/>
        <v>0</v>
      </c>
      <c r="AL62" s="44">
        <f t="shared" si="8"/>
        <v>0</v>
      </c>
      <c r="AM62" s="45">
        <f t="shared" si="18"/>
        <v>0</v>
      </c>
      <c r="AN62" s="51">
        <f t="shared" si="132"/>
        <v>0</v>
      </c>
      <c r="AO62" s="51">
        <f t="shared" si="132"/>
        <v>0</v>
      </c>
      <c r="AP62" s="47" t="e">
        <f t="shared" si="19"/>
        <v>#DIV/0!</v>
      </c>
      <c r="AQ62" s="48">
        <f t="shared" si="10"/>
        <v>0</v>
      </c>
      <c r="AR62" s="49">
        <f t="shared" si="20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27"/>
        <v>46203</v>
      </c>
      <c r="C63" s="23" t="s">
        <v>55</v>
      </c>
      <c r="D63" s="50">
        <f t="shared" ref="D63" si="156">AH62</f>
        <v>0</v>
      </c>
      <c r="E63" s="34">
        <f t="shared" ref="E63" si="157">AI62</f>
        <v>0</v>
      </c>
      <c r="F63" s="34">
        <f t="shared" ref="F63" si="158">AJ62</f>
        <v>0</v>
      </c>
      <c r="G63" s="34">
        <f t="shared" si="13"/>
        <v>0</v>
      </c>
      <c r="H63" s="35">
        <f t="shared" si="14"/>
        <v>0</v>
      </c>
      <c r="I63" s="26">
        <f t="shared" si="15"/>
        <v>0</v>
      </c>
      <c r="J63" s="27"/>
      <c r="K63" s="28"/>
      <c r="L63" s="28"/>
      <c r="M63" s="61"/>
      <c r="N63" s="61"/>
      <c r="O63" s="31"/>
      <c r="P63" s="28"/>
      <c r="Q63" s="28"/>
      <c r="R63" s="53">
        <f t="shared" si="29"/>
        <v>0</v>
      </c>
      <c r="S63" s="34">
        <f t="shared" si="30"/>
        <v>0</v>
      </c>
      <c r="T63" s="35">
        <f t="shared" si="31"/>
        <v>0</v>
      </c>
      <c r="U63" s="37"/>
      <c r="V63" s="37"/>
      <c r="W63" s="38"/>
      <c r="X63" s="39"/>
      <c r="Y63" s="40"/>
      <c r="Z63" s="40"/>
      <c r="AA63" s="34">
        <f t="shared" si="3"/>
        <v>0</v>
      </c>
      <c r="AB63" s="34">
        <f t="shared" si="4"/>
        <v>0</v>
      </c>
      <c r="AC63" s="130"/>
      <c r="AD63" s="130"/>
      <c r="AE63" s="130"/>
      <c r="AF63" s="34">
        <f t="shared" si="5"/>
        <v>0</v>
      </c>
      <c r="AG63" s="34">
        <f t="shared" si="6"/>
        <v>0</v>
      </c>
      <c r="AH63" s="62"/>
      <c r="AI63" s="38"/>
      <c r="AJ63" s="38"/>
      <c r="AK63" s="34">
        <f t="shared" si="7"/>
        <v>0</v>
      </c>
      <c r="AL63" s="44">
        <f t="shared" si="8"/>
        <v>0</v>
      </c>
      <c r="AM63" s="45">
        <f t="shared" si="18"/>
        <v>0</v>
      </c>
      <c r="AN63" s="51">
        <f t="shared" si="132"/>
        <v>0</v>
      </c>
      <c r="AO63" s="51">
        <f t="shared" si="132"/>
        <v>0</v>
      </c>
      <c r="AP63" s="47" t="e">
        <f t="shared" si="19"/>
        <v>#DIV/0!</v>
      </c>
      <c r="AQ63" s="48">
        <f t="shared" si="10"/>
        <v>0</v>
      </c>
      <c r="AR63" s="49">
        <f t="shared" si="20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27"/>
        <v>46204</v>
      </c>
      <c r="C64" s="23" t="s">
        <v>54</v>
      </c>
      <c r="D64" s="50"/>
      <c r="E64" s="34"/>
      <c r="F64" s="34"/>
      <c r="G64" s="34">
        <f t="shared" ref="G64" si="159">+D64*E64%</f>
        <v>0</v>
      </c>
      <c r="H64" s="35">
        <f t="shared" si="14"/>
        <v>0</v>
      </c>
      <c r="I64" s="26">
        <f t="shared" si="15"/>
        <v>0</v>
      </c>
      <c r="J64" s="27"/>
      <c r="K64" s="28"/>
      <c r="L64" s="28"/>
      <c r="M64" s="61"/>
      <c r="N64" s="61"/>
      <c r="O64" s="31"/>
      <c r="P64" s="28"/>
      <c r="Q64" s="28"/>
      <c r="R64" s="53">
        <f t="shared" si="29"/>
        <v>0</v>
      </c>
      <c r="S64" s="34">
        <f t="shared" si="30"/>
        <v>0</v>
      </c>
      <c r="T64" s="35">
        <f t="shared" si="31"/>
        <v>0</v>
      </c>
      <c r="U64" s="37"/>
      <c r="V64" s="37"/>
      <c r="W64" s="38"/>
      <c r="X64" s="39"/>
      <c r="Y64" s="40"/>
      <c r="Z64" s="40"/>
      <c r="AA64" s="34">
        <f t="shared" si="3"/>
        <v>0</v>
      </c>
      <c r="AB64" s="34">
        <f t="shared" si="4"/>
        <v>0</v>
      </c>
      <c r="AC64" s="130"/>
      <c r="AD64" s="130"/>
      <c r="AE64" s="130"/>
      <c r="AF64" s="34">
        <f t="shared" si="5"/>
        <v>0</v>
      </c>
      <c r="AG64" s="34">
        <f t="shared" si="6"/>
        <v>0</v>
      </c>
      <c r="AH64" s="62"/>
      <c r="AI64" s="38"/>
      <c r="AJ64" s="38"/>
      <c r="AK64" s="34">
        <f t="shared" si="7"/>
        <v>0</v>
      </c>
      <c r="AL64" s="44">
        <f t="shared" si="8"/>
        <v>0</v>
      </c>
      <c r="AM64" s="45">
        <f t="shared" si="18"/>
        <v>0</v>
      </c>
      <c r="AN64" s="51">
        <f t="shared" si="132"/>
        <v>0</v>
      </c>
      <c r="AO64" s="51">
        <f t="shared" si="132"/>
        <v>0</v>
      </c>
      <c r="AP64" s="47" t="e">
        <f t="shared" si="19"/>
        <v>#DIV/0!</v>
      </c>
      <c r="AQ64" s="48">
        <f t="shared" si="10"/>
        <v>0</v>
      </c>
      <c r="AR64" s="49">
        <f t="shared" si="20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27"/>
        <v>46204</v>
      </c>
      <c r="C65" s="23" t="s">
        <v>55</v>
      </c>
      <c r="D65" s="50">
        <f t="shared" si="146"/>
        <v>0</v>
      </c>
      <c r="E65" s="34">
        <f t="shared" si="146"/>
        <v>0</v>
      </c>
      <c r="F65" s="34">
        <f t="shared" si="146"/>
        <v>0</v>
      </c>
      <c r="G65" s="34">
        <f t="shared" si="13"/>
        <v>0</v>
      </c>
      <c r="H65" s="35">
        <f t="shared" si="14"/>
        <v>0</v>
      </c>
      <c r="I65" s="26">
        <f t="shared" si="15"/>
        <v>0</v>
      </c>
      <c r="J65" s="27"/>
      <c r="K65" s="28"/>
      <c r="L65" s="28"/>
      <c r="M65" s="61"/>
      <c r="N65" s="61"/>
      <c r="O65" s="31"/>
      <c r="P65" s="28"/>
      <c r="Q65" s="28"/>
      <c r="R65" s="53">
        <f t="shared" si="29"/>
        <v>0</v>
      </c>
      <c r="S65" s="34">
        <f t="shared" si="30"/>
        <v>0</v>
      </c>
      <c r="T65" s="35">
        <f t="shared" si="31"/>
        <v>0</v>
      </c>
      <c r="U65" s="37"/>
      <c r="V65" s="37"/>
      <c r="W65" s="38"/>
      <c r="X65" s="39"/>
      <c r="Y65" s="40"/>
      <c r="Z65" s="40"/>
      <c r="AA65" s="34">
        <f t="shared" si="3"/>
        <v>0</v>
      </c>
      <c r="AB65" s="34">
        <f t="shared" si="4"/>
        <v>0</v>
      </c>
      <c r="AC65" s="130"/>
      <c r="AD65" s="130"/>
      <c r="AE65" s="130"/>
      <c r="AF65" s="34">
        <f t="shared" si="5"/>
        <v>0</v>
      </c>
      <c r="AG65" s="34">
        <f t="shared" si="6"/>
        <v>0</v>
      </c>
      <c r="AH65" s="62"/>
      <c r="AI65" s="38"/>
      <c r="AJ65" s="38"/>
      <c r="AK65" s="34">
        <f t="shared" si="7"/>
        <v>0</v>
      </c>
      <c r="AL65" s="44">
        <f t="shared" si="8"/>
        <v>0</v>
      </c>
      <c r="AM65" s="45">
        <f t="shared" si="18"/>
        <v>0</v>
      </c>
      <c r="AN65" s="51">
        <f t="shared" si="132"/>
        <v>0</v>
      </c>
      <c r="AO65" s="51">
        <f t="shared" si="132"/>
        <v>0</v>
      </c>
      <c r="AP65" s="47" t="e">
        <f t="shared" si="19"/>
        <v>#DIV/0!</v>
      </c>
      <c r="AQ65" s="48">
        <f t="shared" si="10"/>
        <v>0</v>
      </c>
      <c r="AR65" s="49">
        <f t="shared" si="20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4936.2956000000004</v>
      </c>
      <c r="K66">
        <f>SUMPRODUCT(J4:J65,K4:K65)/J66</f>
        <v>3.9240316159348314</v>
      </c>
      <c r="L66" s="256">
        <f>SUMPRODUCT(J4:J65,L4:L65)/J66</f>
        <v>8.3231786200161917</v>
      </c>
      <c r="X66" s="49">
        <f>SUM(X6:X65)</f>
        <v>0</v>
      </c>
      <c r="AC66" s="152">
        <f>SUM(AC6:AC65)</f>
        <v>0</v>
      </c>
      <c r="AM66" s="55">
        <f>-SUM(AM4:AM65)</f>
        <v>-119.29559999999947</v>
      </c>
      <c r="AN66" s="55">
        <f>-SUM(AN4:AN65)</f>
        <v>1.8003000000000284</v>
      </c>
      <c r="AO66" s="55">
        <f>-SUM(AO4:AO65)</f>
        <v>-3.7691999999999268</v>
      </c>
      <c r="AQ66" s="55">
        <f>-SUM(AQ4:AQ65)</f>
        <v>-320.62499999996533</v>
      </c>
    </row>
    <row r="67" spans="2:49" x14ac:dyDescent="0.25">
      <c r="J67" s="49">
        <f>J66</f>
        <v>4936.2956000000004</v>
      </c>
      <c r="K67">
        <f>J67*K66%</f>
        <v>193.70180000000002</v>
      </c>
      <c r="L67" s="259">
        <f>J67*L66%</f>
        <v>410.85670000000005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4" priority="1" operator="lessThan">
      <formula>0.1</formula>
    </cfRule>
    <cfRule type="cellIs" dxfId="13" priority="2" operator="greaterThan">
      <formula>0.1</formula>
    </cfRule>
  </conditionalFormatting>
  <conditionalFormatting sqref="AP1:AQ1">
    <cfRule type="cellIs" dxfId="12" priority="3" operator="lessThan">
      <formula>1</formula>
    </cfRule>
  </conditionalFormatting>
  <conditionalFormatting sqref="AQ4:AQ65"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AE14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63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98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/>
      <c r="L3" s="86"/>
      <c r="M3" s="87"/>
      <c r="N3" s="77"/>
      <c r="O3" s="108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77"/>
      <c r="O4" s="108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86"/>
      <c r="I5" s="86"/>
      <c r="J5" s="86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>
        <v>0</v>
      </c>
      <c r="E6" s="86">
        <v>0</v>
      </c>
      <c r="F6" s="86">
        <v>0</v>
      </c>
      <c r="G6" s="142">
        <v>0</v>
      </c>
      <c r="H6" s="86">
        <v>0</v>
      </c>
      <c r="I6" s="86">
        <v>0</v>
      </c>
      <c r="J6" s="86">
        <v>0</v>
      </c>
      <c r="K6" s="86"/>
      <c r="L6" s="86"/>
      <c r="M6" s="87"/>
      <c r="N6" s="77"/>
      <c r="O6" s="108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98"/>
      <c r="E7" s="86"/>
      <c r="F7" s="86"/>
      <c r="G7" s="142"/>
      <c r="H7" s="86"/>
      <c r="I7" s="86"/>
      <c r="J7" s="86"/>
      <c r="K7" s="86"/>
      <c r="L7" s="86"/>
      <c r="M7" s="87"/>
      <c r="N7" s="77"/>
      <c r="O7" s="108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>
        <v>0</v>
      </c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>
        <v>0</v>
      </c>
      <c r="K9" s="86"/>
      <c r="L9" s="86"/>
      <c r="M9" s="87"/>
      <c r="N9" s="77"/>
      <c r="O9" s="108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77"/>
      <c r="O10" s="108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143"/>
      <c r="H12" s="86"/>
      <c r="I12" s="86"/>
      <c r="J12" s="86"/>
      <c r="K12" s="86"/>
      <c r="L12" s="86"/>
      <c r="M12" s="87"/>
      <c r="N12" s="77"/>
      <c r="O12" s="108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0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>
        <v>0</v>
      </c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>
        <v>0</v>
      </c>
      <c r="K15" s="86"/>
      <c r="L15" s="86"/>
      <c r="M15" s="87"/>
      <c r="N15" s="77"/>
      <c r="O15" s="108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77"/>
      <c r="O16" s="108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>
        <v>0</v>
      </c>
      <c r="E18" s="86">
        <v>0</v>
      </c>
      <c r="F18" s="86">
        <v>0</v>
      </c>
      <c r="G18" s="143">
        <v>0</v>
      </c>
      <c r="H18" s="86">
        <v>0</v>
      </c>
      <c r="I18" s="86">
        <v>0</v>
      </c>
      <c r="J18" s="86">
        <v>0</v>
      </c>
      <c r="K18" s="86"/>
      <c r="L18" s="86"/>
      <c r="M18" s="87"/>
      <c r="N18" s="77"/>
      <c r="O18" s="108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143"/>
      <c r="H19" s="86"/>
      <c r="I19" s="86"/>
      <c r="J19" s="86"/>
      <c r="K19" s="86"/>
      <c r="L19" s="86"/>
      <c r="M19" s="87"/>
      <c r="N19" s="77"/>
      <c r="O19" s="108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98">
        <v>0</v>
      </c>
      <c r="E21" s="86">
        <v>0</v>
      </c>
      <c r="F21" s="86">
        <v>0</v>
      </c>
      <c r="G21" s="86">
        <v>0</v>
      </c>
      <c r="H21" s="86">
        <v>0</v>
      </c>
      <c r="I21" s="86">
        <v>0</v>
      </c>
      <c r="J21" s="86">
        <v>0</v>
      </c>
      <c r="K21" s="86"/>
      <c r="L21" s="86"/>
      <c r="M21" s="87"/>
      <c r="N21" s="77"/>
      <c r="O21" s="108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98"/>
      <c r="E22" s="86"/>
      <c r="F22" s="86"/>
      <c r="G22" s="86"/>
      <c r="H22" s="86"/>
      <c r="I22" s="86"/>
      <c r="J22" s="86"/>
      <c r="K22" s="86"/>
      <c r="L22" s="86"/>
      <c r="M22" s="87"/>
      <c r="N22" s="77"/>
      <c r="O22" s="108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98">
        <v>0</v>
      </c>
      <c r="E24" s="143">
        <v>0</v>
      </c>
      <c r="F24" s="143">
        <v>0</v>
      </c>
      <c r="G24" s="143">
        <v>0</v>
      </c>
      <c r="H24" s="138">
        <v>0</v>
      </c>
      <c r="I24" s="139">
        <v>0</v>
      </c>
      <c r="J24" s="139">
        <v>0</v>
      </c>
      <c r="K24" s="86"/>
      <c r="L24" s="86"/>
      <c r="M24" s="87"/>
      <c r="N24" s="77"/>
      <c r="O24" s="108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>
        <v>0</v>
      </c>
      <c r="E27" s="143">
        <v>0</v>
      </c>
      <c r="F27" s="143">
        <v>0</v>
      </c>
      <c r="G27" s="143">
        <v>0</v>
      </c>
      <c r="H27" s="138">
        <v>0</v>
      </c>
      <c r="I27" s="139">
        <v>0</v>
      </c>
      <c r="J27" s="139">
        <v>0</v>
      </c>
      <c r="K27" s="86"/>
      <c r="L27" s="86"/>
      <c r="M27" s="87"/>
      <c r="N27" s="77"/>
      <c r="O27" s="108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>
        <v>0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/>
      <c r="L30" s="86"/>
      <c r="M30" s="87"/>
      <c r="N30" s="77"/>
      <c r="O30" s="108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31" x14ac:dyDescent="0.25">
      <c r="A33" s="83"/>
      <c r="B33" s="84" t="s">
        <v>73</v>
      </c>
      <c r="C33" s="85"/>
      <c r="D33" s="98">
        <v>0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/>
      <c r="L33" s="86"/>
      <c r="M33" s="87"/>
      <c r="N33" s="77"/>
      <c r="O33" s="108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31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77"/>
      <c r="O34" s="108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31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31" x14ac:dyDescent="0.25">
      <c r="A36" s="83"/>
      <c r="B36" s="84" t="s">
        <v>73</v>
      </c>
      <c r="C36" s="85"/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/>
      <c r="L36" s="86"/>
      <c r="M36" s="87"/>
      <c r="N36" s="77"/>
      <c r="O36" s="108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31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77"/>
      <c r="O37" s="108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31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31" x14ac:dyDescent="0.25">
      <c r="A39" s="83"/>
      <c r="B39" s="84" t="s">
        <v>73</v>
      </c>
      <c r="C39" s="85"/>
      <c r="D39" s="86">
        <v>0</v>
      </c>
      <c r="E39" s="86">
        <v>0</v>
      </c>
      <c r="F39" s="86">
        <v>0</v>
      </c>
      <c r="G39" s="86">
        <v>0</v>
      </c>
      <c r="H39" s="86">
        <v>0</v>
      </c>
      <c r="I39" s="86">
        <v>0</v>
      </c>
      <c r="J39" s="86">
        <v>0</v>
      </c>
      <c r="K39" s="86"/>
      <c r="L39" s="86"/>
      <c r="M39" s="87"/>
      <c r="N39" s="77"/>
      <c r="O39" s="108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31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31" x14ac:dyDescent="0.25">
      <c r="A41" s="83"/>
      <c r="B41" s="84"/>
      <c r="C41" s="85"/>
      <c r="D41" s="86"/>
      <c r="E41" s="86"/>
      <c r="F41" s="86"/>
      <c r="G41" s="86"/>
      <c r="H41" s="86"/>
      <c r="I41" s="86"/>
      <c r="J41" s="86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0"/>
      <c r="W41" s="91"/>
      <c r="X41" s="92"/>
      <c r="Y41" s="92"/>
      <c r="Z41" s="92"/>
      <c r="AA41" s="92"/>
      <c r="AB41" s="93"/>
    </row>
    <row r="42" spans="1:31" x14ac:dyDescent="0.25">
      <c r="A42" s="83"/>
      <c r="B42" s="84" t="s">
        <v>73</v>
      </c>
      <c r="C42" s="85"/>
      <c r="D42" s="86">
        <v>0</v>
      </c>
      <c r="E42" s="86">
        <v>0</v>
      </c>
      <c r="F42" s="86">
        <v>0</v>
      </c>
      <c r="G42" s="86">
        <v>0</v>
      </c>
      <c r="H42" s="86">
        <v>0</v>
      </c>
      <c r="I42" s="86">
        <v>0</v>
      </c>
      <c r="J42" s="86">
        <v>0</v>
      </c>
      <c r="K42" s="86"/>
      <c r="L42" s="86"/>
      <c r="M42" s="87"/>
      <c r="N42" s="77"/>
      <c r="O42" s="108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31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0"/>
      <c r="O43" s="77"/>
      <c r="P43" s="89"/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31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31" x14ac:dyDescent="0.25">
      <c r="A45" s="83"/>
      <c r="B45" s="84" t="s">
        <v>73</v>
      </c>
      <c r="C45" s="85"/>
      <c r="D45" s="98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/>
      <c r="L45" s="86"/>
      <c r="M45" s="87"/>
      <c r="N45" s="77"/>
      <c r="O45" s="108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  <c r="AE45">
        <v>0</v>
      </c>
    </row>
    <row r="46" spans="1:31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31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31" x14ac:dyDescent="0.25">
      <c r="A48" s="83"/>
      <c r="B48" s="84" t="s">
        <v>73</v>
      </c>
      <c r="C48" s="85"/>
      <c r="D48" s="98">
        <v>0</v>
      </c>
      <c r="E48" s="86">
        <v>0</v>
      </c>
      <c r="F48" s="86">
        <v>0</v>
      </c>
      <c r="G48" s="86">
        <v>0</v>
      </c>
      <c r="H48" s="86">
        <v>0</v>
      </c>
      <c r="I48" s="86">
        <v>0</v>
      </c>
      <c r="J48" s="86">
        <v>0</v>
      </c>
      <c r="K48" s="86"/>
      <c r="L48" s="86"/>
      <c r="M48" s="87"/>
      <c r="N48" s="77"/>
      <c r="O48" s="108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98"/>
      <c r="E49" s="86"/>
      <c r="F49" s="86"/>
      <c r="G49" s="86"/>
      <c r="H49" s="86"/>
      <c r="I49" s="86"/>
      <c r="J49" s="86"/>
      <c r="K49" s="86"/>
      <c r="L49" s="86"/>
      <c r="M49" s="107"/>
      <c r="N49" s="88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>
        <v>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/>
      <c r="L51" s="86"/>
      <c r="M51" s="87"/>
      <c r="N51" s="77"/>
      <c r="O51" s="108"/>
      <c r="P51" s="89">
        <v>70339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0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>
        <v>0</v>
      </c>
      <c r="E54" s="86">
        <v>0</v>
      </c>
      <c r="F54" s="86">
        <v>0</v>
      </c>
      <c r="G54" s="86">
        <v>0</v>
      </c>
      <c r="H54" s="86">
        <v>0</v>
      </c>
      <c r="I54" s="86">
        <v>0</v>
      </c>
      <c r="J54" s="86">
        <v>0</v>
      </c>
      <c r="K54" s="86"/>
      <c r="L54" s="86"/>
      <c r="M54" s="87"/>
      <c r="N54" s="77"/>
      <c r="O54" s="108"/>
      <c r="P54" s="89">
        <v>71426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98">
        <v>0</v>
      </c>
      <c r="E57" s="86">
        <v>0</v>
      </c>
      <c r="F57" s="86">
        <v>0</v>
      </c>
      <c r="G57" s="86">
        <v>0</v>
      </c>
      <c r="H57" s="86">
        <v>0</v>
      </c>
      <c r="I57" s="86">
        <v>0</v>
      </c>
      <c r="J57" s="86">
        <v>0</v>
      </c>
      <c r="K57" s="86"/>
      <c r="L57" s="86"/>
      <c r="M57" s="87"/>
      <c r="N57" s="77"/>
      <c r="O57" s="108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77"/>
      <c r="O60" s="108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8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86"/>
      <c r="I62" s="86"/>
      <c r="J62" s="86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0"/>
      <c r="W62" s="91"/>
      <c r="X62" s="92"/>
      <c r="Y62" s="92"/>
      <c r="Z62" s="92"/>
      <c r="AA62" s="92"/>
      <c r="AB62" s="93"/>
    </row>
    <row r="63" spans="1:28" x14ac:dyDescent="0.25">
      <c r="A63" s="83"/>
      <c r="B63" s="84" t="s">
        <v>73</v>
      </c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7"/>
      <c r="N63" s="77"/>
      <c r="O63" s="108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86"/>
      <c r="I74" s="86"/>
      <c r="J74" s="86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0"/>
      <c r="W74" s="91"/>
      <c r="X74" s="92"/>
      <c r="Y74" s="92"/>
      <c r="Z74" s="92"/>
      <c r="AA74" s="92"/>
      <c r="AB74" s="93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8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76</v>
      </c>
      <c r="C78" s="85"/>
      <c r="D78" s="98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77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/>
      <c r="Q87" s="79"/>
      <c r="R87" s="80"/>
      <c r="S87" s="80"/>
      <c r="T87" s="80"/>
      <c r="U87" s="80"/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/>
      <c r="R88" s="80"/>
      <c r="S88" s="80"/>
      <c r="T88" s="80"/>
      <c r="U88" s="80"/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/>
      <c r="Q90" s="79"/>
      <c r="R90" s="80"/>
      <c r="S90" s="80"/>
      <c r="T90" s="80"/>
      <c r="U90" s="80"/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/>
      <c r="R91" s="80"/>
      <c r="S91" s="80"/>
      <c r="T91" s="80"/>
      <c r="U91" s="80"/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/>
      <c r="Q93" s="79"/>
      <c r="R93" s="80"/>
      <c r="S93" s="80"/>
      <c r="T93" s="80"/>
      <c r="U93" s="80"/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/>
      <c r="R94" s="80"/>
      <c r="S94" s="80"/>
      <c r="T94" s="80"/>
      <c r="U94" s="80"/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/>
      <c r="Q96" s="79"/>
      <c r="R96" s="80"/>
      <c r="S96" s="80"/>
      <c r="T96" s="80"/>
      <c r="U96" s="80"/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/>
      <c r="R97" s="80"/>
      <c r="S97" s="80"/>
      <c r="T97" s="80"/>
      <c r="U97" s="80"/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76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/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/>
      <c r="Q105" s="79"/>
      <c r="R105" s="80"/>
      <c r="S105" s="80"/>
      <c r="T105" s="80"/>
      <c r="U105" s="80"/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/>
      <c r="Q106" s="79"/>
      <c r="R106" s="80"/>
      <c r="S106" s="80"/>
      <c r="T106" s="80"/>
      <c r="U106" s="80"/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/>
      <c r="Q108" s="79"/>
      <c r="R108" s="80"/>
      <c r="S108" s="80"/>
      <c r="T108" s="80"/>
      <c r="U108" s="80"/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/>
      <c r="R109" s="80"/>
      <c r="S109" s="80"/>
      <c r="T109" s="80"/>
      <c r="U109" s="80"/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  <c r="AB113" s="93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5"/>
      <c r="W114" s="96"/>
      <c r="X114" s="97"/>
      <c r="Y114" s="97"/>
      <c r="Z114" s="97"/>
      <c r="AA114" s="97"/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5"/>
      <c r="W115" s="96"/>
      <c r="X115" s="97"/>
      <c r="Y115" s="97"/>
      <c r="Z115" s="97"/>
      <c r="AA115" s="97"/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  <c r="AB116" s="93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/>
      <c r="Q117" s="79"/>
      <c r="R117" s="80"/>
      <c r="S117" s="80"/>
      <c r="T117" s="80"/>
      <c r="U117" s="80"/>
      <c r="V117" s="95"/>
      <c r="W117" s="96"/>
      <c r="X117" s="97"/>
      <c r="Y117" s="97"/>
      <c r="Z117" s="97"/>
      <c r="AA117" s="97"/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/>
      <c r="R118" s="80"/>
      <c r="S118" s="80"/>
      <c r="T118" s="80"/>
      <c r="U118" s="80"/>
      <c r="V118" s="95"/>
      <c r="W118" s="96"/>
      <c r="X118" s="97"/>
      <c r="Y118" s="97"/>
      <c r="Z118" s="97"/>
      <c r="AA118" s="97"/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/>
    </row>
    <row r="122" spans="1:28" x14ac:dyDescent="0.25">
      <c r="A122" s="83"/>
      <c r="B122" s="84"/>
      <c r="C122" s="85"/>
      <c r="D122" s="86"/>
      <c r="E122" s="86"/>
      <c r="F122" s="86"/>
      <c r="G122" s="86"/>
      <c r="H122" s="86"/>
      <c r="I122" s="86"/>
      <c r="J122" s="86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/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94"/>
      <c r="L125" s="94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73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</sheetData>
  <autoFilter ref="A1:AB55" xr:uid="{00000000-0009-0000-0000-000013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Y81"/>
  <sheetViews>
    <sheetView zoomScale="80" zoomScaleNormal="80" workbookViewId="0">
      <pane ySplit="3" topLeftCell="A4" activePane="bottomLeft" state="frozen"/>
      <selection pane="bottomLeft" activeCell="AD17" sqref="AD17"/>
    </sheetView>
  </sheetViews>
  <sheetFormatPr defaultRowHeight="15" x14ac:dyDescent="0.25"/>
  <cols>
    <col min="2" max="2" width="12.140625" bestFit="1" customWidth="1"/>
    <col min="4" max="12" width="9.140625" customWidth="1"/>
    <col min="13" max="13" width="9.140625" hidden="1" customWidth="1"/>
    <col min="14" max="14" width="11.7109375" hidden="1" customWidth="1"/>
    <col min="15" max="17" width="9.140625" hidden="1" customWidth="1"/>
    <col min="18" max="33" width="9.140625" customWidth="1"/>
    <col min="43" max="43" width="10.85546875" bestFit="1" customWidth="1"/>
  </cols>
  <sheetData>
    <row r="1" spans="2:51" ht="15.75" thickBot="1" x14ac:dyDescent="0.3">
      <c r="B1" s="14" t="s">
        <v>87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2:51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354" t="s">
        <v>40</v>
      </c>
      <c r="AN2" s="355"/>
      <c r="AO2" s="355"/>
      <c r="AP2" s="355"/>
      <c r="AQ2" s="356"/>
    </row>
    <row r="3" spans="2:51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9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2:51" x14ac:dyDescent="0.25">
      <c r="B4" s="22">
        <v>46174</v>
      </c>
      <c r="C4" s="23" t="s">
        <v>54</v>
      </c>
      <c r="D4" s="62">
        <v>763</v>
      </c>
      <c r="E4" s="38">
        <v>3.9</v>
      </c>
      <c r="F4" s="38">
        <v>8.36</v>
      </c>
      <c r="G4" s="34">
        <f t="shared" ref="G4" si="0">+D4*E4%</f>
        <v>29.757000000000001</v>
      </c>
      <c r="H4" s="35">
        <f t="shared" ref="H4" si="1">+D4*F4%</f>
        <v>63.786799999999992</v>
      </c>
      <c r="I4" s="26">
        <f>J4/1.03</f>
        <v>1373.3599999999997</v>
      </c>
      <c r="J4" s="27">
        <v>1414.5607999999997</v>
      </c>
      <c r="K4" s="28">
        <v>4.3178773227704328</v>
      </c>
      <c r="L4" s="28">
        <v>8.6197355391157462</v>
      </c>
      <c r="M4" s="29"/>
      <c r="N4" s="131"/>
      <c r="O4" s="31"/>
      <c r="P4" s="28"/>
      <c r="Q4" s="32"/>
      <c r="R4" s="53">
        <f t="shared" ref="R4" si="2">O4+J4</f>
        <v>1414.5607999999997</v>
      </c>
      <c r="S4" s="34">
        <f t="shared" ref="S4" si="3">(J4*K4%)+(O4*P4%)</f>
        <v>61.079000000000008</v>
      </c>
      <c r="T4" s="35">
        <f t="shared" ref="T4" si="4">(J4*L4%)+(O4*Q4%)</f>
        <v>121.93139999999998</v>
      </c>
      <c r="U4" s="36"/>
      <c r="V4" s="37"/>
      <c r="W4" s="38"/>
      <c r="X4" s="39">
        <v>2270</v>
      </c>
      <c r="Y4" s="40">
        <v>4.2</v>
      </c>
      <c r="Z4" s="40">
        <v>8.5</v>
      </c>
      <c r="AA4" s="34">
        <f t="shared" ref="AA4" si="5">X4*Y4%</f>
        <v>95.34</v>
      </c>
      <c r="AB4" s="35">
        <f t="shared" ref="AB4" si="6">X4*Z4%</f>
        <v>192.95000000000002</v>
      </c>
      <c r="AC4" s="271">
        <v>2267</v>
      </c>
      <c r="AD4" s="145">
        <v>4.1399999999999997</v>
      </c>
      <c r="AE4" s="145">
        <v>8.42</v>
      </c>
      <c r="AF4" s="34">
        <f t="shared" ref="AF4" si="7">AC4*AD4%</f>
        <v>93.853799999999993</v>
      </c>
      <c r="AG4" s="34">
        <f t="shared" ref="AG4" si="8">AC4*AE4%</f>
        <v>190.88139999999999</v>
      </c>
      <c r="AH4" s="43">
        <v>0</v>
      </c>
      <c r="AI4" s="38">
        <v>0</v>
      </c>
      <c r="AJ4" s="38">
        <v>0</v>
      </c>
      <c r="AK4" s="34">
        <f t="shared" ref="AK4:AK65" si="9">AH4*AI4%</f>
        <v>0</v>
      </c>
      <c r="AL4" s="44">
        <f t="shared" ref="AL4:AL65" si="10">AH4*AJ4%</f>
        <v>0</v>
      </c>
      <c r="AM4" s="45">
        <f>+D4+R4-AC4-AH4</f>
        <v>-89.439200000000255</v>
      </c>
      <c r="AN4" s="46">
        <f t="shared" ref="AN4:AO4" si="11">+G4+S4-AF4-AK4</f>
        <v>-3.0177999999999798</v>
      </c>
      <c r="AO4" s="46">
        <f t="shared" si="11"/>
        <v>-5.1632000000000176</v>
      </c>
      <c r="AP4" s="47">
        <f>(AN4+AO4)/(S4+T4)</f>
        <v>-4.4702377569799299E-2</v>
      </c>
      <c r="AQ4" s="48">
        <f t="shared" ref="AQ4" si="12">($AP$1*AN4+$AQ$1*AO4)</f>
        <v>-2906.9699999999962</v>
      </c>
      <c r="AR4" s="49">
        <f>(D4+J4+O4)-(X4+AH4)</f>
        <v>-92.439200000000255</v>
      </c>
    </row>
    <row r="5" spans="2:51" x14ac:dyDescent="0.25">
      <c r="B5" s="22">
        <f>+B4</f>
        <v>46174</v>
      </c>
      <c r="C5" s="23" t="s">
        <v>55</v>
      </c>
      <c r="D5" s="50">
        <f t="shared" ref="D5:F19" si="13">AH4</f>
        <v>0</v>
      </c>
      <c r="E5" s="34">
        <f t="shared" si="13"/>
        <v>0</v>
      </c>
      <c r="F5" s="34">
        <f t="shared" si="13"/>
        <v>0</v>
      </c>
      <c r="G5" s="34">
        <f t="shared" ref="G5:G65" si="14">+D5*E5%</f>
        <v>0</v>
      </c>
      <c r="H5" s="35">
        <f t="shared" ref="H5:H65" si="15">+D5*F5%</f>
        <v>0</v>
      </c>
      <c r="I5" s="26">
        <f t="shared" ref="I5:I65" si="16">J5/1.03</f>
        <v>873.82</v>
      </c>
      <c r="J5" s="27">
        <v>900.03460000000007</v>
      </c>
      <c r="K5" s="28">
        <v>3.8966835274999423</v>
      </c>
      <c r="L5" s="32">
        <v>8.3094916573207271</v>
      </c>
      <c r="M5" s="29"/>
      <c r="N5" s="131"/>
      <c r="O5" s="31"/>
      <c r="P5" s="28"/>
      <c r="Q5" s="32"/>
      <c r="R5" s="53">
        <f t="shared" ref="R5:R65" si="17">O5+J5</f>
        <v>900.03460000000007</v>
      </c>
      <c r="S5" s="34">
        <f t="shared" ref="S5:S65" si="18">(J5*K5%)+(O5*P5%)</f>
        <v>35.0715</v>
      </c>
      <c r="T5" s="35">
        <f t="shared" ref="T5:T65" si="19">(J5*L5%)+(O5*Q5%)</f>
        <v>74.788299999999992</v>
      </c>
      <c r="U5" s="36"/>
      <c r="V5" s="37"/>
      <c r="W5" s="38"/>
      <c r="X5" s="39"/>
      <c r="Y5" s="40"/>
      <c r="Z5" s="40"/>
      <c r="AA5" s="34">
        <f t="shared" ref="AA5:AA65" si="20">X5*Y5%</f>
        <v>0</v>
      </c>
      <c r="AB5" s="35">
        <f t="shared" ref="AB5:AB65" si="21">X5*Z5%</f>
        <v>0</v>
      </c>
      <c r="AC5" s="273"/>
      <c r="AD5" s="130"/>
      <c r="AE5" s="130"/>
      <c r="AF5" s="34">
        <f t="shared" ref="AF5:AF65" si="22">AC5*AD5%</f>
        <v>0</v>
      </c>
      <c r="AG5" s="34">
        <f t="shared" ref="AG5:AG65" si="23">AC5*AE5%</f>
        <v>0</v>
      </c>
      <c r="AH5" s="43">
        <v>900.03</v>
      </c>
      <c r="AI5" s="38">
        <v>3.9</v>
      </c>
      <c r="AJ5" s="38">
        <v>8.31</v>
      </c>
      <c r="AK5" s="34">
        <f t="shared" si="9"/>
        <v>35.101169999999996</v>
      </c>
      <c r="AL5" s="44">
        <f t="shared" si="10"/>
        <v>74.792493000000007</v>
      </c>
      <c r="AM5" s="45">
        <f t="shared" ref="AM5:AM65" si="24">+D5+R5-AC5-AH5</f>
        <v>4.6000000000958607E-3</v>
      </c>
      <c r="AN5" s="46">
        <f t="shared" ref="AN5:AN65" si="25">+G5+S5-AF5-AK5</f>
        <v>-2.9669999999995866E-2</v>
      </c>
      <c r="AO5" s="46">
        <f t="shared" ref="AO5:AO65" si="26">+H5+T5-AG5-AL5</f>
        <v>-4.1930000000149903E-3</v>
      </c>
      <c r="AP5" s="47">
        <f t="shared" ref="AP5:AP65" si="27">(AN5+AO5)/(S5+T5)</f>
        <v>-3.082383182930504E-4</v>
      </c>
      <c r="AQ5" s="48">
        <f t="shared" ref="AQ5:AQ65" si="28">($AP$1*AN5+$AQ$1*AO5)</f>
        <v>-14.609400000002637</v>
      </c>
      <c r="AR5" s="49">
        <f t="shared" ref="AR5:AR65" si="29">(D5+J5+O5)-(X5+AH5)</f>
        <v>4.6000000000958607E-3</v>
      </c>
    </row>
    <row r="6" spans="2:51" x14ac:dyDescent="0.25">
      <c r="B6" s="22">
        <f>+B4+1</f>
        <v>46175</v>
      </c>
      <c r="C6" s="23" t="s">
        <v>54</v>
      </c>
      <c r="D6" s="50">
        <f t="shared" ref="D6" si="30">AH5</f>
        <v>900.03</v>
      </c>
      <c r="E6" s="34">
        <f t="shared" ref="E6" si="31">AI5</f>
        <v>3.9</v>
      </c>
      <c r="F6" s="34">
        <f t="shared" ref="F6" si="32">AJ5</f>
        <v>8.31</v>
      </c>
      <c r="G6" s="34">
        <f t="shared" si="14"/>
        <v>35.101169999999996</v>
      </c>
      <c r="H6" s="35">
        <f t="shared" si="15"/>
        <v>74.792493000000007</v>
      </c>
      <c r="I6" s="26">
        <f t="shared" si="16"/>
        <v>1308.1399999999999</v>
      </c>
      <c r="J6" s="27">
        <v>1347.3842</v>
      </c>
      <c r="K6" s="28">
        <v>4.2847095876588144</v>
      </c>
      <c r="L6" s="32">
        <v>8.437934777623191</v>
      </c>
      <c r="M6" s="29"/>
      <c r="N6" s="131"/>
      <c r="O6" s="31"/>
      <c r="P6" s="28"/>
      <c r="Q6" s="32"/>
      <c r="R6" s="53">
        <f t="shared" si="17"/>
        <v>1347.3842</v>
      </c>
      <c r="S6" s="34">
        <f t="shared" si="18"/>
        <v>57.731500000000011</v>
      </c>
      <c r="T6" s="35">
        <f t="shared" si="19"/>
        <v>113.6914</v>
      </c>
      <c r="U6" s="36"/>
      <c r="V6" s="37"/>
      <c r="W6" s="38"/>
      <c r="X6" s="39">
        <v>2260</v>
      </c>
      <c r="Y6" s="40">
        <v>4.2</v>
      </c>
      <c r="Z6" s="40">
        <v>8.3699999999999992</v>
      </c>
      <c r="AA6" s="34">
        <f t="shared" si="20"/>
        <v>94.92</v>
      </c>
      <c r="AB6" s="35">
        <f t="shared" si="21"/>
        <v>189.16200000000001</v>
      </c>
      <c r="AC6" s="273">
        <v>2285</v>
      </c>
      <c r="AD6" s="130">
        <v>4.07</v>
      </c>
      <c r="AE6" s="130">
        <v>8.17</v>
      </c>
      <c r="AF6" s="34">
        <f t="shared" si="22"/>
        <v>92.999499999999998</v>
      </c>
      <c r="AG6" s="34">
        <f t="shared" si="23"/>
        <v>186.68449999999999</v>
      </c>
      <c r="AH6" s="43">
        <v>0</v>
      </c>
      <c r="AI6" s="38">
        <v>0</v>
      </c>
      <c r="AJ6" s="38">
        <v>0</v>
      </c>
      <c r="AK6" s="34">
        <f t="shared" si="9"/>
        <v>0</v>
      </c>
      <c r="AL6" s="44">
        <f t="shared" si="10"/>
        <v>0</v>
      </c>
      <c r="AM6" s="45">
        <f t="shared" si="24"/>
        <v>-37.585799999999836</v>
      </c>
      <c r="AN6" s="46">
        <f t="shared" si="25"/>
        <v>-0.16682999999999026</v>
      </c>
      <c r="AO6" s="46">
        <f t="shared" si="26"/>
        <v>1.7993930000000375</v>
      </c>
      <c r="AP6" s="47">
        <f t="shared" si="27"/>
        <v>9.5235992390751006E-3</v>
      </c>
      <c r="AQ6" s="48">
        <f t="shared" si="28"/>
        <v>464.74440000001562</v>
      </c>
      <c r="AR6" s="49">
        <f t="shared" si="29"/>
        <v>-12.585799999999836</v>
      </c>
    </row>
    <row r="7" spans="2:51" x14ac:dyDescent="0.25">
      <c r="B7" s="22">
        <f>+B5+1</f>
        <v>46175</v>
      </c>
      <c r="C7" s="23" t="s">
        <v>55</v>
      </c>
      <c r="D7" s="50">
        <f t="shared" si="13"/>
        <v>0</v>
      </c>
      <c r="E7" s="34">
        <f t="shared" si="13"/>
        <v>0</v>
      </c>
      <c r="F7" s="34">
        <f t="shared" si="13"/>
        <v>0</v>
      </c>
      <c r="G7" s="34">
        <f t="shared" si="14"/>
        <v>0</v>
      </c>
      <c r="H7" s="35">
        <f t="shared" si="15"/>
        <v>0</v>
      </c>
      <c r="I7" s="26">
        <f t="shared" si="16"/>
        <v>1023.62</v>
      </c>
      <c r="J7" s="27">
        <v>1054.3286000000001</v>
      </c>
      <c r="K7" s="28">
        <v>3.8754615970770399</v>
      </c>
      <c r="L7" s="32">
        <v>8.3155858619409528</v>
      </c>
      <c r="M7" s="29"/>
      <c r="N7" s="30"/>
      <c r="O7" s="31"/>
      <c r="P7" s="28"/>
      <c r="Q7" s="32"/>
      <c r="R7" s="53">
        <f t="shared" si="17"/>
        <v>1054.3286000000001</v>
      </c>
      <c r="S7" s="34">
        <f t="shared" si="18"/>
        <v>40.860100000000003</v>
      </c>
      <c r="T7" s="35">
        <f t="shared" si="19"/>
        <v>87.673599999999979</v>
      </c>
      <c r="U7" s="36"/>
      <c r="V7" s="37"/>
      <c r="W7" s="38"/>
      <c r="X7" s="39"/>
      <c r="Y7" s="40"/>
      <c r="Z7" s="40"/>
      <c r="AA7" s="34">
        <f t="shared" si="20"/>
        <v>0</v>
      </c>
      <c r="AB7" s="35">
        <f t="shared" si="21"/>
        <v>0</v>
      </c>
      <c r="AC7" s="273"/>
      <c r="AD7" s="130"/>
      <c r="AE7" s="130"/>
      <c r="AF7" s="34">
        <f t="shared" si="22"/>
        <v>0</v>
      </c>
      <c r="AG7" s="34">
        <f t="shared" si="23"/>
        <v>0</v>
      </c>
      <c r="AH7" s="43">
        <v>944</v>
      </c>
      <c r="AI7" s="38">
        <v>4.25</v>
      </c>
      <c r="AJ7" s="38">
        <v>8.57</v>
      </c>
      <c r="AK7" s="34">
        <f t="shared" si="9"/>
        <v>40.120000000000005</v>
      </c>
      <c r="AL7" s="44">
        <f t="shared" si="10"/>
        <v>80.900800000000004</v>
      </c>
      <c r="AM7" s="45">
        <f t="shared" si="24"/>
        <v>110.32860000000005</v>
      </c>
      <c r="AN7" s="46">
        <f t="shared" si="25"/>
        <v>0.7400999999999982</v>
      </c>
      <c r="AO7" s="46">
        <f t="shared" si="26"/>
        <v>6.7727999999999753</v>
      </c>
      <c r="AP7" s="47">
        <f t="shared" si="27"/>
        <v>5.8450818734697395E-2</v>
      </c>
      <c r="AQ7" s="48">
        <f t="shared" si="28"/>
        <v>2364.884999999992</v>
      </c>
      <c r="AR7" s="49">
        <f t="shared" si="29"/>
        <v>110.32860000000005</v>
      </c>
    </row>
    <row r="8" spans="2:51" x14ac:dyDescent="0.25">
      <c r="B8" s="22">
        <f>+B6+1</f>
        <v>46176</v>
      </c>
      <c r="C8" s="23" t="s">
        <v>54</v>
      </c>
      <c r="D8" s="50"/>
      <c r="E8" s="34"/>
      <c r="F8" s="34"/>
      <c r="G8" s="34">
        <f t="shared" si="14"/>
        <v>0</v>
      </c>
      <c r="H8" s="35">
        <f t="shared" si="15"/>
        <v>0</v>
      </c>
      <c r="I8" s="26">
        <f t="shared" si="16"/>
        <v>0</v>
      </c>
      <c r="J8" s="27"/>
      <c r="K8" s="28"/>
      <c r="L8" s="32"/>
      <c r="M8" s="29"/>
      <c r="N8" s="30"/>
      <c r="O8" s="31"/>
      <c r="P8" s="28"/>
      <c r="Q8" s="32"/>
      <c r="R8" s="53">
        <f t="shared" si="17"/>
        <v>0</v>
      </c>
      <c r="S8" s="34">
        <f t="shared" si="18"/>
        <v>0</v>
      </c>
      <c r="T8" s="35">
        <f t="shared" si="19"/>
        <v>0</v>
      </c>
      <c r="U8" s="36"/>
      <c r="V8" s="37"/>
      <c r="W8" s="38"/>
      <c r="X8" s="39"/>
      <c r="Y8" s="40"/>
      <c r="Z8" s="40"/>
      <c r="AA8" s="34">
        <f t="shared" si="20"/>
        <v>0</v>
      </c>
      <c r="AB8" s="35">
        <f t="shared" si="21"/>
        <v>0</v>
      </c>
      <c r="AC8" s="291"/>
      <c r="AD8" s="292"/>
      <c r="AE8" s="292"/>
      <c r="AF8" s="34">
        <f t="shared" si="22"/>
        <v>0</v>
      </c>
      <c r="AG8" s="34">
        <f t="shared" si="23"/>
        <v>0</v>
      </c>
      <c r="AH8" s="43"/>
      <c r="AI8" s="38"/>
      <c r="AJ8" s="38"/>
      <c r="AK8" s="34">
        <f t="shared" si="9"/>
        <v>0</v>
      </c>
      <c r="AL8" s="44">
        <f t="shared" si="10"/>
        <v>0</v>
      </c>
      <c r="AM8" s="45">
        <f t="shared" si="24"/>
        <v>0</v>
      </c>
      <c r="AN8" s="46">
        <f t="shared" si="25"/>
        <v>0</v>
      </c>
      <c r="AO8" s="46">
        <f t="shared" si="26"/>
        <v>0</v>
      </c>
      <c r="AP8" s="47" t="e">
        <f t="shared" si="27"/>
        <v>#DIV/0!</v>
      </c>
      <c r="AQ8" s="48">
        <f t="shared" si="28"/>
        <v>0</v>
      </c>
      <c r="AR8" s="49">
        <f t="shared" si="29"/>
        <v>0</v>
      </c>
    </row>
    <row r="9" spans="2:51" x14ac:dyDescent="0.25">
      <c r="B9" s="22">
        <f t="shared" ref="B9:B65" si="33">+B7+1</f>
        <v>46176</v>
      </c>
      <c r="C9" s="23" t="s">
        <v>55</v>
      </c>
      <c r="D9" s="50">
        <f t="shared" si="13"/>
        <v>0</v>
      </c>
      <c r="E9" s="34">
        <f t="shared" si="13"/>
        <v>0</v>
      </c>
      <c r="F9" s="34">
        <f t="shared" si="13"/>
        <v>0</v>
      </c>
      <c r="G9" s="34">
        <f t="shared" si="14"/>
        <v>0</v>
      </c>
      <c r="H9" s="35">
        <f t="shared" si="15"/>
        <v>0</v>
      </c>
      <c r="I9" s="26">
        <f t="shared" si="16"/>
        <v>0</v>
      </c>
      <c r="J9" s="27"/>
      <c r="K9" s="28"/>
      <c r="L9" s="32"/>
      <c r="M9" s="29"/>
      <c r="N9" s="30"/>
      <c r="O9" s="31"/>
      <c r="P9" s="28"/>
      <c r="Q9" s="32"/>
      <c r="R9" s="53">
        <f t="shared" si="17"/>
        <v>0</v>
      </c>
      <c r="S9" s="34">
        <f t="shared" si="18"/>
        <v>0</v>
      </c>
      <c r="T9" s="35">
        <f t="shared" si="19"/>
        <v>0</v>
      </c>
      <c r="U9" s="36"/>
      <c r="V9" s="37"/>
      <c r="W9" s="38"/>
      <c r="X9" s="39"/>
      <c r="Y9" s="40"/>
      <c r="Z9" s="40"/>
      <c r="AA9" s="34">
        <f t="shared" si="20"/>
        <v>0</v>
      </c>
      <c r="AB9" s="35">
        <f t="shared" si="21"/>
        <v>0</v>
      </c>
      <c r="AC9" s="303"/>
      <c r="AD9" s="290"/>
      <c r="AE9" s="290"/>
      <c r="AF9" s="34">
        <f t="shared" si="22"/>
        <v>0</v>
      </c>
      <c r="AG9" s="34">
        <f t="shared" si="23"/>
        <v>0</v>
      </c>
      <c r="AH9" s="43"/>
      <c r="AI9" s="38"/>
      <c r="AJ9" s="38"/>
      <c r="AK9" s="34">
        <f t="shared" si="9"/>
        <v>0</v>
      </c>
      <c r="AL9" s="44">
        <f t="shared" si="10"/>
        <v>0</v>
      </c>
      <c r="AM9" s="45">
        <f t="shared" si="24"/>
        <v>0</v>
      </c>
      <c r="AN9" s="46">
        <f t="shared" si="25"/>
        <v>0</v>
      </c>
      <c r="AO9" s="46">
        <f t="shared" si="26"/>
        <v>0</v>
      </c>
      <c r="AP9" s="47" t="e">
        <f t="shared" si="27"/>
        <v>#DIV/0!</v>
      </c>
      <c r="AQ9" s="48">
        <f t="shared" si="28"/>
        <v>0</v>
      </c>
      <c r="AR9" s="49">
        <f t="shared" si="29"/>
        <v>0</v>
      </c>
    </row>
    <row r="10" spans="2:51" x14ac:dyDescent="0.25">
      <c r="B10" s="22">
        <f t="shared" si="33"/>
        <v>46177</v>
      </c>
      <c r="C10" s="23" t="s">
        <v>54</v>
      </c>
      <c r="D10" s="50">
        <f t="shared" ref="D10" si="34">AH9</f>
        <v>0</v>
      </c>
      <c r="E10" s="34">
        <f t="shared" ref="E10" si="35">AI9</f>
        <v>0</v>
      </c>
      <c r="F10" s="34">
        <f t="shared" ref="F10" si="36">AJ9</f>
        <v>0</v>
      </c>
      <c r="G10" s="34">
        <f t="shared" si="14"/>
        <v>0</v>
      </c>
      <c r="H10" s="35">
        <f t="shared" si="15"/>
        <v>0</v>
      </c>
      <c r="I10" s="26">
        <f t="shared" si="16"/>
        <v>0</v>
      </c>
      <c r="J10" s="27"/>
      <c r="K10" s="28"/>
      <c r="L10" s="32"/>
      <c r="M10" s="29"/>
      <c r="N10" s="30"/>
      <c r="O10" s="31"/>
      <c r="P10" s="28"/>
      <c r="Q10" s="32"/>
      <c r="R10" s="53">
        <f t="shared" si="17"/>
        <v>0</v>
      </c>
      <c r="S10" s="34">
        <f t="shared" si="18"/>
        <v>0</v>
      </c>
      <c r="T10" s="35">
        <f t="shared" si="19"/>
        <v>0</v>
      </c>
      <c r="U10" s="36"/>
      <c r="V10" s="37"/>
      <c r="W10" s="38"/>
      <c r="X10" s="39"/>
      <c r="Y10" s="40"/>
      <c r="Z10" s="40"/>
      <c r="AA10" s="34">
        <f t="shared" si="20"/>
        <v>0</v>
      </c>
      <c r="AB10" s="35">
        <f t="shared" si="21"/>
        <v>0</v>
      </c>
      <c r="AC10" s="303"/>
      <c r="AD10" s="290"/>
      <c r="AE10" s="290"/>
      <c r="AF10" s="34">
        <f t="shared" si="22"/>
        <v>0</v>
      </c>
      <c r="AG10" s="34">
        <f t="shared" si="23"/>
        <v>0</v>
      </c>
      <c r="AH10" s="43"/>
      <c r="AI10" s="38"/>
      <c r="AJ10" s="38"/>
      <c r="AK10" s="34">
        <f t="shared" si="9"/>
        <v>0</v>
      </c>
      <c r="AL10" s="44">
        <f t="shared" si="10"/>
        <v>0</v>
      </c>
      <c r="AM10" s="45">
        <f t="shared" si="24"/>
        <v>0</v>
      </c>
      <c r="AN10" s="46">
        <f t="shared" si="25"/>
        <v>0</v>
      </c>
      <c r="AO10" s="46">
        <f t="shared" si="26"/>
        <v>0</v>
      </c>
      <c r="AP10" s="47" t="e">
        <f t="shared" si="27"/>
        <v>#DIV/0!</v>
      </c>
      <c r="AQ10" s="48">
        <f t="shared" si="28"/>
        <v>0</v>
      </c>
      <c r="AR10" s="49">
        <f t="shared" si="29"/>
        <v>0</v>
      </c>
    </row>
    <row r="11" spans="2:51" x14ac:dyDescent="0.25">
      <c r="B11" s="22">
        <f t="shared" si="33"/>
        <v>46177</v>
      </c>
      <c r="C11" s="23" t="s">
        <v>55</v>
      </c>
      <c r="D11" s="50">
        <f t="shared" ref="D11" si="37">AH10</f>
        <v>0</v>
      </c>
      <c r="E11" s="34">
        <f t="shared" ref="E11" si="38">AI10</f>
        <v>0</v>
      </c>
      <c r="F11" s="34">
        <f t="shared" ref="F11" si="39">AJ10</f>
        <v>0</v>
      </c>
      <c r="G11" s="34">
        <f t="shared" si="14"/>
        <v>0</v>
      </c>
      <c r="H11" s="35">
        <f t="shared" si="15"/>
        <v>0</v>
      </c>
      <c r="I11" s="26">
        <f t="shared" si="16"/>
        <v>0</v>
      </c>
      <c r="J11" s="27"/>
      <c r="K11" s="28"/>
      <c r="L11" s="32"/>
      <c r="M11" s="29"/>
      <c r="N11" s="30"/>
      <c r="O11" s="31"/>
      <c r="P11" s="28"/>
      <c r="Q11" s="32"/>
      <c r="R11" s="53">
        <f t="shared" si="17"/>
        <v>0</v>
      </c>
      <c r="S11" s="34">
        <f t="shared" si="18"/>
        <v>0</v>
      </c>
      <c r="T11" s="35">
        <f t="shared" si="19"/>
        <v>0</v>
      </c>
      <c r="U11" s="36"/>
      <c r="V11" s="37"/>
      <c r="W11" s="38"/>
      <c r="X11" s="39"/>
      <c r="Y11" s="40"/>
      <c r="Z11" s="40"/>
      <c r="AA11" s="34">
        <f t="shared" si="20"/>
        <v>0</v>
      </c>
      <c r="AB11" s="35">
        <f t="shared" si="21"/>
        <v>0</v>
      </c>
      <c r="AC11" s="303"/>
      <c r="AD11" s="290"/>
      <c r="AE11" s="290"/>
      <c r="AF11" s="34">
        <f t="shared" si="22"/>
        <v>0</v>
      </c>
      <c r="AG11" s="34">
        <f t="shared" si="23"/>
        <v>0</v>
      </c>
      <c r="AH11" s="43"/>
      <c r="AI11" s="38"/>
      <c r="AJ11" s="38"/>
      <c r="AK11" s="34">
        <f t="shared" si="9"/>
        <v>0</v>
      </c>
      <c r="AL11" s="44">
        <f t="shared" si="10"/>
        <v>0</v>
      </c>
      <c r="AM11" s="45">
        <f t="shared" si="24"/>
        <v>0</v>
      </c>
      <c r="AN11" s="46">
        <f t="shared" si="25"/>
        <v>0</v>
      </c>
      <c r="AO11" s="46">
        <f t="shared" si="26"/>
        <v>0</v>
      </c>
      <c r="AP11" s="47" t="e">
        <f t="shared" si="27"/>
        <v>#DIV/0!</v>
      </c>
      <c r="AQ11" s="48">
        <f t="shared" si="28"/>
        <v>0</v>
      </c>
      <c r="AR11" s="49">
        <f t="shared" si="29"/>
        <v>0</v>
      </c>
    </row>
    <row r="12" spans="2:51" x14ac:dyDescent="0.25">
      <c r="B12" s="22">
        <f t="shared" si="33"/>
        <v>46178</v>
      </c>
      <c r="C12" s="23" t="s">
        <v>54</v>
      </c>
      <c r="D12" s="50">
        <f t="shared" ref="D12" si="40">AH11</f>
        <v>0</v>
      </c>
      <c r="E12" s="34">
        <f t="shared" ref="E12" si="41">AI11</f>
        <v>0</v>
      </c>
      <c r="F12" s="34">
        <f t="shared" ref="F12" si="42">AJ11</f>
        <v>0</v>
      </c>
      <c r="G12" s="34">
        <f t="shared" si="14"/>
        <v>0</v>
      </c>
      <c r="H12" s="35">
        <f t="shared" si="15"/>
        <v>0</v>
      </c>
      <c r="I12" s="26">
        <f t="shared" si="16"/>
        <v>0</v>
      </c>
      <c r="J12" s="27"/>
      <c r="K12" s="28"/>
      <c r="L12" s="32"/>
      <c r="M12" s="29"/>
      <c r="N12" s="30"/>
      <c r="O12" s="31"/>
      <c r="P12" s="28"/>
      <c r="Q12" s="32"/>
      <c r="R12" s="53">
        <f t="shared" si="17"/>
        <v>0</v>
      </c>
      <c r="S12" s="34">
        <f t="shared" si="18"/>
        <v>0</v>
      </c>
      <c r="T12" s="35">
        <f t="shared" si="19"/>
        <v>0</v>
      </c>
      <c r="U12" s="36"/>
      <c r="V12" s="37"/>
      <c r="W12" s="38"/>
      <c r="X12" s="39"/>
      <c r="Y12" s="40"/>
      <c r="Z12" s="40"/>
      <c r="AA12" s="34">
        <f t="shared" si="20"/>
        <v>0</v>
      </c>
      <c r="AB12" s="35">
        <f t="shared" si="21"/>
        <v>0</v>
      </c>
      <c r="AC12" s="291"/>
      <c r="AD12" s="292"/>
      <c r="AE12" s="292"/>
      <c r="AF12" s="34">
        <f t="shared" si="22"/>
        <v>0</v>
      </c>
      <c r="AG12" s="34">
        <f t="shared" si="23"/>
        <v>0</v>
      </c>
      <c r="AH12" s="43"/>
      <c r="AI12" s="38"/>
      <c r="AJ12" s="38"/>
      <c r="AK12" s="34">
        <f t="shared" si="9"/>
        <v>0</v>
      </c>
      <c r="AL12" s="44">
        <f t="shared" si="10"/>
        <v>0</v>
      </c>
      <c r="AM12" s="45">
        <f t="shared" si="24"/>
        <v>0</v>
      </c>
      <c r="AN12" s="46">
        <f t="shared" si="25"/>
        <v>0</v>
      </c>
      <c r="AO12" s="46">
        <f t="shared" si="26"/>
        <v>0</v>
      </c>
      <c r="AP12" s="47" t="e">
        <f t="shared" si="27"/>
        <v>#DIV/0!</v>
      </c>
      <c r="AQ12" s="48">
        <f t="shared" si="28"/>
        <v>0</v>
      </c>
      <c r="AR12" s="49">
        <f t="shared" si="29"/>
        <v>0</v>
      </c>
      <c r="AT12" s="49"/>
      <c r="AU12" s="15" t="s">
        <v>60</v>
      </c>
      <c r="AV12" s="15" t="s">
        <v>44</v>
      </c>
      <c r="AW12" s="15" t="s">
        <v>23</v>
      </c>
      <c r="AX12" s="15" t="s">
        <v>26</v>
      </c>
    </row>
    <row r="13" spans="2:51" x14ac:dyDescent="0.25">
      <c r="B13" s="22">
        <f t="shared" si="33"/>
        <v>46178</v>
      </c>
      <c r="C13" s="23" t="s">
        <v>55</v>
      </c>
      <c r="D13" s="50">
        <f t="shared" ref="D13" si="43">AH12</f>
        <v>0</v>
      </c>
      <c r="E13" s="34">
        <f t="shared" ref="E13" si="44">AI12</f>
        <v>0</v>
      </c>
      <c r="F13" s="34">
        <f t="shared" ref="F13" si="45">AJ12</f>
        <v>0</v>
      </c>
      <c r="G13" s="34">
        <f t="shared" si="14"/>
        <v>0</v>
      </c>
      <c r="H13" s="35">
        <f t="shared" si="15"/>
        <v>0</v>
      </c>
      <c r="I13" s="26">
        <f t="shared" si="16"/>
        <v>0</v>
      </c>
      <c r="J13" s="27"/>
      <c r="K13" s="28"/>
      <c r="L13" s="32"/>
      <c r="M13" s="29"/>
      <c r="N13" s="131"/>
      <c r="O13" s="31"/>
      <c r="P13" s="28"/>
      <c r="Q13" s="32"/>
      <c r="R13" s="53">
        <f t="shared" si="17"/>
        <v>0</v>
      </c>
      <c r="S13" s="34">
        <f t="shared" si="18"/>
        <v>0</v>
      </c>
      <c r="T13" s="35">
        <f t="shared" si="19"/>
        <v>0</v>
      </c>
      <c r="U13" s="36"/>
      <c r="V13" s="37"/>
      <c r="W13" s="38"/>
      <c r="X13" s="39"/>
      <c r="Y13" s="40"/>
      <c r="Z13" s="40"/>
      <c r="AA13" s="34">
        <f t="shared" si="20"/>
        <v>0</v>
      </c>
      <c r="AB13" s="35">
        <f t="shared" si="21"/>
        <v>0</v>
      </c>
      <c r="AC13" s="271"/>
      <c r="AD13" s="145"/>
      <c r="AE13" s="145"/>
      <c r="AF13" s="34">
        <f t="shared" si="22"/>
        <v>0</v>
      </c>
      <c r="AG13" s="34">
        <f t="shared" si="23"/>
        <v>0</v>
      </c>
      <c r="AH13" s="43"/>
      <c r="AI13" s="38"/>
      <c r="AJ13" s="38"/>
      <c r="AK13" s="34">
        <f t="shared" ref="AK13:AK20" si="46">AH13*AI13%</f>
        <v>0</v>
      </c>
      <c r="AL13" s="44">
        <f t="shared" ref="AL13:AL20" si="47">AH13*AJ13%</f>
        <v>0</v>
      </c>
      <c r="AM13" s="45">
        <f t="shared" si="24"/>
        <v>0</v>
      </c>
      <c r="AN13" s="46">
        <f t="shared" si="25"/>
        <v>0</v>
      </c>
      <c r="AO13" s="46">
        <f t="shared" si="26"/>
        <v>0</v>
      </c>
      <c r="AP13" s="47" t="e">
        <f t="shared" si="27"/>
        <v>#DIV/0!</v>
      </c>
      <c r="AQ13" s="48">
        <f t="shared" si="28"/>
        <v>0</v>
      </c>
      <c r="AR13" s="49">
        <f t="shared" si="29"/>
        <v>0</v>
      </c>
      <c r="AT13" s="49">
        <f>SUM(J4:J13)</f>
        <v>4716.3081999999995</v>
      </c>
      <c r="AU13" s="58">
        <f>SUM(AM4:AM13)</f>
        <v>-16.691799999999944</v>
      </c>
      <c r="AV13" s="58">
        <f>SUM(AN4:AN13)</f>
        <v>-2.4741999999999678</v>
      </c>
      <c r="AW13" s="58">
        <f>SUM(AO4:AO13)</f>
        <v>3.4047999999999803</v>
      </c>
      <c r="AX13" s="58">
        <f>-SUM(AQ4:AQ13)</f>
        <v>91.949999999991178</v>
      </c>
      <c r="AY13" s="58">
        <f>-SUM(AS4:AS13)</f>
        <v>0</v>
      </c>
    </row>
    <row r="14" spans="2:51" x14ac:dyDescent="0.25">
      <c r="B14" s="22">
        <f t="shared" si="33"/>
        <v>46179</v>
      </c>
      <c r="C14" s="23" t="s">
        <v>54</v>
      </c>
      <c r="D14" s="50">
        <f t="shared" ref="D14" si="48">AH13</f>
        <v>0</v>
      </c>
      <c r="E14" s="34">
        <f t="shared" ref="E14" si="49">AI13</f>
        <v>0</v>
      </c>
      <c r="F14" s="34">
        <f t="shared" ref="F14" si="50">AJ13</f>
        <v>0</v>
      </c>
      <c r="G14" s="34">
        <f t="shared" si="14"/>
        <v>0</v>
      </c>
      <c r="H14" s="35">
        <f t="shared" si="15"/>
        <v>0</v>
      </c>
      <c r="I14" s="26">
        <f t="shared" si="16"/>
        <v>0</v>
      </c>
      <c r="J14" s="27"/>
      <c r="K14" s="28"/>
      <c r="L14" s="32"/>
      <c r="M14" s="29"/>
      <c r="N14" s="30"/>
      <c r="O14" s="31"/>
      <c r="P14" s="28"/>
      <c r="Q14" s="32"/>
      <c r="R14" s="53">
        <f t="shared" si="17"/>
        <v>0</v>
      </c>
      <c r="S14" s="34">
        <f t="shared" si="18"/>
        <v>0</v>
      </c>
      <c r="T14" s="35">
        <f t="shared" si="19"/>
        <v>0</v>
      </c>
      <c r="U14" s="36"/>
      <c r="V14" s="37"/>
      <c r="W14" s="38"/>
      <c r="X14" s="39"/>
      <c r="Y14" s="40"/>
      <c r="Z14" s="40"/>
      <c r="AA14" s="34">
        <f t="shared" si="20"/>
        <v>0</v>
      </c>
      <c r="AB14" s="35">
        <f t="shared" si="21"/>
        <v>0</v>
      </c>
      <c r="AC14" s="144"/>
      <c r="AD14" s="145"/>
      <c r="AE14" s="145"/>
      <c r="AF14" s="34">
        <f t="shared" si="22"/>
        <v>0</v>
      </c>
      <c r="AG14" s="34">
        <f t="shared" si="23"/>
        <v>0</v>
      </c>
      <c r="AH14" s="43"/>
      <c r="AI14" s="38"/>
      <c r="AJ14" s="38"/>
      <c r="AK14" s="34">
        <f t="shared" ref="AK14" si="51">AH14*AI14%</f>
        <v>0</v>
      </c>
      <c r="AL14" s="44">
        <f t="shared" ref="AL14" si="52">AH14*AJ14%</f>
        <v>0</v>
      </c>
      <c r="AM14" s="45">
        <f t="shared" si="24"/>
        <v>0</v>
      </c>
      <c r="AN14" s="46">
        <f t="shared" si="25"/>
        <v>0</v>
      </c>
      <c r="AO14" s="46">
        <f t="shared" si="26"/>
        <v>0</v>
      </c>
      <c r="AP14" s="47" t="e">
        <f t="shared" si="27"/>
        <v>#DIV/0!</v>
      </c>
      <c r="AQ14" s="48">
        <f t="shared" si="28"/>
        <v>0</v>
      </c>
      <c r="AR14" s="49">
        <f t="shared" si="29"/>
        <v>0</v>
      </c>
    </row>
    <row r="15" spans="2:51" x14ac:dyDescent="0.25">
      <c r="B15" s="22">
        <f t="shared" si="33"/>
        <v>46179</v>
      </c>
      <c r="C15" s="23" t="s">
        <v>55</v>
      </c>
      <c r="D15" s="50">
        <f t="shared" si="13"/>
        <v>0</v>
      </c>
      <c r="E15" s="34">
        <f t="shared" si="13"/>
        <v>0</v>
      </c>
      <c r="F15" s="34">
        <f t="shared" si="13"/>
        <v>0</v>
      </c>
      <c r="G15" s="34">
        <f t="shared" si="14"/>
        <v>0</v>
      </c>
      <c r="H15" s="35">
        <f t="shared" si="15"/>
        <v>0</v>
      </c>
      <c r="I15" s="26">
        <f t="shared" si="16"/>
        <v>0</v>
      </c>
      <c r="J15" s="27"/>
      <c r="K15" s="28"/>
      <c r="L15" s="32"/>
      <c r="M15" s="29"/>
      <c r="N15" s="30"/>
      <c r="O15" s="31"/>
      <c r="P15" s="28"/>
      <c r="Q15" s="32"/>
      <c r="R15" s="53">
        <f t="shared" ref="R15" si="53">O15+J15</f>
        <v>0</v>
      </c>
      <c r="S15" s="34">
        <f t="shared" ref="S15" si="54">(J15*K15%)+(O15*P15%)</f>
        <v>0</v>
      </c>
      <c r="T15" s="35">
        <f t="shared" ref="T15" si="55">(J15*L15%)+(O15*Q15%)</f>
        <v>0</v>
      </c>
      <c r="U15" s="36"/>
      <c r="V15" s="37"/>
      <c r="W15" s="38"/>
      <c r="X15" s="39"/>
      <c r="Y15" s="40"/>
      <c r="Z15" s="40"/>
      <c r="AA15" s="34">
        <f t="shared" si="20"/>
        <v>0</v>
      </c>
      <c r="AB15" s="35">
        <f t="shared" si="21"/>
        <v>0</v>
      </c>
      <c r="AC15" s="273"/>
      <c r="AD15" s="130"/>
      <c r="AE15" s="130"/>
      <c r="AF15" s="34">
        <f t="shared" si="22"/>
        <v>0</v>
      </c>
      <c r="AG15" s="34">
        <f t="shared" si="23"/>
        <v>0</v>
      </c>
      <c r="AH15" s="43"/>
      <c r="AI15" s="38"/>
      <c r="AJ15" s="38"/>
      <c r="AK15" s="34">
        <f t="shared" si="46"/>
        <v>0</v>
      </c>
      <c r="AL15" s="44">
        <f t="shared" si="47"/>
        <v>0</v>
      </c>
      <c r="AM15" s="45">
        <f t="shared" si="24"/>
        <v>0</v>
      </c>
      <c r="AN15" s="46">
        <f t="shared" si="25"/>
        <v>0</v>
      </c>
      <c r="AO15" s="46">
        <f t="shared" si="26"/>
        <v>0</v>
      </c>
      <c r="AP15" s="47" t="e">
        <f t="shared" si="27"/>
        <v>#DIV/0!</v>
      </c>
      <c r="AQ15" s="48">
        <f t="shared" si="28"/>
        <v>0</v>
      </c>
      <c r="AR15" s="49">
        <f t="shared" si="29"/>
        <v>0</v>
      </c>
    </row>
    <row r="16" spans="2:51" x14ac:dyDescent="0.25">
      <c r="B16" s="22">
        <f t="shared" si="33"/>
        <v>46180</v>
      </c>
      <c r="C16" s="23" t="s">
        <v>54</v>
      </c>
      <c r="D16" s="50">
        <f t="shared" ref="D16" si="56">AH15</f>
        <v>0</v>
      </c>
      <c r="E16" s="34">
        <f t="shared" ref="E16" si="57">AI15</f>
        <v>0</v>
      </c>
      <c r="F16" s="34">
        <f t="shared" ref="F16" si="58">AJ15</f>
        <v>0</v>
      </c>
      <c r="G16" s="34">
        <f t="shared" si="14"/>
        <v>0</v>
      </c>
      <c r="H16" s="35">
        <f t="shared" si="15"/>
        <v>0</v>
      </c>
      <c r="I16" s="26">
        <f t="shared" si="16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17"/>
        <v>0</v>
      </c>
      <c r="S16" s="34">
        <f t="shared" si="18"/>
        <v>0</v>
      </c>
      <c r="T16" s="35">
        <f t="shared" si="19"/>
        <v>0</v>
      </c>
      <c r="U16" s="36"/>
      <c r="V16" s="37"/>
      <c r="W16" s="38"/>
      <c r="X16" s="39"/>
      <c r="Y16" s="40"/>
      <c r="Z16" s="40"/>
      <c r="AA16" s="34">
        <f t="shared" si="20"/>
        <v>0</v>
      </c>
      <c r="AB16" s="35">
        <f t="shared" si="21"/>
        <v>0</v>
      </c>
      <c r="AC16" s="273"/>
      <c r="AD16" s="130"/>
      <c r="AE16" s="130"/>
      <c r="AF16" s="34">
        <f t="shared" si="22"/>
        <v>0</v>
      </c>
      <c r="AG16" s="34">
        <f t="shared" si="23"/>
        <v>0</v>
      </c>
      <c r="AH16" s="43"/>
      <c r="AI16" s="38"/>
      <c r="AJ16" s="38"/>
      <c r="AK16" s="34">
        <f t="shared" si="46"/>
        <v>0</v>
      </c>
      <c r="AL16" s="44">
        <f t="shared" si="47"/>
        <v>0</v>
      </c>
      <c r="AM16" s="45">
        <f t="shared" si="24"/>
        <v>0</v>
      </c>
      <c r="AN16" s="46">
        <f t="shared" si="25"/>
        <v>0</v>
      </c>
      <c r="AO16" s="46">
        <f t="shared" si="26"/>
        <v>0</v>
      </c>
      <c r="AP16" s="47" t="e">
        <f t="shared" si="27"/>
        <v>#DIV/0!</v>
      </c>
      <c r="AQ16" s="48">
        <f t="shared" si="28"/>
        <v>0</v>
      </c>
      <c r="AR16" s="49">
        <f t="shared" si="29"/>
        <v>0</v>
      </c>
    </row>
    <row r="17" spans="2:44" x14ac:dyDescent="0.25">
      <c r="B17" s="22">
        <f t="shared" si="33"/>
        <v>46180</v>
      </c>
      <c r="C17" s="23" t="s">
        <v>55</v>
      </c>
      <c r="D17" s="50">
        <f t="shared" si="13"/>
        <v>0</v>
      </c>
      <c r="E17" s="34">
        <f t="shared" si="13"/>
        <v>0</v>
      </c>
      <c r="F17" s="34">
        <f t="shared" si="13"/>
        <v>0</v>
      </c>
      <c r="G17" s="34">
        <f t="shared" si="14"/>
        <v>0</v>
      </c>
      <c r="H17" s="35">
        <f t="shared" si="15"/>
        <v>0</v>
      </c>
      <c r="I17" s="26">
        <f t="shared" si="16"/>
        <v>0</v>
      </c>
      <c r="J17" s="27"/>
      <c r="K17" s="28"/>
      <c r="L17" s="32"/>
      <c r="M17" s="29"/>
      <c r="N17" s="30"/>
      <c r="O17" s="31"/>
      <c r="P17" s="28"/>
      <c r="Q17" s="32"/>
      <c r="R17" s="53">
        <f t="shared" ref="R17" si="59">O17+J17</f>
        <v>0</v>
      </c>
      <c r="S17" s="34">
        <f t="shared" ref="S17" si="60">(J17*K17%)+(O17*P17%)</f>
        <v>0</v>
      </c>
      <c r="T17" s="35">
        <f t="shared" ref="T17" si="61">(J17*L17%)+(O17*Q17%)</f>
        <v>0</v>
      </c>
      <c r="U17" s="36"/>
      <c r="V17" s="37"/>
      <c r="W17" s="38"/>
      <c r="X17" s="39"/>
      <c r="Y17" s="40"/>
      <c r="Z17" s="40"/>
      <c r="AA17" s="34">
        <f t="shared" si="20"/>
        <v>0</v>
      </c>
      <c r="AB17" s="35">
        <f t="shared" si="21"/>
        <v>0</v>
      </c>
      <c r="AC17" s="271"/>
      <c r="AD17" s="145"/>
      <c r="AE17" s="145"/>
      <c r="AF17" s="34">
        <f t="shared" si="22"/>
        <v>0</v>
      </c>
      <c r="AG17" s="34">
        <f t="shared" si="23"/>
        <v>0</v>
      </c>
      <c r="AH17" s="43"/>
      <c r="AI17" s="38"/>
      <c r="AJ17" s="38"/>
      <c r="AK17" s="34">
        <f t="shared" si="46"/>
        <v>0</v>
      </c>
      <c r="AL17" s="44">
        <f t="shared" si="47"/>
        <v>0</v>
      </c>
      <c r="AM17" s="45">
        <f t="shared" si="24"/>
        <v>0</v>
      </c>
      <c r="AN17" s="46">
        <f t="shared" si="25"/>
        <v>0</v>
      </c>
      <c r="AO17" s="46">
        <f t="shared" si="26"/>
        <v>0</v>
      </c>
      <c r="AP17" s="47" t="e">
        <f t="shared" si="27"/>
        <v>#DIV/0!</v>
      </c>
      <c r="AQ17" s="48">
        <f t="shared" si="28"/>
        <v>0</v>
      </c>
      <c r="AR17" s="49">
        <f t="shared" si="29"/>
        <v>0</v>
      </c>
    </row>
    <row r="18" spans="2:44" x14ac:dyDescent="0.25">
      <c r="B18" s="22">
        <f t="shared" si="33"/>
        <v>46181</v>
      </c>
      <c r="C18" s="23" t="s">
        <v>54</v>
      </c>
      <c r="D18" s="50">
        <f t="shared" ref="D18" si="62">AH17</f>
        <v>0</v>
      </c>
      <c r="E18" s="34">
        <f t="shared" ref="E18" si="63">AI17</f>
        <v>0</v>
      </c>
      <c r="F18" s="34">
        <f t="shared" ref="F18" si="64">AJ17</f>
        <v>0</v>
      </c>
      <c r="G18" s="34">
        <f t="shared" si="14"/>
        <v>0</v>
      </c>
      <c r="H18" s="35">
        <f t="shared" si="15"/>
        <v>0</v>
      </c>
      <c r="I18" s="26">
        <f t="shared" si="16"/>
        <v>0</v>
      </c>
      <c r="J18" s="27"/>
      <c r="K18" s="28"/>
      <c r="L18" s="32"/>
      <c r="M18" s="29"/>
      <c r="N18" s="30"/>
      <c r="O18" s="31"/>
      <c r="P18" s="28"/>
      <c r="Q18" s="32"/>
      <c r="R18" s="53">
        <f t="shared" si="17"/>
        <v>0</v>
      </c>
      <c r="S18" s="34">
        <f t="shared" si="18"/>
        <v>0</v>
      </c>
      <c r="T18" s="35">
        <f t="shared" si="19"/>
        <v>0</v>
      </c>
      <c r="U18" s="36"/>
      <c r="V18" s="37"/>
      <c r="W18" s="38"/>
      <c r="X18" s="39"/>
      <c r="Y18" s="40"/>
      <c r="Z18" s="40"/>
      <c r="AA18" s="34">
        <f t="shared" si="20"/>
        <v>0</v>
      </c>
      <c r="AB18" s="35">
        <f t="shared" si="21"/>
        <v>0</v>
      </c>
      <c r="AC18" s="271"/>
      <c r="AD18" s="145"/>
      <c r="AE18" s="145"/>
      <c r="AF18" s="34">
        <f t="shared" si="22"/>
        <v>0</v>
      </c>
      <c r="AG18" s="34">
        <f t="shared" si="23"/>
        <v>0</v>
      </c>
      <c r="AH18" s="43"/>
      <c r="AI18" s="38"/>
      <c r="AJ18" s="38"/>
      <c r="AK18" s="34">
        <f t="shared" si="46"/>
        <v>0</v>
      </c>
      <c r="AL18" s="44">
        <f t="shared" si="47"/>
        <v>0</v>
      </c>
      <c r="AM18" s="45">
        <f t="shared" si="24"/>
        <v>0</v>
      </c>
      <c r="AN18" s="46">
        <f t="shared" si="25"/>
        <v>0</v>
      </c>
      <c r="AO18" s="46">
        <f t="shared" si="26"/>
        <v>0</v>
      </c>
      <c r="AP18" s="47" t="e">
        <f t="shared" si="27"/>
        <v>#DIV/0!</v>
      </c>
      <c r="AQ18" s="48">
        <f t="shared" si="28"/>
        <v>0</v>
      </c>
      <c r="AR18" s="49">
        <f t="shared" si="29"/>
        <v>0</v>
      </c>
    </row>
    <row r="19" spans="2:44" x14ac:dyDescent="0.25">
      <c r="B19" s="22">
        <f t="shared" si="33"/>
        <v>46181</v>
      </c>
      <c r="C19" s="23" t="s">
        <v>55</v>
      </c>
      <c r="D19" s="50">
        <f t="shared" si="13"/>
        <v>0</v>
      </c>
      <c r="E19" s="34">
        <f t="shared" si="13"/>
        <v>0</v>
      </c>
      <c r="F19" s="34">
        <f t="shared" si="13"/>
        <v>0</v>
      </c>
      <c r="G19" s="34">
        <f t="shared" si="14"/>
        <v>0</v>
      </c>
      <c r="H19" s="35">
        <f t="shared" si="15"/>
        <v>0</v>
      </c>
      <c r="I19" s="26">
        <f t="shared" si="16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17"/>
        <v>0</v>
      </c>
      <c r="S19" s="34">
        <f t="shared" si="18"/>
        <v>0</v>
      </c>
      <c r="T19" s="35">
        <f t="shared" si="19"/>
        <v>0</v>
      </c>
      <c r="U19" s="36"/>
      <c r="V19" s="37"/>
      <c r="W19" s="38"/>
      <c r="X19" s="39"/>
      <c r="Y19" s="40"/>
      <c r="Z19" s="40"/>
      <c r="AA19" s="34">
        <f t="shared" si="20"/>
        <v>0</v>
      </c>
      <c r="AB19" s="35">
        <f t="shared" si="21"/>
        <v>0</v>
      </c>
      <c r="AC19" s="271"/>
      <c r="AD19" s="145"/>
      <c r="AE19" s="145"/>
      <c r="AF19" s="34">
        <f t="shared" si="22"/>
        <v>0</v>
      </c>
      <c r="AG19" s="34">
        <f t="shared" si="23"/>
        <v>0</v>
      </c>
      <c r="AH19" s="43"/>
      <c r="AI19" s="38"/>
      <c r="AJ19" s="38"/>
      <c r="AK19" s="34">
        <f t="shared" si="46"/>
        <v>0</v>
      </c>
      <c r="AL19" s="44">
        <f t="shared" si="47"/>
        <v>0</v>
      </c>
      <c r="AM19" s="45">
        <f t="shared" si="24"/>
        <v>0</v>
      </c>
      <c r="AN19" s="46">
        <f t="shared" si="25"/>
        <v>0</v>
      </c>
      <c r="AO19" s="46">
        <f t="shared" si="26"/>
        <v>0</v>
      </c>
      <c r="AP19" s="47" t="e">
        <f t="shared" si="27"/>
        <v>#DIV/0!</v>
      </c>
      <c r="AQ19" s="48">
        <f t="shared" si="28"/>
        <v>0</v>
      </c>
      <c r="AR19" s="49">
        <f t="shared" si="29"/>
        <v>0</v>
      </c>
    </row>
    <row r="20" spans="2:44" x14ac:dyDescent="0.25">
      <c r="B20" s="22">
        <f t="shared" si="33"/>
        <v>46182</v>
      </c>
      <c r="C20" s="23" t="s">
        <v>54</v>
      </c>
      <c r="D20" s="50">
        <f t="shared" ref="D20" si="65">AH19</f>
        <v>0</v>
      </c>
      <c r="E20" s="34">
        <f t="shared" ref="E20" si="66">AI19</f>
        <v>0</v>
      </c>
      <c r="F20" s="34">
        <f t="shared" ref="F20" si="67">AJ19</f>
        <v>0</v>
      </c>
      <c r="G20" s="34">
        <f t="shared" si="14"/>
        <v>0</v>
      </c>
      <c r="H20" s="35">
        <f t="shared" si="15"/>
        <v>0</v>
      </c>
      <c r="I20" s="26">
        <f t="shared" si="16"/>
        <v>0</v>
      </c>
      <c r="J20" s="27"/>
      <c r="K20" s="28"/>
      <c r="L20" s="32"/>
      <c r="M20" s="29"/>
      <c r="N20" s="30"/>
      <c r="O20" s="31"/>
      <c r="P20" s="28"/>
      <c r="Q20" s="32"/>
      <c r="R20" s="53">
        <f t="shared" si="17"/>
        <v>0</v>
      </c>
      <c r="S20" s="34">
        <f t="shared" si="18"/>
        <v>0</v>
      </c>
      <c r="T20" s="35">
        <f t="shared" si="19"/>
        <v>0</v>
      </c>
      <c r="U20" s="36"/>
      <c r="V20" s="37"/>
      <c r="W20" s="38"/>
      <c r="X20" s="39"/>
      <c r="Y20" s="40"/>
      <c r="Z20" s="40"/>
      <c r="AA20" s="34">
        <f t="shared" si="20"/>
        <v>0</v>
      </c>
      <c r="AB20" s="35">
        <f t="shared" si="21"/>
        <v>0</v>
      </c>
      <c r="AC20" s="273"/>
      <c r="AD20" s="130"/>
      <c r="AE20" s="130"/>
      <c r="AF20" s="34">
        <f t="shared" si="22"/>
        <v>0</v>
      </c>
      <c r="AG20" s="34">
        <f t="shared" si="23"/>
        <v>0</v>
      </c>
      <c r="AH20" s="43"/>
      <c r="AI20" s="38"/>
      <c r="AJ20" s="38"/>
      <c r="AK20" s="34">
        <f t="shared" si="46"/>
        <v>0</v>
      </c>
      <c r="AL20" s="44">
        <f t="shared" si="47"/>
        <v>0</v>
      </c>
      <c r="AM20" s="45">
        <f t="shared" si="24"/>
        <v>0</v>
      </c>
      <c r="AN20" s="46">
        <f t="shared" si="25"/>
        <v>0</v>
      </c>
      <c r="AO20" s="46">
        <f t="shared" si="26"/>
        <v>0</v>
      </c>
      <c r="AP20" s="47" t="e">
        <f t="shared" si="27"/>
        <v>#DIV/0!</v>
      </c>
      <c r="AQ20" s="48">
        <f t="shared" si="28"/>
        <v>0</v>
      </c>
      <c r="AR20" s="49">
        <f t="shared" si="29"/>
        <v>0</v>
      </c>
    </row>
    <row r="21" spans="2:44" x14ac:dyDescent="0.25">
      <c r="B21" s="22">
        <f t="shared" si="33"/>
        <v>46182</v>
      </c>
      <c r="C21" s="23" t="s">
        <v>55</v>
      </c>
      <c r="D21" s="50">
        <f t="shared" ref="D21" si="68">AH20</f>
        <v>0</v>
      </c>
      <c r="E21" s="34">
        <f t="shared" ref="E21" si="69">AI20</f>
        <v>0</v>
      </c>
      <c r="F21" s="34">
        <f t="shared" ref="F21" si="70">AJ20</f>
        <v>0</v>
      </c>
      <c r="G21" s="34">
        <f t="shared" si="14"/>
        <v>0</v>
      </c>
      <c r="H21" s="35">
        <f t="shared" si="15"/>
        <v>0</v>
      </c>
      <c r="I21" s="26">
        <f t="shared" si="16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si="17"/>
        <v>0</v>
      </c>
      <c r="S21" s="34">
        <f t="shared" si="18"/>
        <v>0</v>
      </c>
      <c r="T21" s="35">
        <f t="shared" si="19"/>
        <v>0</v>
      </c>
      <c r="U21" s="36"/>
      <c r="V21" s="37"/>
      <c r="W21" s="38"/>
      <c r="X21" s="39"/>
      <c r="Y21" s="40"/>
      <c r="Z21" s="40"/>
      <c r="AA21" s="34">
        <f t="shared" si="20"/>
        <v>0</v>
      </c>
      <c r="AB21" s="35">
        <f t="shared" si="21"/>
        <v>0</v>
      </c>
      <c r="AC21" s="273"/>
      <c r="AD21" s="130"/>
      <c r="AE21" s="130"/>
      <c r="AF21" s="34">
        <f t="shared" si="22"/>
        <v>0</v>
      </c>
      <c r="AG21" s="34">
        <f t="shared" si="23"/>
        <v>0</v>
      </c>
      <c r="AH21" s="43"/>
      <c r="AI21" s="38"/>
      <c r="AJ21" s="38"/>
      <c r="AK21" s="34">
        <f t="shared" si="9"/>
        <v>0</v>
      </c>
      <c r="AL21" s="44">
        <f t="shared" si="10"/>
        <v>0</v>
      </c>
      <c r="AM21" s="45">
        <f t="shared" si="24"/>
        <v>0</v>
      </c>
      <c r="AN21" s="46">
        <f t="shared" si="25"/>
        <v>0</v>
      </c>
      <c r="AO21" s="46">
        <f t="shared" si="26"/>
        <v>0</v>
      </c>
      <c r="AP21" s="47" t="e">
        <f t="shared" si="27"/>
        <v>#DIV/0!</v>
      </c>
      <c r="AQ21" s="48">
        <f t="shared" si="28"/>
        <v>0</v>
      </c>
      <c r="AR21" s="49">
        <f t="shared" si="29"/>
        <v>0</v>
      </c>
    </row>
    <row r="22" spans="2:44" x14ac:dyDescent="0.25">
      <c r="B22" s="22">
        <f t="shared" si="33"/>
        <v>46183</v>
      </c>
      <c r="C22" s="23" t="s">
        <v>54</v>
      </c>
      <c r="D22" s="50">
        <f t="shared" ref="D22" si="71">AH21</f>
        <v>0</v>
      </c>
      <c r="E22" s="34">
        <f t="shared" ref="E22" si="72">AI21</f>
        <v>0</v>
      </c>
      <c r="F22" s="34">
        <f t="shared" ref="F22" si="73">AJ21</f>
        <v>0</v>
      </c>
      <c r="G22" s="34">
        <f t="shared" si="14"/>
        <v>0</v>
      </c>
      <c r="H22" s="35">
        <f t="shared" si="15"/>
        <v>0</v>
      </c>
      <c r="I22" s="26">
        <f t="shared" si="16"/>
        <v>0</v>
      </c>
      <c r="J22" s="27"/>
      <c r="K22" s="28"/>
      <c r="L22" s="32"/>
      <c r="M22" s="29"/>
      <c r="N22" s="30"/>
      <c r="O22" s="31"/>
      <c r="P22" s="28"/>
      <c r="Q22" s="32"/>
      <c r="R22" s="53">
        <f t="shared" si="17"/>
        <v>0</v>
      </c>
      <c r="S22" s="34">
        <f t="shared" si="18"/>
        <v>0</v>
      </c>
      <c r="T22" s="35">
        <f t="shared" si="19"/>
        <v>0</v>
      </c>
      <c r="U22" s="36"/>
      <c r="V22" s="37"/>
      <c r="W22" s="38"/>
      <c r="X22" s="39"/>
      <c r="Y22" s="40"/>
      <c r="Z22" s="40"/>
      <c r="AA22" s="34">
        <f t="shared" si="20"/>
        <v>0</v>
      </c>
      <c r="AB22" s="35">
        <f t="shared" si="21"/>
        <v>0</v>
      </c>
      <c r="AC22" s="271"/>
      <c r="AD22" s="145"/>
      <c r="AE22" s="145"/>
      <c r="AF22" s="34">
        <f t="shared" si="22"/>
        <v>0</v>
      </c>
      <c r="AG22" s="34">
        <f t="shared" si="23"/>
        <v>0</v>
      </c>
      <c r="AH22" s="43"/>
      <c r="AI22" s="38"/>
      <c r="AJ22" s="38"/>
      <c r="AK22" s="34">
        <f t="shared" si="9"/>
        <v>0</v>
      </c>
      <c r="AL22" s="44">
        <f t="shared" si="10"/>
        <v>0</v>
      </c>
      <c r="AM22" s="45">
        <f t="shared" si="24"/>
        <v>0</v>
      </c>
      <c r="AN22" s="46">
        <f t="shared" si="25"/>
        <v>0</v>
      </c>
      <c r="AO22" s="46">
        <f t="shared" si="26"/>
        <v>0</v>
      </c>
      <c r="AP22" s="47" t="e">
        <f t="shared" si="27"/>
        <v>#DIV/0!</v>
      </c>
      <c r="AQ22" s="48">
        <f t="shared" si="28"/>
        <v>0</v>
      </c>
      <c r="AR22" s="49">
        <f t="shared" si="29"/>
        <v>0</v>
      </c>
    </row>
    <row r="23" spans="2:44" x14ac:dyDescent="0.25">
      <c r="B23" s="22">
        <f t="shared" si="33"/>
        <v>46183</v>
      </c>
      <c r="C23" s="23" t="s">
        <v>55</v>
      </c>
      <c r="D23" s="50">
        <f t="shared" ref="D23" si="74">AH22</f>
        <v>0</v>
      </c>
      <c r="E23" s="34">
        <f t="shared" ref="E23" si="75">AI22</f>
        <v>0</v>
      </c>
      <c r="F23" s="34">
        <f t="shared" ref="F23" si="76">AJ22</f>
        <v>0</v>
      </c>
      <c r="G23" s="34">
        <f t="shared" si="14"/>
        <v>0</v>
      </c>
      <c r="H23" s="35">
        <f t="shared" si="15"/>
        <v>0</v>
      </c>
      <c r="I23" s="26">
        <f t="shared" si="16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17"/>
        <v>0</v>
      </c>
      <c r="S23" s="34">
        <f t="shared" si="18"/>
        <v>0</v>
      </c>
      <c r="T23" s="35">
        <f t="shared" si="19"/>
        <v>0</v>
      </c>
      <c r="U23" s="36"/>
      <c r="V23" s="37"/>
      <c r="W23" s="38"/>
      <c r="X23" s="39"/>
      <c r="Y23" s="40"/>
      <c r="Z23" s="40"/>
      <c r="AA23" s="34">
        <f t="shared" si="20"/>
        <v>0</v>
      </c>
      <c r="AB23" s="35">
        <f t="shared" si="21"/>
        <v>0</v>
      </c>
      <c r="AC23" s="273"/>
      <c r="AD23" s="130"/>
      <c r="AE23" s="130"/>
      <c r="AF23" s="34">
        <f t="shared" si="22"/>
        <v>0</v>
      </c>
      <c r="AG23" s="34">
        <f t="shared" si="23"/>
        <v>0</v>
      </c>
      <c r="AH23" s="43"/>
      <c r="AI23" s="38"/>
      <c r="AJ23" s="38"/>
      <c r="AK23" s="34">
        <f t="shared" si="9"/>
        <v>0</v>
      </c>
      <c r="AL23" s="44">
        <f t="shared" si="10"/>
        <v>0</v>
      </c>
      <c r="AM23" s="45">
        <f t="shared" si="24"/>
        <v>0</v>
      </c>
      <c r="AN23" s="46">
        <f t="shared" si="25"/>
        <v>0</v>
      </c>
      <c r="AO23" s="46">
        <f t="shared" si="26"/>
        <v>0</v>
      </c>
      <c r="AP23" s="47" t="e">
        <f t="shared" si="27"/>
        <v>#DIV/0!</v>
      </c>
      <c r="AQ23" s="48">
        <f t="shared" si="28"/>
        <v>0</v>
      </c>
      <c r="AR23" s="49">
        <f t="shared" si="29"/>
        <v>0</v>
      </c>
    </row>
    <row r="24" spans="2:44" x14ac:dyDescent="0.25">
      <c r="B24" s="22">
        <f t="shared" si="33"/>
        <v>46184</v>
      </c>
      <c r="C24" s="23" t="s">
        <v>54</v>
      </c>
      <c r="D24" s="50">
        <f t="shared" ref="D24" si="77">AH23</f>
        <v>0</v>
      </c>
      <c r="E24" s="34">
        <f t="shared" ref="E24" si="78">AI23</f>
        <v>0</v>
      </c>
      <c r="F24" s="34">
        <f t="shared" ref="F24" si="79">AJ23</f>
        <v>0</v>
      </c>
      <c r="G24" s="34">
        <f t="shared" si="14"/>
        <v>0</v>
      </c>
      <c r="H24" s="35">
        <f t="shared" si="15"/>
        <v>0</v>
      </c>
      <c r="I24" s="26">
        <f t="shared" si="16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17"/>
        <v>0</v>
      </c>
      <c r="S24" s="34">
        <f t="shared" si="18"/>
        <v>0</v>
      </c>
      <c r="T24" s="35">
        <f t="shared" si="19"/>
        <v>0</v>
      </c>
      <c r="U24" s="36"/>
      <c r="V24" s="37"/>
      <c r="W24" s="38"/>
      <c r="X24" s="39"/>
      <c r="Y24" s="40"/>
      <c r="Z24" s="40"/>
      <c r="AA24" s="34">
        <f t="shared" si="20"/>
        <v>0</v>
      </c>
      <c r="AB24" s="35">
        <f t="shared" si="21"/>
        <v>0</v>
      </c>
      <c r="AC24" s="273"/>
      <c r="AD24" s="130"/>
      <c r="AE24" s="130"/>
      <c r="AF24" s="34">
        <f t="shared" si="22"/>
        <v>0</v>
      </c>
      <c r="AG24" s="34">
        <f t="shared" si="23"/>
        <v>0</v>
      </c>
      <c r="AH24" s="43"/>
      <c r="AI24" s="38"/>
      <c r="AJ24" s="38"/>
      <c r="AK24" s="34">
        <f t="shared" si="9"/>
        <v>0</v>
      </c>
      <c r="AL24" s="44">
        <f t="shared" si="10"/>
        <v>0</v>
      </c>
      <c r="AM24" s="45">
        <f t="shared" si="24"/>
        <v>0</v>
      </c>
      <c r="AN24" s="46">
        <f t="shared" si="25"/>
        <v>0</v>
      </c>
      <c r="AO24" s="46">
        <f t="shared" si="26"/>
        <v>0</v>
      </c>
      <c r="AP24" s="47" t="e">
        <f t="shared" si="27"/>
        <v>#DIV/0!</v>
      </c>
      <c r="AQ24" s="48">
        <f t="shared" si="28"/>
        <v>0</v>
      </c>
      <c r="AR24" s="49">
        <f t="shared" si="29"/>
        <v>0</v>
      </c>
    </row>
    <row r="25" spans="2:44" ht="15.75" customHeight="1" x14ac:dyDescent="0.25">
      <c r="B25" s="22">
        <f t="shared" si="33"/>
        <v>46184</v>
      </c>
      <c r="C25" s="23" t="s">
        <v>55</v>
      </c>
      <c r="D25" s="50">
        <f t="shared" ref="D25" si="80">AH24</f>
        <v>0</v>
      </c>
      <c r="E25" s="34">
        <f t="shared" ref="E25" si="81">AI24</f>
        <v>0</v>
      </c>
      <c r="F25" s="34">
        <f t="shared" ref="F25" si="82">AJ24</f>
        <v>0</v>
      </c>
      <c r="G25" s="34">
        <f t="shared" si="14"/>
        <v>0</v>
      </c>
      <c r="H25" s="35">
        <f t="shared" si="15"/>
        <v>0</v>
      </c>
      <c r="I25" s="26">
        <f t="shared" si="16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17"/>
        <v>0</v>
      </c>
      <c r="S25" s="34">
        <f>(J25*K25%)+(O25*P25%)</f>
        <v>0</v>
      </c>
      <c r="T25" s="35">
        <f t="shared" si="19"/>
        <v>0</v>
      </c>
      <c r="U25" s="36"/>
      <c r="V25" s="37"/>
      <c r="W25" s="38"/>
      <c r="X25" s="39"/>
      <c r="Y25" s="40"/>
      <c r="Z25" s="40"/>
      <c r="AA25" s="34">
        <f t="shared" si="20"/>
        <v>0</v>
      </c>
      <c r="AB25" s="35">
        <f t="shared" si="21"/>
        <v>0</v>
      </c>
      <c r="AC25" s="273"/>
      <c r="AD25" s="130"/>
      <c r="AE25" s="130"/>
      <c r="AF25" s="34">
        <f t="shared" si="22"/>
        <v>0</v>
      </c>
      <c r="AG25" s="34">
        <f t="shared" si="23"/>
        <v>0</v>
      </c>
      <c r="AH25" s="43"/>
      <c r="AI25" s="38"/>
      <c r="AJ25" s="38"/>
      <c r="AK25" s="34">
        <f t="shared" si="9"/>
        <v>0</v>
      </c>
      <c r="AL25" s="44">
        <f t="shared" si="10"/>
        <v>0</v>
      </c>
      <c r="AM25" s="45">
        <f t="shared" si="24"/>
        <v>0</v>
      </c>
      <c r="AN25" s="46">
        <f t="shared" si="25"/>
        <v>0</v>
      </c>
      <c r="AO25" s="46">
        <f t="shared" si="26"/>
        <v>0</v>
      </c>
      <c r="AP25" s="47" t="e">
        <f t="shared" si="27"/>
        <v>#DIV/0!</v>
      </c>
      <c r="AQ25" s="48">
        <f t="shared" si="28"/>
        <v>0</v>
      </c>
      <c r="AR25" s="49">
        <f t="shared" si="29"/>
        <v>0</v>
      </c>
    </row>
    <row r="26" spans="2:44" ht="15.75" customHeight="1" x14ac:dyDescent="0.25">
      <c r="B26" s="22">
        <f t="shared" si="33"/>
        <v>46185</v>
      </c>
      <c r="C26" s="23" t="s">
        <v>54</v>
      </c>
      <c r="D26" s="50">
        <f t="shared" ref="D26" si="83">AH25</f>
        <v>0</v>
      </c>
      <c r="E26" s="34">
        <f t="shared" ref="E26" si="84">AI25</f>
        <v>0</v>
      </c>
      <c r="F26" s="34">
        <f t="shared" ref="F26" si="85">AJ25</f>
        <v>0</v>
      </c>
      <c r="G26" s="34">
        <f t="shared" si="14"/>
        <v>0</v>
      </c>
      <c r="H26" s="35">
        <f t="shared" si="15"/>
        <v>0</v>
      </c>
      <c r="I26" s="26">
        <f t="shared" si="16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si="17"/>
        <v>0</v>
      </c>
      <c r="S26" s="34">
        <f t="shared" si="18"/>
        <v>0</v>
      </c>
      <c r="T26" s="35">
        <f t="shared" si="19"/>
        <v>0</v>
      </c>
      <c r="U26" s="36"/>
      <c r="V26" s="37"/>
      <c r="W26" s="38"/>
      <c r="X26" s="39"/>
      <c r="Y26" s="40"/>
      <c r="Z26" s="40"/>
      <c r="AA26" s="34">
        <f t="shared" si="20"/>
        <v>0</v>
      </c>
      <c r="AB26" s="35">
        <f t="shared" si="21"/>
        <v>0</v>
      </c>
      <c r="AC26" s="273"/>
      <c r="AD26" s="130"/>
      <c r="AE26" s="130"/>
      <c r="AF26" s="34">
        <f t="shared" si="22"/>
        <v>0</v>
      </c>
      <c r="AG26" s="34">
        <f t="shared" si="23"/>
        <v>0</v>
      </c>
      <c r="AH26" s="43"/>
      <c r="AI26" s="38"/>
      <c r="AJ26" s="38"/>
      <c r="AK26" s="34">
        <f t="shared" si="9"/>
        <v>0</v>
      </c>
      <c r="AL26" s="44">
        <f t="shared" si="10"/>
        <v>0</v>
      </c>
      <c r="AM26" s="45">
        <f t="shared" si="24"/>
        <v>0</v>
      </c>
      <c r="AN26" s="46">
        <f t="shared" si="25"/>
        <v>0</v>
      </c>
      <c r="AO26" s="46">
        <f t="shared" si="26"/>
        <v>0</v>
      </c>
      <c r="AP26" s="47" t="e">
        <f t="shared" si="27"/>
        <v>#DIV/0!</v>
      </c>
      <c r="AQ26" s="48">
        <f t="shared" si="28"/>
        <v>0</v>
      </c>
      <c r="AR26" s="49">
        <f t="shared" si="29"/>
        <v>0</v>
      </c>
    </row>
    <row r="27" spans="2:44" ht="15.75" customHeight="1" x14ac:dyDescent="0.25">
      <c r="B27" s="22">
        <f t="shared" si="33"/>
        <v>46185</v>
      </c>
      <c r="C27" s="23" t="s">
        <v>55</v>
      </c>
      <c r="D27" s="50">
        <f t="shared" ref="D27" si="86">AH26</f>
        <v>0</v>
      </c>
      <c r="E27" s="34">
        <f t="shared" ref="E27" si="87">AI26</f>
        <v>0</v>
      </c>
      <c r="F27" s="34">
        <f t="shared" ref="F27" si="88">AJ26</f>
        <v>0</v>
      </c>
      <c r="G27" s="34">
        <f t="shared" si="14"/>
        <v>0</v>
      </c>
      <c r="H27" s="35">
        <f t="shared" si="15"/>
        <v>0</v>
      </c>
      <c r="I27" s="26">
        <f t="shared" si="16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17"/>
        <v>0</v>
      </c>
      <c r="S27" s="34">
        <f t="shared" si="18"/>
        <v>0</v>
      </c>
      <c r="T27" s="35">
        <f t="shared" si="19"/>
        <v>0</v>
      </c>
      <c r="U27" s="36"/>
      <c r="V27" s="37"/>
      <c r="W27" s="38"/>
      <c r="X27" s="39"/>
      <c r="Y27" s="40"/>
      <c r="Z27" s="40"/>
      <c r="AA27" s="34">
        <f t="shared" si="20"/>
        <v>0</v>
      </c>
      <c r="AB27" s="35">
        <f t="shared" si="21"/>
        <v>0</v>
      </c>
      <c r="AC27" s="271"/>
      <c r="AD27" s="145"/>
      <c r="AE27" s="145"/>
      <c r="AF27" s="34">
        <f t="shared" si="22"/>
        <v>0</v>
      </c>
      <c r="AG27" s="34">
        <f t="shared" si="23"/>
        <v>0</v>
      </c>
      <c r="AH27" s="43"/>
      <c r="AI27" s="38"/>
      <c r="AJ27" s="38"/>
      <c r="AK27" s="34">
        <f t="shared" si="9"/>
        <v>0</v>
      </c>
      <c r="AL27" s="44">
        <f t="shared" si="10"/>
        <v>0</v>
      </c>
      <c r="AM27" s="45">
        <f t="shared" si="24"/>
        <v>0</v>
      </c>
      <c r="AN27" s="46">
        <f t="shared" si="25"/>
        <v>0</v>
      </c>
      <c r="AO27" s="46">
        <f t="shared" si="26"/>
        <v>0</v>
      </c>
      <c r="AP27" s="47" t="e">
        <f t="shared" si="27"/>
        <v>#DIV/0!</v>
      </c>
      <c r="AQ27" s="48">
        <f t="shared" si="28"/>
        <v>0</v>
      </c>
      <c r="AR27" s="49">
        <f t="shared" si="29"/>
        <v>0</v>
      </c>
    </row>
    <row r="28" spans="2:44" x14ac:dyDescent="0.25">
      <c r="B28" s="22">
        <f t="shared" si="33"/>
        <v>46186</v>
      </c>
      <c r="C28" s="23" t="s">
        <v>54</v>
      </c>
      <c r="D28" s="50">
        <f t="shared" ref="D28" si="89">AH27</f>
        <v>0</v>
      </c>
      <c r="E28" s="34">
        <f t="shared" ref="E28" si="90">AI27</f>
        <v>0</v>
      </c>
      <c r="F28" s="34">
        <f t="shared" ref="F28" si="91">AJ27</f>
        <v>0</v>
      </c>
      <c r="G28" s="34">
        <f t="shared" si="14"/>
        <v>0</v>
      </c>
      <c r="H28" s="35">
        <f t="shared" si="15"/>
        <v>0</v>
      </c>
      <c r="I28" s="26">
        <f t="shared" si="16"/>
        <v>0</v>
      </c>
      <c r="J28" s="27"/>
      <c r="K28" s="28"/>
      <c r="L28" s="32"/>
      <c r="M28" s="29"/>
      <c r="N28" s="30"/>
      <c r="O28" s="137"/>
      <c r="P28" s="135"/>
      <c r="Q28" s="136"/>
      <c r="R28" s="53">
        <f t="shared" si="17"/>
        <v>0</v>
      </c>
      <c r="S28" s="34">
        <f t="shared" si="18"/>
        <v>0</v>
      </c>
      <c r="T28" s="35">
        <f t="shared" si="19"/>
        <v>0</v>
      </c>
      <c r="U28" s="36"/>
      <c r="V28" s="37"/>
      <c r="W28" s="38"/>
      <c r="X28" s="39"/>
      <c r="Y28" s="40"/>
      <c r="Z28" s="40"/>
      <c r="AA28" s="34">
        <f t="shared" si="20"/>
        <v>0</v>
      </c>
      <c r="AB28" s="35">
        <f t="shared" si="21"/>
        <v>0</v>
      </c>
      <c r="AC28" s="273"/>
      <c r="AD28" s="130"/>
      <c r="AE28" s="130"/>
      <c r="AF28" s="34">
        <f t="shared" si="22"/>
        <v>0</v>
      </c>
      <c r="AG28" s="34">
        <f t="shared" si="23"/>
        <v>0</v>
      </c>
      <c r="AH28" s="43"/>
      <c r="AI28" s="38"/>
      <c r="AJ28" s="38"/>
      <c r="AK28" s="34">
        <f t="shared" si="9"/>
        <v>0</v>
      </c>
      <c r="AL28" s="44">
        <f t="shared" si="10"/>
        <v>0</v>
      </c>
      <c r="AM28" s="45">
        <f t="shared" si="24"/>
        <v>0</v>
      </c>
      <c r="AN28" s="46">
        <f t="shared" si="25"/>
        <v>0</v>
      </c>
      <c r="AO28" s="46">
        <f t="shared" si="26"/>
        <v>0</v>
      </c>
      <c r="AP28" s="47" t="e">
        <f t="shared" si="27"/>
        <v>#DIV/0!</v>
      </c>
      <c r="AQ28" s="48">
        <f t="shared" si="28"/>
        <v>0</v>
      </c>
      <c r="AR28" s="49">
        <f t="shared" si="29"/>
        <v>0</v>
      </c>
    </row>
    <row r="29" spans="2:44" x14ac:dyDescent="0.25">
      <c r="B29" s="22">
        <f t="shared" si="33"/>
        <v>46186</v>
      </c>
      <c r="C29" s="23" t="s">
        <v>55</v>
      </c>
      <c r="D29" s="50">
        <f t="shared" ref="D29" si="92">AH28</f>
        <v>0</v>
      </c>
      <c r="E29" s="34">
        <f t="shared" ref="E29" si="93">AI28</f>
        <v>0</v>
      </c>
      <c r="F29" s="34">
        <f t="shared" ref="F29" si="94">AJ28</f>
        <v>0</v>
      </c>
      <c r="G29" s="34">
        <f t="shared" si="14"/>
        <v>0</v>
      </c>
      <c r="H29" s="35">
        <f t="shared" si="15"/>
        <v>0</v>
      </c>
      <c r="I29" s="26">
        <f t="shared" si="16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17"/>
        <v>0</v>
      </c>
      <c r="S29" s="34">
        <f t="shared" si="18"/>
        <v>0</v>
      </c>
      <c r="T29" s="35">
        <f t="shared" si="19"/>
        <v>0</v>
      </c>
      <c r="U29" s="36"/>
      <c r="V29" s="37"/>
      <c r="W29" s="38"/>
      <c r="X29" s="39"/>
      <c r="Y29" s="40"/>
      <c r="Z29" s="40"/>
      <c r="AA29" s="34">
        <f t="shared" si="20"/>
        <v>0</v>
      </c>
      <c r="AB29" s="35">
        <f t="shared" si="21"/>
        <v>0</v>
      </c>
      <c r="AC29" s="273"/>
      <c r="AD29" s="130"/>
      <c r="AE29" s="130"/>
      <c r="AF29" s="34">
        <f t="shared" si="22"/>
        <v>0</v>
      </c>
      <c r="AG29" s="34">
        <f t="shared" si="23"/>
        <v>0</v>
      </c>
      <c r="AH29" s="43"/>
      <c r="AI29" s="38"/>
      <c r="AJ29" s="38"/>
      <c r="AK29" s="34">
        <f t="shared" si="9"/>
        <v>0</v>
      </c>
      <c r="AL29" s="44">
        <f t="shared" si="10"/>
        <v>0</v>
      </c>
      <c r="AM29" s="45">
        <f t="shared" si="24"/>
        <v>0</v>
      </c>
      <c r="AN29" s="46">
        <f t="shared" si="25"/>
        <v>0</v>
      </c>
      <c r="AO29" s="46">
        <f t="shared" si="26"/>
        <v>0</v>
      </c>
      <c r="AP29" s="47" t="e">
        <f t="shared" si="27"/>
        <v>#DIV/0!</v>
      </c>
      <c r="AQ29" s="48">
        <f t="shared" si="28"/>
        <v>0</v>
      </c>
      <c r="AR29" s="49">
        <f t="shared" si="29"/>
        <v>0</v>
      </c>
    </row>
    <row r="30" spans="2:44" x14ac:dyDescent="0.25">
      <c r="B30" s="22">
        <f t="shared" si="33"/>
        <v>46187</v>
      </c>
      <c r="C30" s="23" t="s">
        <v>54</v>
      </c>
      <c r="D30" s="50">
        <f t="shared" ref="D30" si="95">AH29</f>
        <v>0</v>
      </c>
      <c r="E30" s="34">
        <f t="shared" ref="E30" si="96">AI29</f>
        <v>0</v>
      </c>
      <c r="F30" s="34">
        <f t="shared" ref="F30" si="97">AJ29</f>
        <v>0</v>
      </c>
      <c r="G30" s="34">
        <f t="shared" si="14"/>
        <v>0</v>
      </c>
      <c r="H30" s="35">
        <f t="shared" si="15"/>
        <v>0</v>
      </c>
      <c r="I30" s="26">
        <f t="shared" si="16"/>
        <v>0</v>
      </c>
      <c r="J30" s="27"/>
      <c r="K30" s="28"/>
      <c r="L30" s="32"/>
      <c r="M30" s="29"/>
      <c r="N30" s="30"/>
      <c r="O30" s="31"/>
      <c r="P30" s="28"/>
      <c r="Q30" s="32"/>
      <c r="R30" s="53">
        <f t="shared" si="17"/>
        <v>0</v>
      </c>
      <c r="S30" s="34">
        <f t="shared" si="18"/>
        <v>0</v>
      </c>
      <c r="T30" s="35">
        <f t="shared" si="19"/>
        <v>0</v>
      </c>
      <c r="U30" s="132"/>
      <c r="V30" s="37"/>
      <c r="W30" s="38"/>
      <c r="X30" s="39"/>
      <c r="Y30" s="40"/>
      <c r="Z30" s="40"/>
      <c r="AA30" s="34">
        <f t="shared" si="20"/>
        <v>0</v>
      </c>
      <c r="AB30" s="35">
        <f t="shared" si="21"/>
        <v>0</v>
      </c>
      <c r="AC30" s="303"/>
      <c r="AD30" s="290"/>
      <c r="AE30" s="290"/>
      <c r="AF30" s="34">
        <f t="shared" si="22"/>
        <v>0</v>
      </c>
      <c r="AG30" s="34">
        <f t="shared" si="23"/>
        <v>0</v>
      </c>
      <c r="AH30" s="43"/>
      <c r="AI30" s="38"/>
      <c r="AJ30" s="38"/>
      <c r="AK30" s="34">
        <f t="shared" si="9"/>
        <v>0</v>
      </c>
      <c r="AL30" s="44">
        <f t="shared" si="10"/>
        <v>0</v>
      </c>
      <c r="AM30" s="45">
        <f t="shared" si="24"/>
        <v>0</v>
      </c>
      <c r="AN30" s="46">
        <f t="shared" si="25"/>
        <v>0</v>
      </c>
      <c r="AO30" s="46">
        <f t="shared" si="26"/>
        <v>0</v>
      </c>
      <c r="AP30" s="47" t="e">
        <f t="shared" si="27"/>
        <v>#DIV/0!</v>
      </c>
      <c r="AQ30" s="48">
        <f t="shared" si="28"/>
        <v>0</v>
      </c>
      <c r="AR30" s="49">
        <f t="shared" si="29"/>
        <v>0</v>
      </c>
    </row>
    <row r="31" spans="2:44" x14ac:dyDescent="0.25">
      <c r="B31" s="22">
        <f t="shared" si="33"/>
        <v>46187</v>
      </c>
      <c r="C31" s="23" t="s">
        <v>55</v>
      </c>
      <c r="D31" s="50">
        <f t="shared" ref="D31:F31" si="98">AH30</f>
        <v>0</v>
      </c>
      <c r="E31" s="34">
        <f t="shared" si="98"/>
        <v>0</v>
      </c>
      <c r="F31" s="34">
        <f t="shared" si="98"/>
        <v>0</v>
      </c>
      <c r="G31" s="34">
        <f t="shared" si="14"/>
        <v>0</v>
      </c>
      <c r="H31" s="35">
        <f t="shared" si="15"/>
        <v>0</v>
      </c>
      <c r="I31" s="26">
        <f t="shared" si="16"/>
        <v>0</v>
      </c>
      <c r="J31" s="27"/>
      <c r="K31" s="28"/>
      <c r="L31" s="32"/>
      <c r="M31" s="29"/>
      <c r="N31" s="131"/>
      <c r="O31" s="31"/>
      <c r="P31" s="28"/>
      <c r="Q31" s="32"/>
      <c r="R31" s="53">
        <f t="shared" si="17"/>
        <v>0</v>
      </c>
      <c r="S31" s="34">
        <f t="shared" si="18"/>
        <v>0</v>
      </c>
      <c r="T31" s="35">
        <f t="shared" si="19"/>
        <v>0</v>
      </c>
      <c r="U31" s="36"/>
      <c r="V31" s="37"/>
      <c r="W31" s="38"/>
      <c r="X31" s="39"/>
      <c r="Y31" s="40"/>
      <c r="Z31" s="40"/>
      <c r="AA31" s="34">
        <f t="shared" si="20"/>
        <v>0</v>
      </c>
      <c r="AB31" s="35">
        <f t="shared" si="21"/>
        <v>0</v>
      </c>
      <c r="AC31" s="273"/>
      <c r="AD31" s="130"/>
      <c r="AE31" s="130"/>
      <c r="AF31" s="34">
        <f t="shared" si="22"/>
        <v>0</v>
      </c>
      <c r="AG31" s="34">
        <f t="shared" si="23"/>
        <v>0</v>
      </c>
      <c r="AH31" s="43"/>
      <c r="AI31" s="38"/>
      <c r="AJ31" s="38"/>
      <c r="AK31" s="34">
        <f t="shared" si="9"/>
        <v>0</v>
      </c>
      <c r="AL31" s="44">
        <f t="shared" si="10"/>
        <v>0</v>
      </c>
      <c r="AM31" s="45">
        <f t="shared" si="24"/>
        <v>0</v>
      </c>
      <c r="AN31" s="46">
        <f t="shared" si="25"/>
        <v>0</v>
      </c>
      <c r="AO31" s="46">
        <f t="shared" si="26"/>
        <v>0</v>
      </c>
      <c r="AP31" s="47" t="e">
        <f t="shared" si="27"/>
        <v>#DIV/0!</v>
      </c>
      <c r="AQ31" s="48">
        <f t="shared" si="28"/>
        <v>0</v>
      </c>
      <c r="AR31" s="49">
        <f t="shared" si="29"/>
        <v>0</v>
      </c>
    </row>
    <row r="32" spans="2:44" x14ac:dyDescent="0.25">
      <c r="B32" s="22">
        <f t="shared" si="33"/>
        <v>46188</v>
      </c>
      <c r="C32" s="23" t="s">
        <v>54</v>
      </c>
      <c r="D32" s="50">
        <f t="shared" ref="D32" si="99">AH31</f>
        <v>0</v>
      </c>
      <c r="E32" s="34">
        <f t="shared" ref="E32" si="100">AI31</f>
        <v>0</v>
      </c>
      <c r="F32" s="34">
        <f t="shared" ref="F32" si="101">AJ31</f>
        <v>0</v>
      </c>
      <c r="G32" s="34">
        <f t="shared" si="14"/>
        <v>0</v>
      </c>
      <c r="H32" s="35">
        <f t="shared" si="15"/>
        <v>0</v>
      </c>
      <c r="I32" s="26">
        <f t="shared" si="16"/>
        <v>0</v>
      </c>
      <c r="J32" s="27"/>
      <c r="K32" s="28"/>
      <c r="L32" s="32"/>
      <c r="M32" s="29"/>
      <c r="N32" s="30"/>
      <c r="O32" s="31"/>
      <c r="P32" s="28"/>
      <c r="Q32" s="32"/>
      <c r="R32" s="53">
        <f t="shared" si="17"/>
        <v>0</v>
      </c>
      <c r="S32" s="34">
        <f t="shared" si="18"/>
        <v>0</v>
      </c>
      <c r="T32" s="35">
        <f t="shared" si="19"/>
        <v>0</v>
      </c>
      <c r="U32" s="36"/>
      <c r="V32" s="37"/>
      <c r="W32" s="38"/>
      <c r="X32" s="39"/>
      <c r="Y32" s="40"/>
      <c r="Z32" s="40"/>
      <c r="AA32" s="34">
        <f t="shared" ref="AA32" si="102">X32*Y32%</f>
        <v>0</v>
      </c>
      <c r="AB32" s="35">
        <f t="shared" ref="AB32" si="103">X32*Z32%</f>
        <v>0</v>
      </c>
      <c r="AC32" s="273"/>
      <c r="AD32" s="130"/>
      <c r="AE32" s="130"/>
      <c r="AF32" s="34">
        <f t="shared" si="22"/>
        <v>0</v>
      </c>
      <c r="AG32" s="34">
        <f t="shared" si="23"/>
        <v>0</v>
      </c>
      <c r="AH32" s="43"/>
      <c r="AI32" s="38"/>
      <c r="AJ32" s="38"/>
      <c r="AK32" s="34">
        <f t="shared" si="9"/>
        <v>0</v>
      </c>
      <c r="AL32" s="44">
        <f t="shared" si="10"/>
        <v>0</v>
      </c>
      <c r="AM32" s="45">
        <f t="shared" si="24"/>
        <v>0</v>
      </c>
      <c r="AN32" s="46">
        <f t="shared" si="25"/>
        <v>0</v>
      </c>
      <c r="AO32" s="46">
        <f t="shared" si="26"/>
        <v>0</v>
      </c>
      <c r="AP32" s="47" t="e">
        <f t="shared" si="27"/>
        <v>#DIV/0!</v>
      </c>
      <c r="AQ32" s="48">
        <f t="shared" si="28"/>
        <v>0</v>
      </c>
      <c r="AR32" s="49">
        <f t="shared" si="29"/>
        <v>0</v>
      </c>
    </row>
    <row r="33" spans="2:44" x14ac:dyDescent="0.25">
      <c r="B33" s="22">
        <f t="shared" si="33"/>
        <v>46188</v>
      </c>
      <c r="C33" s="23" t="s">
        <v>55</v>
      </c>
      <c r="D33" s="50">
        <f t="shared" ref="D33" si="104">AH32</f>
        <v>0</v>
      </c>
      <c r="E33" s="34">
        <f t="shared" ref="E33" si="105">AI32</f>
        <v>0</v>
      </c>
      <c r="F33" s="34">
        <f t="shared" ref="F33" si="106">AJ32</f>
        <v>0</v>
      </c>
      <c r="G33" s="34">
        <f t="shared" si="14"/>
        <v>0</v>
      </c>
      <c r="H33" s="35">
        <f t="shared" si="15"/>
        <v>0</v>
      </c>
      <c r="I33" s="26">
        <f t="shared" si="16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17"/>
        <v>0</v>
      </c>
      <c r="S33" s="34">
        <f t="shared" si="18"/>
        <v>0</v>
      </c>
      <c r="T33" s="35">
        <f t="shared" si="19"/>
        <v>0</v>
      </c>
      <c r="U33" s="36"/>
      <c r="V33" s="37"/>
      <c r="W33" s="38"/>
      <c r="X33" s="39"/>
      <c r="Y33" s="40"/>
      <c r="Z33" s="40"/>
      <c r="AA33" s="34">
        <f t="shared" si="20"/>
        <v>0</v>
      </c>
      <c r="AB33" s="35">
        <f t="shared" si="21"/>
        <v>0</v>
      </c>
      <c r="AC33" s="273"/>
      <c r="AD33" s="130"/>
      <c r="AE33" s="130"/>
      <c r="AF33" s="34">
        <f t="shared" si="22"/>
        <v>0</v>
      </c>
      <c r="AG33" s="34">
        <f t="shared" si="23"/>
        <v>0</v>
      </c>
      <c r="AH33" s="43"/>
      <c r="AI33" s="38"/>
      <c r="AJ33" s="38"/>
      <c r="AK33" s="34">
        <f t="shared" si="9"/>
        <v>0</v>
      </c>
      <c r="AL33" s="44">
        <f t="shared" si="10"/>
        <v>0</v>
      </c>
      <c r="AM33" s="45">
        <f t="shared" si="24"/>
        <v>0</v>
      </c>
      <c r="AN33" s="46">
        <f t="shared" si="25"/>
        <v>0</v>
      </c>
      <c r="AO33" s="46">
        <f t="shared" si="26"/>
        <v>0</v>
      </c>
      <c r="AP33" s="47" t="e">
        <f t="shared" si="27"/>
        <v>#DIV/0!</v>
      </c>
      <c r="AQ33" s="48">
        <f t="shared" si="28"/>
        <v>0</v>
      </c>
      <c r="AR33" s="49">
        <f t="shared" si="29"/>
        <v>0</v>
      </c>
    </row>
    <row r="34" spans="2:44" x14ac:dyDescent="0.25">
      <c r="B34" s="22">
        <f t="shared" si="33"/>
        <v>46189</v>
      </c>
      <c r="C34" s="23" t="s">
        <v>54</v>
      </c>
      <c r="D34" s="50">
        <f t="shared" ref="D34" si="107">AH33</f>
        <v>0</v>
      </c>
      <c r="E34" s="34">
        <f t="shared" ref="E34" si="108">AI33</f>
        <v>0</v>
      </c>
      <c r="F34" s="34">
        <f t="shared" ref="F34" si="109">AJ33</f>
        <v>0</v>
      </c>
      <c r="G34" s="34">
        <f t="shared" si="14"/>
        <v>0</v>
      </c>
      <c r="H34" s="35">
        <f t="shared" si="15"/>
        <v>0</v>
      </c>
      <c r="I34" s="26">
        <f t="shared" si="16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17"/>
        <v>0</v>
      </c>
      <c r="S34" s="34">
        <f t="shared" si="18"/>
        <v>0</v>
      </c>
      <c r="T34" s="35">
        <f t="shared" si="19"/>
        <v>0</v>
      </c>
      <c r="U34" s="132"/>
      <c r="V34" s="37"/>
      <c r="W34" s="38"/>
      <c r="X34" s="39"/>
      <c r="Y34" s="40"/>
      <c r="Z34" s="40"/>
      <c r="AA34" s="34">
        <f t="shared" si="20"/>
        <v>0</v>
      </c>
      <c r="AB34" s="35">
        <f t="shared" si="21"/>
        <v>0</v>
      </c>
      <c r="AC34" s="273"/>
      <c r="AD34" s="130"/>
      <c r="AE34" s="130"/>
      <c r="AF34" s="34">
        <f t="shared" si="22"/>
        <v>0</v>
      </c>
      <c r="AG34" s="34">
        <f t="shared" si="23"/>
        <v>0</v>
      </c>
      <c r="AH34" s="43"/>
      <c r="AI34" s="38"/>
      <c r="AJ34" s="38"/>
      <c r="AK34" s="34">
        <f t="shared" si="9"/>
        <v>0</v>
      </c>
      <c r="AL34" s="44">
        <f t="shared" si="10"/>
        <v>0</v>
      </c>
      <c r="AM34" s="45">
        <f t="shared" si="24"/>
        <v>0</v>
      </c>
      <c r="AN34" s="46">
        <f t="shared" si="25"/>
        <v>0</v>
      </c>
      <c r="AO34" s="46">
        <f t="shared" si="26"/>
        <v>0</v>
      </c>
      <c r="AP34" s="47" t="e">
        <f t="shared" si="27"/>
        <v>#DIV/0!</v>
      </c>
      <c r="AQ34" s="48">
        <f t="shared" si="28"/>
        <v>0</v>
      </c>
      <c r="AR34" s="49">
        <f t="shared" si="29"/>
        <v>0</v>
      </c>
    </row>
    <row r="35" spans="2:44" x14ac:dyDescent="0.25">
      <c r="B35" s="22">
        <f t="shared" si="33"/>
        <v>46189</v>
      </c>
      <c r="C35" s="23" t="s">
        <v>55</v>
      </c>
      <c r="D35" s="50">
        <f t="shared" ref="D35" si="110">AH34</f>
        <v>0</v>
      </c>
      <c r="E35" s="34">
        <f t="shared" ref="E35" si="111">AI34</f>
        <v>0</v>
      </c>
      <c r="F35" s="34">
        <f t="shared" ref="F35" si="112">AJ34</f>
        <v>0</v>
      </c>
      <c r="G35" s="34">
        <f t="shared" si="14"/>
        <v>0</v>
      </c>
      <c r="H35" s="35">
        <f t="shared" si="15"/>
        <v>0</v>
      </c>
      <c r="I35" s="26">
        <f t="shared" si="16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17"/>
        <v>0</v>
      </c>
      <c r="S35" s="34">
        <f t="shared" si="18"/>
        <v>0</v>
      </c>
      <c r="T35" s="35">
        <f t="shared" si="19"/>
        <v>0</v>
      </c>
      <c r="U35" s="36"/>
      <c r="V35" s="37"/>
      <c r="W35" s="38"/>
      <c r="X35" s="39"/>
      <c r="Y35" s="40"/>
      <c r="Z35" s="40"/>
      <c r="AA35" s="34">
        <f t="shared" si="20"/>
        <v>0</v>
      </c>
      <c r="AB35" s="35">
        <f t="shared" si="21"/>
        <v>0</v>
      </c>
      <c r="AC35" s="273"/>
      <c r="AD35" s="130"/>
      <c r="AE35" s="130"/>
      <c r="AF35" s="34">
        <f t="shared" si="22"/>
        <v>0</v>
      </c>
      <c r="AG35" s="34">
        <f t="shared" si="23"/>
        <v>0</v>
      </c>
      <c r="AH35" s="43"/>
      <c r="AI35" s="38"/>
      <c r="AJ35" s="38"/>
      <c r="AK35" s="34">
        <f t="shared" si="9"/>
        <v>0</v>
      </c>
      <c r="AL35" s="44">
        <f t="shared" si="10"/>
        <v>0</v>
      </c>
      <c r="AM35" s="45">
        <f t="shared" si="24"/>
        <v>0</v>
      </c>
      <c r="AN35" s="46">
        <f t="shared" si="25"/>
        <v>0</v>
      </c>
      <c r="AO35" s="46">
        <f t="shared" si="26"/>
        <v>0</v>
      </c>
      <c r="AP35" s="47" t="e">
        <f t="shared" si="27"/>
        <v>#DIV/0!</v>
      </c>
      <c r="AQ35" s="48">
        <f t="shared" si="28"/>
        <v>0</v>
      </c>
      <c r="AR35" s="49">
        <f t="shared" si="29"/>
        <v>0</v>
      </c>
    </row>
    <row r="36" spans="2:44" x14ac:dyDescent="0.25">
      <c r="B36" s="22">
        <f t="shared" si="33"/>
        <v>46190</v>
      </c>
      <c r="C36" s="23" t="s">
        <v>54</v>
      </c>
      <c r="D36" s="50">
        <f t="shared" ref="D36" si="113">AH35</f>
        <v>0</v>
      </c>
      <c r="E36" s="34">
        <f t="shared" ref="E36" si="114">AI35</f>
        <v>0</v>
      </c>
      <c r="F36" s="34">
        <f t="shared" ref="F36" si="115">AJ35</f>
        <v>0</v>
      </c>
      <c r="G36" s="34">
        <f t="shared" si="14"/>
        <v>0</v>
      </c>
      <c r="H36" s="35">
        <f t="shared" si="15"/>
        <v>0</v>
      </c>
      <c r="I36" s="26">
        <f t="shared" si="16"/>
        <v>0</v>
      </c>
      <c r="J36" s="27"/>
      <c r="K36" s="28"/>
      <c r="L36" s="32"/>
      <c r="M36" s="29"/>
      <c r="N36" s="30"/>
      <c r="O36" s="31"/>
      <c r="P36" s="28"/>
      <c r="Q36" s="32"/>
      <c r="R36" s="53">
        <f t="shared" si="17"/>
        <v>0</v>
      </c>
      <c r="S36" s="34">
        <f t="shared" si="18"/>
        <v>0</v>
      </c>
      <c r="T36" s="35">
        <f t="shared" si="19"/>
        <v>0</v>
      </c>
      <c r="U36" s="36"/>
      <c r="V36" s="37"/>
      <c r="W36" s="38"/>
      <c r="X36" s="39"/>
      <c r="Y36" s="40"/>
      <c r="Z36" s="40"/>
      <c r="AA36" s="34">
        <f t="shared" si="20"/>
        <v>0</v>
      </c>
      <c r="AB36" s="35">
        <f t="shared" si="21"/>
        <v>0</v>
      </c>
      <c r="AC36" s="273"/>
      <c r="AD36" s="130"/>
      <c r="AE36" s="130"/>
      <c r="AF36" s="34">
        <f t="shared" si="22"/>
        <v>0</v>
      </c>
      <c r="AG36" s="34">
        <f t="shared" si="23"/>
        <v>0</v>
      </c>
      <c r="AH36" s="43"/>
      <c r="AI36" s="38"/>
      <c r="AJ36" s="38"/>
      <c r="AK36" s="34">
        <f t="shared" si="9"/>
        <v>0</v>
      </c>
      <c r="AL36" s="44">
        <f t="shared" si="10"/>
        <v>0</v>
      </c>
      <c r="AM36" s="45">
        <f t="shared" si="24"/>
        <v>0</v>
      </c>
      <c r="AN36" s="46">
        <f t="shared" si="25"/>
        <v>0</v>
      </c>
      <c r="AO36" s="46">
        <f t="shared" si="26"/>
        <v>0</v>
      </c>
      <c r="AP36" s="47" t="e">
        <f t="shared" si="27"/>
        <v>#DIV/0!</v>
      </c>
      <c r="AQ36" s="48">
        <f t="shared" si="28"/>
        <v>0</v>
      </c>
      <c r="AR36" s="49">
        <f t="shared" si="29"/>
        <v>0</v>
      </c>
    </row>
    <row r="37" spans="2:44" x14ac:dyDescent="0.25">
      <c r="B37" s="22">
        <f t="shared" si="33"/>
        <v>46190</v>
      </c>
      <c r="C37" s="23" t="s">
        <v>55</v>
      </c>
      <c r="D37" s="50">
        <f t="shared" ref="D37:F51" si="116">AH36</f>
        <v>0</v>
      </c>
      <c r="E37" s="34">
        <f t="shared" si="116"/>
        <v>0</v>
      </c>
      <c r="F37" s="34">
        <f t="shared" si="116"/>
        <v>0</v>
      </c>
      <c r="G37" s="34">
        <f t="shared" si="14"/>
        <v>0</v>
      </c>
      <c r="H37" s="35">
        <f t="shared" si="15"/>
        <v>0</v>
      </c>
      <c r="I37" s="26">
        <f t="shared" si="16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17"/>
        <v>0</v>
      </c>
      <c r="S37" s="34">
        <f t="shared" si="18"/>
        <v>0</v>
      </c>
      <c r="T37" s="35">
        <f t="shared" si="19"/>
        <v>0</v>
      </c>
      <c r="U37" s="36"/>
      <c r="V37" s="37"/>
      <c r="W37" s="38"/>
      <c r="X37" s="39"/>
      <c r="Y37" s="40"/>
      <c r="Z37" s="40"/>
      <c r="AA37" s="34">
        <f t="shared" si="20"/>
        <v>0</v>
      </c>
      <c r="AB37" s="35">
        <f t="shared" si="21"/>
        <v>0</v>
      </c>
      <c r="AC37" s="273"/>
      <c r="AD37" s="130"/>
      <c r="AE37" s="130"/>
      <c r="AF37" s="34">
        <f t="shared" si="22"/>
        <v>0</v>
      </c>
      <c r="AG37" s="34">
        <f t="shared" si="23"/>
        <v>0</v>
      </c>
      <c r="AH37" s="43"/>
      <c r="AI37" s="38"/>
      <c r="AJ37" s="38"/>
      <c r="AK37" s="34">
        <f t="shared" si="9"/>
        <v>0</v>
      </c>
      <c r="AL37" s="44">
        <f t="shared" si="10"/>
        <v>0</v>
      </c>
      <c r="AM37" s="45">
        <f t="shared" si="24"/>
        <v>0</v>
      </c>
      <c r="AN37" s="46">
        <f t="shared" si="25"/>
        <v>0</v>
      </c>
      <c r="AO37" s="46">
        <f t="shared" si="26"/>
        <v>0</v>
      </c>
      <c r="AP37" s="47" t="e">
        <f t="shared" si="27"/>
        <v>#DIV/0!</v>
      </c>
      <c r="AQ37" s="48">
        <f t="shared" si="28"/>
        <v>0</v>
      </c>
      <c r="AR37" s="49">
        <f t="shared" si="29"/>
        <v>0</v>
      </c>
    </row>
    <row r="38" spans="2:44" x14ac:dyDescent="0.25">
      <c r="B38" s="22">
        <f t="shared" si="33"/>
        <v>46191</v>
      </c>
      <c r="C38" s="23" t="s">
        <v>54</v>
      </c>
      <c r="D38" s="50">
        <f t="shared" ref="D38" si="117">AH37</f>
        <v>0</v>
      </c>
      <c r="E38" s="34">
        <f t="shared" ref="E38" si="118">AI37</f>
        <v>0</v>
      </c>
      <c r="F38" s="34">
        <f t="shared" ref="F38" si="119">AJ37</f>
        <v>0</v>
      </c>
      <c r="G38" s="34">
        <f t="shared" si="14"/>
        <v>0</v>
      </c>
      <c r="H38" s="35">
        <f t="shared" si="15"/>
        <v>0</v>
      </c>
      <c r="I38" s="26">
        <f t="shared" si="16"/>
        <v>0</v>
      </c>
      <c r="J38" s="27"/>
      <c r="K38" s="28"/>
      <c r="L38" s="32"/>
      <c r="M38" s="29"/>
      <c r="N38" s="131"/>
      <c r="O38" s="31"/>
      <c r="P38" s="28"/>
      <c r="Q38" s="32"/>
      <c r="R38" s="53">
        <f t="shared" si="17"/>
        <v>0</v>
      </c>
      <c r="S38" s="34">
        <f t="shared" si="18"/>
        <v>0</v>
      </c>
      <c r="T38" s="35">
        <f t="shared" si="19"/>
        <v>0</v>
      </c>
      <c r="U38" s="36"/>
      <c r="V38" s="37"/>
      <c r="W38" s="38"/>
      <c r="X38" s="39"/>
      <c r="Y38" s="40"/>
      <c r="Z38" s="40"/>
      <c r="AA38" s="34">
        <f t="shared" si="20"/>
        <v>0</v>
      </c>
      <c r="AB38" s="35">
        <f t="shared" si="21"/>
        <v>0</v>
      </c>
      <c r="AC38" s="273"/>
      <c r="AD38" s="130"/>
      <c r="AE38" s="130"/>
      <c r="AF38" s="34">
        <f t="shared" si="22"/>
        <v>0</v>
      </c>
      <c r="AG38" s="34">
        <f t="shared" si="23"/>
        <v>0</v>
      </c>
      <c r="AH38" s="43"/>
      <c r="AI38" s="38"/>
      <c r="AJ38" s="38"/>
      <c r="AK38" s="34">
        <f t="shared" si="9"/>
        <v>0</v>
      </c>
      <c r="AL38" s="44">
        <f t="shared" si="10"/>
        <v>0</v>
      </c>
      <c r="AM38" s="45">
        <f t="shared" si="24"/>
        <v>0</v>
      </c>
      <c r="AN38" s="46">
        <f t="shared" si="25"/>
        <v>0</v>
      </c>
      <c r="AO38" s="46">
        <f t="shared" si="26"/>
        <v>0</v>
      </c>
      <c r="AP38" s="47" t="e">
        <f t="shared" si="27"/>
        <v>#DIV/0!</v>
      </c>
      <c r="AQ38" s="48">
        <f t="shared" si="28"/>
        <v>0</v>
      </c>
      <c r="AR38" s="49">
        <f t="shared" si="29"/>
        <v>0</v>
      </c>
    </row>
    <row r="39" spans="2:44" x14ac:dyDescent="0.25">
      <c r="B39" s="22">
        <f t="shared" si="33"/>
        <v>46191</v>
      </c>
      <c r="C39" s="23" t="s">
        <v>55</v>
      </c>
      <c r="D39" s="50">
        <f t="shared" ref="D39" si="120">AH38</f>
        <v>0</v>
      </c>
      <c r="E39" s="34">
        <f t="shared" ref="E39" si="121">AI38</f>
        <v>0</v>
      </c>
      <c r="F39" s="34">
        <f t="shared" ref="F39" si="122">AJ38</f>
        <v>0</v>
      </c>
      <c r="G39" s="34">
        <f t="shared" si="14"/>
        <v>0</v>
      </c>
      <c r="H39" s="35">
        <f t="shared" si="15"/>
        <v>0</v>
      </c>
      <c r="I39" s="26">
        <f t="shared" si="16"/>
        <v>0</v>
      </c>
      <c r="J39" s="27"/>
      <c r="K39" s="28"/>
      <c r="L39" s="32"/>
      <c r="M39" s="29"/>
      <c r="N39" s="131"/>
      <c r="O39" s="31"/>
      <c r="P39" s="28"/>
      <c r="Q39" s="32"/>
      <c r="R39" s="53">
        <f t="shared" ref="R39" si="123">O39+J39</f>
        <v>0</v>
      </c>
      <c r="S39" s="34">
        <f t="shared" ref="S39" si="124">(J39*K39%)+(O39*P39%)</f>
        <v>0</v>
      </c>
      <c r="T39" s="35">
        <f t="shared" ref="T39" si="125">(J39*L39%)+(O39*Q39%)</f>
        <v>0</v>
      </c>
      <c r="U39" s="36"/>
      <c r="V39" s="37"/>
      <c r="W39" s="38"/>
      <c r="X39" s="39"/>
      <c r="Y39" s="40"/>
      <c r="Z39" s="40"/>
      <c r="AA39" s="34">
        <f t="shared" si="20"/>
        <v>0</v>
      </c>
      <c r="AB39" s="35">
        <f t="shared" si="21"/>
        <v>0</v>
      </c>
      <c r="AC39" s="273"/>
      <c r="AD39" s="130"/>
      <c r="AE39" s="130"/>
      <c r="AF39" s="34">
        <f t="shared" si="22"/>
        <v>0</v>
      </c>
      <c r="AG39" s="34">
        <f t="shared" si="23"/>
        <v>0</v>
      </c>
      <c r="AH39" s="43"/>
      <c r="AI39" s="38"/>
      <c r="AJ39" s="38"/>
      <c r="AK39" s="34">
        <f t="shared" si="9"/>
        <v>0</v>
      </c>
      <c r="AL39" s="44">
        <f t="shared" si="10"/>
        <v>0</v>
      </c>
      <c r="AM39" s="45">
        <f t="shared" si="24"/>
        <v>0</v>
      </c>
      <c r="AN39" s="46">
        <f t="shared" si="25"/>
        <v>0</v>
      </c>
      <c r="AO39" s="46">
        <f t="shared" si="26"/>
        <v>0</v>
      </c>
      <c r="AP39" s="47" t="e">
        <f t="shared" si="27"/>
        <v>#DIV/0!</v>
      </c>
      <c r="AQ39" s="48">
        <f t="shared" si="28"/>
        <v>0</v>
      </c>
      <c r="AR39" s="49">
        <f t="shared" si="29"/>
        <v>0</v>
      </c>
    </row>
    <row r="40" spans="2:44" x14ac:dyDescent="0.25">
      <c r="B40" s="22">
        <f t="shared" si="33"/>
        <v>46192</v>
      </c>
      <c r="C40" s="23" t="s">
        <v>54</v>
      </c>
      <c r="D40" s="50">
        <f t="shared" ref="D40" si="126">AH39</f>
        <v>0</v>
      </c>
      <c r="E40" s="34">
        <f t="shared" ref="E40" si="127">AI39</f>
        <v>0</v>
      </c>
      <c r="F40" s="34">
        <f t="shared" ref="F40" si="128">AJ39</f>
        <v>0</v>
      </c>
      <c r="G40" s="34">
        <f t="shared" si="14"/>
        <v>0</v>
      </c>
      <c r="H40" s="35">
        <f t="shared" si="15"/>
        <v>0</v>
      </c>
      <c r="I40" s="26">
        <f t="shared" si="16"/>
        <v>0</v>
      </c>
      <c r="J40" s="27"/>
      <c r="K40" s="28"/>
      <c r="L40" s="32"/>
      <c r="M40" s="29"/>
      <c r="N40" s="131"/>
      <c r="O40" s="31"/>
      <c r="P40" s="28"/>
      <c r="Q40" s="32"/>
      <c r="R40" s="53">
        <f t="shared" si="17"/>
        <v>0</v>
      </c>
      <c r="S40" s="34">
        <f t="shared" si="18"/>
        <v>0</v>
      </c>
      <c r="T40" s="35">
        <f t="shared" si="19"/>
        <v>0</v>
      </c>
      <c r="U40" s="36"/>
      <c r="V40" s="37"/>
      <c r="W40" s="38"/>
      <c r="X40" s="39"/>
      <c r="Y40" s="40"/>
      <c r="Z40" s="40"/>
      <c r="AA40" s="34">
        <f t="shared" si="20"/>
        <v>0</v>
      </c>
      <c r="AB40" s="35">
        <f t="shared" si="21"/>
        <v>0</v>
      </c>
      <c r="AC40" s="273"/>
      <c r="AD40" s="130"/>
      <c r="AE40" s="130"/>
      <c r="AF40" s="34">
        <f t="shared" si="22"/>
        <v>0</v>
      </c>
      <c r="AG40" s="44">
        <f t="shared" si="23"/>
        <v>0</v>
      </c>
      <c r="AH40" s="62"/>
      <c r="AI40" s="38"/>
      <c r="AJ40" s="38"/>
      <c r="AK40" s="34">
        <f t="shared" si="9"/>
        <v>0</v>
      </c>
      <c r="AL40" s="44">
        <f t="shared" si="10"/>
        <v>0</v>
      </c>
      <c r="AM40" s="45">
        <f t="shared" si="24"/>
        <v>0</v>
      </c>
      <c r="AN40" s="46">
        <f t="shared" si="25"/>
        <v>0</v>
      </c>
      <c r="AO40" s="46">
        <f t="shared" si="26"/>
        <v>0</v>
      </c>
      <c r="AP40" s="47" t="e">
        <f t="shared" si="27"/>
        <v>#DIV/0!</v>
      </c>
      <c r="AQ40" s="48">
        <f t="shared" si="28"/>
        <v>0</v>
      </c>
      <c r="AR40" s="49">
        <f t="shared" si="29"/>
        <v>0</v>
      </c>
    </row>
    <row r="41" spans="2:44" x14ac:dyDescent="0.25">
      <c r="B41" s="22">
        <f t="shared" si="33"/>
        <v>46192</v>
      </c>
      <c r="C41" s="23" t="s">
        <v>55</v>
      </c>
      <c r="D41" s="50">
        <f t="shared" ref="D41" si="129">AH40</f>
        <v>0</v>
      </c>
      <c r="E41" s="34">
        <f t="shared" ref="E41" si="130">AI40</f>
        <v>0</v>
      </c>
      <c r="F41" s="34">
        <f t="shared" ref="F41" si="131">AJ40</f>
        <v>0</v>
      </c>
      <c r="G41" s="34">
        <f t="shared" si="14"/>
        <v>0</v>
      </c>
      <c r="H41" s="35">
        <f t="shared" si="15"/>
        <v>0</v>
      </c>
      <c r="I41" s="26">
        <f t="shared" si="16"/>
        <v>0</v>
      </c>
      <c r="J41" s="27"/>
      <c r="K41" s="28"/>
      <c r="L41" s="32"/>
      <c r="M41" s="29"/>
      <c r="N41" s="30"/>
      <c r="O41" s="31"/>
      <c r="P41" s="28"/>
      <c r="Q41" s="32"/>
      <c r="R41" s="53">
        <f t="shared" si="17"/>
        <v>0</v>
      </c>
      <c r="S41" s="34">
        <f t="shared" si="18"/>
        <v>0</v>
      </c>
      <c r="T41" s="35">
        <f t="shared" si="19"/>
        <v>0</v>
      </c>
      <c r="U41" s="36"/>
      <c r="V41" s="37"/>
      <c r="W41" s="38"/>
      <c r="X41" s="39"/>
      <c r="Y41" s="40"/>
      <c r="Z41" s="40"/>
      <c r="AA41" s="34">
        <f t="shared" si="20"/>
        <v>0</v>
      </c>
      <c r="AB41" s="35">
        <f t="shared" si="21"/>
        <v>0</v>
      </c>
      <c r="AC41" s="273"/>
      <c r="AD41" s="130"/>
      <c r="AE41" s="130"/>
      <c r="AF41" s="34">
        <f t="shared" si="22"/>
        <v>0</v>
      </c>
      <c r="AG41" s="44">
        <f t="shared" si="23"/>
        <v>0</v>
      </c>
      <c r="AH41" s="62"/>
      <c r="AI41" s="38"/>
      <c r="AJ41" s="38"/>
      <c r="AK41" s="34">
        <f t="shared" si="9"/>
        <v>0</v>
      </c>
      <c r="AL41" s="44">
        <f t="shared" si="10"/>
        <v>0</v>
      </c>
      <c r="AM41" s="45">
        <f t="shared" si="24"/>
        <v>0</v>
      </c>
      <c r="AN41" s="46">
        <f t="shared" si="25"/>
        <v>0</v>
      </c>
      <c r="AO41" s="46">
        <f t="shared" si="26"/>
        <v>0</v>
      </c>
      <c r="AP41" s="47" t="e">
        <f t="shared" si="27"/>
        <v>#DIV/0!</v>
      </c>
      <c r="AQ41" s="48">
        <f t="shared" si="28"/>
        <v>0</v>
      </c>
      <c r="AR41" s="49">
        <f t="shared" si="29"/>
        <v>0</v>
      </c>
    </row>
    <row r="42" spans="2:44" x14ac:dyDescent="0.25">
      <c r="B42" s="22">
        <f t="shared" si="33"/>
        <v>46193</v>
      </c>
      <c r="C42" s="23" t="s">
        <v>54</v>
      </c>
      <c r="D42" s="50">
        <f t="shared" ref="D42" si="132">AH41</f>
        <v>0</v>
      </c>
      <c r="E42" s="34">
        <f t="shared" ref="E42" si="133">AI41</f>
        <v>0</v>
      </c>
      <c r="F42" s="34">
        <f t="shared" ref="F42" si="134">AJ41</f>
        <v>0</v>
      </c>
      <c r="G42" s="34">
        <f t="shared" si="14"/>
        <v>0</v>
      </c>
      <c r="H42" s="35">
        <f t="shared" si="15"/>
        <v>0</v>
      </c>
      <c r="I42" s="26">
        <f t="shared" si="16"/>
        <v>0</v>
      </c>
      <c r="J42" s="27"/>
      <c r="K42" s="28"/>
      <c r="L42" s="28"/>
      <c r="M42" s="29"/>
      <c r="N42" s="30"/>
      <c r="O42" s="31"/>
      <c r="P42" s="28"/>
      <c r="Q42" s="28"/>
      <c r="R42" s="53">
        <f t="shared" si="17"/>
        <v>0</v>
      </c>
      <c r="S42" s="34">
        <f t="shared" si="18"/>
        <v>0</v>
      </c>
      <c r="T42" s="35">
        <f t="shared" si="19"/>
        <v>0</v>
      </c>
      <c r="U42" s="37"/>
      <c r="V42" s="37"/>
      <c r="W42" s="38"/>
      <c r="X42" s="39"/>
      <c r="Y42" s="40"/>
      <c r="Z42" s="40"/>
      <c r="AA42" s="34">
        <f t="shared" si="20"/>
        <v>0</v>
      </c>
      <c r="AB42" s="35">
        <f t="shared" si="21"/>
        <v>0</v>
      </c>
      <c r="AC42" s="273"/>
      <c r="AD42" s="130"/>
      <c r="AE42" s="130"/>
      <c r="AF42" s="34">
        <f t="shared" si="22"/>
        <v>0</v>
      </c>
      <c r="AG42" s="44">
        <f t="shared" si="23"/>
        <v>0</v>
      </c>
      <c r="AH42" s="62"/>
      <c r="AI42" s="38"/>
      <c r="AJ42" s="38"/>
      <c r="AK42" s="34">
        <f t="shared" si="9"/>
        <v>0</v>
      </c>
      <c r="AL42" s="44">
        <f t="shared" si="10"/>
        <v>0</v>
      </c>
      <c r="AM42" s="45">
        <f t="shared" si="24"/>
        <v>0</v>
      </c>
      <c r="AN42" s="46">
        <f t="shared" si="25"/>
        <v>0</v>
      </c>
      <c r="AO42" s="46">
        <f t="shared" si="26"/>
        <v>0</v>
      </c>
      <c r="AP42" s="47" t="e">
        <f t="shared" si="27"/>
        <v>#DIV/0!</v>
      </c>
      <c r="AQ42" s="48">
        <f t="shared" si="28"/>
        <v>0</v>
      </c>
      <c r="AR42" s="49">
        <f t="shared" si="29"/>
        <v>0</v>
      </c>
    </row>
    <row r="43" spans="2:44" x14ac:dyDescent="0.25">
      <c r="B43" s="22">
        <f t="shared" si="33"/>
        <v>46193</v>
      </c>
      <c r="C43" s="23" t="s">
        <v>55</v>
      </c>
      <c r="D43" s="50">
        <f t="shared" ref="D43" si="135">AH42</f>
        <v>0</v>
      </c>
      <c r="E43" s="34">
        <f t="shared" ref="E43" si="136">AI42</f>
        <v>0</v>
      </c>
      <c r="F43" s="34">
        <f t="shared" ref="F43" si="137">AJ42</f>
        <v>0</v>
      </c>
      <c r="G43" s="34">
        <f t="shared" si="14"/>
        <v>0</v>
      </c>
      <c r="H43" s="35">
        <f t="shared" si="15"/>
        <v>0</v>
      </c>
      <c r="I43" s="26">
        <f t="shared" si="16"/>
        <v>0</v>
      </c>
      <c r="J43" s="27"/>
      <c r="K43" s="28"/>
      <c r="L43" s="28"/>
      <c r="M43" s="61"/>
      <c r="N43" s="61"/>
      <c r="O43" s="31"/>
      <c r="P43" s="28"/>
      <c r="Q43" s="28"/>
      <c r="R43" s="53">
        <f t="shared" si="17"/>
        <v>0</v>
      </c>
      <c r="S43" s="34">
        <f t="shared" si="18"/>
        <v>0</v>
      </c>
      <c r="T43" s="35">
        <f t="shared" si="19"/>
        <v>0</v>
      </c>
      <c r="U43" s="37"/>
      <c r="V43" s="37"/>
      <c r="W43" s="38"/>
      <c r="X43" s="39"/>
      <c r="Y43" s="40"/>
      <c r="Z43" s="40"/>
      <c r="AA43" s="34">
        <f t="shared" si="20"/>
        <v>0</v>
      </c>
      <c r="AB43" s="35">
        <f t="shared" si="21"/>
        <v>0</v>
      </c>
      <c r="AC43" s="144"/>
      <c r="AD43" s="145"/>
      <c r="AE43" s="145"/>
      <c r="AF43" s="34">
        <f t="shared" si="22"/>
        <v>0</v>
      </c>
      <c r="AG43" s="44">
        <f t="shared" si="23"/>
        <v>0</v>
      </c>
      <c r="AH43" s="62"/>
      <c r="AI43" s="38"/>
      <c r="AJ43" s="38"/>
      <c r="AK43" s="34">
        <f t="shared" si="9"/>
        <v>0</v>
      </c>
      <c r="AL43" s="44">
        <f t="shared" si="10"/>
        <v>0</v>
      </c>
      <c r="AM43" s="45">
        <f t="shared" si="24"/>
        <v>0</v>
      </c>
      <c r="AN43" s="46">
        <f t="shared" si="25"/>
        <v>0</v>
      </c>
      <c r="AO43" s="46">
        <f t="shared" si="26"/>
        <v>0</v>
      </c>
      <c r="AP43" s="47" t="e">
        <f t="shared" si="27"/>
        <v>#DIV/0!</v>
      </c>
      <c r="AQ43" s="48">
        <f t="shared" si="28"/>
        <v>0</v>
      </c>
      <c r="AR43" s="49">
        <f t="shared" si="29"/>
        <v>0</v>
      </c>
    </row>
    <row r="44" spans="2:44" x14ac:dyDescent="0.25">
      <c r="B44" s="22">
        <f t="shared" si="33"/>
        <v>46194</v>
      </c>
      <c r="C44" s="23" t="s">
        <v>54</v>
      </c>
      <c r="D44" s="50">
        <f t="shared" ref="D44" si="138">AH43</f>
        <v>0</v>
      </c>
      <c r="E44" s="34">
        <f t="shared" ref="E44" si="139">AI43</f>
        <v>0</v>
      </c>
      <c r="F44" s="34">
        <f t="shared" ref="F44" si="140">AJ43</f>
        <v>0</v>
      </c>
      <c r="G44" s="34">
        <f t="shared" si="14"/>
        <v>0</v>
      </c>
      <c r="H44" s="35">
        <f t="shared" si="15"/>
        <v>0</v>
      </c>
      <c r="I44" s="26">
        <f t="shared" si="16"/>
        <v>0</v>
      </c>
      <c r="J44" s="27"/>
      <c r="K44" s="28"/>
      <c r="L44" s="28"/>
      <c r="M44" s="29"/>
      <c r="N44" s="30"/>
      <c r="O44" s="31"/>
      <c r="P44" s="28"/>
      <c r="Q44" s="28"/>
      <c r="R44" s="53">
        <f t="shared" si="17"/>
        <v>0</v>
      </c>
      <c r="S44" s="34">
        <f t="shared" si="18"/>
        <v>0</v>
      </c>
      <c r="T44" s="35">
        <f t="shared" si="19"/>
        <v>0</v>
      </c>
      <c r="U44" s="37"/>
      <c r="V44" s="37"/>
      <c r="W44" s="38"/>
      <c r="X44" s="39"/>
      <c r="Y44" s="40"/>
      <c r="Z44" s="40"/>
      <c r="AA44" s="34">
        <f t="shared" si="20"/>
        <v>0</v>
      </c>
      <c r="AB44" s="35">
        <f t="shared" si="21"/>
        <v>0</v>
      </c>
      <c r="AC44" s="273"/>
      <c r="AD44" s="130"/>
      <c r="AE44" s="130"/>
      <c r="AF44" s="34">
        <f t="shared" si="22"/>
        <v>0</v>
      </c>
      <c r="AG44" s="44">
        <f t="shared" si="23"/>
        <v>0</v>
      </c>
      <c r="AH44" s="62"/>
      <c r="AI44" s="38"/>
      <c r="AJ44" s="38"/>
      <c r="AK44" s="34">
        <f t="shared" si="9"/>
        <v>0</v>
      </c>
      <c r="AL44" s="44">
        <f t="shared" si="10"/>
        <v>0</v>
      </c>
      <c r="AM44" s="45">
        <f t="shared" si="24"/>
        <v>0</v>
      </c>
      <c r="AN44" s="46">
        <f t="shared" si="25"/>
        <v>0</v>
      </c>
      <c r="AO44" s="46">
        <f t="shared" si="26"/>
        <v>0</v>
      </c>
      <c r="AP44" s="47" t="e">
        <f t="shared" si="27"/>
        <v>#DIV/0!</v>
      </c>
      <c r="AQ44" s="48">
        <f t="shared" si="28"/>
        <v>0</v>
      </c>
      <c r="AR44" s="49">
        <f t="shared" si="29"/>
        <v>0</v>
      </c>
    </row>
    <row r="45" spans="2:44" x14ac:dyDescent="0.25">
      <c r="B45" s="22">
        <f t="shared" si="33"/>
        <v>46194</v>
      </c>
      <c r="C45" s="23" t="s">
        <v>55</v>
      </c>
      <c r="D45" s="50">
        <f t="shared" ref="D45" si="141">AH44</f>
        <v>0</v>
      </c>
      <c r="E45" s="34">
        <f t="shared" ref="E45" si="142">AI44</f>
        <v>0</v>
      </c>
      <c r="F45" s="34">
        <f t="shared" ref="F45" si="143">AJ44</f>
        <v>0</v>
      </c>
      <c r="G45" s="34">
        <f t="shared" si="14"/>
        <v>0</v>
      </c>
      <c r="H45" s="35">
        <f t="shared" si="15"/>
        <v>0</v>
      </c>
      <c r="I45" s="26">
        <f t="shared" si="16"/>
        <v>0</v>
      </c>
      <c r="J45" s="27"/>
      <c r="K45" s="28"/>
      <c r="L45" s="28"/>
      <c r="M45" s="61"/>
      <c r="N45" s="61"/>
      <c r="O45" s="31"/>
      <c r="P45" s="28"/>
      <c r="Q45" s="28"/>
      <c r="R45" s="53">
        <f t="shared" si="17"/>
        <v>0</v>
      </c>
      <c r="S45" s="34">
        <f t="shared" si="18"/>
        <v>0</v>
      </c>
      <c r="T45" s="35">
        <f t="shared" si="19"/>
        <v>0</v>
      </c>
      <c r="U45" s="37"/>
      <c r="V45" s="37"/>
      <c r="W45" s="38"/>
      <c r="X45" s="39"/>
      <c r="Y45" s="40"/>
      <c r="Z45" s="40"/>
      <c r="AA45" s="34">
        <f t="shared" si="20"/>
        <v>0</v>
      </c>
      <c r="AB45" s="35">
        <f t="shared" si="21"/>
        <v>0</v>
      </c>
      <c r="AC45" s="144"/>
      <c r="AD45" s="145"/>
      <c r="AE45" s="145"/>
      <c r="AF45" s="34">
        <f t="shared" si="22"/>
        <v>0</v>
      </c>
      <c r="AG45" s="44">
        <f t="shared" si="23"/>
        <v>0</v>
      </c>
      <c r="AH45" s="62"/>
      <c r="AI45" s="38"/>
      <c r="AJ45" s="38"/>
      <c r="AK45" s="34">
        <f t="shared" si="9"/>
        <v>0</v>
      </c>
      <c r="AL45" s="44">
        <f t="shared" si="10"/>
        <v>0</v>
      </c>
      <c r="AM45" s="45">
        <f t="shared" si="24"/>
        <v>0</v>
      </c>
      <c r="AN45" s="46">
        <f t="shared" si="25"/>
        <v>0</v>
      </c>
      <c r="AO45" s="46">
        <f t="shared" si="26"/>
        <v>0</v>
      </c>
      <c r="AP45" s="47" t="e">
        <f t="shared" si="27"/>
        <v>#DIV/0!</v>
      </c>
      <c r="AQ45" s="48">
        <f t="shared" si="28"/>
        <v>0</v>
      </c>
      <c r="AR45" s="49">
        <f t="shared" si="29"/>
        <v>0</v>
      </c>
    </row>
    <row r="46" spans="2:44" x14ac:dyDescent="0.25">
      <c r="B46" s="22">
        <f t="shared" si="33"/>
        <v>46195</v>
      </c>
      <c r="C46" s="23" t="s">
        <v>54</v>
      </c>
      <c r="D46" s="50">
        <f t="shared" ref="D46" si="144">AH45</f>
        <v>0</v>
      </c>
      <c r="E46" s="34">
        <f t="shared" ref="E46" si="145">AI45</f>
        <v>0</v>
      </c>
      <c r="F46" s="34">
        <f t="shared" ref="F46" si="146">AJ45</f>
        <v>0</v>
      </c>
      <c r="G46" s="34">
        <f t="shared" si="14"/>
        <v>0</v>
      </c>
      <c r="H46" s="35">
        <f t="shared" si="15"/>
        <v>0</v>
      </c>
      <c r="I46" s="26">
        <f t="shared" si="16"/>
        <v>0</v>
      </c>
      <c r="J46" s="27"/>
      <c r="K46" s="28"/>
      <c r="L46" s="28"/>
      <c r="M46" s="61"/>
      <c r="N46" s="61"/>
      <c r="O46" s="31"/>
      <c r="P46" s="28"/>
      <c r="Q46" s="28"/>
      <c r="R46" s="53">
        <f t="shared" si="17"/>
        <v>0</v>
      </c>
      <c r="S46" s="34">
        <f t="shared" si="18"/>
        <v>0</v>
      </c>
      <c r="T46" s="35">
        <f t="shared" si="19"/>
        <v>0</v>
      </c>
      <c r="U46" s="37"/>
      <c r="V46" s="37"/>
      <c r="W46" s="38"/>
      <c r="X46" s="39"/>
      <c r="Y46" s="40"/>
      <c r="Z46" s="40"/>
      <c r="AA46" s="34">
        <f t="shared" si="20"/>
        <v>0</v>
      </c>
      <c r="AB46" s="35">
        <f t="shared" si="21"/>
        <v>0</v>
      </c>
      <c r="AC46" s="273"/>
      <c r="AD46" s="130"/>
      <c r="AE46" s="130"/>
      <c r="AF46" s="34">
        <f t="shared" si="22"/>
        <v>0</v>
      </c>
      <c r="AG46" s="44">
        <f t="shared" si="23"/>
        <v>0</v>
      </c>
      <c r="AH46" s="62"/>
      <c r="AI46" s="38"/>
      <c r="AJ46" s="38"/>
      <c r="AK46" s="34">
        <f t="shared" si="9"/>
        <v>0</v>
      </c>
      <c r="AL46" s="44">
        <f t="shared" si="10"/>
        <v>0</v>
      </c>
      <c r="AM46" s="45">
        <f t="shared" si="24"/>
        <v>0</v>
      </c>
      <c r="AN46" s="46">
        <f t="shared" si="25"/>
        <v>0</v>
      </c>
      <c r="AO46" s="46">
        <f t="shared" si="26"/>
        <v>0</v>
      </c>
      <c r="AP46" s="47" t="e">
        <f t="shared" si="27"/>
        <v>#DIV/0!</v>
      </c>
      <c r="AQ46" s="48">
        <f t="shared" si="28"/>
        <v>0</v>
      </c>
      <c r="AR46" s="49">
        <f t="shared" si="29"/>
        <v>0</v>
      </c>
    </row>
    <row r="47" spans="2:44" x14ac:dyDescent="0.25">
      <c r="B47" s="22">
        <f t="shared" si="33"/>
        <v>46195</v>
      </c>
      <c r="C47" s="23" t="s">
        <v>55</v>
      </c>
      <c r="D47" s="50">
        <f t="shared" ref="D47" si="147">AH46</f>
        <v>0</v>
      </c>
      <c r="E47" s="34">
        <f t="shared" ref="E47" si="148">AI46</f>
        <v>0</v>
      </c>
      <c r="F47" s="34">
        <f t="shared" ref="F47" si="149">AJ46</f>
        <v>0</v>
      </c>
      <c r="G47" s="34">
        <f t="shared" si="14"/>
        <v>0</v>
      </c>
      <c r="H47" s="35">
        <f t="shared" si="15"/>
        <v>0</v>
      </c>
      <c r="I47" s="26">
        <f t="shared" si="16"/>
        <v>0</v>
      </c>
      <c r="J47" s="27"/>
      <c r="K47" s="28"/>
      <c r="L47" s="28"/>
      <c r="M47" s="61"/>
      <c r="N47" s="61"/>
      <c r="O47" s="31"/>
      <c r="P47" s="28"/>
      <c r="Q47" s="28"/>
      <c r="R47" s="53">
        <f t="shared" ref="R47" si="150">O47+J47</f>
        <v>0</v>
      </c>
      <c r="S47" s="34">
        <f t="shared" ref="S47" si="151">(J47*K47%)+(O47*P47%)</f>
        <v>0</v>
      </c>
      <c r="T47" s="35">
        <f t="shared" ref="T47" si="152">(J47*L47%)+(O47*Q47%)</f>
        <v>0</v>
      </c>
      <c r="U47" s="37"/>
      <c r="V47" s="37"/>
      <c r="W47" s="38"/>
      <c r="X47" s="39"/>
      <c r="Y47" s="40"/>
      <c r="Z47" s="40"/>
      <c r="AA47" s="34">
        <f t="shared" ref="AA47" si="153">X47*Y47%</f>
        <v>0</v>
      </c>
      <c r="AB47" s="35">
        <f t="shared" ref="AB47" si="154">X47*Z47%</f>
        <v>0</v>
      </c>
      <c r="AC47" s="273"/>
      <c r="AD47" s="130"/>
      <c r="AE47" s="130"/>
      <c r="AF47" s="34">
        <f t="shared" ref="AF47" si="155">AC47*AD47%</f>
        <v>0</v>
      </c>
      <c r="AG47" s="44">
        <f t="shared" ref="AG47" si="156">AC47*AE47%</f>
        <v>0</v>
      </c>
      <c r="AH47" s="62"/>
      <c r="AI47" s="38"/>
      <c r="AJ47" s="38"/>
      <c r="AK47" s="34">
        <f t="shared" si="9"/>
        <v>0</v>
      </c>
      <c r="AL47" s="44">
        <f t="shared" si="10"/>
        <v>0</v>
      </c>
      <c r="AM47" s="45">
        <f t="shared" si="24"/>
        <v>0</v>
      </c>
      <c r="AN47" s="46">
        <f t="shared" si="25"/>
        <v>0</v>
      </c>
      <c r="AO47" s="46">
        <f t="shared" si="26"/>
        <v>0</v>
      </c>
      <c r="AP47" s="47" t="e">
        <f t="shared" si="27"/>
        <v>#DIV/0!</v>
      </c>
      <c r="AQ47" s="48">
        <f t="shared" si="28"/>
        <v>0</v>
      </c>
      <c r="AR47" s="49">
        <f t="shared" si="29"/>
        <v>0</v>
      </c>
    </row>
    <row r="48" spans="2:44" x14ac:dyDescent="0.25">
      <c r="B48" s="22">
        <f t="shared" si="33"/>
        <v>46196</v>
      </c>
      <c r="C48" s="23" t="s">
        <v>54</v>
      </c>
      <c r="D48" s="50">
        <f t="shared" ref="D48" si="157">AH47</f>
        <v>0</v>
      </c>
      <c r="E48" s="34">
        <f t="shared" ref="E48" si="158">AI47</f>
        <v>0</v>
      </c>
      <c r="F48" s="34">
        <f t="shared" ref="F48" si="159">AJ47</f>
        <v>0</v>
      </c>
      <c r="G48" s="34">
        <f t="shared" si="14"/>
        <v>0</v>
      </c>
      <c r="H48" s="35">
        <f t="shared" si="15"/>
        <v>0</v>
      </c>
      <c r="I48" s="26">
        <f t="shared" si="16"/>
        <v>0</v>
      </c>
      <c r="J48" s="27"/>
      <c r="K48" s="28"/>
      <c r="L48" s="28"/>
      <c r="M48" s="61"/>
      <c r="N48" s="106"/>
      <c r="O48" s="31"/>
      <c r="P48" s="28"/>
      <c r="Q48" s="28"/>
      <c r="R48" s="53">
        <f t="shared" si="17"/>
        <v>0</v>
      </c>
      <c r="S48" s="34">
        <f t="shared" si="18"/>
        <v>0</v>
      </c>
      <c r="T48" s="35">
        <f t="shared" si="19"/>
        <v>0</v>
      </c>
      <c r="U48" s="37"/>
      <c r="V48" s="37"/>
      <c r="W48" s="38"/>
      <c r="X48" s="39"/>
      <c r="Y48" s="40"/>
      <c r="Z48" s="40"/>
      <c r="AA48" s="34">
        <f t="shared" si="20"/>
        <v>0</v>
      </c>
      <c r="AB48" s="35">
        <f t="shared" si="21"/>
        <v>0</v>
      </c>
      <c r="AC48" s="273"/>
      <c r="AD48" s="130"/>
      <c r="AE48" s="130"/>
      <c r="AF48" s="34">
        <f t="shared" si="22"/>
        <v>0</v>
      </c>
      <c r="AG48" s="44">
        <f t="shared" si="23"/>
        <v>0</v>
      </c>
      <c r="AH48" s="62"/>
      <c r="AI48" s="38"/>
      <c r="AJ48" s="38"/>
      <c r="AK48" s="34">
        <f t="shared" ref="AK48" si="160">AH48*AI48%</f>
        <v>0</v>
      </c>
      <c r="AL48" s="44">
        <f t="shared" ref="AL48" si="161">AH48*AJ48%</f>
        <v>0</v>
      </c>
      <c r="AM48" s="45">
        <f t="shared" si="24"/>
        <v>0</v>
      </c>
      <c r="AN48" s="46">
        <f t="shared" si="25"/>
        <v>0</v>
      </c>
      <c r="AO48" s="46">
        <f t="shared" si="26"/>
        <v>0</v>
      </c>
      <c r="AP48" s="47" t="e">
        <f t="shared" si="27"/>
        <v>#DIV/0!</v>
      </c>
      <c r="AQ48" s="48">
        <f t="shared" si="28"/>
        <v>0</v>
      </c>
      <c r="AR48" s="49">
        <f t="shared" si="29"/>
        <v>0</v>
      </c>
    </row>
    <row r="49" spans="2:44" x14ac:dyDescent="0.25">
      <c r="B49" s="22">
        <f t="shared" si="33"/>
        <v>46196</v>
      </c>
      <c r="C49" s="23" t="s">
        <v>55</v>
      </c>
      <c r="D49" s="50">
        <f t="shared" ref="D49" si="162">AH48</f>
        <v>0</v>
      </c>
      <c r="E49" s="34">
        <f t="shared" ref="E49" si="163">AI48</f>
        <v>0</v>
      </c>
      <c r="F49" s="34">
        <f t="shared" ref="F49" si="164">AJ48</f>
        <v>0</v>
      </c>
      <c r="G49" s="34">
        <f t="shared" si="14"/>
        <v>0</v>
      </c>
      <c r="H49" s="35">
        <f t="shared" si="15"/>
        <v>0</v>
      </c>
      <c r="I49" s="26">
        <f t="shared" si="16"/>
        <v>0</v>
      </c>
      <c r="J49" s="27"/>
      <c r="K49" s="28"/>
      <c r="L49" s="28"/>
      <c r="M49" s="61"/>
      <c r="N49" s="61"/>
      <c r="O49" s="31"/>
      <c r="P49" s="28"/>
      <c r="Q49" s="28"/>
      <c r="R49" s="53">
        <f t="shared" si="17"/>
        <v>0</v>
      </c>
      <c r="S49" s="34">
        <f t="shared" si="18"/>
        <v>0</v>
      </c>
      <c r="T49" s="35">
        <f t="shared" si="19"/>
        <v>0</v>
      </c>
      <c r="U49" s="37"/>
      <c r="V49" s="37"/>
      <c r="W49" s="38"/>
      <c r="X49" s="39"/>
      <c r="Y49" s="40"/>
      <c r="Z49" s="40"/>
      <c r="AA49" s="34">
        <f t="shared" si="20"/>
        <v>0</v>
      </c>
      <c r="AB49" s="35">
        <f t="shared" si="21"/>
        <v>0</v>
      </c>
      <c r="AC49" s="273"/>
      <c r="AD49" s="130"/>
      <c r="AE49" s="130"/>
      <c r="AF49" s="34">
        <f t="shared" si="22"/>
        <v>0</v>
      </c>
      <c r="AG49" s="44">
        <f t="shared" si="23"/>
        <v>0</v>
      </c>
      <c r="AH49" s="62"/>
      <c r="AI49" s="38"/>
      <c r="AJ49" s="38"/>
      <c r="AK49" s="34">
        <f t="shared" si="9"/>
        <v>0</v>
      </c>
      <c r="AL49" s="44">
        <f t="shared" si="10"/>
        <v>0</v>
      </c>
      <c r="AM49" s="45">
        <f t="shared" si="24"/>
        <v>0</v>
      </c>
      <c r="AN49" s="46">
        <f t="shared" si="25"/>
        <v>0</v>
      </c>
      <c r="AO49" s="46">
        <f t="shared" si="26"/>
        <v>0</v>
      </c>
      <c r="AP49" s="47" t="e">
        <f t="shared" si="27"/>
        <v>#DIV/0!</v>
      </c>
      <c r="AQ49" s="48">
        <f t="shared" si="28"/>
        <v>0</v>
      </c>
      <c r="AR49" s="49">
        <f t="shared" si="29"/>
        <v>0</v>
      </c>
    </row>
    <row r="50" spans="2:44" x14ac:dyDescent="0.25">
      <c r="B50" s="22">
        <f t="shared" si="33"/>
        <v>46197</v>
      </c>
      <c r="C50" s="23" t="s">
        <v>54</v>
      </c>
      <c r="D50" s="50">
        <f t="shared" ref="D50" si="165">AH49</f>
        <v>0</v>
      </c>
      <c r="E50" s="34">
        <f t="shared" ref="E50" si="166">AI49</f>
        <v>0</v>
      </c>
      <c r="F50" s="34">
        <f t="shared" ref="F50" si="167">AJ49</f>
        <v>0</v>
      </c>
      <c r="G50" s="34">
        <f t="shared" si="14"/>
        <v>0</v>
      </c>
      <c r="H50" s="35">
        <f t="shared" si="15"/>
        <v>0</v>
      </c>
      <c r="I50" s="26">
        <f t="shared" si="16"/>
        <v>0</v>
      </c>
      <c r="J50" s="27"/>
      <c r="K50" s="28"/>
      <c r="L50" s="28"/>
      <c r="M50" s="61"/>
      <c r="N50" s="106"/>
      <c r="O50" s="31"/>
      <c r="P50" s="28"/>
      <c r="Q50" s="28"/>
      <c r="R50" s="53">
        <f t="shared" si="17"/>
        <v>0</v>
      </c>
      <c r="S50" s="34">
        <f t="shared" si="18"/>
        <v>0</v>
      </c>
      <c r="T50" s="35">
        <f t="shared" si="19"/>
        <v>0</v>
      </c>
      <c r="U50" s="37"/>
      <c r="V50" s="37"/>
      <c r="W50" s="38"/>
      <c r="X50" s="39"/>
      <c r="Y50" s="40"/>
      <c r="Z50" s="40"/>
      <c r="AA50" s="34">
        <f t="shared" si="20"/>
        <v>0</v>
      </c>
      <c r="AB50" s="35">
        <f t="shared" si="21"/>
        <v>0</v>
      </c>
      <c r="AC50" s="273"/>
      <c r="AD50" s="130"/>
      <c r="AE50" s="130"/>
      <c r="AF50" s="34">
        <f t="shared" si="22"/>
        <v>0</v>
      </c>
      <c r="AG50" s="44">
        <f t="shared" si="23"/>
        <v>0</v>
      </c>
      <c r="AH50" s="62"/>
      <c r="AI50" s="38"/>
      <c r="AJ50" s="38"/>
      <c r="AK50" s="34">
        <f t="shared" si="9"/>
        <v>0</v>
      </c>
      <c r="AL50" s="44">
        <f t="shared" si="10"/>
        <v>0</v>
      </c>
      <c r="AM50" s="45">
        <f t="shared" si="24"/>
        <v>0</v>
      </c>
      <c r="AN50" s="46">
        <f t="shared" si="25"/>
        <v>0</v>
      </c>
      <c r="AO50" s="46">
        <f t="shared" si="26"/>
        <v>0</v>
      </c>
      <c r="AP50" s="47" t="e">
        <f t="shared" si="27"/>
        <v>#DIV/0!</v>
      </c>
      <c r="AQ50" s="48">
        <f t="shared" si="28"/>
        <v>0</v>
      </c>
      <c r="AR50" s="49">
        <f t="shared" si="29"/>
        <v>0</v>
      </c>
    </row>
    <row r="51" spans="2:44" x14ac:dyDescent="0.25">
      <c r="B51" s="22">
        <f t="shared" si="33"/>
        <v>46197</v>
      </c>
      <c r="C51" s="23" t="s">
        <v>55</v>
      </c>
      <c r="D51" s="50">
        <f t="shared" si="116"/>
        <v>0</v>
      </c>
      <c r="E51" s="34">
        <f t="shared" si="116"/>
        <v>0</v>
      </c>
      <c r="F51" s="34">
        <f t="shared" si="116"/>
        <v>0</v>
      </c>
      <c r="G51" s="34">
        <f t="shared" si="14"/>
        <v>0</v>
      </c>
      <c r="H51" s="35">
        <f t="shared" si="15"/>
        <v>0</v>
      </c>
      <c r="I51" s="26">
        <f t="shared" si="16"/>
        <v>0</v>
      </c>
      <c r="J51" s="27"/>
      <c r="K51" s="28"/>
      <c r="L51" s="28"/>
      <c r="M51" s="61"/>
      <c r="N51" s="61"/>
      <c r="O51" s="31"/>
      <c r="P51" s="28"/>
      <c r="Q51" s="28"/>
      <c r="R51" s="53">
        <f t="shared" si="17"/>
        <v>0</v>
      </c>
      <c r="S51" s="34">
        <f t="shared" si="18"/>
        <v>0</v>
      </c>
      <c r="T51" s="35">
        <f t="shared" si="19"/>
        <v>0</v>
      </c>
      <c r="U51" s="37"/>
      <c r="V51" s="37"/>
      <c r="W51" s="38"/>
      <c r="X51" s="39"/>
      <c r="Y51" s="40"/>
      <c r="Z51" s="40"/>
      <c r="AA51" s="34">
        <f t="shared" si="20"/>
        <v>0</v>
      </c>
      <c r="AB51" s="35">
        <f t="shared" si="21"/>
        <v>0</v>
      </c>
      <c r="AC51" s="273"/>
      <c r="AD51" s="130"/>
      <c r="AE51" s="130"/>
      <c r="AF51" s="34">
        <f t="shared" si="22"/>
        <v>0</v>
      </c>
      <c r="AG51" s="44">
        <f t="shared" si="23"/>
        <v>0</v>
      </c>
      <c r="AH51" s="223"/>
      <c r="AI51" s="224"/>
      <c r="AJ51" s="224"/>
      <c r="AK51" s="34">
        <f t="shared" si="9"/>
        <v>0</v>
      </c>
      <c r="AL51" s="44">
        <f t="shared" si="10"/>
        <v>0</v>
      </c>
      <c r="AM51" s="45">
        <f t="shared" si="24"/>
        <v>0</v>
      </c>
      <c r="AN51" s="46">
        <f t="shared" si="25"/>
        <v>0</v>
      </c>
      <c r="AO51" s="46">
        <f t="shared" si="26"/>
        <v>0</v>
      </c>
      <c r="AP51" s="47" t="e">
        <f t="shared" si="27"/>
        <v>#DIV/0!</v>
      </c>
      <c r="AQ51" s="48">
        <f t="shared" si="28"/>
        <v>0</v>
      </c>
      <c r="AR51" s="49">
        <f t="shared" si="29"/>
        <v>0</v>
      </c>
    </row>
    <row r="52" spans="2:44" x14ac:dyDescent="0.25">
      <c r="B52" s="22">
        <f t="shared" si="33"/>
        <v>46198</v>
      </c>
      <c r="C52" s="23" t="s">
        <v>54</v>
      </c>
      <c r="D52" s="50">
        <f t="shared" ref="D52" si="168">AH51</f>
        <v>0</v>
      </c>
      <c r="E52" s="34">
        <f t="shared" ref="E52" si="169">AI51</f>
        <v>0</v>
      </c>
      <c r="F52" s="34">
        <f t="shared" ref="F52" si="170">AJ51</f>
        <v>0</v>
      </c>
      <c r="G52" s="34">
        <f t="shared" si="14"/>
        <v>0</v>
      </c>
      <c r="H52" s="35">
        <f t="shared" si="15"/>
        <v>0</v>
      </c>
      <c r="I52" s="26">
        <f t="shared" si="16"/>
        <v>0</v>
      </c>
      <c r="J52" s="27"/>
      <c r="K52" s="28"/>
      <c r="L52" s="28"/>
      <c r="M52" s="61"/>
      <c r="N52" s="106"/>
      <c r="O52" s="31"/>
      <c r="P52" s="28"/>
      <c r="Q52" s="28"/>
      <c r="R52" s="53">
        <f t="shared" si="17"/>
        <v>0</v>
      </c>
      <c r="S52" s="34">
        <f t="shared" si="18"/>
        <v>0</v>
      </c>
      <c r="T52" s="35">
        <f t="shared" si="19"/>
        <v>0</v>
      </c>
      <c r="U52" s="37"/>
      <c r="V52" s="37"/>
      <c r="W52" s="38"/>
      <c r="X52" s="39"/>
      <c r="Y52" s="40"/>
      <c r="Z52" s="40"/>
      <c r="AA52" s="34">
        <f t="shared" si="20"/>
        <v>0</v>
      </c>
      <c r="AB52" s="35">
        <f t="shared" si="21"/>
        <v>0</v>
      </c>
      <c r="AC52" s="271"/>
      <c r="AD52" s="145"/>
      <c r="AE52" s="145"/>
      <c r="AF52" s="34">
        <f t="shared" si="22"/>
        <v>0</v>
      </c>
      <c r="AG52" s="44">
        <f t="shared" si="23"/>
        <v>0</v>
      </c>
      <c r="AH52" s="62"/>
      <c r="AI52" s="38"/>
      <c r="AJ52" s="38"/>
      <c r="AK52" s="34">
        <f t="shared" si="9"/>
        <v>0</v>
      </c>
      <c r="AL52" s="44">
        <f t="shared" si="10"/>
        <v>0</v>
      </c>
      <c r="AM52" s="45">
        <f t="shared" si="24"/>
        <v>0</v>
      </c>
      <c r="AN52" s="46">
        <f t="shared" si="25"/>
        <v>0</v>
      </c>
      <c r="AO52" s="46">
        <f t="shared" si="26"/>
        <v>0</v>
      </c>
      <c r="AP52" s="47" t="e">
        <f t="shared" si="27"/>
        <v>#DIV/0!</v>
      </c>
      <c r="AQ52" s="48">
        <f t="shared" si="28"/>
        <v>0</v>
      </c>
      <c r="AR52" s="49">
        <f t="shared" si="29"/>
        <v>0</v>
      </c>
    </row>
    <row r="53" spans="2:44" x14ac:dyDescent="0.25">
      <c r="B53" s="22">
        <f t="shared" si="33"/>
        <v>46198</v>
      </c>
      <c r="C53" s="23" t="s">
        <v>55</v>
      </c>
      <c r="D53" s="50">
        <f t="shared" ref="D53" si="171">AH52</f>
        <v>0</v>
      </c>
      <c r="E53" s="34">
        <f t="shared" ref="E53" si="172">AI52</f>
        <v>0</v>
      </c>
      <c r="F53" s="34">
        <f t="shared" ref="F53" si="173">AJ52</f>
        <v>0</v>
      </c>
      <c r="G53" s="34">
        <f t="shared" si="14"/>
        <v>0</v>
      </c>
      <c r="H53" s="35">
        <f t="shared" si="15"/>
        <v>0</v>
      </c>
      <c r="I53" s="26">
        <f t="shared" si="16"/>
        <v>0</v>
      </c>
      <c r="J53" s="27"/>
      <c r="K53" s="28"/>
      <c r="L53" s="28"/>
      <c r="M53" s="61"/>
      <c r="N53" s="61"/>
      <c r="O53" s="31"/>
      <c r="P53" s="28"/>
      <c r="Q53" s="28"/>
      <c r="R53" s="53">
        <f t="shared" si="17"/>
        <v>0</v>
      </c>
      <c r="S53" s="34">
        <f t="shared" si="18"/>
        <v>0</v>
      </c>
      <c r="T53" s="35">
        <f t="shared" si="19"/>
        <v>0</v>
      </c>
      <c r="U53" s="37"/>
      <c r="V53" s="37"/>
      <c r="W53" s="38"/>
      <c r="X53" s="39"/>
      <c r="Y53" s="40"/>
      <c r="Z53" s="40"/>
      <c r="AA53" s="34">
        <f t="shared" si="20"/>
        <v>0</v>
      </c>
      <c r="AB53" s="35">
        <f t="shared" si="21"/>
        <v>0</v>
      </c>
      <c r="AC53" s="273"/>
      <c r="AD53" s="130"/>
      <c r="AE53" s="130"/>
      <c r="AF53" s="34">
        <f t="shared" si="22"/>
        <v>0</v>
      </c>
      <c r="AG53" s="44">
        <f t="shared" si="23"/>
        <v>0</v>
      </c>
      <c r="AH53" s="62"/>
      <c r="AI53" s="38"/>
      <c r="AJ53" s="38"/>
      <c r="AK53" s="34">
        <f t="shared" si="9"/>
        <v>0</v>
      </c>
      <c r="AL53" s="44">
        <f t="shared" si="10"/>
        <v>0</v>
      </c>
      <c r="AM53" s="45">
        <f t="shared" si="24"/>
        <v>0</v>
      </c>
      <c r="AN53" s="46">
        <f t="shared" si="25"/>
        <v>0</v>
      </c>
      <c r="AO53" s="46">
        <f t="shared" si="26"/>
        <v>0</v>
      </c>
      <c r="AP53" s="47" t="e">
        <f t="shared" si="27"/>
        <v>#DIV/0!</v>
      </c>
      <c r="AQ53" s="48">
        <f t="shared" si="28"/>
        <v>0</v>
      </c>
      <c r="AR53" s="49">
        <f t="shared" si="29"/>
        <v>0</v>
      </c>
    </row>
    <row r="54" spans="2:44" x14ac:dyDescent="0.25">
      <c r="B54" s="22">
        <f t="shared" si="33"/>
        <v>46199</v>
      </c>
      <c r="C54" s="23" t="s">
        <v>54</v>
      </c>
      <c r="D54" s="50">
        <f t="shared" ref="D54" si="174">AH53</f>
        <v>0</v>
      </c>
      <c r="E54" s="34">
        <f t="shared" ref="E54" si="175">AI53</f>
        <v>0</v>
      </c>
      <c r="F54" s="34">
        <f t="shared" ref="F54" si="176">AJ53</f>
        <v>0</v>
      </c>
      <c r="G54" s="34">
        <f t="shared" si="14"/>
        <v>0</v>
      </c>
      <c r="H54" s="35">
        <f t="shared" si="15"/>
        <v>0</v>
      </c>
      <c r="I54" s="26">
        <f t="shared" si="16"/>
        <v>0</v>
      </c>
      <c r="J54" s="27"/>
      <c r="K54" s="28"/>
      <c r="L54" s="28"/>
      <c r="M54" s="61"/>
      <c r="N54" s="61"/>
      <c r="O54" s="31"/>
      <c r="P54" s="28"/>
      <c r="Q54" s="28"/>
      <c r="R54" s="53">
        <f t="shared" si="17"/>
        <v>0</v>
      </c>
      <c r="S54" s="34">
        <f t="shared" si="18"/>
        <v>0</v>
      </c>
      <c r="T54" s="35">
        <f t="shared" si="19"/>
        <v>0</v>
      </c>
      <c r="U54" s="37"/>
      <c r="V54" s="37"/>
      <c r="W54" s="38"/>
      <c r="X54" s="39"/>
      <c r="Y54" s="40"/>
      <c r="Z54" s="40"/>
      <c r="AA54" s="34">
        <f t="shared" si="20"/>
        <v>0</v>
      </c>
      <c r="AB54" s="35">
        <f t="shared" si="21"/>
        <v>0</v>
      </c>
      <c r="AC54" s="271"/>
      <c r="AD54" s="145"/>
      <c r="AE54" s="145"/>
      <c r="AF54" s="34">
        <f t="shared" si="22"/>
        <v>0</v>
      </c>
      <c r="AG54" s="44">
        <f t="shared" si="23"/>
        <v>0</v>
      </c>
      <c r="AH54" s="62"/>
      <c r="AI54" s="38"/>
      <c r="AJ54" s="38"/>
      <c r="AK54" s="34">
        <f t="shared" si="9"/>
        <v>0</v>
      </c>
      <c r="AL54" s="44">
        <f t="shared" si="10"/>
        <v>0</v>
      </c>
      <c r="AM54" s="45">
        <f t="shared" si="24"/>
        <v>0</v>
      </c>
      <c r="AN54" s="46">
        <f t="shared" si="25"/>
        <v>0</v>
      </c>
      <c r="AO54" s="46">
        <f t="shared" si="26"/>
        <v>0</v>
      </c>
      <c r="AP54" s="47" t="e">
        <f t="shared" si="27"/>
        <v>#DIV/0!</v>
      </c>
      <c r="AQ54" s="48">
        <f t="shared" si="28"/>
        <v>0</v>
      </c>
      <c r="AR54" s="49">
        <f t="shared" si="29"/>
        <v>0</v>
      </c>
    </row>
    <row r="55" spans="2:44" x14ac:dyDescent="0.25">
      <c r="B55" s="22">
        <f t="shared" si="33"/>
        <v>46199</v>
      </c>
      <c r="C55" s="23" t="s">
        <v>55</v>
      </c>
      <c r="D55" s="50">
        <f t="shared" ref="D55" si="177">AH54</f>
        <v>0</v>
      </c>
      <c r="E55" s="34">
        <f t="shared" ref="E55" si="178">AI54</f>
        <v>0</v>
      </c>
      <c r="F55" s="34">
        <f t="shared" ref="F55" si="179">AJ54</f>
        <v>0</v>
      </c>
      <c r="G55" s="34">
        <f t="shared" si="14"/>
        <v>0</v>
      </c>
      <c r="H55" s="35">
        <f t="shared" si="15"/>
        <v>0</v>
      </c>
      <c r="I55" s="26">
        <f t="shared" si="16"/>
        <v>0</v>
      </c>
      <c r="J55" s="27"/>
      <c r="K55" s="28"/>
      <c r="L55" s="28"/>
      <c r="M55" s="61"/>
      <c r="N55" s="61"/>
      <c r="O55" s="31"/>
      <c r="P55" s="28"/>
      <c r="Q55" s="28"/>
      <c r="R55" s="53">
        <f t="shared" si="17"/>
        <v>0</v>
      </c>
      <c r="S55" s="34">
        <f t="shared" si="18"/>
        <v>0</v>
      </c>
      <c r="T55" s="35">
        <f t="shared" si="19"/>
        <v>0</v>
      </c>
      <c r="U55" s="37"/>
      <c r="V55" s="37"/>
      <c r="W55" s="38"/>
      <c r="X55" s="39"/>
      <c r="Y55" s="40"/>
      <c r="Z55" s="40"/>
      <c r="AA55" s="34">
        <f t="shared" si="20"/>
        <v>0</v>
      </c>
      <c r="AB55" s="35">
        <f t="shared" si="21"/>
        <v>0</v>
      </c>
      <c r="AC55" s="273"/>
      <c r="AD55" s="130"/>
      <c r="AE55" s="130"/>
      <c r="AF55" s="34">
        <f t="shared" si="22"/>
        <v>0</v>
      </c>
      <c r="AG55" s="44">
        <f t="shared" si="23"/>
        <v>0</v>
      </c>
      <c r="AH55" s="62"/>
      <c r="AI55" s="38"/>
      <c r="AJ55" s="38"/>
      <c r="AK55" s="34">
        <f t="shared" si="9"/>
        <v>0</v>
      </c>
      <c r="AL55" s="44">
        <f t="shared" si="10"/>
        <v>0</v>
      </c>
      <c r="AM55" s="45">
        <f t="shared" si="24"/>
        <v>0</v>
      </c>
      <c r="AN55" s="46">
        <f t="shared" si="25"/>
        <v>0</v>
      </c>
      <c r="AO55" s="46">
        <f t="shared" si="26"/>
        <v>0</v>
      </c>
      <c r="AP55" s="47" t="e">
        <f t="shared" si="27"/>
        <v>#DIV/0!</v>
      </c>
      <c r="AQ55" s="48">
        <f t="shared" si="28"/>
        <v>0</v>
      </c>
      <c r="AR55" s="49">
        <f t="shared" si="29"/>
        <v>0</v>
      </c>
    </row>
    <row r="56" spans="2:44" x14ac:dyDescent="0.25">
      <c r="B56" s="22">
        <f t="shared" si="33"/>
        <v>46200</v>
      </c>
      <c r="C56" s="23" t="s">
        <v>54</v>
      </c>
      <c r="D56" s="50">
        <f t="shared" ref="D56" si="180">AH55</f>
        <v>0</v>
      </c>
      <c r="E56" s="34">
        <f t="shared" ref="E56" si="181">AI55</f>
        <v>0</v>
      </c>
      <c r="F56" s="34">
        <f t="shared" ref="F56" si="182">AJ55</f>
        <v>0</v>
      </c>
      <c r="G56" s="34">
        <f t="shared" si="14"/>
        <v>0</v>
      </c>
      <c r="H56" s="35">
        <f t="shared" si="15"/>
        <v>0</v>
      </c>
      <c r="I56" s="26">
        <f t="shared" si="16"/>
        <v>0</v>
      </c>
      <c r="J56" s="27"/>
      <c r="K56" s="28"/>
      <c r="L56" s="28"/>
      <c r="M56" s="61"/>
      <c r="N56" s="106"/>
      <c r="O56" s="31"/>
      <c r="P56" s="28"/>
      <c r="Q56" s="28"/>
      <c r="R56" s="53">
        <f t="shared" si="17"/>
        <v>0</v>
      </c>
      <c r="S56" s="34">
        <f t="shared" si="18"/>
        <v>0</v>
      </c>
      <c r="T56" s="35">
        <f t="shared" si="19"/>
        <v>0</v>
      </c>
      <c r="U56" s="37"/>
      <c r="V56" s="37"/>
      <c r="W56" s="38"/>
      <c r="X56" s="39"/>
      <c r="Y56" s="40"/>
      <c r="Z56" s="40"/>
      <c r="AA56" s="34">
        <f t="shared" si="20"/>
        <v>0</v>
      </c>
      <c r="AB56" s="35">
        <f t="shared" si="21"/>
        <v>0</v>
      </c>
      <c r="AC56" s="271"/>
      <c r="AD56" s="145"/>
      <c r="AE56" s="145"/>
      <c r="AF56" s="34">
        <f t="shared" si="22"/>
        <v>0</v>
      </c>
      <c r="AG56" s="44">
        <f t="shared" si="23"/>
        <v>0</v>
      </c>
      <c r="AH56" s="62"/>
      <c r="AI56" s="38"/>
      <c r="AJ56" s="38"/>
      <c r="AK56" s="34">
        <f t="shared" si="9"/>
        <v>0</v>
      </c>
      <c r="AL56" s="44">
        <f t="shared" si="10"/>
        <v>0</v>
      </c>
      <c r="AM56" s="45">
        <f t="shared" si="24"/>
        <v>0</v>
      </c>
      <c r="AN56" s="46">
        <f t="shared" si="25"/>
        <v>0</v>
      </c>
      <c r="AO56" s="46">
        <f t="shared" si="26"/>
        <v>0</v>
      </c>
      <c r="AP56" s="47" t="e">
        <f t="shared" si="27"/>
        <v>#DIV/0!</v>
      </c>
      <c r="AQ56" s="48">
        <f t="shared" si="28"/>
        <v>0</v>
      </c>
      <c r="AR56" s="49">
        <f t="shared" si="29"/>
        <v>0</v>
      </c>
    </row>
    <row r="57" spans="2:44" x14ac:dyDescent="0.25">
      <c r="B57" s="22">
        <f t="shared" si="33"/>
        <v>46200</v>
      </c>
      <c r="C57" s="23" t="s">
        <v>55</v>
      </c>
      <c r="D57" s="50">
        <f t="shared" ref="D57:F57" si="183">AH56</f>
        <v>0</v>
      </c>
      <c r="E57" s="34">
        <f t="shared" si="183"/>
        <v>0</v>
      </c>
      <c r="F57" s="34">
        <f t="shared" si="183"/>
        <v>0</v>
      </c>
      <c r="G57" s="34">
        <f t="shared" si="14"/>
        <v>0</v>
      </c>
      <c r="H57" s="35">
        <f t="shared" si="15"/>
        <v>0</v>
      </c>
      <c r="I57" s="26">
        <f t="shared" si="16"/>
        <v>0</v>
      </c>
      <c r="J57" s="27"/>
      <c r="K57" s="28"/>
      <c r="L57" s="28"/>
      <c r="M57" s="61"/>
      <c r="N57" s="61"/>
      <c r="O57" s="31"/>
      <c r="P57" s="28"/>
      <c r="Q57" s="28"/>
      <c r="R57" s="53">
        <f t="shared" si="17"/>
        <v>0</v>
      </c>
      <c r="S57" s="34">
        <f t="shared" si="18"/>
        <v>0</v>
      </c>
      <c r="T57" s="35">
        <f t="shared" si="19"/>
        <v>0</v>
      </c>
      <c r="U57" s="37"/>
      <c r="V57" s="37"/>
      <c r="W57" s="38"/>
      <c r="X57" s="39"/>
      <c r="Y57" s="40"/>
      <c r="Z57" s="40"/>
      <c r="AA57" s="34">
        <f t="shared" si="20"/>
        <v>0</v>
      </c>
      <c r="AB57" s="35">
        <f t="shared" si="21"/>
        <v>0</v>
      </c>
      <c r="AC57" s="273"/>
      <c r="AD57" s="130"/>
      <c r="AE57" s="130"/>
      <c r="AF57" s="34">
        <f t="shared" si="22"/>
        <v>0</v>
      </c>
      <c r="AG57" s="44">
        <f t="shared" si="23"/>
        <v>0</v>
      </c>
      <c r="AH57" s="62"/>
      <c r="AI57" s="38"/>
      <c r="AJ57" s="38"/>
      <c r="AK57" s="34">
        <f t="shared" si="9"/>
        <v>0</v>
      </c>
      <c r="AL57" s="44">
        <f t="shared" si="10"/>
        <v>0</v>
      </c>
      <c r="AM57" s="45">
        <f t="shared" si="24"/>
        <v>0</v>
      </c>
      <c r="AN57" s="46">
        <f t="shared" si="25"/>
        <v>0</v>
      </c>
      <c r="AO57" s="46">
        <f t="shared" si="26"/>
        <v>0</v>
      </c>
      <c r="AP57" s="47" t="e">
        <f t="shared" si="27"/>
        <v>#DIV/0!</v>
      </c>
      <c r="AQ57" s="48">
        <f t="shared" si="28"/>
        <v>0</v>
      </c>
      <c r="AR57" s="49">
        <f t="shared" si="29"/>
        <v>0</v>
      </c>
    </row>
    <row r="58" spans="2:44" x14ac:dyDescent="0.25">
      <c r="B58" s="22">
        <f t="shared" si="33"/>
        <v>46201</v>
      </c>
      <c r="C58" s="23" t="s">
        <v>54</v>
      </c>
      <c r="D58" s="50">
        <f t="shared" ref="D58" si="184">AH57</f>
        <v>0</v>
      </c>
      <c r="E58" s="34">
        <f t="shared" ref="E58" si="185">AI57</f>
        <v>0</v>
      </c>
      <c r="F58" s="34">
        <f t="shared" ref="F58" si="186">AJ57</f>
        <v>0</v>
      </c>
      <c r="G58" s="34">
        <f t="shared" si="14"/>
        <v>0</v>
      </c>
      <c r="H58" s="35">
        <f t="shared" si="15"/>
        <v>0</v>
      </c>
      <c r="I58" s="26">
        <f t="shared" si="16"/>
        <v>0</v>
      </c>
      <c r="J58" s="27"/>
      <c r="K58" s="28"/>
      <c r="L58" s="28"/>
      <c r="M58" s="61"/>
      <c r="N58" s="61"/>
      <c r="O58" s="31"/>
      <c r="P58" s="28"/>
      <c r="Q58" s="28"/>
      <c r="R58" s="53">
        <f t="shared" si="17"/>
        <v>0</v>
      </c>
      <c r="S58" s="34">
        <f t="shared" si="18"/>
        <v>0</v>
      </c>
      <c r="T58" s="35">
        <f t="shared" si="19"/>
        <v>0</v>
      </c>
      <c r="U58" s="37"/>
      <c r="V58" s="37"/>
      <c r="W58" s="38"/>
      <c r="X58" s="39"/>
      <c r="Y58" s="40"/>
      <c r="Z58" s="40"/>
      <c r="AA58" s="34">
        <f t="shared" si="20"/>
        <v>0</v>
      </c>
      <c r="AB58" s="35">
        <f t="shared" si="21"/>
        <v>0</v>
      </c>
      <c r="AC58" s="273"/>
      <c r="AD58" s="130"/>
      <c r="AE58" s="130"/>
      <c r="AF58" s="34">
        <f t="shared" si="22"/>
        <v>0</v>
      </c>
      <c r="AG58" s="44">
        <f t="shared" si="23"/>
        <v>0</v>
      </c>
      <c r="AH58" s="62"/>
      <c r="AI58" s="38"/>
      <c r="AJ58" s="38"/>
      <c r="AK58" s="34">
        <f t="shared" si="9"/>
        <v>0</v>
      </c>
      <c r="AL58" s="44">
        <f t="shared" si="10"/>
        <v>0</v>
      </c>
      <c r="AM58" s="45">
        <f t="shared" si="24"/>
        <v>0</v>
      </c>
      <c r="AN58" s="46">
        <f t="shared" si="25"/>
        <v>0</v>
      </c>
      <c r="AO58" s="46">
        <f t="shared" si="26"/>
        <v>0</v>
      </c>
      <c r="AP58" s="47" t="e">
        <f t="shared" si="27"/>
        <v>#DIV/0!</v>
      </c>
      <c r="AQ58" s="48">
        <f t="shared" si="28"/>
        <v>0</v>
      </c>
      <c r="AR58" s="49">
        <f t="shared" si="29"/>
        <v>0</v>
      </c>
    </row>
    <row r="59" spans="2:44" x14ac:dyDescent="0.25">
      <c r="B59" s="22">
        <f t="shared" si="33"/>
        <v>46201</v>
      </c>
      <c r="C59" s="23" t="s">
        <v>55</v>
      </c>
      <c r="D59" s="50">
        <f t="shared" ref="D59" si="187">AH58</f>
        <v>0</v>
      </c>
      <c r="E59" s="34">
        <f t="shared" ref="E59" si="188">AI58</f>
        <v>0</v>
      </c>
      <c r="F59" s="34">
        <f t="shared" ref="F59" si="189">AJ58</f>
        <v>0</v>
      </c>
      <c r="G59" s="34">
        <f t="shared" si="14"/>
        <v>0</v>
      </c>
      <c r="H59" s="35">
        <f t="shared" si="15"/>
        <v>0</v>
      </c>
      <c r="I59" s="26">
        <f t="shared" si="16"/>
        <v>0</v>
      </c>
      <c r="J59" s="27"/>
      <c r="K59" s="28"/>
      <c r="L59" s="28"/>
      <c r="M59" s="61"/>
      <c r="N59" s="61"/>
      <c r="O59" s="31"/>
      <c r="P59" s="28"/>
      <c r="Q59" s="28"/>
      <c r="R59" s="53">
        <f t="shared" si="17"/>
        <v>0</v>
      </c>
      <c r="S59" s="34">
        <f t="shared" si="18"/>
        <v>0</v>
      </c>
      <c r="T59" s="35">
        <f t="shared" si="19"/>
        <v>0</v>
      </c>
      <c r="U59" s="37"/>
      <c r="V59" s="37"/>
      <c r="W59" s="38"/>
      <c r="X59" s="39"/>
      <c r="Y59" s="40"/>
      <c r="Z59" s="40"/>
      <c r="AA59" s="34">
        <f t="shared" si="20"/>
        <v>0</v>
      </c>
      <c r="AB59" s="35">
        <f t="shared" si="21"/>
        <v>0</v>
      </c>
      <c r="AC59" s="273"/>
      <c r="AD59" s="130"/>
      <c r="AE59" s="130"/>
      <c r="AF59" s="34">
        <f t="shared" si="22"/>
        <v>0</v>
      </c>
      <c r="AG59" s="44">
        <f t="shared" si="23"/>
        <v>0</v>
      </c>
      <c r="AH59" s="62"/>
      <c r="AI59" s="38"/>
      <c r="AJ59" s="38"/>
      <c r="AK59" s="34">
        <f t="shared" si="9"/>
        <v>0</v>
      </c>
      <c r="AL59" s="44">
        <f t="shared" si="10"/>
        <v>0</v>
      </c>
      <c r="AM59" s="45">
        <f t="shared" si="24"/>
        <v>0</v>
      </c>
      <c r="AN59" s="46">
        <f t="shared" si="25"/>
        <v>0</v>
      </c>
      <c r="AO59" s="46">
        <f t="shared" si="26"/>
        <v>0</v>
      </c>
      <c r="AP59" s="47" t="e">
        <f t="shared" si="27"/>
        <v>#DIV/0!</v>
      </c>
      <c r="AQ59" s="48">
        <f t="shared" si="28"/>
        <v>0</v>
      </c>
      <c r="AR59" s="49">
        <f t="shared" si="29"/>
        <v>0</v>
      </c>
    </row>
    <row r="60" spans="2:44" x14ac:dyDescent="0.25">
      <c r="B60" s="22">
        <f t="shared" si="33"/>
        <v>46202</v>
      </c>
      <c r="C60" s="23" t="s">
        <v>54</v>
      </c>
      <c r="D60" s="50">
        <f t="shared" ref="D60" si="190">AH59</f>
        <v>0</v>
      </c>
      <c r="E60" s="34">
        <f t="shared" ref="E60" si="191">AI59</f>
        <v>0</v>
      </c>
      <c r="F60" s="34">
        <f t="shared" ref="F60" si="192">AJ59</f>
        <v>0</v>
      </c>
      <c r="G60" s="34">
        <f t="shared" si="14"/>
        <v>0</v>
      </c>
      <c r="H60" s="35">
        <f t="shared" si="15"/>
        <v>0</v>
      </c>
      <c r="I60" s="26">
        <f t="shared" si="16"/>
        <v>0</v>
      </c>
      <c r="J60" s="27"/>
      <c r="K60" s="28"/>
      <c r="L60" s="28"/>
      <c r="M60" s="106"/>
      <c r="N60" s="106"/>
      <c r="O60" s="31"/>
      <c r="P60" s="28"/>
      <c r="Q60" s="28"/>
      <c r="R60" s="53">
        <f t="shared" si="17"/>
        <v>0</v>
      </c>
      <c r="S60" s="34">
        <f t="shared" si="18"/>
        <v>0</v>
      </c>
      <c r="T60" s="35">
        <f t="shared" si="19"/>
        <v>0</v>
      </c>
      <c r="U60" s="37"/>
      <c r="V60" s="37"/>
      <c r="W60" s="38"/>
      <c r="X60" s="39"/>
      <c r="Y60" s="40"/>
      <c r="Z60" s="40"/>
      <c r="AA60" s="34">
        <f t="shared" si="20"/>
        <v>0</v>
      </c>
      <c r="AB60" s="35">
        <f t="shared" si="21"/>
        <v>0</v>
      </c>
      <c r="AC60" s="273"/>
      <c r="AD60" s="130"/>
      <c r="AE60" s="130"/>
      <c r="AF60" s="34">
        <f t="shared" si="22"/>
        <v>0</v>
      </c>
      <c r="AG60" s="44">
        <f t="shared" si="23"/>
        <v>0</v>
      </c>
      <c r="AH60" s="62"/>
      <c r="AI60" s="38"/>
      <c r="AJ60" s="38"/>
      <c r="AK60" s="34">
        <f t="shared" si="9"/>
        <v>0</v>
      </c>
      <c r="AL60" s="44">
        <f t="shared" si="10"/>
        <v>0</v>
      </c>
      <c r="AM60" s="45">
        <f t="shared" si="24"/>
        <v>0</v>
      </c>
      <c r="AN60" s="46">
        <f t="shared" si="25"/>
        <v>0</v>
      </c>
      <c r="AO60" s="46">
        <f t="shared" si="26"/>
        <v>0</v>
      </c>
      <c r="AP60" s="47" t="e">
        <f t="shared" si="27"/>
        <v>#DIV/0!</v>
      </c>
      <c r="AQ60" s="48">
        <f t="shared" si="28"/>
        <v>0</v>
      </c>
      <c r="AR60" s="49">
        <f t="shared" si="29"/>
        <v>0</v>
      </c>
    </row>
    <row r="61" spans="2:44" x14ac:dyDescent="0.25">
      <c r="B61" s="22">
        <f t="shared" si="33"/>
        <v>46202</v>
      </c>
      <c r="C61" s="23" t="s">
        <v>55</v>
      </c>
      <c r="D61" s="50">
        <f t="shared" ref="D61:D63" si="193">AH60</f>
        <v>0</v>
      </c>
      <c r="E61" s="34">
        <f t="shared" ref="E61:E63" si="194">AI60</f>
        <v>0</v>
      </c>
      <c r="F61" s="34">
        <f t="shared" ref="F61:F63" si="195">AJ60</f>
        <v>0</v>
      </c>
      <c r="G61" s="34">
        <f t="shared" si="14"/>
        <v>0</v>
      </c>
      <c r="H61" s="35">
        <f t="shared" si="15"/>
        <v>0</v>
      </c>
      <c r="I61" s="26">
        <f t="shared" si="16"/>
        <v>0</v>
      </c>
      <c r="J61" s="27"/>
      <c r="K61" s="28"/>
      <c r="L61" s="28"/>
      <c r="M61" s="61"/>
      <c r="N61" s="61"/>
      <c r="O61" s="31"/>
      <c r="P61" s="28"/>
      <c r="Q61" s="28"/>
      <c r="R61" s="53">
        <f t="shared" si="17"/>
        <v>0</v>
      </c>
      <c r="S61" s="34">
        <f t="shared" si="18"/>
        <v>0</v>
      </c>
      <c r="T61" s="35">
        <f t="shared" si="19"/>
        <v>0</v>
      </c>
      <c r="U61" s="37"/>
      <c r="V61" s="37"/>
      <c r="W61" s="38"/>
      <c r="X61" s="39"/>
      <c r="Y61" s="40"/>
      <c r="Z61" s="40"/>
      <c r="AA61" s="34">
        <f t="shared" si="20"/>
        <v>0</v>
      </c>
      <c r="AB61" s="35">
        <f t="shared" si="21"/>
        <v>0</v>
      </c>
      <c r="AC61" s="273"/>
      <c r="AD61" s="130"/>
      <c r="AE61" s="130"/>
      <c r="AF61" s="34">
        <f t="shared" si="22"/>
        <v>0</v>
      </c>
      <c r="AG61" s="44">
        <f t="shared" si="23"/>
        <v>0</v>
      </c>
      <c r="AH61" s="62"/>
      <c r="AI61" s="38"/>
      <c r="AJ61" s="38"/>
      <c r="AK61" s="34">
        <f t="shared" si="9"/>
        <v>0</v>
      </c>
      <c r="AL61" s="44">
        <f t="shared" si="10"/>
        <v>0</v>
      </c>
      <c r="AM61" s="45">
        <f t="shared" si="24"/>
        <v>0</v>
      </c>
      <c r="AN61" s="46">
        <f t="shared" si="25"/>
        <v>0</v>
      </c>
      <c r="AO61" s="46">
        <f t="shared" si="26"/>
        <v>0</v>
      </c>
      <c r="AP61" s="47" t="e">
        <f t="shared" si="27"/>
        <v>#DIV/0!</v>
      </c>
      <c r="AQ61" s="48">
        <f t="shared" si="28"/>
        <v>0</v>
      </c>
      <c r="AR61" s="49">
        <f t="shared" si="29"/>
        <v>0</v>
      </c>
    </row>
    <row r="62" spans="2:44" x14ac:dyDescent="0.25">
      <c r="B62" s="22">
        <f t="shared" si="33"/>
        <v>46203</v>
      </c>
      <c r="C62" s="23" t="s">
        <v>54</v>
      </c>
      <c r="D62" s="50">
        <f t="shared" ref="D62" si="196">AH61</f>
        <v>0</v>
      </c>
      <c r="E62" s="34">
        <f t="shared" ref="E62" si="197">AI61</f>
        <v>0</v>
      </c>
      <c r="F62" s="34">
        <f t="shared" ref="F62" si="198">AJ61</f>
        <v>0</v>
      </c>
      <c r="G62" s="34">
        <f t="shared" si="14"/>
        <v>0</v>
      </c>
      <c r="H62" s="35">
        <f t="shared" si="15"/>
        <v>0</v>
      </c>
      <c r="I62" s="26">
        <f t="shared" si="16"/>
        <v>0</v>
      </c>
      <c r="J62" s="27"/>
      <c r="K62" s="28"/>
      <c r="L62" s="28"/>
      <c r="M62" s="61"/>
      <c r="N62" s="106"/>
      <c r="O62" s="31"/>
      <c r="P62" s="28"/>
      <c r="Q62" s="28"/>
      <c r="R62" s="53">
        <f t="shared" si="17"/>
        <v>0</v>
      </c>
      <c r="S62" s="34">
        <f t="shared" si="18"/>
        <v>0</v>
      </c>
      <c r="T62" s="35">
        <f t="shared" si="19"/>
        <v>0</v>
      </c>
      <c r="U62" s="37"/>
      <c r="V62" s="37"/>
      <c r="W62" s="38"/>
      <c r="X62" s="39"/>
      <c r="Y62" s="40"/>
      <c r="Z62" s="40"/>
      <c r="AA62" s="34">
        <f t="shared" si="20"/>
        <v>0</v>
      </c>
      <c r="AB62" s="35">
        <f t="shared" si="21"/>
        <v>0</v>
      </c>
      <c r="AC62" s="273"/>
      <c r="AD62" s="130"/>
      <c r="AE62" s="130"/>
      <c r="AF62" s="34">
        <f t="shared" si="22"/>
        <v>0</v>
      </c>
      <c r="AG62" s="44">
        <f t="shared" si="23"/>
        <v>0</v>
      </c>
      <c r="AH62" s="62"/>
      <c r="AI62" s="38"/>
      <c r="AJ62" s="38"/>
      <c r="AK62" s="34">
        <f t="shared" si="9"/>
        <v>0</v>
      </c>
      <c r="AL62" s="44">
        <f t="shared" si="10"/>
        <v>0</v>
      </c>
      <c r="AM62" s="45">
        <f t="shared" si="24"/>
        <v>0</v>
      </c>
      <c r="AN62" s="46">
        <f t="shared" si="25"/>
        <v>0</v>
      </c>
      <c r="AO62" s="46">
        <f t="shared" si="26"/>
        <v>0</v>
      </c>
      <c r="AP62" s="47" t="e">
        <f t="shared" si="27"/>
        <v>#DIV/0!</v>
      </c>
      <c r="AQ62" s="48">
        <f t="shared" si="28"/>
        <v>0</v>
      </c>
      <c r="AR62" s="49">
        <f t="shared" si="29"/>
        <v>0</v>
      </c>
    </row>
    <row r="63" spans="2:44" x14ac:dyDescent="0.25">
      <c r="B63" s="22">
        <f t="shared" si="33"/>
        <v>46203</v>
      </c>
      <c r="C63" s="23" t="s">
        <v>55</v>
      </c>
      <c r="D63" s="50">
        <f t="shared" si="193"/>
        <v>0</v>
      </c>
      <c r="E63" s="34">
        <f t="shared" si="194"/>
        <v>0</v>
      </c>
      <c r="F63" s="34">
        <f t="shared" si="195"/>
        <v>0</v>
      </c>
      <c r="G63" s="34">
        <f t="shared" si="14"/>
        <v>0</v>
      </c>
      <c r="H63" s="35">
        <f t="shared" si="15"/>
        <v>0</v>
      </c>
      <c r="I63" s="26">
        <f t="shared" si="16"/>
        <v>0</v>
      </c>
      <c r="J63" s="27"/>
      <c r="K63" s="28"/>
      <c r="L63" s="28"/>
      <c r="M63" s="61"/>
      <c r="N63" s="106"/>
      <c r="O63" s="31"/>
      <c r="P63" s="28"/>
      <c r="Q63" s="28"/>
      <c r="R63" s="53">
        <f t="shared" si="17"/>
        <v>0</v>
      </c>
      <c r="S63" s="34">
        <f t="shared" si="18"/>
        <v>0</v>
      </c>
      <c r="T63" s="35">
        <f t="shared" si="19"/>
        <v>0</v>
      </c>
      <c r="U63" s="37"/>
      <c r="V63" s="37"/>
      <c r="W63" s="38"/>
      <c r="X63" s="39"/>
      <c r="Y63" s="40"/>
      <c r="Z63" s="40"/>
      <c r="AA63" s="34">
        <f t="shared" si="20"/>
        <v>0</v>
      </c>
      <c r="AB63" s="35">
        <f t="shared" si="21"/>
        <v>0</v>
      </c>
      <c r="AC63" s="273"/>
      <c r="AD63" s="130"/>
      <c r="AE63" s="130"/>
      <c r="AF63" s="34">
        <f t="shared" si="22"/>
        <v>0</v>
      </c>
      <c r="AG63" s="44">
        <f t="shared" si="23"/>
        <v>0</v>
      </c>
      <c r="AH63" s="62"/>
      <c r="AI63" s="38"/>
      <c r="AJ63" s="38"/>
      <c r="AK63" s="34">
        <f t="shared" si="9"/>
        <v>0</v>
      </c>
      <c r="AL63" s="44">
        <f t="shared" si="10"/>
        <v>0</v>
      </c>
      <c r="AM63" s="45">
        <f t="shared" si="24"/>
        <v>0</v>
      </c>
      <c r="AN63" s="46">
        <f t="shared" si="25"/>
        <v>0</v>
      </c>
      <c r="AO63" s="46">
        <f t="shared" si="26"/>
        <v>0</v>
      </c>
      <c r="AP63" s="47" t="e">
        <f t="shared" si="27"/>
        <v>#DIV/0!</v>
      </c>
      <c r="AQ63" s="48">
        <f t="shared" si="28"/>
        <v>0</v>
      </c>
      <c r="AR63" s="49">
        <f t="shared" si="29"/>
        <v>0</v>
      </c>
    </row>
    <row r="64" spans="2:44" x14ac:dyDescent="0.25">
      <c r="B64" s="22">
        <f t="shared" si="33"/>
        <v>46204</v>
      </c>
      <c r="C64" s="23" t="s">
        <v>54</v>
      </c>
      <c r="D64" s="50">
        <f t="shared" ref="D64" si="199">AH63</f>
        <v>0</v>
      </c>
      <c r="E64" s="34">
        <f t="shared" ref="E64" si="200">AI63</f>
        <v>0</v>
      </c>
      <c r="F64" s="34">
        <f t="shared" ref="F64" si="201">AJ63</f>
        <v>0</v>
      </c>
      <c r="G64" s="34">
        <f t="shared" si="14"/>
        <v>0</v>
      </c>
      <c r="H64" s="35">
        <f t="shared" si="15"/>
        <v>0</v>
      </c>
      <c r="I64" s="26">
        <f t="shared" si="16"/>
        <v>0</v>
      </c>
      <c r="J64" s="27"/>
      <c r="K64" s="28"/>
      <c r="L64" s="28"/>
      <c r="M64" s="61"/>
      <c r="N64" s="106"/>
      <c r="O64" s="31"/>
      <c r="P64" s="28"/>
      <c r="Q64" s="28"/>
      <c r="R64" s="53">
        <f t="shared" si="17"/>
        <v>0</v>
      </c>
      <c r="S64" s="34">
        <f t="shared" si="18"/>
        <v>0</v>
      </c>
      <c r="T64" s="35">
        <f t="shared" si="19"/>
        <v>0</v>
      </c>
      <c r="U64" s="37"/>
      <c r="V64" s="37"/>
      <c r="W64" s="38"/>
      <c r="X64" s="39"/>
      <c r="Y64" s="40"/>
      <c r="Z64" s="40"/>
      <c r="AA64" s="34">
        <f t="shared" si="20"/>
        <v>0</v>
      </c>
      <c r="AB64" s="35">
        <f t="shared" si="21"/>
        <v>0</v>
      </c>
      <c r="AC64" s="273"/>
      <c r="AD64" s="130"/>
      <c r="AE64" s="130"/>
      <c r="AF64" s="34">
        <f t="shared" si="22"/>
        <v>0</v>
      </c>
      <c r="AG64" s="44">
        <f t="shared" si="23"/>
        <v>0</v>
      </c>
      <c r="AH64" s="62"/>
      <c r="AI64" s="38"/>
      <c r="AJ64" s="38"/>
      <c r="AK64" s="34">
        <f t="shared" si="9"/>
        <v>0</v>
      </c>
      <c r="AL64" s="44">
        <f t="shared" si="10"/>
        <v>0</v>
      </c>
      <c r="AM64" s="45">
        <f t="shared" si="24"/>
        <v>0</v>
      </c>
      <c r="AN64" s="46">
        <f t="shared" si="25"/>
        <v>0</v>
      </c>
      <c r="AO64" s="46">
        <f t="shared" si="26"/>
        <v>0</v>
      </c>
      <c r="AP64" s="47" t="e">
        <f t="shared" si="27"/>
        <v>#DIV/0!</v>
      </c>
      <c r="AQ64" s="48">
        <f t="shared" si="28"/>
        <v>0</v>
      </c>
      <c r="AR64" s="49">
        <f t="shared" si="29"/>
        <v>0</v>
      </c>
    </row>
    <row r="65" spans="2:44" x14ac:dyDescent="0.25">
      <c r="B65" s="22">
        <f t="shared" si="33"/>
        <v>46204</v>
      </c>
      <c r="C65" s="23" t="s">
        <v>55</v>
      </c>
      <c r="D65" s="50">
        <f t="shared" ref="D65" si="202">AH64</f>
        <v>0</v>
      </c>
      <c r="E65" s="34">
        <f t="shared" ref="E65" si="203">AI64</f>
        <v>0</v>
      </c>
      <c r="F65" s="34">
        <f t="shared" ref="F65" si="204">AJ64</f>
        <v>0</v>
      </c>
      <c r="G65" s="34">
        <f t="shared" si="14"/>
        <v>0</v>
      </c>
      <c r="H65" s="35">
        <f t="shared" si="15"/>
        <v>0</v>
      </c>
      <c r="I65" s="26">
        <f t="shared" si="16"/>
        <v>0</v>
      </c>
      <c r="J65" s="27"/>
      <c r="K65" s="28"/>
      <c r="L65" s="28"/>
      <c r="M65" s="61"/>
      <c r="N65" s="106"/>
      <c r="O65" s="31"/>
      <c r="P65" s="28"/>
      <c r="Q65" s="28"/>
      <c r="R65" s="53">
        <f t="shared" si="17"/>
        <v>0</v>
      </c>
      <c r="S65" s="34">
        <f t="shared" si="18"/>
        <v>0</v>
      </c>
      <c r="T65" s="35">
        <f t="shared" si="19"/>
        <v>0</v>
      </c>
      <c r="U65" s="37"/>
      <c r="V65" s="37"/>
      <c r="W65" s="38"/>
      <c r="X65" s="39"/>
      <c r="Y65" s="40"/>
      <c r="Z65" s="40"/>
      <c r="AA65" s="34">
        <f t="shared" si="20"/>
        <v>0</v>
      </c>
      <c r="AB65" s="35">
        <f t="shared" si="21"/>
        <v>0</v>
      </c>
      <c r="AC65" s="273"/>
      <c r="AD65" s="130"/>
      <c r="AE65" s="130"/>
      <c r="AF65" s="34">
        <f t="shared" si="22"/>
        <v>0</v>
      </c>
      <c r="AG65" s="44">
        <f t="shared" si="23"/>
        <v>0</v>
      </c>
      <c r="AH65" s="62"/>
      <c r="AI65" s="38"/>
      <c r="AJ65" s="38"/>
      <c r="AK65" s="34">
        <f t="shared" si="9"/>
        <v>0</v>
      </c>
      <c r="AL65" s="44">
        <f t="shared" si="10"/>
        <v>0</v>
      </c>
      <c r="AM65" s="45">
        <f t="shared" si="24"/>
        <v>0</v>
      </c>
      <c r="AN65" s="46">
        <f t="shared" si="25"/>
        <v>0</v>
      </c>
      <c r="AO65" s="46">
        <f t="shared" si="26"/>
        <v>0</v>
      </c>
      <c r="AP65" s="47" t="e">
        <f t="shared" si="27"/>
        <v>#DIV/0!</v>
      </c>
      <c r="AQ65" s="48">
        <f t="shared" si="28"/>
        <v>0</v>
      </c>
      <c r="AR65" s="49">
        <f t="shared" si="29"/>
        <v>0</v>
      </c>
    </row>
    <row r="66" spans="2:44" x14ac:dyDescent="0.25">
      <c r="J66" s="49">
        <f>SUM(J4:J65)</f>
        <v>4716.3081999999995</v>
      </c>
      <c r="K66">
        <f>SUMPRODUCT(J4:J65,K4:K65)/J66</f>
        <v>4.1291215870922091</v>
      </c>
      <c r="L66">
        <f>SUMPRODUCT(J4:J65,L4:L65)/J66</f>
        <v>8.4405997894709266</v>
      </c>
      <c r="X66" s="49">
        <f>SUM(X6:X65)</f>
        <v>2260</v>
      </c>
      <c r="AC66" s="152">
        <f>SUM(AC6:AC65)</f>
        <v>2285</v>
      </c>
      <c r="AM66" s="55">
        <f>-SUM(AM4:AM65)</f>
        <v>16.691799999999944</v>
      </c>
      <c r="AN66" s="55">
        <f>-SUM(AN4:AN65)</f>
        <v>2.4741999999999678</v>
      </c>
      <c r="AO66" s="55">
        <f>-SUM(AO4:AO65)</f>
        <v>-3.4047999999999803</v>
      </c>
      <c r="AQ66" s="55">
        <f>-SUM(AQ4:AQ65)</f>
        <v>91.949999999991178</v>
      </c>
    </row>
    <row r="71" spans="2:44" x14ac:dyDescent="0.25">
      <c r="AB71" s="15"/>
      <c r="AC71" s="151"/>
      <c r="AD71" s="15"/>
    </row>
    <row r="72" spans="2:44" x14ac:dyDescent="0.25">
      <c r="AB72" s="15"/>
      <c r="AC72" s="151"/>
      <c r="AD72" s="15"/>
    </row>
    <row r="73" spans="2:44" x14ac:dyDescent="0.25">
      <c r="AC73" s="15"/>
    </row>
    <row r="74" spans="2:44" x14ac:dyDescent="0.25">
      <c r="AB74" s="153"/>
      <c r="AC74" s="154"/>
      <c r="AD74" s="154"/>
    </row>
    <row r="75" spans="2:44" x14ac:dyDescent="0.25">
      <c r="AB75" s="15"/>
      <c r="AC75" s="15"/>
      <c r="AD75" s="15"/>
    </row>
    <row r="76" spans="2:44" x14ac:dyDescent="0.25">
      <c r="AB76" s="15"/>
      <c r="AC76" s="15"/>
      <c r="AD76" s="15"/>
    </row>
    <row r="81" spans="29:30" x14ac:dyDescent="0.25">
      <c r="AC81" s="152"/>
      <c r="AD81" s="152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" priority="1" operator="lessThan">
      <formula>0.1</formula>
    </cfRule>
    <cfRule type="cellIs" dxfId="8" priority="2" operator="greaterThan">
      <formula>0.1</formula>
    </cfRule>
  </conditionalFormatting>
  <conditionalFormatting sqref="AP1:AQ1">
    <cfRule type="cellIs" dxfId="7" priority="9" operator="lessThan">
      <formula>1</formula>
    </cfRule>
  </conditionalFormatting>
  <conditionalFormatting sqref="AQ4:AQ65">
    <cfRule type="cellIs" dxfId="6" priority="3" operator="lessThan">
      <formula>0</formula>
    </cfRule>
    <cfRule type="cellIs" dxfId="5" priority="4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14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6" sqref="H26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77"/>
      <c r="O3" s="108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77"/>
      <c r="O4" s="108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86"/>
      <c r="I5" s="86"/>
      <c r="J5" s="86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/>
      <c r="E6" s="86"/>
      <c r="F6" s="86"/>
      <c r="G6" s="142"/>
      <c r="H6" s="86"/>
      <c r="I6" s="86"/>
      <c r="J6" s="86"/>
      <c r="K6" s="86"/>
      <c r="L6" s="86"/>
      <c r="M6" s="87"/>
      <c r="N6" s="77"/>
      <c r="O6" s="108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0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77"/>
      <c r="O9" s="108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143"/>
      <c r="H12" s="86"/>
      <c r="I12" s="86"/>
      <c r="J12" s="86"/>
      <c r="K12" s="86"/>
      <c r="L12" s="86"/>
      <c r="M12" s="87"/>
      <c r="N12" s="77"/>
      <c r="O12" s="108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77"/>
      <c r="O13" s="108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77"/>
      <c r="O15" s="108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77"/>
      <c r="O16" s="108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143"/>
      <c r="H18" s="86"/>
      <c r="I18" s="86"/>
      <c r="J18" s="86"/>
      <c r="K18" s="86"/>
      <c r="L18" s="86"/>
      <c r="M18" s="87"/>
      <c r="N18" s="77"/>
      <c r="O18" s="108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143"/>
      <c r="H19" s="86"/>
      <c r="I19" s="86"/>
      <c r="J19" s="86"/>
      <c r="K19" s="86"/>
      <c r="L19" s="86"/>
      <c r="M19" s="87"/>
      <c r="N19" s="77"/>
      <c r="O19" s="108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98"/>
      <c r="E21" s="86"/>
      <c r="F21" s="86"/>
      <c r="G21" s="86"/>
      <c r="H21" s="86"/>
      <c r="I21" s="86"/>
      <c r="J21" s="86"/>
      <c r="K21" s="86"/>
      <c r="L21" s="86"/>
      <c r="M21" s="87"/>
      <c r="N21" s="77"/>
      <c r="O21" s="108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98"/>
      <c r="E22" s="86"/>
      <c r="F22" s="86"/>
      <c r="G22" s="86"/>
      <c r="H22" s="86"/>
      <c r="I22" s="86"/>
      <c r="J22" s="86"/>
      <c r="K22" s="86"/>
      <c r="L22" s="86"/>
      <c r="M22" s="87"/>
      <c r="N22" s="77"/>
      <c r="O22" s="108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143"/>
      <c r="F24" s="143"/>
      <c r="G24" s="143"/>
      <c r="H24" s="138"/>
      <c r="I24" s="139"/>
      <c r="J24" s="139"/>
      <c r="K24" s="86"/>
      <c r="L24" s="86"/>
      <c r="M24" s="87"/>
      <c r="N24" s="77"/>
      <c r="O24" s="108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86"/>
      <c r="E27" s="143"/>
      <c r="F27" s="143"/>
      <c r="G27" s="143"/>
      <c r="H27" s="138"/>
      <c r="I27" s="139"/>
      <c r="J27" s="139"/>
      <c r="K27" s="86"/>
      <c r="L27" s="86"/>
      <c r="M27" s="87"/>
      <c r="N27" s="77"/>
      <c r="O27" s="108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77"/>
      <c r="O30" s="108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31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77"/>
      <c r="O33" s="108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31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77"/>
      <c r="O34" s="108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31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31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77"/>
      <c r="O36" s="108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31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77"/>
      <c r="O37" s="108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31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31" x14ac:dyDescent="0.25">
      <c r="A39" s="83"/>
      <c r="B39" s="84" t="s">
        <v>73</v>
      </c>
      <c r="C39" s="85"/>
      <c r="D39" s="98"/>
      <c r="E39" s="86"/>
      <c r="F39" s="86"/>
      <c r="G39" s="86"/>
      <c r="H39" s="86"/>
      <c r="I39" s="86"/>
      <c r="J39" s="86"/>
      <c r="K39" s="86"/>
      <c r="L39" s="86"/>
      <c r="M39" s="87"/>
      <c r="N39" s="77"/>
      <c r="O39" s="108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31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31" x14ac:dyDescent="0.25">
      <c r="A41" s="83"/>
      <c r="B41" s="84"/>
      <c r="C41" s="85"/>
      <c r="D41" s="86"/>
      <c r="E41" s="86"/>
      <c r="F41" s="86"/>
      <c r="G41" s="86"/>
      <c r="H41" s="86"/>
      <c r="I41" s="86"/>
      <c r="J41" s="86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0"/>
      <c r="W41" s="91"/>
      <c r="X41" s="92"/>
      <c r="Y41" s="92"/>
      <c r="Z41" s="92"/>
      <c r="AA41" s="92"/>
      <c r="AB41" s="93"/>
    </row>
    <row r="42" spans="1:31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107"/>
      <c r="N42" s="77"/>
      <c r="O42" s="108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31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0"/>
      <c r="O43" s="77"/>
      <c r="P43" s="89"/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31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31" x14ac:dyDescent="0.25">
      <c r="A45" s="83"/>
      <c r="B45" s="84" t="s">
        <v>73</v>
      </c>
      <c r="C45" s="85"/>
      <c r="D45" s="98"/>
      <c r="E45" s="86"/>
      <c r="F45" s="86"/>
      <c r="G45" s="86"/>
      <c r="H45" s="86"/>
      <c r="I45" s="86"/>
      <c r="J45" s="86"/>
      <c r="K45" s="86"/>
      <c r="L45" s="86"/>
      <c r="M45" s="87"/>
      <c r="N45" s="77"/>
      <c r="O45" s="108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  <c r="AE45">
        <v>0</v>
      </c>
    </row>
    <row r="46" spans="1:31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31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31" x14ac:dyDescent="0.25">
      <c r="A48" s="83"/>
      <c r="B48" s="84" t="s">
        <v>73</v>
      </c>
      <c r="C48" s="85"/>
      <c r="D48" s="98"/>
      <c r="E48" s="86"/>
      <c r="F48" s="86"/>
      <c r="G48" s="86"/>
      <c r="H48" s="86"/>
      <c r="I48" s="86"/>
      <c r="J48" s="86"/>
      <c r="K48" s="86"/>
      <c r="L48" s="86"/>
      <c r="M48" s="107"/>
      <c r="N48" s="77"/>
      <c r="O48" s="108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98"/>
      <c r="E49" s="86"/>
      <c r="F49" s="86"/>
      <c r="G49" s="86"/>
      <c r="H49" s="86"/>
      <c r="I49" s="86"/>
      <c r="J49" s="86"/>
      <c r="K49" s="86"/>
      <c r="L49" s="86"/>
      <c r="M49" s="107"/>
      <c r="N49" s="88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77"/>
      <c r="O51" s="108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0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77"/>
      <c r="O54" s="108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98"/>
      <c r="E57" s="86"/>
      <c r="F57" s="86"/>
      <c r="G57" s="86"/>
      <c r="H57" s="86"/>
      <c r="I57" s="86"/>
      <c r="J57" s="86"/>
      <c r="K57" s="86"/>
      <c r="L57" s="86"/>
      <c r="M57" s="87"/>
      <c r="N57" s="77"/>
      <c r="O57" s="108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8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86"/>
      <c r="I62" s="86"/>
      <c r="J62" s="86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0"/>
      <c r="W62" s="91"/>
      <c r="X62" s="92"/>
      <c r="Y62" s="92"/>
      <c r="Z62" s="92"/>
      <c r="AA62" s="92"/>
      <c r="AB62" s="93"/>
    </row>
    <row r="63" spans="1:28" x14ac:dyDescent="0.25">
      <c r="A63" s="83"/>
      <c r="B63" s="84" t="s">
        <v>73</v>
      </c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86"/>
      <c r="I74" s="86"/>
      <c r="J74" s="86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0"/>
      <c r="W74" s="91"/>
      <c r="X74" s="92"/>
      <c r="Y74" s="92"/>
      <c r="Z74" s="92"/>
      <c r="AA74" s="92"/>
      <c r="AB74" s="93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8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76</v>
      </c>
      <c r="C78" s="85"/>
      <c r="D78" s="98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77</v>
      </c>
      <c r="C81" s="85"/>
      <c r="D81" s="86"/>
      <c r="E81" s="86"/>
      <c r="F81" s="86"/>
      <c r="G81" s="86"/>
      <c r="H81" s="86"/>
      <c r="I81" s="86"/>
      <c r="J81" s="86"/>
      <c r="K81" s="86">
        <f t="shared" ref="K81:K82" si="0">H81*I81%</f>
        <v>0</v>
      </c>
      <c r="L81" s="86">
        <f t="shared" ref="L81:L82" si="1">H81*J81%</f>
        <v>0</v>
      </c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>
        <f t="shared" si="0"/>
        <v>0</v>
      </c>
      <c r="L82" s="86">
        <f t="shared" si="1"/>
        <v>0</v>
      </c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/>
      <c r="E84" s="86"/>
      <c r="F84" s="86"/>
      <c r="G84" s="86"/>
      <c r="H84" s="86"/>
      <c r="I84" s="86"/>
      <c r="J84" s="86"/>
      <c r="K84" s="86">
        <f>H84*I84%</f>
        <v>0</v>
      </c>
      <c r="L84" s="86">
        <f>H84*J84%</f>
        <v>0</v>
      </c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>
        <f>H85*I85%</f>
        <v>0</v>
      </c>
      <c r="L85" s="86">
        <f>H85*J85%</f>
        <v>0</v>
      </c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/>
      <c r="Q87" s="79"/>
      <c r="R87" s="80"/>
      <c r="S87" s="80"/>
      <c r="T87" s="80"/>
      <c r="U87" s="80"/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/>
      <c r="R88" s="80"/>
      <c r="S88" s="80"/>
      <c r="T88" s="80"/>
      <c r="U88" s="80"/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/>
      <c r="Q90" s="79"/>
      <c r="R90" s="80"/>
      <c r="S90" s="80"/>
      <c r="T90" s="80"/>
      <c r="U90" s="80"/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/>
      <c r="R91" s="80"/>
      <c r="S91" s="80"/>
      <c r="T91" s="80"/>
      <c r="U91" s="80"/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/>
      <c r="Q93" s="79"/>
      <c r="R93" s="80"/>
      <c r="S93" s="80"/>
      <c r="T93" s="80"/>
      <c r="U93" s="80"/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/>
      <c r="R94" s="80"/>
      <c r="S94" s="80"/>
      <c r="T94" s="80"/>
      <c r="U94" s="80"/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/>
      <c r="Q96" s="79"/>
      <c r="R96" s="80"/>
      <c r="S96" s="80"/>
      <c r="T96" s="80"/>
      <c r="U96" s="80"/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/>
      <c r="R97" s="80"/>
      <c r="S97" s="80"/>
      <c r="T97" s="80"/>
      <c r="U97" s="80"/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76</v>
      </c>
      <c r="C99" s="85"/>
      <c r="D99" s="86"/>
      <c r="E99" s="86"/>
      <c r="F99" s="86"/>
      <c r="G99" s="86"/>
      <c r="H99" s="86"/>
      <c r="I99" s="86"/>
      <c r="J99" s="86"/>
      <c r="K99" s="86">
        <f t="shared" ref="K99:K100" si="2">H99*I99%</f>
        <v>0</v>
      </c>
      <c r="L99" s="86">
        <f t="shared" ref="L99:L100" si="3">H99*J99%</f>
        <v>0</v>
      </c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>
        <f t="shared" si="2"/>
        <v>0</v>
      </c>
      <c r="L100" s="86">
        <f t="shared" si="3"/>
        <v>0</v>
      </c>
      <c r="M100" s="87"/>
      <c r="N100" s="80"/>
      <c r="O100" s="77"/>
      <c r="P100" s="89"/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>
        <f t="shared" ref="K102:K103" si="4">H102*I102%</f>
        <v>0</v>
      </c>
      <c r="L102" s="86">
        <f t="shared" ref="L102:L103" si="5">H102*J102%</f>
        <v>0</v>
      </c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>
        <f t="shared" si="4"/>
        <v>0</v>
      </c>
      <c r="L103" s="86">
        <f t="shared" si="5"/>
        <v>0</v>
      </c>
      <c r="M103" s="87"/>
      <c r="N103" s="80"/>
      <c r="O103" s="77"/>
      <c r="P103" s="89"/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/>
      <c r="Q105" s="79"/>
      <c r="R105" s="80"/>
      <c r="S105" s="80"/>
      <c r="T105" s="80"/>
      <c r="U105" s="80"/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/>
      <c r="Q106" s="79"/>
      <c r="R106" s="80"/>
      <c r="S106" s="80"/>
      <c r="T106" s="80"/>
      <c r="U106" s="80"/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/>
      <c r="Q108" s="79"/>
      <c r="R108" s="80"/>
      <c r="S108" s="80"/>
      <c r="T108" s="80"/>
      <c r="U108" s="80"/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/>
      <c r="R109" s="80"/>
      <c r="S109" s="80"/>
      <c r="T109" s="80"/>
      <c r="U109" s="80"/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>
        <f t="shared" ref="K113:K119" si="6">H113*I113%</f>
        <v>0</v>
      </c>
      <c r="L113" s="86">
        <f t="shared" ref="L113:L119" si="7">H113*J113%</f>
        <v>0</v>
      </c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  <c r="AB113" s="93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>
        <f t="shared" si="6"/>
        <v>0</v>
      </c>
      <c r="L114" s="86">
        <f t="shared" si="7"/>
        <v>0</v>
      </c>
      <c r="M114" s="87"/>
      <c r="N114" s="88"/>
      <c r="O114" s="77"/>
      <c r="P114" s="89"/>
      <c r="Q114" s="79"/>
      <c r="R114" s="80"/>
      <c r="S114" s="80"/>
      <c r="T114" s="80"/>
      <c r="U114" s="80"/>
      <c r="V114" s="95"/>
      <c r="W114" s="96"/>
      <c r="X114" s="97"/>
      <c r="Y114" s="97"/>
      <c r="Z114" s="97"/>
      <c r="AA114" s="97"/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>
        <f t="shared" si="6"/>
        <v>0</v>
      </c>
      <c r="L115" s="86">
        <f t="shared" si="7"/>
        <v>0</v>
      </c>
      <c r="M115" s="87"/>
      <c r="N115" s="80"/>
      <c r="O115" s="77"/>
      <c r="P115" s="89"/>
      <c r="Q115" s="79"/>
      <c r="R115" s="80"/>
      <c r="S115" s="80"/>
      <c r="T115" s="80"/>
      <c r="U115" s="80"/>
      <c r="V115" s="95"/>
      <c r="W115" s="96"/>
      <c r="X115" s="97"/>
      <c r="Y115" s="97"/>
      <c r="Z115" s="97"/>
      <c r="AA115" s="97"/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>
        <f t="shared" si="6"/>
        <v>0</v>
      </c>
      <c r="L116" s="86">
        <f t="shared" si="7"/>
        <v>0</v>
      </c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  <c r="AB116" s="93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>
        <f t="shared" si="6"/>
        <v>0</v>
      </c>
      <c r="L117" s="86">
        <f t="shared" si="7"/>
        <v>0</v>
      </c>
      <c r="M117" s="87"/>
      <c r="N117" s="88"/>
      <c r="O117" s="77"/>
      <c r="P117" s="89"/>
      <c r="Q117" s="79"/>
      <c r="R117" s="80"/>
      <c r="S117" s="80"/>
      <c r="T117" s="80"/>
      <c r="U117" s="80"/>
      <c r="V117" s="95"/>
      <c r="W117" s="96"/>
      <c r="X117" s="97"/>
      <c r="Y117" s="97"/>
      <c r="Z117" s="97"/>
      <c r="AA117" s="97"/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>
        <f t="shared" si="6"/>
        <v>0</v>
      </c>
      <c r="L118" s="86">
        <f t="shared" si="7"/>
        <v>0</v>
      </c>
      <c r="M118" s="87"/>
      <c r="N118" s="80"/>
      <c r="O118" s="77"/>
      <c r="P118" s="89"/>
      <c r="Q118" s="79"/>
      <c r="R118" s="80"/>
      <c r="S118" s="80"/>
      <c r="T118" s="80"/>
      <c r="U118" s="80"/>
      <c r="V118" s="95"/>
      <c r="W118" s="96"/>
      <c r="X118" s="97"/>
      <c r="Y118" s="97"/>
      <c r="Z118" s="97"/>
      <c r="AA118" s="97"/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>
        <f t="shared" si="6"/>
        <v>0</v>
      </c>
      <c r="L119" s="86">
        <f t="shared" si="7"/>
        <v>0</v>
      </c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/>
    </row>
    <row r="122" spans="1:28" x14ac:dyDescent="0.25">
      <c r="A122" s="83"/>
      <c r="B122" s="84"/>
      <c r="C122" s="85"/>
      <c r="D122" s="86"/>
      <c r="E122" s="86"/>
      <c r="F122" s="86"/>
      <c r="G122" s="86"/>
      <c r="H122" s="86"/>
      <c r="I122" s="86"/>
      <c r="J122" s="86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/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94"/>
      <c r="L125" s="94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73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</sheetData>
  <autoFilter ref="A1:AB55" xr:uid="{00000000-0009-0000-0000-000015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/>
  <dimension ref="B1:AA25"/>
  <sheetViews>
    <sheetView workbookViewId="0">
      <selection activeCell="C18" sqref="C18"/>
    </sheetView>
  </sheetViews>
  <sheetFormatPr defaultRowHeight="15" x14ac:dyDescent="0.25"/>
  <cols>
    <col min="2" max="2" width="9.7109375" bestFit="1" customWidth="1"/>
    <col min="18" max="18" width="10.5703125" bestFit="1" customWidth="1"/>
    <col min="19" max="20" width="9.42578125" bestFit="1" customWidth="1"/>
  </cols>
  <sheetData>
    <row r="1" spans="2:27" x14ac:dyDescent="0.25">
      <c r="B1" t="s">
        <v>107</v>
      </c>
      <c r="C1" t="s">
        <v>115</v>
      </c>
      <c r="G1" t="s">
        <v>3</v>
      </c>
      <c r="H1" t="s">
        <v>116</v>
      </c>
      <c r="L1" t="s">
        <v>124</v>
      </c>
      <c r="M1" t="s">
        <v>115</v>
      </c>
      <c r="Q1" t="s">
        <v>108</v>
      </c>
      <c r="R1" t="s">
        <v>115</v>
      </c>
    </row>
    <row r="2" spans="2:27" x14ac:dyDescent="0.25">
      <c r="B2" s="65" t="s">
        <v>126</v>
      </c>
      <c r="C2" s="65"/>
      <c r="D2" s="65"/>
      <c r="E2" s="65"/>
      <c r="G2" s="65" t="s">
        <v>123</v>
      </c>
      <c r="H2" s="65"/>
      <c r="I2" s="65"/>
      <c r="J2" s="65"/>
      <c r="L2" t="s">
        <v>127</v>
      </c>
      <c r="Q2" t="s">
        <v>125</v>
      </c>
    </row>
    <row r="3" spans="2:27" x14ac:dyDescent="0.25">
      <c r="B3" s="65" t="s">
        <v>61</v>
      </c>
      <c r="C3" s="65" t="s">
        <v>62</v>
      </c>
      <c r="D3" s="65" t="s">
        <v>42</v>
      </c>
      <c r="E3" s="65" t="s">
        <v>43</v>
      </c>
      <c r="G3" s="65" t="s">
        <v>61</v>
      </c>
      <c r="H3" s="65" t="s">
        <v>62</v>
      </c>
      <c r="I3" s="65" t="s">
        <v>42</v>
      </c>
      <c r="J3" s="65" t="s">
        <v>43</v>
      </c>
      <c r="L3" s="65" t="s">
        <v>61</v>
      </c>
      <c r="M3" s="65" t="s">
        <v>62</v>
      </c>
      <c r="N3" s="65" t="s">
        <v>42</v>
      </c>
      <c r="O3" s="65" t="s">
        <v>43</v>
      </c>
      <c r="Q3" s="65" t="s">
        <v>61</v>
      </c>
      <c r="R3" s="65" t="s">
        <v>62</v>
      </c>
      <c r="S3" s="65" t="s">
        <v>42</v>
      </c>
      <c r="T3" s="65" t="s">
        <v>43</v>
      </c>
      <c r="V3" s="65" t="s">
        <v>61</v>
      </c>
      <c r="W3" s="65" t="s">
        <v>62</v>
      </c>
      <c r="X3" s="65" t="s">
        <v>42</v>
      </c>
      <c r="Y3" s="65" t="s">
        <v>43</v>
      </c>
    </row>
    <row r="4" spans="2:27" x14ac:dyDescent="0.25">
      <c r="B4" s="37"/>
      <c r="C4" s="65">
        <v>5700</v>
      </c>
      <c r="D4" s="65">
        <v>3.95</v>
      </c>
      <c r="E4" s="65">
        <v>8.4499999999999993</v>
      </c>
      <c r="G4" s="37"/>
      <c r="H4" s="65">
        <v>5680</v>
      </c>
      <c r="I4" s="65">
        <v>3.75</v>
      </c>
      <c r="J4" s="65">
        <v>8.23</v>
      </c>
      <c r="L4" s="37" t="s">
        <v>128</v>
      </c>
      <c r="M4" s="65">
        <v>4157</v>
      </c>
      <c r="N4" s="65">
        <v>3.75</v>
      </c>
      <c r="O4" s="65">
        <v>8.41</v>
      </c>
      <c r="Q4" s="37"/>
      <c r="R4" s="66">
        <v>4161</v>
      </c>
      <c r="S4" s="187">
        <v>3.59</v>
      </c>
      <c r="T4" s="187">
        <v>8.2799999999999994</v>
      </c>
      <c r="V4" s="37"/>
      <c r="W4" s="50"/>
      <c r="X4" s="34"/>
      <c r="Y4" s="34"/>
    </row>
    <row r="5" spans="2:27" x14ac:dyDescent="0.25">
      <c r="B5" s="65"/>
      <c r="C5" s="65">
        <v>9200</v>
      </c>
      <c r="D5" s="65">
        <v>3.8</v>
      </c>
      <c r="E5" s="65">
        <v>8.35</v>
      </c>
      <c r="G5" s="65"/>
      <c r="H5" s="65">
        <v>9180</v>
      </c>
      <c r="I5" s="65">
        <v>3.7</v>
      </c>
      <c r="J5" s="65">
        <v>8.15</v>
      </c>
      <c r="L5" s="65">
        <v>72542</v>
      </c>
      <c r="M5" s="65">
        <v>5440</v>
      </c>
      <c r="N5" s="65">
        <v>4</v>
      </c>
      <c r="O5" s="65">
        <v>8.5</v>
      </c>
      <c r="Q5" s="65"/>
      <c r="R5" s="65">
        <v>5440</v>
      </c>
      <c r="S5" s="65">
        <v>3.9</v>
      </c>
      <c r="T5" s="65">
        <v>8.31</v>
      </c>
      <c r="V5" s="65"/>
      <c r="W5" s="66"/>
      <c r="X5" s="65"/>
      <c r="Y5" s="65"/>
      <c r="Z5" s="152"/>
      <c r="AA5" s="152"/>
    </row>
    <row r="6" spans="2:27" x14ac:dyDescent="0.25">
      <c r="B6" s="65"/>
      <c r="C6" s="65"/>
      <c r="D6" s="65"/>
      <c r="E6" s="65"/>
      <c r="G6" s="65"/>
      <c r="H6" s="65"/>
      <c r="I6" s="65"/>
      <c r="J6" s="65"/>
      <c r="L6" s="65"/>
      <c r="M6" s="65"/>
      <c r="N6" s="65"/>
      <c r="O6" s="65"/>
      <c r="Q6" s="65"/>
      <c r="R6" s="66"/>
      <c r="S6" s="187"/>
      <c r="T6" s="187"/>
      <c r="V6" s="65"/>
      <c r="W6" s="66"/>
      <c r="X6" s="65"/>
      <c r="Y6" s="65"/>
      <c r="Z6" s="152"/>
      <c r="AA6" s="152"/>
    </row>
    <row r="7" spans="2:27" x14ac:dyDescent="0.25">
      <c r="B7" s="65"/>
      <c r="C7" s="65"/>
      <c r="D7" s="65"/>
      <c r="E7" s="65"/>
      <c r="G7" s="65"/>
      <c r="H7" s="65"/>
      <c r="I7" s="65"/>
      <c r="J7" s="65"/>
      <c r="L7" s="65"/>
      <c r="M7" s="65"/>
      <c r="N7" s="65"/>
      <c r="O7" s="65"/>
      <c r="Q7" s="65"/>
      <c r="R7" s="66"/>
      <c r="S7" s="187"/>
      <c r="T7" s="187"/>
      <c r="V7" s="65"/>
      <c r="W7" s="66">
        <v>610</v>
      </c>
      <c r="X7" s="65">
        <v>4.4000000000000004</v>
      </c>
      <c r="Y7" s="65">
        <v>8.5399999999999991</v>
      </c>
      <c r="Z7" s="152"/>
      <c r="AA7" s="152"/>
    </row>
    <row r="8" spans="2:27" x14ac:dyDescent="0.25">
      <c r="B8" s="65"/>
      <c r="C8" s="65"/>
      <c r="D8" s="65"/>
      <c r="E8" s="65"/>
      <c r="G8" s="65"/>
      <c r="H8" s="65"/>
      <c r="I8" s="65"/>
      <c r="J8" s="65"/>
      <c r="L8" s="65"/>
      <c r="M8" s="65"/>
      <c r="N8" s="65"/>
      <c r="O8" s="65"/>
      <c r="Q8" s="65"/>
      <c r="R8" s="66"/>
      <c r="S8" s="187"/>
      <c r="T8" s="187"/>
      <c r="V8" s="65"/>
      <c r="W8" s="66">
        <v>1632</v>
      </c>
      <c r="X8" s="65">
        <v>3</v>
      </c>
      <c r="Y8" s="65">
        <v>8.1300000000000008</v>
      </c>
      <c r="Z8" s="152"/>
      <c r="AA8" s="152"/>
    </row>
    <row r="9" spans="2:27" x14ac:dyDescent="0.25">
      <c r="B9" s="65"/>
      <c r="C9" s="65"/>
      <c r="D9" s="65"/>
      <c r="E9" s="65"/>
      <c r="G9" s="65"/>
      <c r="H9" s="65"/>
      <c r="I9" s="65"/>
      <c r="J9" s="65"/>
      <c r="L9" s="65"/>
      <c r="M9" s="65"/>
      <c r="N9" s="65"/>
      <c r="O9" s="65"/>
      <c r="Q9" s="65"/>
      <c r="R9" s="66"/>
      <c r="S9" s="187"/>
      <c r="T9" s="187"/>
      <c r="V9" s="65"/>
      <c r="W9" s="66">
        <v>5567</v>
      </c>
      <c r="X9" s="65">
        <v>3.5</v>
      </c>
      <c r="Y9" s="65">
        <v>8.23</v>
      </c>
      <c r="Z9" s="152"/>
      <c r="AA9" s="152"/>
    </row>
    <row r="10" spans="2:27" x14ac:dyDescent="0.25">
      <c r="B10" s="65"/>
      <c r="C10" s="65"/>
      <c r="D10" s="65"/>
      <c r="E10" s="65"/>
      <c r="G10" s="65"/>
      <c r="H10" s="65"/>
      <c r="I10" s="65"/>
      <c r="J10" s="65"/>
      <c r="L10" s="65"/>
      <c r="M10" s="65"/>
      <c r="N10" s="65"/>
      <c r="O10" s="65"/>
      <c r="Q10" s="65"/>
      <c r="R10" s="65"/>
      <c r="S10" s="65"/>
      <c r="T10" s="65"/>
      <c r="V10" s="65"/>
      <c r="W10" s="66"/>
      <c r="X10" s="65"/>
      <c r="Y10" s="65"/>
    </row>
    <row r="11" spans="2:27" x14ac:dyDescent="0.25">
      <c r="B11" s="65"/>
      <c r="C11" s="65"/>
      <c r="D11" s="65"/>
      <c r="E11" s="65"/>
      <c r="G11" s="65"/>
      <c r="H11" s="65"/>
      <c r="I11" s="65"/>
      <c r="J11" s="65"/>
      <c r="L11" s="65"/>
      <c r="M11" s="65"/>
      <c r="N11" s="65"/>
      <c r="O11" s="65"/>
      <c r="Q11" s="65"/>
      <c r="R11" s="65"/>
      <c r="S11" s="65"/>
      <c r="T11" s="65"/>
      <c r="V11" s="65"/>
      <c r="W11" s="66"/>
      <c r="X11" s="65"/>
      <c r="Y11" s="65"/>
    </row>
    <row r="12" spans="2:27" x14ac:dyDescent="0.25">
      <c r="B12" s="65"/>
      <c r="C12" s="65">
        <f>SUM(C4:C11)</f>
        <v>14900</v>
      </c>
      <c r="D12" s="66">
        <f>SUMPRODUCT(C4:C11,D4:D11)/C12</f>
        <v>3.8573825503355703</v>
      </c>
      <c r="E12" s="66">
        <f>SUMPRODUCT(C4:C11,E4:E11)/C12</f>
        <v>8.3882550335570478</v>
      </c>
      <c r="G12" s="65"/>
      <c r="H12" s="65">
        <f>SUM(H4:H11)</f>
        <v>14860</v>
      </c>
      <c r="I12" s="66">
        <f>SUMPRODUCT(H4:H11,I4:I11)/H12</f>
        <v>3.7191117092866754</v>
      </c>
      <c r="J12" s="66">
        <f>SUMPRODUCT(H4:H11,J4:J11)/H12</f>
        <v>8.1805787348586811</v>
      </c>
      <c r="L12" s="65"/>
      <c r="M12" s="65">
        <f>SUM(M4:M11)</f>
        <v>9597</v>
      </c>
      <c r="N12" s="66">
        <f>SUMPRODUCT(M4:M11,N4:N11)/M12</f>
        <v>3.8917109513389603</v>
      </c>
      <c r="O12" s="66">
        <f>SUMPRODUCT(M4:M11,O4:O11)/M12</f>
        <v>8.4610159424820246</v>
      </c>
      <c r="Q12" s="65"/>
      <c r="R12" s="66">
        <f>SUM(R4:R11)</f>
        <v>9601</v>
      </c>
      <c r="S12" s="66">
        <f>SUMPRODUCT(R4:R11,S4:S11)/R12</f>
        <v>3.765648369961462</v>
      </c>
      <c r="T12" s="66">
        <f>SUMPRODUCT(R4:R11,T4:T11)/R12</f>
        <v>8.2969982293511091</v>
      </c>
      <c r="V12" s="65"/>
      <c r="W12" s="66">
        <f>SUM(W4:W11)</f>
        <v>7809</v>
      </c>
      <c r="X12" s="66">
        <f>SUMPRODUCT(W4:W11,X4:X11)/W12</f>
        <v>3.4658086822896657</v>
      </c>
      <c r="Y12" s="66">
        <f>SUMPRODUCT(W4:W11,Y4:Y11)/W12</f>
        <v>8.2333166858752715</v>
      </c>
      <c r="Z12" s="152"/>
      <c r="AA12" s="152"/>
    </row>
    <row r="14" spans="2:27" x14ac:dyDescent="0.25">
      <c r="B14" t="s">
        <v>107</v>
      </c>
      <c r="C14" t="s">
        <v>115</v>
      </c>
      <c r="G14" t="s">
        <v>107</v>
      </c>
      <c r="H14" t="s">
        <v>115</v>
      </c>
    </row>
    <row r="15" spans="2:27" x14ac:dyDescent="0.25">
      <c r="B15" s="65" t="s">
        <v>129</v>
      </c>
      <c r="C15" s="65"/>
      <c r="D15" s="65"/>
      <c r="E15" s="65"/>
      <c r="G15" s="65" t="s">
        <v>129</v>
      </c>
      <c r="H15" s="65"/>
      <c r="I15" s="65"/>
      <c r="J15" s="65"/>
    </row>
    <row r="16" spans="2:27" x14ac:dyDescent="0.25">
      <c r="B16" s="65" t="s">
        <v>61</v>
      </c>
      <c r="C16" s="65" t="s">
        <v>62</v>
      </c>
      <c r="D16" s="65" t="s">
        <v>42</v>
      </c>
      <c r="E16" s="65" t="s">
        <v>43</v>
      </c>
      <c r="G16" s="65" t="s">
        <v>61</v>
      </c>
      <c r="H16" s="65" t="s">
        <v>62</v>
      </c>
      <c r="I16" s="65" t="s">
        <v>42</v>
      </c>
      <c r="J16" s="65" t="s">
        <v>43</v>
      </c>
    </row>
    <row r="17" spans="2:10" x14ac:dyDescent="0.25">
      <c r="B17" s="37"/>
      <c r="C17" s="65">
        <v>5270</v>
      </c>
      <c r="D17" s="65">
        <v>3.8</v>
      </c>
      <c r="E17" s="65">
        <v>8.42</v>
      </c>
      <c r="G17" s="37"/>
      <c r="H17" s="65">
        <v>5220</v>
      </c>
      <c r="I17" s="65">
        <v>3.6</v>
      </c>
      <c r="J17" s="65">
        <v>8.26</v>
      </c>
    </row>
    <row r="18" spans="2:10" x14ac:dyDescent="0.25">
      <c r="B18" s="65"/>
      <c r="C18" s="65">
        <v>1510</v>
      </c>
      <c r="D18" s="65">
        <v>3.45</v>
      </c>
      <c r="E18" s="65">
        <v>8.16</v>
      </c>
      <c r="G18" s="65"/>
      <c r="H18" s="65">
        <v>1519</v>
      </c>
      <c r="I18" s="65">
        <v>3.45</v>
      </c>
      <c r="J18" s="65">
        <v>8.02</v>
      </c>
    </row>
    <row r="19" spans="2:10" x14ac:dyDescent="0.25">
      <c r="B19" s="65"/>
      <c r="C19" s="65"/>
      <c r="D19" s="65"/>
      <c r="E19" s="65"/>
      <c r="G19" s="65"/>
      <c r="H19" s="65"/>
      <c r="I19" s="65"/>
      <c r="J19" s="65"/>
    </row>
    <row r="20" spans="2:10" x14ac:dyDescent="0.25">
      <c r="B20" s="65"/>
      <c r="C20" s="65"/>
      <c r="D20" s="65"/>
      <c r="E20" s="65"/>
      <c r="G20" s="65"/>
      <c r="H20" s="65"/>
      <c r="I20" s="65"/>
      <c r="J20" s="65"/>
    </row>
    <row r="21" spans="2:10" x14ac:dyDescent="0.25">
      <c r="B21" s="65"/>
      <c r="C21" s="65"/>
      <c r="D21" s="65"/>
      <c r="E21" s="65"/>
      <c r="G21" s="65"/>
      <c r="H21" s="65"/>
      <c r="I21" s="65"/>
      <c r="J21" s="65"/>
    </row>
    <row r="22" spans="2:10" x14ac:dyDescent="0.25">
      <c r="B22" s="65"/>
      <c r="C22" s="65"/>
      <c r="D22" s="65"/>
      <c r="E22" s="65"/>
      <c r="G22" s="65"/>
      <c r="H22" s="65"/>
      <c r="I22" s="65"/>
      <c r="J22" s="65"/>
    </row>
    <row r="23" spans="2:10" x14ac:dyDescent="0.25">
      <c r="B23" s="65"/>
      <c r="C23" s="65"/>
      <c r="D23" s="65"/>
      <c r="E23" s="65"/>
      <c r="G23" s="65"/>
      <c r="H23" s="65"/>
      <c r="I23" s="65"/>
      <c r="J23" s="65"/>
    </row>
    <row r="24" spans="2:10" x14ac:dyDescent="0.25">
      <c r="B24" s="65"/>
      <c r="C24" s="65"/>
      <c r="D24" s="65"/>
      <c r="E24" s="65"/>
      <c r="G24" s="65"/>
      <c r="H24" s="65"/>
      <c r="I24" s="65"/>
      <c r="J24" s="65"/>
    </row>
    <row r="25" spans="2:10" x14ac:dyDescent="0.25">
      <c r="B25" s="65"/>
      <c r="C25" s="65">
        <f>SUM(C17:C24)</f>
        <v>6780</v>
      </c>
      <c r="D25" s="66">
        <f>SUMPRODUCT(C17:C24,D17:D24)/C25</f>
        <v>3.7220501474926255</v>
      </c>
      <c r="E25" s="66">
        <f>SUMPRODUCT(C17:C24,E17:E24)/C25</f>
        <v>8.362094395280236</v>
      </c>
      <c r="G25" s="65"/>
      <c r="H25" s="65">
        <f>SUM(H17:H24)</f>
        <v>6739</v>
      </c>
      <c r="I25" s="66">
        <f>SUMPRODUCT(H17:H24,I17:I24)/H25</f>
        <v>3.5661893456002374</v>
      </c>
      <c r="J25" s="66">
        <f>SUMPRODUCT(H17:H24,J17:J24)/H25</f>
        <v>8.2059029529603791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W67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:F4"/>
    </sheetView>
  </sheetViews>
  <sheetFormatPr defaultRowHeight="15" x14ac:dyDescent="0.25"/>
  <cols>
    <col min="1" max="1" width="7.7109375" bestFit="1" customWidth="1"/>
    <col min="2" max="2" width="11.140625" bestFit="1" customWidth="1"/>
    <col min="3" max="3" width="4.7109375" customWidth="1"/>
    <col min="4" max="4" width="7" customWidth="1"/>
    <col min="5" max="6" width="5" customWidth="1"/>
    <col min="7" max="7" width="6.28515625" customWidth="1"/>
    <col min="8" max="8" width="7" bestFit="1" customWidth="1"/>
    <col min="9" max="9" width="7.140625" bestFit="1" customWidth="1"/>
    <col min="10" max="10" width="7.5703125" customWidth="1"/>
    <col min="11" max="12" width="6.5703125" customWidth="1"/>
    <col min="13" max="13" width="8.42578125" customWidth="1"/>
    <col min="14" max="14" width="10.7109375" customWidth="1"/>
    <col min="15" max="15" width="6.28515625" customWidth="1"/>
    <col min="16" max="17" width="5" customWidth="1"/>
    <col min="18" max="18" width="8.5703125" customWidth="1"/>
    <col min="19" max="20" width="7.140625" bestFit="1" customWidth="1"/>
    <col min="21" max="21" width="6.5703125" customWidth="1"/>
    <col min="22" max="22" width="7" customWidth="1"/>
    <col min="23" max="23" width="8.28515625" customWidth="1"/>
    <col min="24" max="24" width="6.5703125" customWidth="1"/>
    <col min="25" max="26" width="5" customWidth="1"/>
    <col min="27" max="28" width="7.140625" customWidth="1"/>
    <col min="29" max="29" width="8.5703125" customWidth="1"/>
    <col min="30" max="31" width="5" customWidth="1"/>
    <col min="32" max="33" width="7.140625" customWidth="1"/>
    <col min="34" max="34" width="6.5703125" customWidth="1"/>
    <col min="35" max="35" width="5" customWidth="1"/>
    <col min="36" max="36" width="6.5703125" customWidth="1"/>
    <col min="37" max="37" width="6.28515625" customWidth="1"/>
    <col min="38" max="38" width="7.140625" customWidth="1"/>
    <col min="39" max="39" width="7.7109375" bestFit="1" customWidth="1"/>
    <col min="40" max="40" width="6.28515625" bestFit="1" customWidth="1"/>
    <col min="41" max="41" width="6.42578125" bestFit="1" customWidth="1"/>
    <col min="42" max="42" width="8.28515625" bestFit="1" customWidth="1"/>
    <col min="43" max="43" width="9.5703125" bestFit="1" customWidth="1"/>
    <col min="44" max="44" width="3.7109375" bestFit="1" customWidth="1"/>
    <col min="45" max="49" width="8.7109375" bestFit="1" customWidth="1"/>
  </cols>
  <sheetData>
    <row r="1" spans="1:49" ht="15.75" thickBot="1" x14ac:dyDescent="0.3">
      <c r="B1" s="14" t="s">
        <v>59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61" t="s">
        <v>31</v>
      </c>
      <c r="C2" s="363" t="s">
        <v>32</v>
      </c>
      <c r="D2" s="365" t="s">
        <v>33</v>
      </c>
      <c r="E2" s="365"/>
      <c r="F2" s="365"/>
      <c r="G2" s="365"/>
      <c r="H2" s="366"/>
      <c r="I2" s="357" t="s">
        <v>34</v>
      </c>
      <c r="J2" s="358"/>
      <c r="K2" s="358"/>
      <c r="L2" s="359"/>
      <c r="M2" s="357" t="s">
        <v>35</v>
      </c>
      <c r="N2" s="367"/>
      <c r="O2" s="358"/>
      <c r="P2" s="358"/>
      <c r="Q2" s="359"/>
      <c r="R2" s="367" t="s">
        <v>36</v>
      </c>
      <c r="S2" s="358"/>
      <c r="T2" s="359"/>
      <c r="U2" s="354" t="s">
        <v>37</v>
      </c>
      <c r="V2" s="355"/>
      <c r="W2" s="355"/>
      <c r="X2" s="355"/>
      <c r="Y2" s="355"/>
      <c r="Z2" s="355"/>
      <c r="AA2" s="355"/>
      <c r="AB2" s="356"/>
      <c r="AC2" s="357" t="s">
        <v>38</v>
      </c>
      <c r="AD2" s="358"/>
      <c r="AE2" s="358"/>
      <c r="AF2" s="358"/>
      <c r="AG2" s="359"/>
      <c r="AH2" s="357" t="s">
        <v>39</v>
      </c>
      <c r="AI2" s="358"/>
      <c r="AJ2" s="358"/>
      <c r="AK2" s="358"/>
      <c r="AL2" s="360"/>
      <c r="AM2" s="400" t="s">
        <v>40</v>
      </c>
      <c r="AN2" s="401"/>
      <c r="AO2" s="401"/>
      <c r="AP2" s="401"/>
      <c r="AQ2" s="402"/>
    </row>
    <row r="3" spans="1:49" x14ac:dyDescent="0.25">
      <c r="B3" s="362"/>
      <c r="C3" s="364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45839M</v>
      </c>
      <c r="B4" s="22">
        <v>45839</v>
      </c>
      <c r="C4" s="23" t="s">
        <v>54</v>
      </c>
      <c r="D4" s="62"/>
      <c r="E4" s="38"/>
      <c r="F4" s="38"/>
      <c r="G4" s="34">
        <f t="shared" ref="G4:G7" si="0">+D4*E4%</f>
        <v>0</v>
      </c>
      <c r="H4" s="35">
        <f t="shared" ref="H4:H7" si="1">+D4*F4%</f>
        <v>0</v>
      </c>
      <c r="I4" s="26">
        <f>J4/1.03</f>
        <v>0</v>
      </c>
      <c r="J4" s="27"/>
      <c r="K4" s="28"/>
      <c r="L4" s="28"/>
      <c r="M4" s="29"/>
      <c r="N4" s="30"/>
      <c r="O4" s="31"/>
      <c r="P4" s="28"/>
      <c r="Q4" s="32"/>
      <c r="R4" s="53">
        <f t="shared" ref="R4:R10" si="2">O4+J4</f>
        <v>0</v>
      </c>
      <c r="S4" s="34">
        <f t="shared" ref="S4:S10" si="3">(J4*K4%)+(O4*P4%)</f>
        <v>0</v>
      </c>
      <c r="T4" s="35">
        <f t="shared" ref="T4:T10" si="4">(J4*L4%)+(O4*Q4%)</f>
        <v>0</v>
      </c>
      <c r="U4" s="36"/>
      <c r="V4" s="37"/>
      <c r="W4" s="38"/>
      <c r="X4" s="39"/>
      <c r="Y4" s="40"/>
      <c r="Z4" s="40"/>
      <c r="AA4" s="34">
        <f t="shared" ref="AA4:AA13" si="5">X4*Y4%</f>
        <v>0</v>
      </c>
      <c r="AB4" s="34">
        <f t="shared" ref="AB4:AB13" si="6">X4*Z4%</f>
        <v>0</v>
      </c>
      <c r="AC4" s="129"/>
      <c r="AD4" s="130"/>
      <c r="AE4" s="130"/>
      <c r="AF4" s="34">
        <f t="shared" ref="AF4:AF13" si="7">AC4*AD4%</f>
        <v>0</v>
      </c>
      <c r="AG4" s="34">
        <f t="shared" ref="AG4:AG13" si="8">AC4*AE4%</f>
        <v>0</v>
      </c>
      <c r="AH4" s="43"/>
      <c r="AI4" s="38"/>
      <c r="AJ4" s="38"/>
      <c r="AK4" s="34">
        <f t="shared" ref="AK4:AK34" si="9">AH4*AI4%</f>
        <v>0</v>
      </c>
      <c r="AL4" s="44">
        <f t="shared" ref="AL4:AL34" si="10">AH4*AJ4%</f>
        <v>0</v>
      </c>
      <c r="AM4" s="45">
        <f>+D4+R4-AC4-AH4</f>
        <v>0</v>
      </c>
      <c r="AN4" s="46">
        <f t="shared" ref="AN4:AO5" si="11">+G4+S4-AF4-AK4</f>
        <v>0</v>
      </c>
      <c r="AO4" s="46">
        <f t="shared" si="11"/>
        <v>0</v>
      </c>
      <c r="AP4" s="47" t="e">
        <f>(AN4+AO4)/(S4+T4)</f>
        <v>#DIV/0!</v>
      </c>
      <c r="AQ4" s="48">
        <f t="shared" ref="AQ4:AQ5" si="12">($AP$1*AN4+$AQ$1*AO4)</f>
        <v>0</v>
      </c>
      <c r="AR4" s="49">
        <f>(D4+J4+O4)-(X4+AH4)</f>
        <v>0</v>
      </c>
      <c r="AS4" s="49"/>
    </row>
    <row r="5" spans="1:49" x14ac:dyDescent="0.25">
      <c r="A5" t="str">
        <f t="shared" ref="A5:A13" si="13">CONCATENATE(B5,C5)</f>
        <v>45839E</v>
      </c>
      <c r="B5" s="22">
        <f>+B4</f>
        <v>45839</v>
      </c>
      <c r="C5" s="23" t="s">
        <v>55</v>
      </c>
      <c r="D5" s="50">
        <f t="shared" ref="D5:F19" si="14">AH4</f>
        <v>0</v>
      </c>
      <c r="E5" s="34">
        <f t="shared" si="14"/>
        <v>0</v>
      </c>
      <c r="F5" s="34">
        <f t="shared" si="14"/>
        <v>0</v>
      </c>
      <c r="G5" s="34">
        <f t="shared" si="0"/>
        <v>0</v>
      </c>
      <c r="H5" s="35">
        <f t="shared" si="1"/>
        <v>0</v>
      </c>
      <c r="I5" s="26">
        <f t="shared" ref="I5:I37" si="15">J5/1.03</f>
        <v>0</v>
      </c>
      <c r="J5" s="27"/>
      <c r="K5" s="28"/>
      <c r="L5" s="32"/>
      <c r="M5" s="29"/>
      <c r="N5" s="30"/>
      <c r="O5" s="31"/>
      <c r="P5" s="28"/>
      <c r="Q5" s="32"/>
      <c r="R5" s="53">
        <f t="shared" ref="R5" si="16">O5+J5</f>
        <v>0</v>
      </c>
      <c r="S5" s="34">
        <f t="shared" ref="S5" si="17">(J5*K5%)+(O5*P5%)</f>
        <v>0</v>
      </c>
      <c r="T5" s="35">
        <f t="shared" ref="T5" si="18">(J5*L5%)+(O5*Q5%)</f>
        <v>0</v>
      </c>
      <c r="U5" s="36"/>
      <c r="V5" s="37"/>
      <c r="W5" s="38"/>
      <c r="X5" s="39"/>
      <c r="Y5" s="40"/>
      <c r="Z5" s="40"/>
      <c r="AA5" s="34">
        <f t="shared" ref="AA5:AA7" si="19">X5*Y5%</f>
        <v>0</v>
      </c>
      <c r="AB5" s="34">
        <f t="shared" ref="AB5:AB7" si="20">X5*Z5%</f>
        <v>0</v>
      </c>
      <c r="AC5" s="129"/>
      <c r="AD5" s="130"/>
      <c r="AE5" s="130"/>
      <c r="AF5" s="34">
        <f t="shared" si="7"/>
        <v>0</v>
      </c>
      <c r="AG5" s="34">
        <f t="shared" si="8"/>
        <v>0</v>
      </c>
      <c r="AH5" s="43"/>
      <c r="AI5" s="38"/>
      <c r="AJ5" s="38"/>
      <c r="AK5" s="34">
        <f t="shared" si="9"/>
        <v>0</v>
      </c>
      <c r="AL5" s="44">
        <f t="shared" si="10"/>
        <v>0</v>
      </c>
      <c r="AM5" s="45">
        <f t="shared" ref="AM5" si="21">+D5+R5-AC5-AH5</f>
        <v>0</v>
      </c>
      <c r="AN5" s="51">
        <f t="shared" si="11"/>
        <v>0</v>
      </c>
      <c r="AO5" s="51">
        <f t="shared" si="11"/>
        <v>0</v>
      </c>
      <c r="AP5" s="47" t="e">
        <f t="shared" ref="AP5" si="22">(AN5+AO5)/(S5+T5)</f>
        <v>#DIV/0!</v>
      </c>
      <c r="AQ5" s="48">
        <f t="shared" si="12"/>
        <v>0</v>
      </c>
      <c r="AR5" s="49">
        <f t="shared" ref="AR5:AR41" si="23">(D5+J5+O5)-(X5+AH5)</f>
        <v>0</v>
      </c>
      <c r="AS5" s="49"/>
    </row>
    <row r="6" spans="1:49" x14ac:dyDescent="0.25">
      <c r="A6" t="str">
        <f t="shared" si="13"/>
        <v>45840M</v>
      </c>
      <c r="B6" s="22">
        <f>+B4+1</f>
        <v>45840</v>
      </c>
      <c r="C6" s="23" t="s">
        <v>54</v>
      </c>
      <c r="D6" s="50">
        <f t="shared" si="14"/>
        <v>0</v>
      </c>
      <c r="E6" s="34">
        <f t="shared" si="14"/>
        <v>0</v>
      </c>
      <c r="F6" s="34">
        <f t="shared" si="14"/>
        <v>0</v>
      </c>
      <c r="G6" s="34">
        <f t="shared" si="0"/>
        <v>0</v>
      </c>
      <c r="H6" s="35">
        <f t="shared" si="1"/>
        <v>0</v>
      </c>
      <c r="I6" s="26">
        <f t="shared" si="15"/>
        <v>0</v>
      </c>
      <c r="J6" s="27"/>
      <c r="K6" s="28"/>
      <c r="L6" s="32"/>
      <c r="M6" s="29"/>
      <c r="N6" s="30"/>
      <c r="O6" s="31"/>
      <c r="P6" s="28"/>
      <c r="Q6" s="32"/>
      <c r="R6" s="53">
        <f t="shared" si="2"/>
        <v>0</v>
      </c>
      <c r="S6" s="34">
        <f t="shared" si="3"/>
        <v>0</v>
      </c>
      <c r="T6" s="35">
        <f t="shared" si="4"/>
        <v>0</v>
      </c>
      <c r="U6" s="36"/>
      <c r="V6" s="37"/>
      <c r="W6" s="38"/>
      <c r="X6" s="39"/>
      <c r="Y6" s="40"/>
      <c r="Z6" s="40"/>
      <c r="AA6" s="34">
        <f t="shared" si="19"/>
        <v>0</v>
      </c>
      <c r="AB6" s="34">
        <f t="shared" si="20"/>
        <v>0</v>
      </c>
      <c r="AC6" s="129"/>
      <c r="AD6" s="130"/>
      <c r="AE6" s="130"/>
      <c r="AF6" s="34">
        <f t="shared" si="7"/>
        <v>0</v>
      </c>
      <c r="AG6" s="34">
        <f t="shared" si="8"/>
        <v>0</v>
      </c>
      <c r="AH6" s="43"/>
      <c r="AI6" s="38"/>
      <c r="AJ6" s="38"/>
      <c r="AK6" s="34">
        <f t="shared" ref="AK6" si="24">AH6*AI6%</f>
        <v>0</v>
      </c>
      <c r="AL6" s="44">
        <f t="shared" ref="AL6" si="25">AH6*AJ6%</f>
        <v>0</v>
      </c>
      <c r="AM6" s="45">
        <f t="shared" ref="AM6:AM37" si="26">+D6+R6-AC6-AH6</f>
        <v>0</v>
      </c>
      <c r="AN6" s="51">
        <f t="shared" ref="AN6:AN37" si="27">+G6+S6-AF6-AK6</f>
        <v>0</v>
      </c>
      <c r="AO6" s="51">
        <f t="shared" ref="AO6:AO37" si="28">+H6+T6-AG6-AL6</f>
        <v>0</v>
      </c>
      <c r="AP6" s="47" t="e">
        <f t="shared" ref="AP6:AP37" si="29">(AN6+AO6)/(S6+T6)</f>
        <v>#DIV/0!</v>
      </c>
      <c r="AQ6" s="48">
        <f t="shared" ref="AQ6:AQ37" si="30">($AP$1*AN6+$AQ$1*AO6)</f>
        <v>0</v>
      </c>
      <c r="AR6" s="49">
        <f t="shared" si="23"/>
        <v>0</v>
      </c>
      <c r="AS6" s="49"/>
    </row>
    <row r="7" spans="1:49" x14ac:dyDescent="0.25">
      <c r="A7" t="str">
        <f t="shared" si="13"/>
        <v>45840E</v>
      </c>
      <c r="B7" s="22">
        <f>+B5+1</f>
        <v>45840</v>
      </c>
      <c r="C7" s="23" t="s">
        <v>55</v>
      </c>
      <c r="D7" s="50">
        <f t="shared" si="14"/>
        <v>0</v>
      </c>
      <c r="E7" s="34">
        <f t="shared" si="14"/>
        <v>0</v>
      </c>
      <c r="F7" s="34">
        <f t="shared" si="14"/>
        <v>0</v>
      </c>
      <c r="G7" s="34">
        <f t="shared" si="0"/>
        <v>0</v>
      </c>
      <c r="H7" s="35">
        <f t="shared" si="1"/>
        <v>0</v>
      </c>
      <c r="I7" s="26">
        <f t="shared" si="15"/>
        <v>0</v>
      </c>
      <c r="J7" s="27"/>
      <c r="K7" s="28"/>
      <c r="L7" s="32"/>
      <c r="M7" s="29"/>
      <c r="N7" s="30"/>
      <c r="O7" s="31"/>
      <c r="P7" s="28"/>
      <c r="Q7" s="32"/>
      <c r="R7" s="53">
        <f t="shared" si="2"/>
        <v>0</v>
      </c>
      <c r="S7" s="34">
        <f t="shared" si="3"/>
        <v>0</v>
      </c>
      <c r="T7" s="35">
        <f t="shared" si="4"/>
        <v>0</v>
      </c>
      <c r="U7" s="36"/>
      <c r="V7" s="37"/>
      <c r="W7" s="38"/>
      <c r="X7" s="39"/>
      <c r="Y7" s="40"/>
      <c r="Z7" s="40"/>
      <c r="AA7" s="34">
        <f t="shared" si="19"/>
        <v>0</v>
      </c>
      <c r="AB7" s="34">
        <f t="shared" si="20"/>
        <v>0</v>
      </c>
      <c r="AC7" s="129"/>
      <c r="AD7" s="130"/>
      <c r="AE7" s="130"/>
      <c r="AF7" s="34">
        <f t="shared" si="7"/>
        <v>0</v>
      </c>
      <c r="AG7" s="34">
        <f t="shared" si="8"/>
        <v>0</v>
      </c>
      <c r="AH7" s="43"/>
      <c r="AI7" s="38"/>
      <c r="AJ7" s="38"/>
      <c r="AK7" s="34">
        <f t="shared" si="9"/>
        <v>0</v>
      </c>
      <c r="AL7" s="44">
        <f t="shared" si="10"/>
        <v>0</v>
      </c>
      <c r="AM7" s="45">
        <f t="shared" si="26"/>
        <v>0</v>
      </c>
      <c r="AN7" s="51">
        <f t="shared" si="27"/>
        <v>0</v>
      </c>
      <c r="AO7" s="51">
        <f t="shared" si="28"/>
        <v>0</v>
      </c>
      <c r="AP7" s="47" t="e">
        <f t="shared" si="29"/>
        <v>#DIV/0!</v>
      </c>
      <c r="AQ7" s="48">
        <f t="shared" si="30"/>
        <v>0</v>
      </c>
      <c r="AR7" s="49">
        <f t="shared" si="23"/>
        <v>0</v>
      </c>
      <c r="AS7" s="49"/>
    </row>
    <row r="8" spans="1:49" x14ac:dyDescent="0.25">
      <c r="A8" t="str">
        <f t="shared" si="13"/>
        <v>45841M</v>
      </c>
      <c r="B8" s="22">
        <f>+B6+1</f>
        <v>45841</v>
      </c>
      <c r="C8" s="23" t="s">
        <v>54</v>
      </c>
      <c r="D8" s="50">
        <f t="shared" ref="D8" si="31">AH7</f>
        <v>0</v>
      </c>
      <c r="E8" s="34">
        <f t="shared" ref="E8" si="32">AI7</f>
        <v>0</v>
      </c>
      <c r="F8" s="34">
        <f t="shared" ref="F8" si="33">AJ7</f>
        <v>0</v>
      </c>
      <c r="G8" s="34">
        <f t="shared" ref="G8:G37" si="34">+D8*E8%</f>
        <v>0</v>
      </c>
      <c r="H8" s="35">
        <f t="shared" ref="H8:H37" si="35">+D8*F8%</f>
        <v>0</v>
      </c>
      <c r="I8" s="26">
        <f t="shared" si="15"/>
        <v>0</v>
      </c>
      <c r="J8" s="27"/>
      <c r="K8" s="28"/>
      <c r="L8" s="32"/>
      <c r="M8" s="29"/>
      <c r="N8" s="30"/>
      <c r="O8" s="31"/>
      <c r="P8" s="28"/>
      <c r="Q8" s="32"/>
      <c r="R8" s="53">
        <f t="shared" si="2"/>
        <v>0</v>
      </c>
      <c r="S8" s="34">
        <f t="shared" si="3"/>
        <v>0</v>
      </c>
      <c r="T8" s="35">
        <f t="shared" si="4"/>
        <v>0</v>
      </c>
      <c r="U8" s="36"/>
      <c r="V8" s="37"/>
      <c r="W8" s="38"/>
      <c r="X8" s="39"/>
      <c r="Y8" s="40"/>
      <c r="Z8" s="40"/>
      <c r="AA8" s="34">
        <f t="shared" si="5"/>
        <v>0</v>
      </c>
      <c r="AB8" s="34">
        <f t="shared" si="6"/>
        <v>0</v>
      </c>
      <c r="AC8" s="129"/>
      <c r="AD8" s="130"/>
      <c r="AE8" s="130"/>
      <c r="AF8" s="34">
        <f t="shared" si="7"/>
        <v>0</v>
      </c>
      <c r="AG8" s="34">
        <f t="shared" si="8"/>
        <v>0</v>
      </c>
      <c r="AH8" s="43"/>
      <c r="AI8" s="38"/>
      <c r="AJ8" s="38"/>
      <c r="AK8" s="34">
        <f t="shared" si="9"/>
        <v>0</v>
      </c>
      <c r="AL8" s="44">
        <f t="shared" si="10"/>
        <v>0</v>
      </c>
      <c r="AM8" s="45">
        <f t="shared" si="26"/>
        <v>0</v>
      </c>
      <c r="AN8" s="51">
        <f t="shared" si="27"/>
        <v>0</v>
      </c>
      <c r="AO8" s="51">
        <f t="shared" si="28"/>
        <v>0</v>
      </c>
      <c r="AP8" s="47" t="e">
        <f t="shared" si="29"/>
        <v>#DIV/0!</v>
      </c>
      <c r="AQ8" s="48">
        <f t="shared" si="30"/>
        <v>0</v>
      </c>
      <c r="AR8" s="49">
        <f t="shared" si="23"/>
        <v>0</v>
      </c>
      <c r="AS8" s="49"/>
    </row>
    <row r="9" spans="1:49" x14ac:dyDescent="0.25">
      <c r="A9" t="str">
        <f t="shared" si="13"/>
        <v>45841E</v>
      </c>
      <c r="B9" s="22">
        <f t="shared" ref="B9:B65" si="36">+B7+1</f>
        <v>45841</v>
      </c>
      <c r="C9" s="23" t="s">
        <v>55</v>
      </c>
      <c r="D9" s="50">
        <f t="shared" si="14"/>
        <v>0</v>
      </c>
      <c r="E9" s="34">
        <f t="shared" si="14"/>
        <v>0</v>
      </c>
      <c r="F9" s="34">
        <f t="shared" si="14"/>
        <v>0</v>
      </c>
      <c r="G9" s="34">
        <f t="shared" si="34"/>
        <v>0</v>
      </c>
      <c r="H9" s="35">
        <f t="shared" si="35"/>
        <v>0</v>
      </c>
      <c r="I9" s="26">
        <f t="shared" si="15"/>
        <v>0</v>
      </c>
      <c r="J9" s="27"/>
      <c r="K9" s="28"/>
      <c r="L9" s="32"/>
      <c r="M9" s="29"/>
      <c r="N9" s="30"/>
      <c r="O9" s="31"/>
      <c r="P9" s="28"/>
      <c r="Q9" s="32"/>
      <c r="R9" s="53">
        <f t="shared" si="2"/>
        <v>0</v>
      </c>
      <c r="S9" s="34">
        <f t="shared" si="3"/>
        <v>0</v>
      </c>
      <c r="T9" s="35">
        <f t="shared" si="4"/>
        <v>0</v>
      </c>
      <c r="U9" s="36"/>
      <c r="V9" s="37"/>
      <c r="W9" s="38"/>
      <c r="X9" s="39"/>
      <c r="Y9" s="40"/>
      <c r="Z9" s="40"/>
      <c r="AA9" s="34">
        <f t="shared" si="5"/>
        <v>0</v>
      </c>
      <c r="AB9" s="34">
        <f t="shared" si="6"/>
        <v>0</v>
      </c>
      <c r="AC9" s="129"/>
      <c r="AD9" s="130"/>
      <c r="AE9" s="130"/>
      <c r="AF9" s="34">
        <f t="shared" si="7"/>
        <v>0</v>
      </c>
      <c r="AG9" s="34">
        <f t="shared" si="8"/>
        <v>0</v>
      </c>
      <c r="AH9" s="43"/>
      <c r="AI9" s="38"/>
      <c r="AJ9" s="38"/>
      <c r="AK9" s="34">
        <f t="shared" si="9"/>
        <v>0</v>
      </c>
      <c r="AL9" s="44">
        <f t="shared" si="10"/>
        <v>0</v>
      </c>
      <c r="AM9" s="45">
        <f t="shared" si="26"/>
        <v>0</v>
      </c>
      <c r="AN9" s="51">
        <f t="shared" si="27"/>
        <v>0</v>
      </c>
      <c r="AO9" s="51">
        <f t="shared" si="28"/>
        <v>0</v>
      </c>
      <c r="AP9" s="47" t="e">
        <f t="shared" si="29"/>
        <v>#DIV/0!</v>
      </c>
      <c r="AQ9" s="48">
        <f t="shared" si="30"/>
        <v>0</v>
      </c>
      <c r="AR9" s="49">
        <f t="shared" si="23"/>
        <v>0</v>
      </c>
      <c r="AS9" s="49"/>
    </row>
    <row r="10" spans="1:49" x14ac:dyDescent="0.25">
      <c r="A10" t="str">
        <f t="shared" si="13"/>
        <v>45842M</v>
      </c>
      <c r="B10" s="22">
        <f t="shared" si="36"/>
        <v>45842</v>
      </c>
      <c r="C10" s="23" t="s">
        <v>54</v>
      </c>
      <c r="D10" s="50">
        <f t="shared" si="14"/>
        <v>0</v>
      </c>
      <c r="E10" s="34">
        <f t="shared" si="14"/>
        <v>0</v>
      </c>
      <c r="F10" s="34">
        <f t="shared" si="14"/>
        <v>0</v>
      </c>
      <c r="G10" s="34">
        <f t="shared" si="34"/>
        <v>0</v>
      </c>
      <c r="H10" s="35">
        <f t="shared" si="35"/>
        <v>0</v>
      </c>
      <c r="I10" s="26">
        <f t="shared" si="15"/>
        <v>0</v>
      </c>
      <c r="J10" s="27"/>
      <c r="K10" s="28"/>
      <c r="L10" s="32"/>
      <c r="M10" s="29"/>
      <c r="N10" s="30"/>
      <c r="O10" s="31"/>
      <c r="P10" s="28"/>
      <c r="Q10" s="32"/>
      <c r="R10" s="53">
        <f t="shared" si="2"/>
        <v>0</v>
      </c>
      <c r="S10" s="34">
        <f t="shared" si="3"/>
        <v>0</v>
      </c>
      <c r="T10" s="35">
        <f t="shared" si="4"/>
        <v>0</v>
      </c>
      <c r="U10" s="36"/>
      <c r="V10" s="37"/>
      <c r="W10" s="38"/>
      <c r="X10" s="39"/>
      <c r="Y10" s="40"/>
      <c r="Z10" s="40"/>
      <c r="AA10" s="34">
        <f t="shared" si="5"/>
        <v>0</v>
      </c>
      <c r="AB10" s="34">
        <f t="shared" si="6"/>
        <v>0</v>
      </c>
      <c r="AC10" s="129"/>
      <c r="AD10" s="130"/>
      <c r="AE10" s="130"/>
      <c r="AF10" s="34">
        <f t="shared" si="7"/>
        <v>0</v>
      </c>
      <c r="AG10" s="34">
        <f t="shared" si="8"/>
        <v>0</v>
      </c>
      <c r="AH10" s="43"/>
      <c r="AI10" s="38"/>
      <c r="AJ10" s="38"/>
      <c r="AK10" s="34">
        <f t="shared" si="9"/>
        <v>0</v>
      </c>
      <c r="AL10" s="44">
        <f t="shared" si="10"/>
        <v>0</v>
      </c>
      <c r="AM10" s="45">
        <f t="shared" si="26"/>
        <v>0</v>
      </c>
      <c r="AN10" s="51">
        <f t="shared" si="27"/>
        <v>0</v>
      </c>
      <c r="AO10" s="51">
        <f t="shared" si="28"/>
        <v>0</v>
      </c>
      <c r="AP10" s="47" t="e">
        <f t="shared" si="29"/>
        <v>#DIV/0!</v>
      </c>
      <c r="AQ10" s="48">
        <f t="shared" si="30"/>
        <v>0</v>
      </c>
      <c r="AR10" s="49">
        <f t="shared" si="23"/>
        <v>0</v>
      </c>
      <c r="AS10" s="49"/>
    </row>
    <row r="11" spans="1:49" x14ac:dyDescent="0.25">
      <c r="A11" t="str">
        <f t="shared" si="13"/>
        <v>45842E</v>
      </c>
      <c r="B11" s="22">
        <f t="shared" si="36"/>
        <v>45842</v>
      </c>
      <c r="C11" s="23" t="s">
        <v>55</v>
      </c>
      <c r="D11" s="50">
        <f t="shared" si="14"/>
        <v>0</v>
      </c>
      <c r="E11" s="34">
        <f t="shared" si="14"/>
        <v>0</v>
      </c>
      <c r="F11" s="34">
        <f t="shared" si="14"/>
        <v>0</v>
      </c>
      <c r="G11" s="34">
        <f t="shared" si="34"/>
        <v>0</v>
      </c>
      <c r="H11" s="35">
        <f t="shared" si="35"/>
        <v>0</v>
      </c>
      <c r="I11" s="26">
        <f t="shared" si="15"/>
        <v>0</v>
      </c>
      <c r="J11" s="27"/>
      <c r="K11" s="28"/>
      <c r="L11" s="32"/>
      <c r="M11" s="29"/>
      <c r="N11" s="30"/>
      <c r="O11" s="31"/>
      <c r="P11" s="28"/>
      <c r="Q11" s="32"/>
      <c r="R11" s="53">
        <f t="shared" ref="R11" si="37">O11+J11</f>
        <v>0</v>
      </c>
      <c r="S11" s="34">
        <f t="shared" ref="S11" si="38">(J11*K11%)+(O11*P11%)</f>
        <v>0</v>
      </c>
      <c r="T11" s="35">
        <f t="shared" ref="T11" si="39">(J11*L11%)+(O11*Q11%)</f>
        <v>0</v>
      </c>
      <c r="U11" s="36"/>
      <c r="V11" s="37"/>
      <c r="W11" s="38"/>
      <c r="X11" s="39"/>
      <c r="Y11" s="40"/>
      <c r="Z11" s="40"/>
      <c r="AA11" s="34">
        <f t="shared" si="5"/>
        <v>0</v>
      </c>
      <c r="AB11" s="34">
        <f t="shared" si="6"/>
        <v>0</v>
      </c>
      <c r="AC11" s="129"/>
      <c r="AD11" s="130"/>
      <c r="AE11" s="130"/>
      <c r="AF11" s="34">
        <f t="shared" si="7"/>
        <v>0</v>
      </c>
      <c r="AG11" s="34">
        <f t="shared" si="8"/>
        <v>0</v>
      </c>
      <c r="AH11" s="43"/>
      <c r="AI11" s="38"/>
      <c r="AJ11" s="38"/>
      <c r="AK11" s="34">
        <f t="shared" si="9"/>
        <v>0</v>
      </c>
      <c r="AL11" s="44">
        <f t="shared" si="10"/>
        <v>0</v>
      </c>
      <c r="AM11" s="45">
        <f t="shared" si="26"/>
        <v>0</v>
      </c>
      <c r="AN11" s="51">
        <f t="shared" si="27"/>
        <v>0</v>
      </c>
      <c r="AO11" s="51">
        <f t="shared" si="28"/>
        <v>0</v>
      </c>
      <c r="AP11" s="47" t="e">
        <f t="shared" si="29"/>
        <v>#DIV/0!</v>
      </c>
      <c r="AQ11" s="48">
        <f t="shared" si="30"/>
        <v>0</v>
      </c>
      <c r="AR11" s="49">
        <f t="shared" si="23"/>
        <v>0</v>
      </c>
      <c r="AS11" s="57"/>
    </row>
    <row r="12" spans="1:49" x14ac:dyDescent="0.25">
      <c r="A12" t="str">
        <f t="shared" si="13"/>
        <v>45843M</v>
      </c>
      <c r="B12" s="22">
        <f t="shared" si="36"/>
        <v>45843</v>
      </c>
      <c r="C12" s="23" t="s">
        <v>54</v>
      </c>
      <c r="D12" s="50">
        <f t="shared" ref="D12" si="40">AH11</f>
        <v>0</v>
      </c>
      <c r="E12" s="34">
        <f t="shared" ref="E12" si="41">AI11</f>
        <v>0</v>
      </c>
      <c r="F12" s="34">
        <f t="shared" ref="F12" si="42">AJ11</f>
        <v>0</v>
      </c>
      <c r="G12" s="34">
        <f t="shared" si="34"/>
        <v>0</v>
      </c>
      <c r="H12" s="35">
        <f t="shared" si="35"/>
        <v>0</v>
      </c>
      <c r="I12" s="26">
        <f t="shared" si="15"/>
        <v>0</v>
      </c>
      <c r="J12" s="27"/>
      <c r="K12" s="28"/>
      <c r="L12" s="32"/>
      <c r="M12" s="29"/>
      <c r="N12" s="30"/>
      <c r="O12" s="31"/>
      <c r="P12" s="28"/>
      <c r="Q12" s="32"/>
      <c r="R12" s="53">
        <f t="shared" ref="R12" si="43">O12+J12</f>
        <v>0</v>
      </c>
      <c r="S12" s="34">
        <f t="shared" ref="S12" si="44">(J12*K12%)+(O12*P12%)</f>
        <v>0</v>
      </c>
      <c r="T12" s="35">
        <f t="shared" ref="T12" si="45">(J12*L12%)+(O12*Q12%)</f>
        <v>0</v>
      </c>
      <c r="U12" s="36"/>
      <c r="V12" s="37"/>
      <c r="W12" s="38"/>
      <c r="X12" s="39"/>
      <c r="Y12" s="40"/>
      <c r="Z12" s="40"/>
      <c r="AA12" s="34">
        <f t="shared" si="5"/>
        <v>0</v>
      </c>
      <c r="AB12" s="34">
        <f t="shared" si="6"/>
        <v>0</v>
      </c>
      <c r="AC12" s="129"/>
      <c r="AD12" s="130"/>
      <c r="AE12" s="130"/>
      <c r="AF12" s="34">
        <f t="shared" si="7"/>
        <v>0</v>
      </c>
      <c r="AG12" s="34">
        <f t="shared" si="8"/>
        <v>0</v>
      </c>
      <c r="AH12" s="43"/>
      <c r="AI12" s="38"/>
      <c r="AJ12" s="38"/>
      <c r="AK12" s="34">
        <f t="shared" si="9"/>
        <v>0</v>
      </c>
      <c r="AL12" s="44">
        <f t="shared" si="10"/>
        <v>0</v>
      </c>
      <c r="AM12" s="45">
        <f t="shared" si="26"/>
        <v>0</v>
      </c>
      <c r="AN12" s="51">
        <f t="shared" si="27"/>
        <v>0</v>
      </c>
      <c r="AO12" s="51">
        <f t="shared" si="28"/>
        <v>0</v>
      </c>
      <c r="AP12" s="47" t="e">
        <f t="shared" si="29"/>
        <v>#DIV/0!</v>
      </c>
      <c r="AQ12" s="48">
        <f t="shared" si="30"/>
        <v>0</v>
      </c>
      <c r="AR12" s="49">
        <f t="shared" si="23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3"/>
        <v>45843E</v>
      </c>
      <c r="B13" s="22">
        <f t="shared" si="36"/>
        <v>45843</v>
      </c>
      <c r="C13" s="23" t="s">
        <v>55</v>
      </c>
      <c r="D13" s="50">
        <f t="shared" si="14"/>
        <v>0</v>
      </c>
      <c r="E13" s="34">
        <f t="shared" si="14"/>
        <v>0</v>
      </c>
      <c r="F13" s="34">
        <f t="shared" si="14"/>
        <v>0</v>
      </c>
      <c r="G13" s="34">
        <f t="shared" si="34"/>
        <v>0</v>
      </c>
      <c r="H13" s="35">
        <f t="shared" si="35"/>
        <v>0</v>
      </c>
      <c r="I13" s="26">
        <f t="shared" si="15"/>
        <v>0</v>
      </c>
      <c r="J13" s="27"/>
      <c r="K13" s="28"/>
      <c r="L13" s="32"/>
      <c r="M13" s="29"/>
      <c r="N13" s="30"/>
      <c r="O13" s="31"/>
      <c r="P13" s="28"/>
      <c r="Q13" s="32"/>
      <c r="R13" s="53">
        <f t="shared" ref="R13" si="46">O13+J13</f>
        <v>0</v>
      </c>
      <c r="S13" s="34">
        <f t="shared" ref="S13" si="47">(J13*K13%)+(O13*P13%)</f>
        <v>0</v>
      </c>
      <c r="T13" s="35">
        <f t="shared" ref="T13" si="48">(J13*L13%)+(O13*Q13%)</f>
        <v>0</v>
      </c>
      <c r="U13" s="36"/>
      <c r="V13" s="37"/>
      <c r="W13" s="38"/>
      <c r="X13" s="39"/>
      <c r="Y13" s="40"/>
      <c r="Z13" s="40"/>
      <c r="AA13" s="34">
        <f t="shared" si="5"/>
        <v>0</v>
      </c>
      <c r="AB13" s="34">
        <f t="shared" si="6"/>
        <v>0</v>
      </c>
      <c r="AC13" s="129"/>
      <c r="AD13" s="130"/>
      <c r="AE13" s="130"/>
      <c r="AF13" s="34">
        <f t="shared" si="7"/>
        <v>0</v>
      </c>
      <c r="AG13" s="34">
        <f t="shared" si="8"/>
        <v>0</v>
      </c>
      <c r="AH13" s="43"/>
      <c r="AI13" s="38"/>
      <c r="AJ13" s="38"/>
      <c r="AK13" s="34">
        <f t="shared" si="9"/>
        <v>0</v>
      </c>
      <c r="AL13" s="44">
        <f t="shared" si="10"/>
        <v>0</v>
      </c>
      <c r="AM13" s="45">
        <f t="shared" si="26"/>
        <v>0</v>
      </c>
      <c r="AN13" s="51">
        <f t="shared" si="27"/>
        <v>0</v>
      </c>
      <c r="AO13" s="51">
        <f t="shared" si="28"/>
        <v>0</v>
      </c>
      <c r="AP13" s="47" t="e">
        <f t="shared" si="29"/>
        <v>#DIV/0!</v>
      </c>
      <c r="AQ13" s="48">
        <f t="shared" si="30"/>
        <v>0</v>
      </c>
      <c r="AR13" s="49">
        <f t="shared" si="23"/>
        <v>0</v>
      </c>
      <c r="AS13" s="49">
        <f>SUM(J4:J13)</f>
        <v>0</v>
      </c>
      <c r="AT13" s="58">
        <f>SUM(AM4:AM13)</f>
        <v>0</v>
      </c>
      <c r="AU13" s="58">
        <f t="shared" ref="AU13:AV13" si="49">SUM(AN4:AN13)</f>
        <v>0</v>
      </c>
      <c r="AV13" s="58">
        <f t="shared" si="49"/>
        <v>0</v>
      </c>
      <c r="AW13" s="58">
        <f>-SUM(AQ4:AQ13)</f>
        <v>0</v>
      </c>
    </row>
    <row r="14" spans="1:49" x14ac:dyDescent="0.25">
      <c r="B14" s="22">
        <f t="shared" si="36"/>
        <v>45844</v>
      </c>
      <c r="C14" s="23" t="s">
        <v>54</v>
      </c>
      <c r="D14" s="50">
        <f t="shared" ref="D14:D15" si="50">AH13</f>
        <v>0</v>
      </c>
      <c r="E14" s="34">
        <f t="shared" ref="E14:E15" si="51">AI13</f>
        <v>0</v>
      </c>
      <c r="F14" s="34">
        <f t="shared" ref="F14:F15" si="52">AJ13</f>
        <v>0</v>
      </c>
      <c r="G14" s="34">
        <f t="shared" si="34"/>
        <v>0</v>
      </c>
      <c r="H14" s="35">
        <f t="shared" si="35"/>
        <v>0</v>
      </c>
      <c r="I14" s="26">
        <f t="shared" si="15"/>
        <v>0</v>
      </c>
      <c r="J14" s="27"/>
      <c r="K14" s="28"/>
      <c r="L14" s="32"/>
      <c r="M14" s="29"/>
      <c r="N14" s="30"/>
      <c r="O14" s="31"/>
      <c r="P14" s="28"/>
      <c r="Q14" s="32"/>
      <c r="R14" s="53">
        <f t="shared" ref="R14:R25" si="53">O14+J14</f>
        <v>0</v>
      </c>
      <c r="S14" s="34">
        <f t="shared" ref="S14:S25" si="54">(J14*K14%)+(O14*P14%)</f>
        <v>0</v>
      </c>
      <c r="T14" s="35">
        <f t="shared" ref="T14:T25" si="55">(J14*L14%)+(O14*Q14%)</f>
        <v>0</v>
      </c>
      <c r="U14" s="36"/>
      <c r="V14" s="37"/>
      <c r="W14" s="38"/>
      <c r="X14" s="39"/>
      <c r="Y14" s="40"/>
      <c r="Z14" s="40"/>
      <c r="AA14" s="34">
        <f t="shared" ref="AA14:AA25" si="56">X14*Y14%</f>
        <v>0</v>
      </c>
      <c r="AB14" s="34">
        <f t="shared" ref="AB14:AB25" si="57">X14*Z14%</f>
        <v>0</v>
      </c>
      <c r="AC14" s="129"/>
      <c r="AD14" s="130"/>
      <c r="AE14" s="130"/>
      <c r="AF14" s="34">
        <f t="shared" ref="AF14:AF25" si="58">AC14*AD14%</f>
        <v>0</v>
      </c>
      <c r="AG14" s="34">
        <f t="shared" ref="AG14:AG25" si="59">AC14*AE14%</f>
        <v>0</v>
      </c>
      <c r="AH14" s="43"/>
      <c r="AI14" s="38"/>
      <c r="AJ14" s="38"/>
      <c r="AK14" s="34">
        <f t="shared" si="9"/>
        <v>0</v>
      </c>
      <c r="AL14" s="44">
        <f t="shared" si="10"/>
        <v>0</v>
      </c>
      <c r="AM14" s="45">
        <f t="shared" si="26"/>
        <v>0</v>
      </c>
      <c r="AN14" s="51">
        <f t="shared" si="27"/>
        <v>0</v>
      </c>
      <c r="AO14" s="51">
        <f t="shared" si="28"/>
        <v>0</v>
      </c>
      <c r="AP14" s="47" t="e">
        <f t="shared" si="29"/>
        <v>#DIV/0!</v>
      </c>
      <c r="AQ14" s="48">
        <f t="shared" si="30"/>
        <v>0</v>
      </c>
      <c r="AR14" s="49" t="s">
        <v>79</v>
      </c>
      <c r="AS14" s="49"/>
    </row>
    <row r="15" spans="1:49" x14ac:dyDescent="0.25">
      <c r="B15" s="22">
        <f t="shared" si="36"/>
        <v>45844</v>
      </c>
      <c r="C15" s="23" t="s">
        <v>55</v>
      </c>
      <c r="D15" s="50">
        <f t="shared" si="50"/>
        <v>0</v>
      </c>
      <c r="E15" s="34">
        <f t="shared" si="51"/>
        <v>0</v>
      </c>
      <c r="F15" s="34">
        <f t="shared" si="52"/>
        <v>0</v>
      </c>
      <c r="G15" s="34">
        <f t="shared" si="34"/>
        <v>0</v>
      </c>
      <c r="H15" s="35">
        <f t="shared" si="35"/>
        <v>0</v>
      </c>
      <c r="I15" s="26">
        <f t="shared" si="15"/>
        <v>0</v>
      </c>
      <c r="J15" s="27"/>
      <c r="K15" s="28"/>
      <c r="L15" s="32"/>
      <c r="M15" s="29"/>
      <c r="N15" s="131"/>
      <c r="O15" s="31"/>
      <c r="P15" s="28"/>
      <c r="Q15" s="32"/>
      <c r="R15" s="53">
        <f t="shared" si="53"/>
        <v>0</v>
      </c>
      <c r="S15" s="34">
        <f t="shared" si="54"/>
        <v>0</v>
      </c>
      <c r="T15" s="35">
        <f t="shared" si="55"/>
        <v>0</v>
      </c>
      <c r="U15" s="36"/>
      <c r="V15" s="37"/>
      <c r="W15" s="38"/>
      <c r="X15" s="39"/>
      <c r="Y15" s="40"/>
      <c r="Z15" s="40"/>
      <c r="AA15" s="34">
        <f t="shared" si="56"/>
        <v>0</v>
      </c>
      <c r="AB15" s="34">
        <f t="shared" si="57"/>
        <v>0</v>
      </c>
      <c r="AC15" s="129"/>
      <c r="AD15" s="130"/>
      <c r="AE15" s="130"/>
      <c r="AF15" s="34">
        <f t="shared" si="58"/>
        <v>0</v>
      </c>
      <c r="AG15" s="34">
        <f t="shared" si="59"/>
        <v>0</v>
      </c>
      <c r="AH15" s="43"/>
      <c r="AI15" s="38"/>
      <c r="AJ15" s="38"/>
      <c r="AK15" s="34">
        <f t="shared" si="9"/>
        <v>0</v>
      </c>
      <c r="AL15" s="44">
        <f t="shared" si="10"/>
        <v>0</v>
      </c>
      <c r="AM15" s="45">
        <f t="shared" si="26"/>
        <v>0</v>
      </c>
      <c r="AN15" s="51">
        <f t="shared" si="27"/>
        <v>0</v>
      </c>
      <c r="AO15" s="51">
        <f t="shared" si="28"/>
        <v>0</v>
      </c>
      <c r="AP15" s="47" t="e">
        <f t="shared" si="29"/>
        <v>#DIV/0!</v>
      </c>
      <c r="AQ15" s="48">
        <f t="shared" si="30"/>
        <v>0</v>
      </c>
      <c r="AR15" s="49">
        <f t="shared" si="23"/>
        <v>0</v>
      </c>
      <c r="AS15" s="49"/>
    </row>
    <row r="16" spans="1:49" x14ac:dyDescent="0.25">
      <c r="B16" s="22">
        <f t="shared" si="36"/>
        <v>45845</v>
      </c>
      <c r="C16" s="23" t="s">
        <v>54</v>
      </c>
      <c r="D16" s="50">
        <f t="shared" si="14"/>
        <v>0</v>
      </c>
      <c r="E16" s="34">
        <f t="shared" si="14"/>
        <v>0</v>
      </c>
      <c r="F16" s="34">
        <f t="shared" si="14"/>
        <v>0</v>
      </c>
      <c r="G16" s="34">
        <f t="shared" si="34"/>
        <v>0</v>
      </c>
      <c r="H16" s="35">
        <f t="shared" si="35"/>
        <v>0</v>
      </c>
      <c r="I16" s="26">
        <f t="shared" si="15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53"/>
        <v>0</v>
      </c>
      <c r="S16" s="34">
        <f t="shared" si="54"/>
        <v>0</v>
      </c>
      <c r="T16" s="35">
        <f t="shared" si="55"/>
        <v>0</v>
      </c>
      <c r="U16" s="36"/>
      <c r="V16" s="37"/>
      <c r="W16" s="38"/>
      <c r="X16" s="39"/>
      <c r="Y16" s="40"/>
      <c r="Z16" s="40"/>
      <c r="AA16" s="34">
        <f t="shared" si="56"/>
        <v>0</v>
      </c>
      <c r="AB16" s="34">
        <f t="shared" si="57"/>
        <v>0</v>
      </c>
      <c r="AC16" s="129"/>
      <c r="AD16" s="130"/>
      <c r="AE16" s="130"/>
      <c r="AF16" s="34">
        <f t="shared" si="58"/>
        <v>0</v>
      </c>
      <c r="AG16" s="34">
        <f t="shared" si="59"/>
        <v>0</v>
      </c>
      <c r="AH16" s="43"/>
      <c r="AI16" s="38"/>
      <c r="AJ16" s="38"/>
      <c r="AK16" s="34">
        <f t="shared" si="9"/>
        <v>0</v>
      </c>
      <c r="AL16" s="44">
        <f t="shared" si="10"/>
        <v>0</v>
      </c>
      <c r="AM16" s="45">
        <f t="shared" si="26"/>
        <v>0</v>
      </c>
      <c r="AN16" s="51">
        <f t="shared" si="27"/>
        <v>0</v>
      </c>
      <c r="AO16" s="51">
        <f t="shared" si="28"/>
        <v>0</v>
      </c>
      <c r="AP16" s="47" t="e">
        <f t="shared" si="29"/>
        <v>#DIV/0!</v>
      </c>
      <c r="AQ16" s="48">
        <f t="shared" si="30"/>
        <v>0</v>
      </c>
      <c r="AR16" s="49">
        <f t="shared" si="23"/>
        <v>0</v>
      </c>
      <c r="AS16" s="49"/>
    </row>
    <row r="17" spans="1:49" x14ac:dyDescent="0.25">
      <c r="B17" s="22">
        <f t="shared" si="36"/>
        <v>45845</v>
      </c>
      <c r="C17" s="23" t="s">
        <v>55</v>
      </c>
      <c r="D17" s="50">
        <f t="shared" si="14"/>
        <v>0</v>
      </c>
      <c r="E17" s="34">
        <f t="shared" si="14"/>
        <v>0</v>
      </c>
      <c r="F17" s="34">
        <f t="shared" si="14"/>
        <v>0</v>
      </c>
      <c r="G17" s="34">
        <f t="shared" si="34"/>
        <v>0</v>
      </c>
      <c r="H17" s="35">
        <f t="shared" si="35"/>
        <v>0</v>
      </c>
      <c r="I17" s="26">
        <f t="shared" si="15"/>
        <v>0</v>
      </c>
      <c r="J17" s="27"/>
      <c r="K17" s="28"/>
      <c r="L17" s="32"/>
      <c r="M17" s="29"/>
      <c r="N17" s="30"/>
      <c r="O17" s="31"/>
      <c r="P17" s="28"/>
      <c r="Q17" s="32"/>
      <c r="R17" s="53">
        <f t="shared" ref="R17" si="60">O17+J17</f>
        <v>0</v>
      </c>
      <c r="S17" s="34">
        <f t="shared" ref="S17" si="61">(J17*K17%)+(O17*P17%)</f>
        <v>0</v>
      </c>
      <c r="T17" s="35">
        <f t="shared" ref="T17" si="62">(J17*L17%)+(O17*Q17%)</f>
        <v>0</v>
      </c>
      <c r="U17" s="36"/>
      <c r="V17" s="37"/>
      <c r="W17" s="38"/>
      <c r="X17" s="39"/>
      <c r="Y17" s="40"/>
      <c r="Z17" s="40"/>
      <c r="AA17" s="34">
        <f t="shared" si="56"/>
        <v>0</v>
      </c>
      <c r="AB17" s="34">
        <f t="shared" si="57"/>
        <v>0</v>
      </c>
      <c r="AC17" s="129"/>
      <c r="AD17" s="130"/>
      <c r="AE17" s="130"/>
      <c r="AF17" s="34">
        <f t="shared" si="58"/>
        <v>0</v>
      </c>
      <c r="AG17" s="34">
        <f t="shared" si="59"/>
        <v>0</v>
      </c>
      <c r="AH17" s="43"/>
      <c r="AI17" s="38"/>
      <c r="AJ17" s="38"/>
      <c r="AK17" s="34">
        <f t="shared" si="9"/>
        <v>0</v>
      </c>
      <c r="AL17" s="44">
        <f t="shared" si="10"/>
        <v>0</v>
      </c>
      <c r="AM17" s="45">
        <f t="shared" si="26"/>
        <v>0</v>
      </c>
      <c r="AN17" s="51">
        <f t="shared" si="27"/>
        <v>0</v>
      </c>
      <c r="AO17" s="51">
        <f t="shared" si="28"/>
        <v>0</v>
      </c>
      <c r="AP17" s="47" t="e">
        <f t="shared" si="29"/>
        <v>#DIV/0!</v>
      </c>
      <c r="AQ17" s="48">
        <f t="shared" si="30"/>
        <v>0</v>
      </c>
      <c r="AR17" s="49">
        <f t="shared" si="23"/>
        <v>0</v>
      </c>
      <c r="AS17" s="49"/>
    </row>
    <row r="18" spans="1:49" x14ac:dyDescent="0.25">
      <c r="B18" s="22">
        <f t="shared" si="36"/>
        <v>45846</v>
      </c>
      <c r="C18" s="23" t="s">
        <v>54</v>
      </c>
      <c r="D18" s="50">
        <f t="shared" ref="D18" si="63">AH17</f>
        <v>0</v>
      </c>
      <c r="E18" s="34">
        <f t="shared" ref="E18" si="64">AI17</f>
        <v>0</v>
      </c>
      <c r="F18" s="34">
        <f t="shared" ref="F18" si="65">AJ17</f>
        <v>0</v>
      </c>
      <c r="G18" s="34">
        <f t="shared" si="34"/>
        <v>0</v>
      </c>
      <c r="H18" s="35">
        <f t="shared" si="35"/>
        <v>0</v>
      </c>
      <c r="I18" s="26">
        <f t="shared" si="15"/>
        <v>0</v>
      </c>
      <c r="J18" s="27"/>
      <c r="K18" s="28"/>
      <c r="L18" s="32"/>
      <c r="M18" s="29"/>
      <c r="N18" s="131"/>
      <c r="O18" s="31"/>
      <c r="P18" s="28"/>
      <c r="Q18" s="32"/>
      <c r="R18" s="53">
        <f t="shared" si="53"/>
        <v>0</v>
      </c>
      <c r="S18" s="34">
        <f t="shared" si="54"/>
        <v>0</v>
      </c>
      <c r="T18" s="35">
        <f t="shared" si="55"/>
        <v>0</v>
      </c>
      <c r="U18" s="36"/>
      <c r="V18" s="37"/>
      <c r="W18" s="38"/>
      <c r="X18" s="39"/>
      <c r="Y18" s="40"/>
      <c r="Z18" s="40"/>
      <c r="AA18" s="34">
        <f t="shared" si="56"/>
        <v>0</v>
      </c>
      <c r="AB18" s="34">
        <f t="shared" si="57"/>
        <v>0</v>
      </c>
      <c r="AC18" s="129"/>
      <c r="AD18" s="130"/>
      <c r="AE18" s="130"/>
      <c r="AF18" s="34">
        <f t="shared" si="58"/>
        <v>0</v>
      </c>
      <c r="AG18" s="34">
        <f t="shared" si="59"/>
        <v>0</v>
      </c>
      <c r="AH18" s="43"/>
      <c r="AI18" s="38"/>
      <c r="AJ18" s="38"/>
      <c r="AK18" s="34">
        <f t="shared" si="9"/>
        <v>0</v>
      </c>
      <c r="AL18" s="44">
        <f t="shared" si="10"/>
        <v>0</v>
      </c>
      <c r="AM18" s="45">
        <f t="shared" si="26"/>
        <v>0</v>
      </c>
      <c r="AN18" s="51">
        <f t="shared" si="27"/>
        <v>0</v>
      </c>
      <c r="AO18" s="51">
        <f t="shared" si="28"/>
        <v>0</v>
      </c>
      <c r="AP18" s="47" t="e">
        <f t="shared" si="29"/>
        <v>#DIV/0!</v>
      </c>
      <c r="AQ18" s="48">
        <f t="shared" si="30"/>
        <v>0</v>
      </c>
      <c r="AR18" s="49">
        <f t="shared" si="23"/>
        <v>0</v>
      </c>
      <c r="AS18" s="49"/>
    </row>
    <row r="19" spans="1:49" x14ac:dyDescent="0.25">
      <c r="B19" s="22">
        <f t="shared" si="36"/>
        <v>45846</v>
      </c>
      <c r="C19" s="23" t="s">
        <v>55</v>
      </c>
      <c r="D19" s="50">
        <f t="shared" si="14"/>
        <v>0</v>
      </c>
      <c r="E19" s="34">
        <f t="shared" si="14"/>
        <v>0</v>
      </c>
      <c r="F19" s="34">
        <f t="shared" si="14"/>
        <v>0</v>
      </c>
      <c r="G19" s="34">
        <f t="shared" si="34"/>
        <v>0</v>
      </c>
      <c r="H19" s="35">
        <f t="shared" si="35"/>
        <v>0</v>
      </c>
      <c r="I19" s="26">
        <f t="shared" si="15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53"/>
        <v>0</v>
      </c>
      <c r="S19" s="34">
        <f t="shared" si="54"/>
        <v>0</v>
      </c>
      <c r="T19" s="35">
        <f t="shared" si="55"/>
        <v>0</v>
      </c>
      <c r="U19" s="36"/>
      <c r="V19" s="37"/>
      <c r="W19" s="38"/>
      <c r="X19" s="39"/>
      <c r="Y19" s="40"/>
      <c r="Z19" s="40"/>
      <c r="AA19" s="34">
        <f t="shared" si="56"/>
        <v>0</v>
      </c>
      <c r="AB19" s="34">
        <f t="shared" si="57"/>
        <v>0</v>
      </c>
      <c r="AC19" s="129"/>
      <c r="AD19" s="130"/>
      <c r="AE19" s="130"/>
      <c r="AF19" s="34">
        <f t="shared" si="58"/>
        <v>0</v>
      </c>
      <c r="AG19" s="34">
        <f t="shared" si="59"/>
        <v>0</v>
      </c>
      <c r="AH19" s="43"/>
      <c r="AI19" s="38"/>
      <c r="AJ19" s="38"/>
      <c r="AK19" s="34">
        <f t="shared" ref="AK19:AK21" si="66">AH19*AI19%</f>
        <v>0</v>
      </c>
      <c r="AL19" s="44">
        <f t="shared" ref="AL19:AL21" si="67">AH19*AJ19%</f>
        <v>0</v>
      </c>
      <c r="AM19" s="45">
        <f t="shared" si="26"/>
        <v>0</v>
      </c>
      <c r="AN19" s="51">
        <f t="shared" si="27"/>
        <v>0</v>
      </c>
      <c r="AO19" s="51">
        <f t="shared" si="28"/>
        <v>0</v>
      </c>
      <c r="AP19" s="47" t="e">
        <f t="shared" si="29"/>
        <v>#DIV/0!</v>
      </c>
      <c r="AQ19" s="48">
        <f t="shared" si="30"/>
        <v>0</v>
      </c>
      <c r="AR19" s="49">
        <f t="shared" si="23"/>
        <v>0</v>
      </c>
      <c r="AS19" s="49"/>
    </row>
    <row r="20" spans="1:49" x14ac:dyDescent="0.25">
      <c r="B20" s="22">
        <f t="shared" si="36"/>
        <v>45847</v>
      </c>
      <c r="C20" s="23" t="s">
        <v>54</v>
      </c>
      <c r="D20" s="50">
        <f t="shared" ref="D20" si="68">AH19</f>
        <v>0</v>
      </c>
      <c r="E20" s="34">
        <f t="shared" ref="E20" si="69">AI19</f>
        <v>0</v>
      </c>
      <c r="F20" s="34">
        <f t="shared" ref="F20" si="70">AJ19</f>
        <v>0</v>
      </c>
      <c r="G20" s="34">
        <f t="shared" si="34"/>
        <v>0</v>
      </c>
      <c r="H20" s="35">
        <f t="shared" si="35"/>
        <v>0</v>
      </c>
      <c r="I20" s="26">
        <f t="shared" si="15"/>
        <v>0</v>
      </c>
      <c r="J20" s="27"/>
      <c r="K20" s="28"/>
      <c r="L20" s="32"/>
      <c r="M20" s="29"/>
      <c r="N20" s="30"/>
      <c r="O20" s="31"/>
      <c r="P20" s="28"/>
      <c r="Q20" s="32"/>
      <c r="R20" s="53">
        <f t="shared" si="53"/>
        <v>0</v>
      </c>
      <c r="S20" s="34">
        <f t="shared" si="54"/>
        <v>0</v>
      </c>
      <c r="T20" s="35">
        <f t="shared" si="55"/>
        <v>0</v>
      </c>
      <c r="U20" s="36"/>
      <c r="V20" s="37"/>
      <c r="W20" s="38"/>
      <c r="X20" s="39"/>
      <c r="Y20" s="40"/>
      <c r="Z20" s="40"/>
      <c r="AA20" s="34">
        <f t="shared" si="56"/>
        <v>0</v>
      </c>
      <c r="AB20" s="34">
        <f t="shared" si="57"/>
        <v>0</v>
      </c>
      <c r="AC20" s="129"/>
      <c r="AD20" s="130"/>
      <c r="AE20" s="130"/>
      <c r="AF20" s="34">
        <f t="shared" si="58"/>
        <v>0</v>
      </c>
      <c r="AG20" s="34">
        <f t="shared" si="59"/>
        <v>0</v>
      </c>
      <c r="AH20" s="43"/>
      <c r="AI20" s="38"/>
      <c r="AJ20" s="38"/>
      <c r="AK20" s="34">
        <f t="shared" ref="AK20" si="71">AH20*AI20%</f>
        <v>0</v>
      </c>
      <c r="AL20" s="44">
        <f t="shared" ref="AL20" si="72">AH20*AJ20%</f>
        <v>0</v>
      </c>
      <c r="AM20" s="45">
        <f t="shared" si="26"/>
        <v>0</v>
      </c>
      <c r="AN20" s="51">
        <f t="shared" si="27"/>
        <v>0</v>
      </c>
      <c r="AO20" s="51">
        <f t="shared" si="28"/>
        <v>0</v>
      </c>
      <c r="AP20" s="47" t="e">
        <f t="shared" si="29"/>
        <v>#DIV/0!</v>
      </c>
      <c r="AQ20" s="48">
        <f t="shared" si="30"/>
        <v>0</v>
      </c>
      <c r="AR20" s="49">
        <f t="shared" si="23"/>
        <v>0</v>
      </c>
      <c r="AS20" s="49"/>
    </row>
    <row r="21" spans="1:49" x14ac:dyDescent="0.25">
      <c r="B21" s="22">
        <f t="shared" si="36"/>
        <v>45847</v>
      </c>
      <c r="C21" s="23" t="s">
        <v>55</v>
      </c>
      <c r="D21" s="50">
        <f t="shared" ref="D21:F35" si="73">AH20</f>
        <v>0</v>
      </c>
      <c r="E21" s="34">
        <f t="shared" si="73"/>
        <v>0</v>
      </c>
      <c r="F21" s="34">
        <f t="shared" si="73"/>
        <v>0</v>
      </c>
      <c r="G21" s="34">
        <f t="shared" si="34"/>
        <v>0</v>
      </c>
      <c r="H21" s="35">
        <f t="shared" si="35"/>
        <v>0</v>
      </c>
      <c r="I21" s="26">
        <f t="shared" si="15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si="53"/>
        <v>0</v>
      </c>
      <c r="S21" s="34">
        <f t="shared" si="54"/>
        <v>0</v>
      </c>
      <c r="T21" s="35">
        <f t="shared" si="55"/>
        <v>0</v>
      </c>
      <c r="U21" s="36"/>
      <c r="V21" s="37"/>
      <c r="W21" s="38"/>
      <c r="X21" s="39"/>
      <c r="Y21" s="40"/>
      <c r="Z21" s="40"/>
      <c r="AA21" s="34">
        <f t="shared" si="56"/>
        <v>0</v>
      </c>
      <c r="AB21" s="34">
        <f t="shared" si="57"/>
        <v>0</v>
      </c>
      <c r="AC21" s="129"/>
      <c r="AD21" s="130"/>
      <c r="AE21" s="130"/>
      <c r="AF21" s="34">
        <f t="shared" si="58"/>
        <v>0</v>
      </c>
      <c r="AG21" s="34">
        <f t="shared" si="59"/>
        <v>0</v>
      </c>
      <c r="AH21" s="43"/>
      <c r="AI21" s="38"/>
      <c r="AJ21" s="38"/>
      <c r="AK21" s="34">
        <f t="shared" si="66"/>
        <v>0</v>
      </c>
      <c r="AL21" s="44">
        <f t="shared" si="67"/>
        <v>0</v>
      </c>
      <c r="AM21" s="45">
        <f t="shared" si="26"/>
        <v>0</v>
      </c>
      <c r="AN21" s="51">
        <f t="shared" si="27"/>
        <v>0</v>
      </c>
      <c r="AO21" s="51">
        <f t="shared" si="28"/>
        <v>0</v>
      </c>
      <c r="AP21" s="47" t="e">
        <f t="shared" si="29"/>
        <v>#DIV/0!</v>
      </c>
      <c r="AQ21" s="48">
        <f t="shared" si="30"/>
        <v>0</v>
      </c>
      <c r="AR21" s="49">
        <f t="shared" si="23"/>
        <v>0</v>
      </c>
      <c r="AS21" s="49"/>
    </row>
    <row r="22" spans="1:49" x14ac:dyDescent="0.25">
      <c r="B22" s="22">
        <f t="shared" si="36"/>
        <v>45848</v>
      </c>
      <c r="C22" s="23" t="s">
        <v>54</v>
      </c>
      <c r="D22" s="50">
        <f t="shared" ref="D22" si="74">AH21</f>
        <v>0</v>
      </c>
      <c r="E22" s="34">
        <f t="shared" ref="E22" si="75">AI21</f>
        <v>0</v>
      </c>
      <c r="F22" s="34">
        <f t="shared" ref="F22" si="76">AJ21</f>
        <v>0</v>
      </c>
      <c r="G22" s="34">
        <f t="shared" si="34"/>
        <v>0</v>
      </c>
      <c r="H22" s="35">
        <f t="shared" si="35"/>
        <v>0</v>
      </c>
      <c r="I22" s="26">
        <f t="shared" si="15"/>
        <v>0</v>
      </c>
      <c r="J22" s="27"/>
      <c r="K22" s="28"/>
      <c r="L22" s="32"/>
      <c r="M22" s="29"/>
      <c r="N22" s="131"/>
      <c r="O22" s="31"/>
      <c r="P22" s="28"/>
      <c r="Q22" s="32"/>
      <c r="R22" s="53">
        <f t="shared" si="53"/>
        <v>0</v>
      </c>
      <c r="S22" s="34">
        <f t="shared" si="54"/>
        <v>0</v>
      </c>
      <c r="T22" s="35">
        <f t="shared" si="55"/>
        <v>0</v>
      </c>
      <c r="U22" s="36"/>
      <c r="V22" s="37"/>
      <c r="W22" s="38"/>
      <c r="X22" s="39"/>
      <c r="Y22" s="40"/>
      <c r="Z22" s="40"/>
      <c r="AA22" s="34">
        <f t="shared" si="56"/>
        <v>0</v>
      </c>
      <c r="AB22" s="34">
        <f t="shared" si="57"/>
        <v>0</v>
      </c>
      <c r="AC22" s="129"/>
      <c r="AD22" s="130"/>
      <c r="AE22" s="130"/>
      <c r="AF22" s="34">
        <f t="shared" si="58"/>
        <v>0</v>
      </c>
      <c r="AG22" s="34">
        <f t="shared" si="59"/>
        <v>0</v>
      </c>
      <c r="AH22" s="43"/>
      <c r="AI22" s="38"/>
      <c r="AJ22" s="38"/>
      <c r="AK22" s="34">
        <f t="shared" si="9"/>
        <v>0</v>
      </c>
      <c r="AL22" s="44">
        <f t="shared" si="10"/>
        <v>0</v>
      </c>
      <c r="AM22" s="45">
        <f t="shared" si="26"/>
        <v>0</v>
      </c>
      <c r="AN22" s="51">
        <f t="shared" si="27"/>
        <v>0</v>
      </c>
      <c r="AO22" s="51">
        <f t="shared" si="28"/>
        <v>0</v>
      </c>
      <c r="AP22" s="47" t="e">
        <f t="shared" si="29"/>
        <v>#DIV/0!</v>
      </c>
      <c r="AQ22" s="48">
        <f t="shared" si="30"/>
        <v>0</v>
      </c>
      <c r="AR22" s="49">
        <f t="shared" si="23"/>
        <v>0</v>
      </c>
      <c r="AS22" s="49"/>
    </row>
    <row r="23" spans="1:49" x14ac:dyDescent="0.25">
      <c r="B23" s="22">
        <f t="shared" si="36"/>
        <v>45848</v>
      </c>
      <c r="C23" s="23" t="s">
        <v>55</v>
      </c>
      <c r="D23" s="50">
        <f t="shared" si="73"/>
        <v>0</v>
      </c>
      <c r="E23" s="34">
        <f t="shared" si="73"/>
        <v>0</v>
      </c>
      <c r="F23" s="34">
        <f t="shared" si="73"/>
        <v>0</v>
      </c>
      <c r="G23" s="34">
        <f t="shared" si="34"/>
        <v>0</v>
      </c>
      <c r="H23" s="35">
        <f t="shared" si="35"/>
        <v>0</v>
      </c>
      <c r="I23" s="26">
        <f t="shared" si="15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53"/>
        <v>0</v>
      </c>
      <c r="S23" s="34">
        <f t="shared" si="54"/>
        <v>0</v>
      </c>
      <c r="T23" s="35">
        <f t="shared" si="55"/>
        <v>0</v>
      </c>
      <c r="U23" s="36"/>
      <c r="V23" s="37"/>
      <c r="W23" s="38"/>
      <c r="X23" s="39"/>
      <c r="Y23" s="40"/>
      <c r="Z23" s="40"/>
      <c r="AA23" s="34">
        <f t="shared" si="56"/>
        <v>0</v>
      </c>
      <c r="AB23" s="34">
        <f t="shared" si="57"/>
        <v>0</v>
      </c>
      <c r="AC23" s="129"/>
      <c r="AD23" s="130"/>
      <c r="AE23" s="130"/>
      <c r="AF23" s="34">
        <f t="shared" si="58"/>
        <v>0</v>
      </c>
      <c r="AG23" s="34">
        <f t="shared" si="59"/>
        <v>0</v>
      </c>
      <c r="AH23" s="43"/>
      <c r="AI23" s="38"/>
      <c r="AJ23" s="38"/>
      <c r="AK23" s="34">
        <f t="shared" ref="AK23:AK24" si="77">AH23*AI23%</f>
        <v>0</v>
      </c>
      <c r="AL23" s="44">
        <f t="shared" ref="AL23:AL24" si="78">AH23*AJ23%</f>
        <v>0</v>
      </c>
      <c r="AM23" s="45">
        <f t="shared" si="26"/>
        <v>0</v>
      </c>
      <c r="AN23" s="51">
        <f t="shared" si="27"/>
        <v>0</v>
      </c>
      <c r="AO23" s="51">
        <f t="shared" si="28"/>
        <v>0</v>
      </c>
      <c r="AP23" s="47" t="e">
        <f t="shared" si="29"/>
        <v>#DIV/0!</v>
      </c>
      <c r="AQ23" s="48">
        <f t="shared" si="30"/>
        <v>0</v>
      </c>
      <c r="AR23" s="49">
        <f t="shared" si="23"/>
        <v>0</v>
      </c>
      <c r="AS23" s="49"/>
    </row>
    <row r="24" spans="1:49" x14ac:dyDescent="0.25">
      <c r="B24" s="22">
        <f t="shared" si="36"/>
        <v>45849</v>
      </c>
      <c r="C24" s="23" t="s">
        <v>54</v>
      </c>
      <c r="D24" s="50">
        <f t="shared" ref="D24" si="79">AH23</f>
        <v>0</v>
      </c>
      <c r="E24" s="34">
        <f t="shared" ref="E24" si="80">AI23</f>
        <v>0</v>
      </c>
      <c r="F24" s="34">
        <f t="shared" ref="F24" si="81">AJ23</f>
        <v>0</v>
      </c>
      <c r="G24" s="34">
        <f t="shared" si="34"/>
        <v>0</v>
      </c>
      <c r="H24" s="35">
        <f t="shared" si="35"/>
        <v>0</v>
      </c>
      <c r="I24" s="26">
        <f t="shared" si="15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53"/>
        <v>0</v>
      </c>
      <c r="S24" s="34">
        <f t="shared" si="54"/>
        <v>0</v>
      </c>
      <c r="T24" s="35">
        <f t="shared" si="55"/>
        <v>0</v>
      </c>
      <c r="U24" s="36"/>
      <c r="V24" s="37"/>
      <c r="W24" s="38"/>
      <c r="X24" s="39"/>
      <c r="Y24" s="40"/>
      <c r="Z24" s="40"/>
      <c r="AA24" s="34">
        <f t="shared" si="56"/>
        <v>0</v>
      </c>
      <c r="AB24" s="34">
        <f t="shared" si="57"/>
        <v>0</v>
      </c>
      <c r="AC24" s="129"/>
      <c r="AD24" s="130"/>
      <c r="AE24" s="130"/>
      <c r="AF24" s="34">
        <f t="shared" si="58"/>
        <v>0</v>
      </c>
      <c r="AG24" s="34">
        <f t="shared" si="59"/>
        <v>0</v>
      </c>
      <c r="AH24" s="43"/>
      <c r="AI24" s="38"/>
      <c r="AJ24" s="38"/>
      <c r="AK24" s="34">
        <f t="shared" si="77"/>
        <v>0</v>
      </c>
      <c r="AL24" s="44">
        <f t="shared" si="78"/>
        <v>0</v>
      </c>
      <c r="AM24" s="45">
        <f t="shared" si="26"/>
        <v>0</v>
      </c>
      <c r="AN24" s="51">
        <f t="shared" si="27"/>
        <v>0</v>
      </c>
      <c r="AO24" s="51">
        <f t="shared" si="28"/>
        <v>0</v>
      </c>
      <c r="AP24" s="47" t="e">
        <f t="shared" si="29"/>
        <v>#DIV/0!</v>
      </c>
      <c r="AQ24" s="48">
        <f t="shared" si="30"/>
        <v>0</v>
      </c>
      <c r="AR24" s="49">
        <f t="shared" si="23"/>
        <v>0</v>
      </c>
      <c r="AS24" s="49"/>
    </row>
    <row r="25" spans="1:49" x14ac:dyDescent="0.25">
      <c r="B25" s="22">
        <f t="shared" si="36"/>
        <v>45849</v>
      </c>
      <c r="C25" s="23" t="s">
        <v>55</v>
      </c>
      <c r="D25" s="50">
        <f t="shared" si="73"/>
        <v>0</v>
      </c>
      <c r="E25" s="34">
        <f t="shared" si="73"/>
        <v>0</v>
      </c>
      <c r="F25" s="34">
        <f t="shared" si="73"/>
        <v>0</v>
      </c>
      <c r="G25" s="34">
        <f t="shared" si="34"/>
        <v>0</v>
      </c>
      <c r="H25" s="35">
        <f t="shared" si="35"/>
        <v>0</v>
      </c>
      <c r="I25" s="26">
        <f t="shared" si="15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53"/>
        <v>0</v>
      </c>
      <c r="S25" s="34">
        <f t="shared" si="54"/>
        <v>0</v>
      </c>
      <c r="T25" s="35">
        <f t="shared" si="55"/>
        <v>0</v>
      </c>
      <c r="U25" s="36"/>
      <c r="V25" s="37"/>
      <c r="W25" s="38"/>
      <c r="X25" s="39"/>
      <c r="Y25" s="40"/>
      <c r="Z25" s="40"/>
      <c r="AA25" s="34">
        <f t="shared" si="56"/>
        <v>0</v>
      </c>
      <c r="AB25" s="34">
        <f t="shared" si="57"/>
        <v>0</v>
      </c>
      <c r="AC25" s="129"/>
      <c r="AD25" s="130"/>
      <c r="AE25" s="130"/>
      <c r="AF25" s="34">
        <f t="shared" si="58"/>
        <v>0</v>
      </c>
      <c r="AG25" s="34">
        <f t="shared" si="59"/>
        <v>0</v>
      </c>
      <c r="AH25" s="43"/>
      <c r="AI25" s="38"/>
      <c r="AJ25" s="38"/>
      <c r="AK25" s="34">
        <f t="shared" si="9"/>
        <v>0</v>
      </c>
      <c r="AL25" s="44">
        <f t="shared" si="10"/>
        <v>0</v>
      </c>
      <c r="AM25" s="45">
        <f t="shared" si="26"/>
        <v>0</v>
      </c>
      <c r="AN25" s="51">
        <f t="shared" si="27"/>
        <v>0</v>
      </c>
      <c r="AO25" s="51">
        <f t="shared" si="28"/>
        <v>0</v>
      </c>
      <c r="AP25" s="47" t="e">
        <f t="shared" si="29"/>
        <v>#DIV/0!</v>
      </c>
      <c r="AQ25" s="48">
        <f t="shared" si="30"/>
        <v>0</v>
      </c>
      <c r="AR25" s="49">
        <f t="shared" si="23"/>
        <v>0</v>
      </c>
      <c r="AS25" s="49"/>
    </row>
    <row r="26" spans="1:49" x14ac:dyDescent="0.25">
      <c r="B26" s="22">
        <f t="shared" si="36"/>
        <v>45850</v>
      </c>
      <c r="C26" s="23" t="s">
        <v>54</v>
      </c>
      <c r="D26" s="50">
        <f t="shared" ref="D26" si="82">AH25</f>
        <v>0</v>
      </c>
      <c r="E26" s="34">
        <f t="shared" ref="E26" si="83">AI25</f>
        <v>0</v>
      </c>
      <c r="F26" s="34">
        <f t="shared" ref="F26" si="84">AJ25</f>
        <v>0</v>
      </c>
      <c r="G26" s="34">
        <f t="shared" si="34"/>
        <v>0</v>
      </c>
      <c r="H26" s="35">
        <f t="shared" si="35"/>
        <v>0</v>
      </c>
      <c r="I26" s="26">
        <f t="shared" si="15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ref="R26:R27" si="85">O26+J26</f>
        <v>0</v>
      </c>
      <c r="S26" s="34">
        <f t="shared" ref="S26:S27" si="86">(J26*K26%)+(O26*P26%)</f>
        <v>0</v>
      </c>
      <c r="T26" s="35">
        <f t="shared" ref="T26:T27" si="87">(J26*L26%)+(O26*Q26%)</f>
        <v>0</v>
      </c>
      <c r="U26" s="36"/>
      <c r="V26" s="37"/>
      <c r="W26" s="38"/>
      <c r="X26" s="39"/>
      <c r="Y26" s="40"/>
      <c r="Z26" s="40"/>
      <c r="AA26" s="34">
        <f t="shared" ref="AA26:AA27" si="88">X26*Y26%</f>
        <v>0</v>
      </c>
      <c r="AB26" s="34">
        <f t="shared" ref="AB26:AB27" si="89">X26*Z26%</f>
        <v>0</v>
      </c>
      <c r="AC26" s="129"/>
      <c r="AD26" s="130"/>
      <c r="AE26" s="130"/>
      <c r="AF26" s="34">
        <f t="shared" ref="AF26:AF27" si="90">AC26*AD26%</f>
        <v>0</v>
      </c>
      <c r="AG26" s="34">
        <f t="shared" ref="AG26:AG27" si="91">AC26*AE26%</f>
        <v>0</v>
      </c>
      <c r="AH26" s="43"/>
      <c r="AI26" s="38"/>
      <c r="AJ26" s="38"/>
      <c r="AK26" s="34">
        <f t="shared" ref="AK26:AK27" si="92">AH26*AI26%</f>
        <v>0</v>
      </c>
      <c r="AL26" s="44">
        <f t="shared" ref="AL26:AL27" si="93">AH26*AJ26%</f>
        <v>0</v>
      </c>
      <c r="AM26" s="45">
        <f t="shared" si="26"/>
        <v>0</v>
      </c>
      <c r="AN26" s="51">
        <f t="shared" si="27"/>
        <v>0</v>
      </c>
      <c r="AO26" s="51">
        <f t="shared" si="28"/>
        <v>0</v>
      </c>
      <c r="AP26" s="47" t="e">
        <f t="shared" si="29"/>
        <v>#DIV/0!</v>
      </c>
      <c r="AQ26" s="48">
        <f t="shared" si="30"/>
        <v>0</v>
      </c>
      <c r="AR26" s="49">
        <f t="shared" si="23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1:49" x14ac:dyDescent="0.25">
      <c r="B27" s="22">
        <f t="shared" si="36"/>
        <v>45850</v>
      </c>
      <c r="C27" s="23" t="s">
        <v>55</v>
      </c>
      <c r="D27" s="50">
        <f t="shared" si="73"/>
        <v>0</v>
      </c>
      <c r="E27" s="34">
        <f t="shared" si="73"/>
        <v>0</v>
      </c>
      <c r="F27" s="34">
        <f t="shared" si="73"/>
        <v>0</v>
      </c>
      <c r="G27" s="34">
        <f t="shared" si="34"/>
        <v>0</v>
      </c>
      <c r="H27" s="35">
        <f t="shared" si="35"/>
        <v>0</v>
      </c>
      <c r="I27" s="26">
        <f t="shared" si="15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85"/>
        <v>0</v>
      </c>
      <c r="S27" s="34">
        <f t="shared" si="86"/>
        <v>0</v>
      </c>
      <c r="T27" s="35">
        <f t="shared" si="87"/>
        <v>0</v>
      </c>
      <c r="U27" s="36"/>
      <c r="V27" s="37"/>
      <c r="W27" s="38"/>
      <c r="X27" s="39"/>
      <c r="Y27" s="40"/>
      <c r="Z27" s="40"/>
      <c r="AA27" s="34">
        <f t="shared" si="88"/>
        <v>0</v>
      </c>
      <c r="AB27" s="34">
        <f t="shared" si="89"/>
        <v>0</v>
      </c>
      <c r="AC27" s="129"/>
      <c r="AD27" s="130"/>
      <c r="AE27" s="130"/>
      <c r="AF27" s="34">
        <f t="shared" si="90"/>
        <v>0</v>
      </c>
      <c r="AG27" s="34">
        <f t="shared" si="91"/>
        <v>0</v>
      </c>
      <c r="AH27" s="43"/>
      <c r="AI27" s="38"/>
      <c r="AJ27" s="38"/>
      <c r="AK27" s="34">
        <f t="shared" si="92"/>
        <v>0</v>
      </c>
      <c r="AL27" s="44">
        <f t="shared" si="93"/>
        <v>0</v>
      </c>
      <c r="AM27" s="45">
        <f t="shared" si="26"/>
        <v>0</v>
      </c>
      <c r="AN27" s="51">
        <f t="shared" si="27"/>
        <v>0</v>
      </c>
      <c r="AO27" s="51">
        <f t="shared" si="28"/>
        <v>0</v>
      </c>
      <c r="AP27" s="47" t="e">
        <f t="shared" si="29"/>
        <v>#DIV/0!</v>
      </c>
      <c r="AQ27" s="48">
        <f t="shared" si="30"/>
        <v>0</v>
      </c>
      <c r="AR27" s="49">
        <f t="shared" si="23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1:49" x14ac:dyDescent="0.25">
      <c r="B28" s="22">
        <f t="shared" si="36"/>
        <v>45851</v>
      </c>
      <c r="C28" s="23" t="s">
        <v>54</v>
      </c>
      <c r="D28" s="50">
        <f t="shared" si="73"/>
        <v>0</v>
      </c>
      <c r="E28" s="34">
        <f t="shared" si="73"/>
        <v>0</v>
      </c>
      <c r="F28" s="34">
        <f t="shared" si="73"/>
        <v>0</v>
      </c>
      <c r="G28" s="34">
        <f t="shared" si="34"/>
        <v>0</v>
      </c>
      <c r="H28" s="35">
        <f t="shared" si="35"/>
        <v>0</v>
      </c>
      <c r="I28" s="26">
        <f t="shared" si="15"/>
        <v>0</v>
      </c>
      <c r="J28" s="27"/>
      <c r="K28" s="28"/>
      <c r="L28" s="32"/>
      <c r="M28" s="29"/>
      <c r="N28" s="30"/>
      <c r="O28" s="31"/>
      <c r="P28" s="28"/>
      <c r="Q28" s="32"/>
      <c r="R28" s="53">
        <f t="shared" ref="R28:R29" si="94">O28+J28</f>
        <v>0</v>
      </c>
      <c r="S28" s="34">
        <f t="shared" ref="S28:S29" si="95">(J28*K28%)+(O28*P28%)</f>
        <v>0</v>
      </c>
      <c r="T28" s="35">
        <f t="shared" ref="T28:T29" si="96">(J28*L28%)+(O28*Q28%)</f>
        <v>0</v>
      </c>
      <c r="U28" s="36"/>
      <c r="V28" s="37"/>
      <c r="W28" s="38"/>
      <c r="X28" s="39"/>
      <c r="Y28" s="40"/>
      <c r="Z28" s="40"/>
      <c r="AA28" s="34">
        <f t="shared" ref="AA28:AA36" si="97">X28*Y28%</f>
        <v>0</v>
      </c>
      <c r="AB28" s="34">
        <f t="shared" ref="AB28:AB36" si="98">X28*Z28%</f>
        <v>0</v>
      </c>
      <c r="AC28" s="129"/>
      <c r="AD28" s="130"/>
      <c r="AE28" s="130"/>
      <c r="AF28" s="34">
        <f t="shared" ref="AF28:AF37" si="99">AC28*AD28%</f>
        <v>0</v>
      </c>
      <c r="AG28" s="34">
        <f t="shared" ref="AG28:AG37" si="100">AC28*AE28%</f>
        <v>0</v>
      </c>
      <c r="AH28" s="43"/>
      <c r="AI28" s="38"/>
      <c r="AJ28" s="38"/>
      <c r="AK28" s="34">
        <f t="shared" si="9"/>
        <v>0</v>
      </c>
      <c r="AL28" s="44">
        <f t="shared" si="10"/>
        <v>0</v>
      </c>
      <c r="AM28" s="45">
        <f t="shared" si="26"/>
        <v>0</v>
      </c>
      <c r="AN28" s="51">
        <f t="shared" si="27"/>
        <v>0</v>
      </c>
      <c r="AO28" s="51">
        <f t="shared" si="28"/>
        <v>0</v>
      </c>
      <c r="AP28" s="47" t="e">
        <f t="shared" si="29"/>
        <v>#DIV/0!</v>
      </c>
      <c r="AQ28" s="48">
        <f t="shared" si="30"/>
        <v>0</v>
      </c>
      <c r="AR28" s="49">
        <f t="shared" si="23"/>
        <v>0</v>
      </c>
    </row>
    <row r="29" spans="1:49" x14ac:dyDescent="0.25">
      <c r="B29" s="22">
        <f t="shared" si="36"/>
        <v>45851</v>
      </c>
      <c r="C29" s="23" t="s">
        <v>55</v>
      </c>
      <c r="D29" s="50">
        <f t="shared" si="73"/>
        <v>0</v>
      </c>
      <c r="E29" s="34">
        <f t="shared" si="73"/>
        <v>0</v>
      </c>
      <c r="F29" s="34">
        <f t="shared" si="73"/>
        <v>0</v>
      </c>
      <c r="G29" s="34">
        <f t="shared" si="34"/>
        <v>0</v>
      </c>
      <c r="H29" s="35">
        <f t="shared" si="35"/>
        <v>0</v>
      </c>
      <c r="I29" s="26">
        <f t="shared" si="15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94"/>
        <v>0</v>
      </c>
      <c r="S29" s="34">
        <f t="shared" si="95"/>
        <v>0</v>
      </c>
      <c r="T29" s="35">
        <f t="shared" si="96"/>
        <v>0</v>
      </c>
      <c r="U29" s="36"/>
      <c r="V29" s="37"/>
      <c r="W29" s="38"/>
      <c r="X29" s="39"/>
      <c r="Y29" s="40"/>
      <c r="Z29" s="40"/>
      <c r="AA29" s="34">
        <f t="shared" ref="AA29" si="101">X29*Y29%</f>
        <v>0</v>
      </c>
      <c r="AB29" s="34">
        <f t="shared" ref="AB29" si="102">X29*Z29%</f>
        <v>0</v>
      </c>
      <c r="AC29" s="129"/>
      <c r="AD29" s="130"/>
      <c r="AE29" s="130"/>
      <c r="AF29" s="34">
        <f t="shared" si="99"/>
        <v>0</v>
      </c>
      <c r="AG29" s="34">
        <f t="shared" si="100"/>
        <v>0</v>
      </c>
      <c r="AH29" s="43"/>
      <c r="AI29" s="38"/>
      <c r="AJ29" s="38"/>
      <c r="AK29" s="34">
        <f t="shared" si="9"/>
        <v>0</v>
      </c>
      <c r="AL29" s="44">
        <f t="shared" si="10"/>
        <v>0</v>
      </c>
      <c r="AM29" s="45">
        <f t="shared" si="26"/>
        <v>0</v>
      </c>
      <c r="AN29" s="51">
        <f t="shared" si="27"/>
        <v>0</v>
      </c>
      <c r="AO29" s="51">
        <f t="shared" si="28"/>
        <v>0</v>
      </c>
      <c r="AP29" s="47" t="e">
        <f t="shared" si="29"/>
        <v>#DIV/0!</v>
      </c>
      <c r="AQ29" s="48">
        <f t="shared" si="30"/>
        <v>0</v>
      </c>
      <c r="AR29" s="49">
        <f t="shared" si="23"/>
        <v>0</v>
      </c>
    </row>
    <row r="30" spans="1:49" x14ac:dyDescent="0.25">
      <c r="A30" t="s">
        <v>81</v>
      </c>
      <c r="B30" s="22">
        <f t="shared" si="36"/>
        <v>45852</v>
      </c>
      <c r="C30" s="23" t="s">
        <v>54</v>
      </c>
      <c r="D30" s="50">
        <f t="shared" ref="D30" si="103">AH29</f>
        <v>0</v>
      </c>
      <c r="E30" s="34">
        <f t="shared" ref="E30" si="104">AI29</f>
        <v>0</v>
      </c>
      <c r="F30" s="34">
        <f t="shared" ref="F30" si="105">AJ29</f>
        <v>0</v>
      </c>
      <c r="G30" s="34">
        <f t="shared" si="34"/>
        <v>0</v>
      </c>
      <c r="H30" s="35">
        <f t="shared" si="35"/>
        <v>0</v>
      </c>
      <c r="I30" s="26">
        <f t="shared" si="15"/>
        <v>0</v>
      </c>
      <c r="J30" s="27"/>
      <c r="K30" s="28"/>
      <c r="L30" s="32"/>
      <c r="M30" s="29"/>
      <c r="N30" s="30"/>
      <c r="O30" s="31"/>
      <c r="P30" s="28"/>
      <c r="Q30" s="32"/>
      <c r="R30" s="53">
        <f t="shared" ref="R30:R37" si="106">O30+J30</f>
        <v>0</v>
      </c>
      <c r="S30" s="34">
        <f t="shared" ref="S30:S37" si="107">(J30*K30%)+(O30*P30%)</f>
        <v>0</v>
      </c>
      <c r="T30" s="35">
        <f t="shared" ref="T30:T37" si="108">(J30*L30%)+(O30*Q30%)</f>
        <v>0</v>
      </c>
      <c r="U30" s="36"/>
      <c r="V30" s="37"/>
      <c r="W30" s="38"/>
      <c r="X30" s="39"/>
      <c r="Y30" s="40"/>
      <c r="Z30" s="40"/>
      <c r="AA30" s="34">
        <f t="shared" si="97"/>
        <v>0</v>
      </c>
      <c r="AB30" s="34">
        <f t="shared" si="98"/>
        <v>0</v>
      </c>
      <c r="AC30" s="129"/>
      <c r="AD30" s="130"/>
      <c r="AE30" s="130"/>
      <c r="AF30" s="34">
        <f t="shared" si="99"/>
        <v>0</v>
      </c>
      <c r="AG30" s="34">
        <f t="shared" si="100"/>
        <v>0</v>
      </c>
      <c r="AH30" s="43"/>
      <c r="AI30" s="38"/>
      <c r="AJ30" s="38"/>
      <c r="AK30" s="34">
        <f t="shared" si="9"/>
        <v>0</v>
      </c>
      <c r="AL30" s="44">
        <f t="shared" si="10"/>
        <v>0</v>
      </c>
      <c r="AM30" s="45">
        <f t="shared" si="26"/>
        <v>0</v>
      </c>
      <c r="AN30" s="51">
        <f t="shared" si="27"/>
        <v>0</v>
      </c>
      <c r="AO30" s="51">
        <f t="shared" si="28"/>
        <v>0</v>
      </c>
      <c r="AP30" s="47" t="e">
        <f t="shared" si="29"/>
        <v>#DIV/0!</v>
      </c>
      <c r="AQ30" s="48">
        <f t="shared" si="30"/>
        <v>0</v>
      </c>
      <c r="AR30" s="49">
        <f t="shared" si="23"/>
        <v>0</v>
      </c>
    </row>
    <row r="31" spans="1:49" x14ac:dyDescent="0.25">
      <c r="B31" s="22">
        <f t="shared" si="36"/>
        <v>45852</v>
      </c>
      <c r="C31" s="23" t="s">
        <v>55</v>
      </c>
      <c r="D31" s="50">
        <f t="shared" si="73"/>
        <v>0</v>
      </c>
      <c r="E31" s="34">
        <f t="shared" si="73"/>
        <v>0</v>
      </c>
      <c r="F31" s="34">
        <f t="shared" si="73"/>
        <v>0</v>
      </c>
      <c r="G31" s="34">
        <f t="shared" si="34"/>
        <v>0</v>
      </c>
      <c r="H31" s="35">
        <f t="shared" si="35"/>
        <v>0</v>
      </c>
      <c r="I31" s="26">
        <f t="shared" si="15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106"/>
        <v>0</v>
      </c>
      <c r="S31" s="34">
        <f t="shared" si="107"/>
        <v>0</v>
      </c>
      <c r="T31" s="35">
        <f t="shared" si="108"/>
        <v>0</v>
      </c>
      <c r="U31" s="36"/>
      <c r="V31" s="37"/>
      <c r="W31" s="38"/>
      <c r="X31" s="39"/>
      <c r="Y31" s="40"/>
      <c r="Z31" s="40"/>
      <c r="AA31" s="34">
        <f t="shared" si="97"/>
        <v>0</v>
      </c>
      <c r="AB31" s="34">
        <f t="shared" si="98"/>
        <v>0</v>
      </c>
      <c r="AC31" s="129"/>
      <c r="AD31" s="130"/>
      <c r="AE31" s="130"/>
      <c r="AF31" s="34">
        <f t="shared" si="99"/>
        <v>0</v>
      </c>
      <c r="AG31" s="34">
        <f t="shared" si="100"/>
        <v>0</v>
      </c>
      <c r="AH31" s="43"/>
      <c r="AI31" s="38"/>
      <c r="AJ31" s="38"/>
      <c r="AK31" s="34">
        <f t="shared" si="9"/>
        <v>0</v>
      </c>
      <c r="AL31" s="44">
        <f t="shared" si="10"/>
        <v>0</v>
      </c>
      <c r="AM31" s="45">
        <f t="shared" si="26"/>
        <v>0</v>
      </c>
      <c r="AN31" s="51">
        <f t="shared" si="27"/>
        <v>0</v>
      </c>
      <c r="AO31" s="51">
        <f t="shared" si="28"/>
        <v>0</v>
      </c>
      <c r="AP31" s="47" t="e">
        <f t="shared" si="29"/>
        <v>#DIV/0!</v>
      </c>
      <c r="AQ31" s="48">
        <f t="shared" si="30"/>
        <v>0</v>
      </c>
      <c r="AR31" s="49">
        <f t="shared" si="23"/>
        <v>0</v>
      </c>
    </row>
    <row r="32" spans="1:49" x14ac:dyDescent="0.25">
      <c r="B32" s="22">
        <f t="shared" si="36"/>
        <v>45853</v>
      </c>
      <c r="C32" s="23" t="s">
        <v>54</v>
      </c>
      <c r="D32" s="50">
        <f t="shared" ref="D32" si="109">AH31</f>
        <v>0</v>
      </c>
      <c r="E32" s="34">
        <f t="shared" ref="E32" si="110">AI31</f>
        <v>0</v>
      </c>
      <c r="F32" s="34">
        <f t="shared" ref="F32" si="111">AJ31</f>
        <v>0</v>
      </c>
      <c r="G32" s="34">
        <f t="shared" si="34"/>
        <v>0</v>
      </c>
      <c r="H32" s="35">
        <f t="shared" si="35"/>
        <v>0</v>
      </c>
      <c r="I32" s="26">
        <f t="shared" si="15"/>
        <v>0</v>
      </c>
      <c r="J32" s="27"/>
      <c r="K32" s="28"/>
      <c r="L32" s="32"/>
      <c r="M32" s="29"/>
      <c r="N32" s="30"/>
      <c r="O32" s="31"/>
      <c r="P32" s="28"/>
      <c r="Q32" s="32"/>
      <c r="R32" s="53">
        <f t="shared" si="106"/>
        <v>0</v>
      </c>
      <c r="S32" s="34">
        <f t="shared" si="107"/>
        <v>0</v>
      </c>
      <c r="T32" s="35">
        <f t="shared" si="108"/>
        <v>0</v>
      </c>
      <c r="U32" s="36"/>
      <c r="V32" s="37"/>
      <c r="W32" s="38"/>
      <c r="X32" s="39"/>
      <c r="Y32" s="40"/>
      <c r="Z32" s="40"/>
      <c r="AA32" s="34">
        <f t="shared" si="97"/>
        <v>0</v>
      </c>
      <c r="AB32" s="34">
        <f t="shared" si="98"/>
        <v>0</v>
      </c>
      <c r="AC32" s="129"/>
      <c r="AD32" s="130"/>
      <c r="AE32" s="130"/>
      <c r="AF32" s="34">
        <f t="shared" si="99"/>
        <v>0</v>
      </c>
      <c r="AG32" s="34">
        <f t="shared" si="100"/>
        <v>0</v>
      </c>
      <c r="AH32" s="43"/>
      <c r="AI32" s="38"/>
      <c r="AJ32" s="38"/>
      <c r="AK32" s="34">
        <f t="shared" si="9"/>
        <v>0</v>
      </c>
      <c r="AL32" s="44">
        <f t="shared" si="10"/>
        <v>0</v>
      </c>
      <c r="AM32" s="45">
        <f t="shared" si="26"/>
        <v>0</v>
      </c>
      <c r="AN32" s="51">
        <f t="shared" si="27"/>
        <v>0</v>
      </c>
      <c r="AO32" s="51">
        <f t="shared" si="28"/>
        <v>0</v>
      </c>
      <c r="AP32" s="47" t="e">
        <f t="shared" si="29"/>
        <v>#DIV/0!</v>
      </c>
      <c r="AQ32" s="48">
        <f t="shared" si="30"/>
        <v>0</v>
      </c>
      <c r="AR32" s="49">
        <f t="shared" si="23"/>
        <v>0</v>
      </c>
    </row>
    <row r="33" spans="2:49" x14ac:dyDescent="0.25">
      <c r="B33" s="22">
        <f t="shared" si="36"/>
        <v>45853</v>
      </c>
      <c r="C33" s="23" t="s">
        <v>55</v>
      </c>
      <c r="D33" s="50">
        <f t="shared" si="73"/>
        <v>0</v>
      </c>
      <c r="E33" s="34">
        <f t="shared" si="73"/>
        <v>0</v>
      </c>
      <c r="F33" s="34">
        <f t="shared" si="73"/>
        <v>0</v>
      </c>
      <c r="G33" s="34">
        <f t="shared" si="34"/>
        <v>0</v>
      </c>
      <c r="H33" s="35">
        <f t="shared" si="35"/>
        <v>0</v>
      </c>
      <c r="I33" s="26">
        <f t="shared" si="15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106"/>
        <v>0</v>
      </c>
      <c r="S33" s="34">
        <f t="shared" si="107"/>
        <v>0</v>
      </c>
      <c r="T33" s="35">
        <f t="shared" si="108"/>
        <v>0</v>
      </c>
      <c r="U33" s="36"/>
      <c r="V33" s="37"/>
      <c r="W33" s="38"/>
      <c r="X33" s="39"/>
      <c r="Y33" s="40"/>
      <c r="Z33" s="40"/>
      <c r="AA33" s="34">
        <f t="shared" si="97"/>
        <v>0</v>
      </c>
      <c r="AB33" s="34">
        <f t="shared" si="98"/>
        <v>0</v>
      </c>
      <c r="AC33" s="129"/>
      <c r="AD33" s="130"/>
      <c r="AE33" s="130"/>
      <c r="AF33" s="34">
        <f t="shared" si="99"/>
        <v>0</v>
      </c>
      <c r="AG33" s="34">
        <f t="shared" si="100"/>
        <v>0</v>
      </c>
      <c r="AH33" s="43"/>
      <c r="AI33" s="38"/>
      <c r="AJ33" s="38"/>
      <c r="AK33" s="34">
        <f t="shared" si="9"/>
        <v>0</v>
      </c>
      <c r="AL33" s="44">
        <f t="shared" si="10"/>
        <v>0</v>
      </c>
      <c r="AM33" s="45">
        <f t="shared" si="26"/>
        <v>0</v>
      </c>
      <c r="AN33" s="51">
        <f t="shared" si="27"/>
        <v>0</v>
      </c>
      <c r="AO33" s="51">
        <f t="shared" si="28"/>
        <v>0</v>
      </c>
      <c r="AP33" s="47" t="e">
        <f t="shared" si="29"/>
        <v>#DIV/0!</v>
      </c>
      <c r="AQ33" s="48">
        <f t="shared" si="30"/>
        <v>0</v>
      </c>
      <c r="AR33" s="49">
        <f t="shared" si="23"/>
        <v>0</v>
      </c>
    </row>
    <row r="34" spans="2:49" x14ac:dyDescent="0.25">
      <c r="B34" s="22">
        <f t="shared" si="36"/>
        <v>45854</v>
      </c>
      <c r="C34" s="23" t="s">
        <v>54</v>
      </c>
      <c r="D34" s="50">
        <f t="shared" si="73"/>
        <v>0</v>
      </c>
      <c r="E34" s="34">
        <f t="shared" si="73"/>
        <v>0</v>
      </c>
      <c r="F34" s="34">
        <f t="shared" si="73"/>
        <v>0</v>
      </c>
      <c r="G34" s="34">
        <f t="shared" si="34"/>
        <v>0</v>
      </c>
      <c r="H34" s="35">
        <f t="shared" si="35"/>
        <v>0</v>
      </c>
      <c r="I34" s="26">
        <f t="shared" si="15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106"/>
        <v>0</v>
      </c>
      <c r="S34" s="34">
        <f t="shared" si="107"/>
        <v>0</v>
      </c>
      <c r="T34" s="35">
        <f t="shared" si="108"/>
        <v>0</v>
      </c>
      <c r="U34" s="36"/>
      <c r="V34" s="37"/>
      <c r="W34" s="38"/>
      <c r="X34" s="39"/>
      <c r="Y34" s="40"/>
      <c r="Z34" s="40"/>
      <c r="AA34" s="34">
        <f t="shared" si="97"/>
        <v>0</v>
      </c>
      <c r="AB34" s="34">
        <f t="shared" si="98"/>
        <v>0</v>
      </c>
      <c r="AC34" s="129"/>
      <c r="AD34" s="130"/>
      <c r="AE34" s="130"/>
      <c r="AF34" s="34">
        <f t="shared" si="99"/>
        <v>0</v>
      </c>
      <c r="AG34" s="34">
        <f t="shared" si="100"/>
        <v>0</v>
      </c>
      <c r="AH34" s="43"/>
      <c r="AI34" s="38"/>
      <c r="AJ34" s="38"/>
      <c r="AK34" s="34">
        <f t="shared" si="9"/>
        <v>0</v>
      </c>
      <c r="AL34" s="44">
        <f t="shared" si="10"/>
        <v>0</v>
      </c>
      <c r="AM34" s="45">
        <f t="shared" si="26"/>
        <v>0</v>
      </c>
      <c r="AN34" s="51">
        <f t="shared" si="27"/>
        <v>0</v>
      </c>
      <c r="AO34" s="51">
        <f t="shared" si="28"/>
        <v>0</v>
      </c>
      <c r="AP34" s="47" t="e">
        <f t="shared" si="29"/>
        <v>#DIV/0!</v>
      </c>
      <c r="AQ34" s="48">
        <f t="shared" si="30"/>
        <v>0</v>
      </c>
      <c r="AR34" s="49">
        <f t="shared" si="23"/>
        <v>0</v>
      </c>
    </row>
    <row r="35" spans="2:49" x14ac:dyDescent="0.25">
      <c r="B35" s="22">
        <f t="shared" si="36"/>
        <v>45854</v>
      </c>
      <c r="C35" s="23" t="s">
        <v>55</v>
      </c>
      <c r="D35" s="50">
        <f t="shared" si="73"/>
        <v>0</v>
      </c>
      <c r="E35" s="34">
        <f t="shared" si="73"/>
        <v>0</v>
      </c>
      <c r="F35" s="34">
        <f t="shared" si="73"/>
        <v>0</v>
      </c>
      <c r="G35" s="34">
        <f t="shared" si="34"/>
        <v>0</v>
      </c>
      <c r="H35" s="35">
        <f t="shared" si="35"/>
        <v>0</v>
      </c>
      <c r="I35" s="26">
        <f t="shared" si="15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106"/>
        <v>0</v>
      </c>
      <c r="S35" s="34">
        <f t="shared" si="107"/>
        <v>0</v>
      </c>
      <c r="T35" s="35">
        <f t="shared" si="108"/>
        <v>0</v>
      </c>
      <c r="U35" s="36"/>
      <c r="V35" s="37"/>
      <c r="W35" s="38"/>
      <c r="X35" s="39"/>
      <c r="Y35" s="40"/>
      <c r="Z35" s="40"/>
      <c r="AA35" s="34">
        <f t="shared" si="97"/>
        <v>0</v>
      </c>
      <c r="AB35" s="34">
        <f t="shared" si="98"/>
        <v>0</v>
      </c>
      <c r="AC35" s="129"/>
      <c r="AD35" s="130"/>
      <c r="AE35" s="130"/>
      <c r="AF35" s="34">
        <f t="shared" si="99"/>
        <v>0</v>
      </c>
      <c r="AG35" s="34">
        <f t="shared" si="100"/>
        <v>0</v>
      </c>
      <c r="AH35" s="43"/>
      <c r="AI35" s="38"/>
      <c r="AJ35" s="38"/>
      <c r="AK35" s="34">
        <f t="shared" ref="AK35:AK36" si="112">AH35*AI35%</f>
        <v>0</v>
      </c>
      <c r="AL35" s="44">
        <f t="shared" ref="AL35" si="113">AH35*AJ35%</f>
        <v>0</v>
      </c>
      <c r="AM35" s="45">
        <f t="shared" si="26"/>
        <v>0</v>
      </c>
      <c r="AN35" s="51">
        <f t="shared" si="27"/>
        <v>0</v>
      </c>
      <c r="AO35" s="51">
        <f t="shared" si="28"/>
        <v>0</v>
      </c>
      <c r="AP35" s="47" t="e">
        <f t="shared" si="29"/>
        <v>#DIV/0!</v>
      </c>
      <c r="AQ35" s="48">
        <f t="shared" si="30"/>
        <v>0</v>
      </c>
      <c r="AR35" s="49">
        <f t="shared" si="23"/>
        <v>0</v>
      </c>
    </row>
    <row r="36" spans="2:49" x14ac:dyDescent="0.25">
      <c r="B36" s="22">
        <f t="shared" si="36"/>
        <v>45855</v>
      </c>
      <c r="C36" s="23" t="s">
        <v>54</v>
      </c>
      <c r="D36" s="50">
        <f t="shared" ref="D36" si="114">AH35</f>
        <v>0</v>
      </c>
      <c r="E36" s="34">
        <f t="shared" ref="E36" si="115">AI35</f>
        <v>0</v>
      </c>
      <c r="F36" s="34">
        <f t="shared" ref="F36" si="116">AJ35</f>
        <v>0</v>
      </c>
      <c r="G36" s="34">
        <f t="shared" si="34"/>
        <v>0</v>
      </c>
      <c r="H36" s="35">
        <f t="shared" si="35"/>
        <v>0</v>
      </c>
      <c r="I36" s="26">
        <f t="shared" si="15"/>
        <v>0</v>
      </c>
      <c r="J36" s="27"/>
      <c r="K36" s="28"/>
      <c r="L36" s="32"/>
      <c r="M36" s="29"/>
      <c r="N36" s="30"/>
      <c r="O36" s="31"/>
      <c r="P36" s="28"/>
      <c r="Q36" s="32"/>
      <c r="R36" s="53">
        <f t="shared" si="106"/>
        <v>0</v>
      </c>
      <c r="S36" s="34">
        <f t="shared" si="107"/>
        <v>0</v>
      </c>
      <c r="T36" s="35">
        <f t="shared" si="108"/>
        <v>0</v>
      </c>
      <c r="U36" s="36"/>
      <c r="V36" s="37"/>
      <c r="W36" s="38"/>
      <c r="X36" s="39"/>
      <c r="Y36" s="40"/>
      <c r="Z36" s="40"/>
      <c r="AA36" s="34">
        <f t="shared" si="97"/>
        <v>0</v>
      </c>
      <c r="AB36" s="34">
        <f t="shared" si="98"/>
        <v>0</v>
      </c>
      <c r="AC36" s="129"/>
      <c r="AD36" s="130"/>
      <c r="AE36" s="130"/>
      <c r="AF36" s="34">
        <f t="shared" si="99"/>
        <v>0</v>
      </c>
      <c r="AG36" s="34">
        <f t="shared" si="100"/>
        <v>0</v>
      </c>
      <c r="AH36" s="43"/>
      <c r="AI36" s="38"/>
      <c r="AJ36" s="38"/>
      <c r="AK36" s="34">
        <f t="shared" si="112"/>
        <v>0</v>
      </c>
      <c r="AL36" s="44">
        <f t="shared" ref="AL36:AL37" si="117">AH36*AJ36%</f>
        <v>0</v>
      </c>
      <c r="AM36" s="45">
        <f t="shared" si="26"/>
        <v>0</v>
      </c>
      <c r="AN36" s="51">
        <f t="shared" si="27"/>
        <v>0</v>
      </c>
      <c r="AO36" s="51">
        <f t="shared" si="28"/>
        <v>0</v>
      </c>
      <c r="AP36" s="47" t="e">
        <f t="shared" si="29"/>
        <v>#DIV/0!</v>
      </c>
      <c r="AQ36" s="48">
        <f t="shared" si="30"/>
        <v>0</v>
      </c>
      <c r="AR36" s="49">
        <f t="shared" si="23"/>
        <v>0</v>
      </c>
    </row>
    <row r="37" spans="2:49" x14ac:dyDescent="0.25">
      <c r="B37" s="22">
        <f t="shared" si="36"/>
        <v>45855</v>
      </c>
      <c r="C37" s="23" t="s">
        <v>55</v>
      </c>
      <c r="D37" s="50">
        <f t="shared" ref="D37:F37" si="118">AH36</f>
        <v>0</v>
      </c>
      <c r="E37" s="34">
        <f t="shared" si="118"/>
        <v>0</v>
      </c>
      <c r="F37" s="34">
        <f t="shared" si="118"/>
        <v>0</v>
      </c>
      <c r="G37" s="34">
        <f t="shared" si="34"/>
        <v>0</v>
      </c>
      <c r="H37" s="35">
        <f t="shared" si="35"/>
        <v>0</v>
      </c>
      <c r="I37" s="26">
        <f t="shared" si="15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106"/>
        <v>0</v>
      </c>
      <c r="S37" s="34">
        <f t="shared" si="107"/>
        <v>0</v>
      </c>
      <c r="T37" s="35">
        <f t="shared" si="108"/>
        <v>0</v>
      </c>
      <c r="U37" s="36"/>
      <c r="V37" s="37"/>
      <c r="W37" s="38"/>
      <c r="X37" s="39"/>
      <c r="Y37" s="40"/>
      <c r="Z37" s="40"/>
      <c r="AA37" s="34">
        <f t="shared" ref="AA37" si="119">X37*Y37%</f>
        <v>0</v>
      </c>
      <c r="AB37" s="34">
        <f t="shared" ref="AB37" si="120">X37*Z37%</f>
        <v>0</v>
      </c>
      <c r="AC37" s="129"/>
      <c r="AD37" s="130"/>
      <c r="AE37" s="130"/>
      <c r="AF37" s="34">
        <f t="shared" si="99"/>
        <v>0</v>
      </c>
      <c r="AG37" s="34">
        <f t="shared" si="100"/>
        <v>0</v>
      </c>
      <c r="AH37" s="43"/>
      <c r="AI37" s="38"/>
      <c r="AJ37" s="38"/>
      <c r="AK37" s="34">
        <f t="shared" ref="AK37" si="121">AH37*AI37%</f>
        <v>0</v>
      </c>
      <c r="AL37" s="44">
        <f t="shared" si="117"/>
        <v>0</v>
      </c>
      <c r="AM37" s="45">
        <f t="shared" si="26"/>
        <v>0</v>
      </c>
      <c r="AN37" s="51">
        <f t="shared" si="27"/>
        <v>0</v>
      </c>
      <c r="AO37" s="51">
        <f t="shared" si="28"/>
        <v>0</v>
      </c>
      <c r="AP37" s="47" t="e">
        <f t="shared" si="29"/>
        <v>#DIV/0!</v>
      </c>
      <c r="AQ37" s="48">
        <f t="shared" si="30"/>
        <v>0</v>
      </c>
      <c r="AR37" s="49">
        <f t="shared" si="23"/>
        <v>0</v>
      </c>
    </row>
    <row r="38" spans="2:49" x14ac:dyDescent="0.25">
      <c r="B38" s="22">
        <f t="shared" si="36"/>
        <v>45856</v>
      </c>
      <c r="C38" s="23" t="s">
        <v>54</v>
      </c>
      <c r="D38" s="50"/>
      <c r="E38" s="34"/>
      <c r="F38" s="34"/>
      <c r="G38" s="34"/>
      <c r="H38" s="35"/>
      <c r="I38" s="26"/>
      <c r="J38" s="27"/>
      <c r="K38" s="28"/>
      <c r="L38" s="32"/>
      <c r="M38" s="29"/>
      <c r="N38" s="30"/>
      <c r="O38" s="31"/>
      <c r="P38" s="28"/>
      <c r="Q38" s="32"/>
      <c r="R38" s="53"/>
      <c r="S38" s="34"/>
      <c r="T38" s="35"/>
      <c r="U38" s="36"/>
      <c r="V38" s="37"/>
      <c r="W38" s="38"/>
      <c r="X38" s="39"/>
      <c r="Y38" s="40"/>
      <c r="Z38" s="40"/>
      <c r="AA38" s="34"/>
      <c r="AB38" s="34"/>
      <c r="AC38" s="129"/>
      <c r="AD38" s="130"/>
      <c r="AE38" s="130"/>
      <c r="AF38" s="34"/>
      <c r="AG38" s="34"/>
      <c r="AH38" s="43"/>
      <c r="AI38" s="38"/>
      <c r="AJ38" s="38"/>
      <c r="AK38" s="34"/>
      <c r="AL38" s="44"/>
      <c r="AM38" s="45"/>
      <c r="AN38" s="51"/>
      <c r="AO38" s="51"/>
      <c r="AP38" s="47"/>
      <c r="AQ38" s="48"/>
      <c r="AR38" s="49">
        <f t="shared" si="23"/>
        <v>0</v>
      </c>
    </row>
    <row r="39" spans="2:49" x14ac:dyDescent="0.25">
      <c r="B39" s="22">
        <f t="shared" si="36"/>
        <v>45856</v>
      </c>
      <c r="C39" s="23" t="s">
        <v>55</v>
      </c>
      <c r="D39" s="50"/>
      <c r="E39" s="34"/>
      <c r="F39" s="34"/>
      <c r="G39" s="34"/>
      <c r="H39" s="35"/>
      <c r="I39" s="26"/>
      <c r="J39" s="27"/>
      <c r="K39" s="28"/>
      <c r="L39" s="32"/>
      <c r="M39" s="29"/>
      <c r="N39" s="30"/>
      <c r="O39" s="31"/>
      <c r="P39" s="28"/>
      <c r="Q39" s="32"/>
      <c r="R39" s="53"/>
      <c r="S39" s="34"/>
      <c r="T39" s="35"/>
      <c r="U39" s="36"/>
      <c r="V39" s="37"/>
      <c r="W39" s="38"/>
      <c r="X39" s="39"/>
      <c r="Y39" s="40"/>
      <c r="Z39" s="40"/>
      <c r="AA39" s="34"/>
      <c r="AB39" s="34"/>
      <c r="AC39" s="129"/>
      <c r="AD39" s="130"/>
      <c r="AE39" s="130"/>
      <c r="AF39" s="34"/>
      <c r="AG39" s="34"/>
      <c r="AH39" s="43"/>
      <c r="AI39" s="38"/>
      <c r="AJ39" s="38"/>
      <c r="AK39" s="34"/>
      <c r="AL39" s="44"/>
      <c r="AM39" s="45"/>
      <c r="AN39" s="51"/>
      <c r="AO39" s="51"/>
      <c r="AP39" s="47"/>
      <c r="AQ39" s="48"/>
      <c r="AR39" s="49">
        <f t="shared" si="23"/>
        <v>0</v>
      </c>
    </row>
    <row r="40" spans="2:49" x14ac:dyDescent="0.25">
      <c r="B40" s="22">
        <f t="shared" si="36"/>
        <v>45857</v>
      </c>
      <c r="C40" s="23" t="s">
        <v>54</v>
      </c>
      <c r="D40" s="50"/>
      <c r="E40" s="34"/>
      <c r="F40" s="34"/>
      <c r="G40" s="34"/>
      <c r="H40" s="35"/>
      <c r="I40" s="26"/>
      <c r="J40" s="27"/>
      <c r="K40" s="28"/>
      <c r="L40" s="32"/>
      <c r="M40" s="29"/>
      <c r="N40" s="30"/>
      <c r="O40" s="31"/>
      <c r="P40" s="28"/>
      <c r="Q40" s="32"/>
      <c r="R40" s="53"/>
      <c r="S40" s="34"/>
      <c r="T40" s="35"/>
      <c r="U40" s="36"/>
      <c r="V40" s="37"/>
      <c r="W40" s="38"/>
      <c r="X40" s="39"/>
      <c r="Y40" s="40"/>
      <c r="Z40" s="40"/>
      <c r="AA40" s="34"/>
      <c r="AB40" s="34"/>
      <c r="AC40" s="129"/>
      <c r="AD40" s="130"/>
      <c r="AE40" s="130"/>
      <c r="AF40" s="34"/>
      <c r="AG40" s="34"/>
      <c r="AH40" s="43"/>
      <c r="AI40" s="38"/>
      <c r="AJ40" s="38"/>
      <c r="AK40" s="34"/>
      <c r="AL40" s="44"/>
      <c r="AM40" s="45"/>
      <c r="AN40" s="51"/>
      <c r="AO40" s="51"/>
      <c r="AP40" s="47"/>
      <c r="AQ40" s="48"/>
      <c r="AR40" s="49">
        <f t="shared" si="23"/>
        <v>0</v>
      </c>
    </row>
    <row r="41" spans="2:49" x14ac:dyDescent="0.25">
      <c r="B41" s="22">
        <f t="shared" si="36"/>
        <v>45857</v>
      </c>
      <c r="C41" s="23" t="s">
        <v>55</v>
      </c>
      <c r="D41" s="50"/>
      <c r="E41" s="34"/>
      <c r="F41" s="34"/>
      <c r="G41" s="34"/>
      <c r="H41" s="35"/>
      <c r="I41" s="26"/>
      <c r="J41" s="27"/>
      <c r="K41" s="28"/>
      <c r="L41" s="32"/>
      <c r="M41" s="29"/>
      <c r="N41" s="30"/>
      <c r="O41" s="31"/>
      <c r="P41" s="28"/>
      <c r="Q41" s="32"/>
      <c r="R41" s="53"/>
      <c r="S41" s="34"/>
      <c r="T41" s="35"/>
      <c r="U41" s="36"/>
      <c r="V41" s="37"/>
      <c r="W41" s="38"/>
      <c r="X41" s="39"/>
      <c r="Y41" s="40"/>
      <c r="Z41" s="40"/>
      <c r="AA41" s="34"/>
      <c r="AB41" s="34"/>
      <c r="AC41" s="129"/>
      <c r="AD41" s="130"/>
      <c r="AE41" s="130"/>
      <c r="AF41" s="34"/>
      <c r="AG41" s="34"/>
      <c r="AH41" s="43"/>
      <c r="AI41" s="38"/>
      <c r="AJ41" s="38"/>
      <c r="AK41" s="34"/>
      <c r="AL41" s="44"/>
      <c r="AM41" s="45"/>
      <c r="AN41" s="51"/>
      <c r="AO41" s="51"/>
      <c r="AP41" s="47"/>
      <c r="AQ41" s="48"/>
      <c r="AR41" s="49">
        <f t="shared" si="23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36"/>
        <v>45858</v>
      </c>
      <c r="C42" s="23" t="s">
        <v>54</v>
      </c>
      <c r="D42" s="50"/>
      <c r="E42" s="34"/>
      <c r="F42" s="34"/>
      <c r="G42" s="34"/>
      <c r="H42" s="35"/>
      <c r="I42" s="26"/>
      <c r="J42" s="27"/>
      <c r="K42" s="28"/>
      <c r="L42" s="28"/>
      <c r="M42" s="61"/>
      <c r="N42" s="61"/>
      <c r="O42" s="31"/>
      <c r="P42" s="28"/>
      <c r="Q42" s="28"/>
      <c r="R42" s="64"/>
      <c r="S42" s="34"/>
      <c r="T42" s="34"/>
      <c r="U42" s="37"/>
      <c r="V42" s="37"/>
      <c r="W42" s="38"/>
      <c r="X42" s="39"/>
      <c r="Y42" s="40"/>
      <c r="Z42" s="40"/>
      <c r="AA42" s="34"/>
      <c r="AB42" s="34"/>
      <c r="AC42" s="144"/>
      <c r="AD42" s="145"/>
      <c r="AE42" s="145"/>
      <c r="AF42" s="34"/>
      <c r="AG42" s="34"/>
      <c r="AH42" s="62"/>
      <c r="AI42" s="38"/>
      <c r="AJ42" s="38"/>
      <c r="AK42" s="34"/>
      <c r="AL42" s="44"/>
      <c r="AM42" s="45"/>
      <c r="AN42" s="51"/>
      <c r="AO42" s="51"/>
      <c r="AP42" s="47"/>
      <c r="AQ42" s="48"/>
      <c r="AR42" s="49">
        <f t="shared" ref="AR42:AR65" si="122">(D42+J42+O42)-(X42+AH42)</f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36"/>
        <v>45858</v>
      </c>
      <c r="C43" s="23" t="s">
        <v>55</v>
      </c>
      <c r="D43" s="50"/>
      <c r="E43" s="34"/>
      <c r="F43" s="34"/>
      <c r="G43" s="34"/>
      <c r="H43" s="35"/>
      <c r="I43" s="26"/>
      <c r="J43" s="27"/>
      <c r="K43" s="28"/>
      <c r="L43" s="28"/>
      <c r="M43" s="61"/>
      <c r="N43" s="61"/>
      <c r="O43" s="31"/>
      <c r="P43" s="28"/>
      <c r="Q43" s="28"/>
      <c r="R43" s="64"/>
      <c r="S43" s="34"/>
      <c r="T43" s="34"/>
      <c r="U43" s="37"/>
      <c r="V43" s="37"/>
      <c r="W43" s="38"/>
      <c r="X43" s="39"/>
      <c r="Y43" s="40"/>
      <c r="Z43" s="40"/>
      <c r="AA43" s="34"/>
      <c r="AB43" s="34"/>
      <c r="AC43" s="130"/>
      <c r="AD43" s="130"/>
      <c r="AE43" s="130"/>
      <c r="AF43" s="34"/>
      <c r="AG43" s="34"/>
      <c r="AH43" s="62"/>
      <c r="AI43" s="38"/>
      <c r="AJ43" s="38"/>
      <c r="AK43" s="34"/>
      <c r="AL43" s="44"/>
      <c r="AM43" s="45"/>
      <c r="AN43" s="51"/>
      <c r="AO43" s="51"/>
      <c r="AP43" s="47"/>
      <c r="AQ43" s="48"/>
      <c r="AR43" s="49">
        <f t="shared" si="122"/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36"/>
        <v>45859</v>
      </c>
      <c r="C44" s="23" t="s">
        <v>54</v>
      </c>
      <c r="D44" s="50"/>
      <c r="E44" s="34"/>
      <c r="F44" s="34"/>
      <c r="G44" s="34"/>
      <c r="H44" s="35"/>
      <c r="I44" s="26"/>
      <c r="J44" s="27"/>
      <c r="K44" s="28"/>
      <c r="L44" s="28"/>
      <c r="M44" s="61"/>
      <c r="N44" s="61"/>
      <c r="O44" s="31"/>
      <c r="P44" s="28"/>
      <c r="Q44" s="28"/>
      <c r="R44" s="64"/>
      <c r="S44" s="34"/>
      <c r="T44" s="34"/>
      <c r="U44" s="37"/>
      <c r="V44" s="37"/>
      <c r="W44" s="38"/>
      <c r="X44" s="39"/>
      <c r="Y44" s="40"/>
      <c r="Z44" s="40"/>
      <c r="AA44" s="34"/>
      <c r="AB44" s="34"/>
      <c r="AC44" s="130"/>
      <c r="AD44" s="130"/>
      <c r="AE44" s="130"/>
      <c r="AF44" s="34"/>
      <c r="AG44" s="34"/>
      <c r="AH44" s="62"/>
      <c r="AI44" s="38"/>
      <c r="AJ44" s="38"/>
      <c r="AK44" s="34"/>
      <c r="AL44" s="44"/>
      <c r="AM44" s="45"/>
      <c r="AN44" s="51"/>
      <c r="AO44" s="51"/>
      <c r="AP44" s="47"/>
      <c r="AQ44" s="48"/>
      <c r="AR44" s="49">
        <f t="shared" si="122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36"/>
        <v>45859</v>
      </c>
      <c r="C45" s="23" t="s">
        <v>55</v>
      </c>
      <c r="D45" s="50"/>
      <c r="E45" s="34"/>
      <c r="F45" s="34"/>
      <c r="G45" s="34"/>
      <c r="H45" s="35"/>
      <c r="I45" s="26"/>
      <c r="J45" s="27"/>
      <c r="K45" s="28"/>
      <c r="L45" s="28"/>
      <c r="M45" s="61"/>
      <c r="N45" s="61"/>
      <c r="O45" s="31"/>
      <c r="P45" s="28"/>
      <c r="Q45" s="28"/>
      <c r="R45" s="64"/>
      <c r="S45" s="34"/>
      <c r="T45" s="34"/>
      <c r="U45" s="37"/>
      <c r="V45" s="37"/>
      <c r="W45" s="38"/>
      <c r="X45" s="39"/>
      <c r="Y45" s="40"/>
      <c r="Z45" s="40"/>
      <c r="AA45" s="34"/>
      <c r="AB45" s="34"/>
      <c r="AC45" s="130"/>
      <c r="AD45" s="130"/>
      <c r="AE45" s="130"/>
      <c r="AF45" s="34"/>
      <c r="AG45" s="34"/>
      <c r="AH45" s="62"/>
      <c r="AI45" s="38"/>
      <c r="AJ45" s="38"/>
      <c r="AK45" s="34"/>
      <c r="AL45" s="44"/>
      <c r="AM45" s="45"/>
      <c r="AN45" s="51"/>
      <c r="AO45" s="51"/>
      <c r="AP45" s="47"/>
      <c r="AQ45" s="48"/>
      <c r="AR45" s="49">
        <f t="shared" si="122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36"/>
        <v>45860</v>
      </c>
      <c r="C46" s="23" t="s">
        <v>54</v>
      </c>
      <c r="D46" s="50"/>
      <c r="E46" s="34"/>
      <c r="F46" s="34"/>
      <c r="G46" s="34"/>
      <c r="H46" s="35"/>
      <c r="I46" s="26"/>
      <c r="J46" s="27"/>
      <c r="K46" s="28"/>
      <c r="L46" s="28"/>
      <c r="M46" s="61"/>
      <c r="N46" s="61"/>
      <c r="O46" s="31"/>
      <c r="P46" s="28"/>
      <c r="Q46" s="28"/>
      <c r="R46" s="64"/>
      <c r="S46" s="34"/>
      <c r="T46" s="34"/>
      <c r="U46" s="37"/>
      <c r="V46" s="37"/>
      <c r="W46" s="38"/>
      <c r="X46" s="39"/>
      <c r="Y46" s="40"/>
      <c r="Z46" s="40"/>
      <c r="AA46" s="34"/>
      <c r="AB46" s="34"/>
      <c r="AC46" s="130"/>
      <c r="AD46" s="130"/>
      <c r="AE46" s="130"/>
      <c r="AF46" s="34"/>
      <c r="AG46" s="34"/>
      <c r="AH46" s="62"/>
      <c r="AI46" s="38"/>
      <c r="AJ46" s="38"/>
      <c r="AK46" s="34"/>
      <c r="AL46" s="44"/>
      <c r="AM46" s="45"/>
      <c r="AN46" s="51"/>
      <c r="AO46" s="51"/>
      <c r="AP46" s="47"/>
      <c r="AQ46" s="48"/>
      <c r="AR46" s="49">
        <f t="shared" si="122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36"/>
        <v>45860</v>
      </c>
      <c r="C47" s="23" t="s">
        <v>55</v>
      </c>
      <c r="D47" s="50"/>
      <c r="E47" s="34"/>
      <c r="F47" s="34"/>
      <c r="G47" s="34"/>
      <c r="H47" s="35"/>
      <c r="I47" s="26"/>
      <c r="J47" s="27"/>
      <c r="K47" s="28"/>
      <c r="L47" s="28"/>
      <c r="M47" s="61"/>
      <c r="N47" s="61"/>
      <c r="O47" s="137"/>
      <c r="P47" s="135"/>
      <c r="Q47" s="135"/>
      <c r="R47" s="64"/>
      <c r="S47" s="34"/>
      <c r="T47" s="34"/>
      <c r="U47" s="37"/>
      <c r="V47" s="37"/>
      <c r="W47" s="38"/>
      <c r="X47" s="39"/>
      <c r="Y47" s="40"/>
      <c r="Z47" s="40"/>
      <c r="AA47" s="34"/>
      <c r="AB47" s="34"/>
      <c r="AC47" s="130"/>
      <c r="AD47" s="130"/>
      <c r="AE47" s="130"/>
      <c r="AF47" s="34"/>
      <c r="AG47" s="34"/>
      <c r="AH47" s="62"/>
      <c r="AI47" s="38"/>
      <c r="AJ47" s="38"/>
      <c r="AK47" s="34"/>
      <c r="AL47" s="44"/>
      <c r="AM47" s="45"/>
      <c r="AN47" s="51"/>
      <c r="AO47" s="51"/>
      <c r="AP47" s="47"/>
      <c r="AQ47" s="48"/>
      <c r="AR47" s="49">
        <f t="shared" si="122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6"/>
        <v>45861</v>
      </c>
      <c r="C48" s="23" t="s">
        <v>54</v>
      </c>
      <c r="D48" s="50"/>
      <c r="E48" s="34"/>
      <c r="F48" s="34"/>
      <c r="G48" s="34"/>
      <c r="H48" s="35"/>
      <c r="I48" s="26"/>
      <c r="J48" s="27"/>
      <c r="K48" s="28"/>
      <c r="L48" s="28"/>
      <c r="M48" s="61"/>
      <c r="N48" s="61"/>
      <c r="O48" s="31"/>
      <c r="P48" s="28"/>
      <c r="Q48" s="28"/>
      <c r="R48" s="64"/>
      <c r="S48" s="34"/>
      <c r="T48" s="34"/>
      <c r="U48" s="37"/>
      <c r="V48" s="37"/>
      <c r="W48" s="38"/>
      <c r="X48" s="39"/>
      <c r="Y48" s="40"/>
      <c r="Z48" s="40"/>
      <c r="AA48" s="34"/>
      <c r="AB48" s="34"/>
      <c r="AC48" s="130"/>
      <c r="AD48" s="130"/>
      <c r="AE48" s="130"/>
      <c r="AF48" s="34"/>
      <c r="AG48" s="34"/>
      <c r="AH48" s="62"/>
      <c r="AI48" s="38"/>
      <c r="AJ48" s="38"/>
      <c r="AK48" s="34"/>
      <c r="AL48" s="44"/>
      <c r="AM48" s="45"/>
      <c r="AN48" s="51"/>
      <c r="AO48" s="51"/>
      <c r="AP48" s="47"/>
      <c r="AQ48" s="48"/>
      <c r="AR48" s="49">
        <f t="shared" si="122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36"/>
        <v>45861</v>
      </c>
      <c r="C49" s="23" t="s">
        <v>55</v>
      </c>
      <c r="D49" s="50"/>
      <c r="E49" s="34"/>
      <c r="F49" s="34"/>
      <c r="G49" s="34"/>
      <c r="H49" s="35"/>
      <c r="I49" s="26"/>
      <c r="J49" s="27"/>
      <c r="K49" s="28"/>
      <c r="L49" s="28"/>
      <c r="M49" s="61"/>
      <c r="N49" s="61"/>
      <c r="O49" s="31"/>
      <c r="P49" s="28"/>
      <c r="Q49" s="28"/>
      <c r="R49" s="64"/>
      <c r="S49" s="34"/>
      <c r="T49" s="34"/>
      <c r="U49" s="37"/>
      <c r="V49" s="37"/>
      <c r="W49" s="38"/>
      <c r="X49" s="39"/>
      <c r="Y49" s="40"/>
      <c r="Z49" s="40"/>
      <c r="AA49" s="34"/>
      <c r="AB49" s="34"/>
      <c r="AC49" s="130"/>
      <c r="AD49" s="130"/>
      <c r="AE49" s="130"/>
      <c r="AF49" s="34"/>
      <c r="AG49" s="34"/>
      <c r="AH49" s="62"/>
      <c r="AI49" s="38"/>
      <c r="AJ49" s="38"/>
      <c r="AK49" s="34"/>
      <c r="AL49" s="44"/>
      <c r="AM49" s="45"/>
      <c r="AN49" s="51"/>
      <c r="AO49" s="51"/>
      <c r="AP49" s="47"/>
      <c r="AQ49" s="48"/>
      <c r="AR49" s="49">
        <f t="shared" si="122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36"/>
        <v>45862</v>
      </c>
      <c r="C50" s="23" t="s">
        <v>54</v>
      </c>
      <c r="D50" s="50"/>
      <c r="E50" s="34"/>
      <c r="F50" s="34"/>
      <c r="G50" s="34"/>
      <c r="H50" s="35"/>
      <c r="I50" s="26"/>
      <c r="J50" s="27"/>
      <c r="K50" s="28"/>
      <c r="L50" s="28"/>
      <c r="M50" s="61"/>
      <c r="N50" s="61"/>
      <c r="O50" s="31"/>
      <c r="P50" s="28"/>
      <c r="Q50" s="28"/>
      <c r="R50" s="64"/>
      <c r="S50" s="34"/>
      <c r="T50" s="34"/>
      <c r="U50" s="37"/>
      <c r="V50" s="37"/>
      <c r="W50" s="38"/>
      <c r="X50" s="39"/>
      <c r="Y50" s="40"/>
      <c r="Z50" s="40"/>
      <c r="AA50" s="34"/>
      <c r="AB50" s="34"/>
      <c r="AC50" s="130"/>
      <c r="AD50" s="130"/>
      <c r="AE50" s="130"/>
      <c r="AF50" s="34"/>
      <c r="AG50" s="34"/>
      <c r="AH50" s="62"/>
      <c r="AI50" s="38"/>
      <c r="AJ50" s="38"/>
      <c r="AK50" s="34"/>
      <c r="AL50" s="44"/>
      <c r="AM50" s="45"/>
      <c r="AN50" s="51"/>
      <c r="AO50" s="51"/>
      <c r="AP50" s="47"/>
      <c r="AQ50" s="48"/>
      <c r="AR50" s="49">
        <f t="shared" si="122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36"/>
        <v>45862</v>
      </c>
      <c r="C51" s="23" t="s">
        <v>55</v>
      </c>
      <c r="D51" s="50"/>
      <c r="E51" s="34"/>
      <c r="F51" s="34"/>
      <c r="G51" s="34"/>
      <c r="H51" s="35"/>
      <c r="I51" s="26"/>
      <c r="J51" s="27"/>
      <c r="K51" s="28"/>
      <c r="L51" s="28"/>
      <c r="M51" s="61"/>
      <c r="N51" s="61"/>
      <c r="O51" s="31"/>
      <c r="P51" s="28"/>
      <c r="Q51" s="28"/>
      <c r="R51" s="64"/>
      <c r="S51" s="34"/>
      <c r="T51" s="34"/>
      <c r="U51" s="37"/>
      <c r="V51" s="37"/>
      <c r="W51" s="38"/>
      <c r="X51" s="39"/>
      <c r="Y51" s="40"/>
      <c r="Z51" s="40"/>
      <c r="AA51" s="34"/>
      <c r="AB51" s="34"/>
      <c r="AC51" s="130"/>
      <c r="AD51" s="130"/>
      <c r="AE51" s="130"/>
      <c r="AF51" s="34"/>
      <c r="AG51" s="34"/>
      <c r="AH51" s="62"/>
      <c r="AI51" s="38"/>
      <c r="AJ51" s="38"/>
      <c r="AK51" s="34"/>
      <c r="AL51" s="44"/>
      <c r="AM51" s="45"/>
      <c r="AN51" s="51"/>
      <c r="AO51" s="51"/>
      <c r="AP51" s="47"/>
      <c r="AQ51" s="48"/>
      <c r="AR51" s="49">
        <f t="shared" si="122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36"/>
        <v>45863</v>
      </c>
      <c r="C52" s="23" t="s">
        <v>54</v>
      </c>
      <c r="D52" s="50"/>
      <c r="E52" s="34"/>
      <c r="F52" s="34"/>
      <c r="G52" s="34"/>
      <c r="H52" s="35"/>
      <c r="I52" s="26"/>
      <c r="J52" s="27"/>
      <c r="K52" s="28"/>
      <c r="L52" s="28"/>
      <c r="M52" s="61"/>
      <c r="N52" s="61"/>
      <c r="O52" s="31"/>
      <c r="P52" s="28"/>
      <c r="Q52" s="28"/>
      <c r="R52" s="64"/>
      <c r="S52" s="34"/>
      <c r="T52" s="34"/>
      <c r="U52" s="37"/>
      <c r="V52" s="37"/>
      <c r="W52" s="38"/>
      <c r="X52" s="39"/>
      <c r="Y52" s="40"/>
      <c r="Z52" s="40"/>
      <c r="AA52" s="34"/>
      <c r="AB52" s="34"/>
      <c r="AC52" s="130"/>
      <c r="AD52" s="130"/>
      <c r="AE52" s="130"/>
      <c r="AF52" s="34"/>
      <c r="AG52" s="34"/>
      <c r="AH52" s="62"/>
      <c r="AI52" s="38"/>
      <c r="AJ52" s="38"/>
      <c r="AK52" s="34"/>
      <c r="AL52" s="44"/>
      <c r="AM52" s="45"/>
      <c r="AN52" s="51"/>
      <c r="AO52" s="51"/>
      <c r="AP52" s="47"/>
      <c r="AQ52" s="48"/>
      <c r="AR52" s="49">
        <f t="shared" si="122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36"/>
        <v>45863</v>
      </c>
      <c r="C53" s="23" t="s">
        <v>55</v>
      </c>
      <c r="D53" s="50"/>
      <c r="E53" s="34"/>
      <c r="F53" s="34"/>
      <c r="G53" s="34"/>
      <c r="H53" s="35"/>
      <c r="I53" s="26"/>
      <c r="J53" s="27"/>
      <c r="K53" s="28"/>
      <c r="L53" s="28"/>
      <c r="M53" s="61"/>
      <c r="N53" s="106"/>
      <c r="O53" s="31"/>
      <c r="P53" s="28"/>
      <c r="Q53" s="28"/>
      <c r="R53" s="64"/>
      <c r="S53" s="34"/>
      <c r="T53" s="34"/>
      <c r="U53" s="37"/>
      <c r="V53" s="37"/>
      <c r="W53" s="38"/>
      <c r="X53" s="39"/>
      <c r="Y53" s="40"/>
      <c r="Z53" s="40"/>
      <c r="AA53" s="34"/>
      <c r="AB53" s="34"/>
      <c r="AC53" s="130"/>
      <c r="AD53" s="130"/>
      <c r="AE53" s="130"/>
      <c r="AF53" s="34"/>
      <c r="AG53" s="34"/>
      <c r="AH53" s="62"/>
      <c r="AI53" s="38"/>
      <c r="AJ53" s="38"/>
      <c r="AK53" s="34"/>
      <c r="AL53" s="44"/>
      <c r="AM53" s="45"/>
      <c r="AN53" s="51"/>
      <c r="AO53" s="51"/>
      <c r="AP53" s="47"/>
      <c r="AQ53" s="48"/>
      <c r="AR53" s="49">
        <f t="shared" si="122"/>
        <v>0</v>
      </c>
      <c r="AS53" s="49"/>
      <c r="AT53" s="52"/>
      <c r="AU53" s="52"/>
      <c r="AV53" s="52"/>
      <c r="AW53" s="52"/>
    </row>
    <row r="54" spans="2:49" x14ac:dyDescent="0.25">
      <c r="B54" s="22">
        <f t="shared" si="36"/>
        <v>45864</v>
      </c>
      <c r="C54" s="23" t="s">
        <v>54</v>
      </c>
      <c r="D54" s="50"/>
      <c r="E54" s="34"/>
      <c r="F54" s="34"/>
      <c r="G54" s="34"/>
      <c r="H54" s="35"/>
      <c r="I54" s="26"/>
      <c r="J54" s="27"/>
      <c r="K54" s="28"/>
      <c r="L54" s="28"/>
      <c r="M54" s="61"/>
      <c r="N54" s="61"/>
      <c r="O54" s="31"/>
      <c r="P54" s="28"/>
      <c r="Q54" s="28"/>
      <c r="R54" s="64"/>
      <c r="S54" s="34"/>
      <c r="T54" s="34"/>
      <c r="U54" s="37"/>
      <c r="V54" s="37"/>
      <c r="W54" s="38"/>
      <c r="X54" s="39"/>
      <c r="Y54" s="40"/>
      <c r="Z54" s="40"/>
      <c r="AA54" s="34"/>
      <c r="AB54" s="34"/>
      <c r="AC54" s="130"/>
      <c r="AD54" s="130"/>
      <c r="AE54" s="130"/>
      <c r="AF54" s="34"/>
      <c r="AG54" s="34"/>
      <c r="AH54" s="62"/>
      <c r="AI54" s="38"/>
      <c r="AJ54" s="38"/>
      <c r="AK54" s="34"/>
      <c r="AL54" s="44"/>
      <c r="AM54" s="45"/>
      <c r="AN54" s="51"/>
      <c r="AO54" s="51"/>
      <c r="AP54" s="47"/>
      <c r="AQ54" s="48"/>
      <c r="AR54" s="49">
        <f t="shared" si="122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36"/>
        <v>45864</v>
      </c>
      <c r="C55" s="23" t="s">
        <v>55</v>
      </c>
      <c r="D55" s="50"/>
      <c r="E55" s="34"/>
      <c r="F55" s="34"/>
      <c r="G55" s="34"/>
      <c r="H55" s="35"/>
      <c r="I55" s="26"/>
      <c r="J55" s="27"/>
      <c r="K55" s="28"/>
      <c r="L55" s="28"/>
      <c r="M55" s="61"/>
      <c r="N55" s="106"/>
      <c r="O55" s="31"/>
      <c r="P55" s="28"/>
      <c r="Q55" s="28"/>
      <c r="R55" s="64"/>
      <c r="S55" s="34"/>
      <c r="T55" s="34"/>
      <c r="U55" s="37"/>
      <c r="V55" s="37"/>
      <c r="W55" s="38"/>
      <c r="X55" s="39"/>
      <c r="Y55" s="40"/>
      <c r="Z55" s="40"/>
      <c r="AA55" s="34"/>
      <c r="AB55" s="34"/>
      <c r="AC55" s="130"/>
      <c r="AD55" s="130"/>
      <c r="AE55" s="130"/>
      <c r="AF55" s="34"/>
      <c r="AG55" s="34"/>
      <c r="AH55" s="62"/>
      <c r="AI55" s="38"/>
      <c r="AJ55" s="38"/>
      <c r="AK55" s="34"/>
      <c r="AL55" s="44"/>
      <c r="AM55" s="45"/>
      <c r="AN55" s="51"/>
      <c r="AO55" s="51"/>
      <c r="AP55" s="47"/>
      <c r="AQ55" s="48"/>
      <c r="AR55" s="49">
        <f t="shared" si="122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36"/>
        <v>45865</v>
      </c>
      <c r="C56" s="23" t="s">
        <v>54</v>
      </c>
      <c r="D56" s="50"/>
      <c r="E56" s="34"/>
      <c r="F56" s="34"/>
      <c r="G56" s="34"/>
      <c r="H56" s="35"/>
      <c r="I56" s="26"/>
      <c r="J56" s="27"/>
      <c r="K56" s="28"/>
      <c r="L56" s="28"/>
      <c r="M56" s="61"/>
      <c r="N56" s="61"/>
      <c r="O56" s="31"/>
      <c r="P56" s="28"/>
      <c r="Q56" s="28"/>
      <c r="R56" s="64"/>
      <c r="S56" s="34"/>
      <c r="T56" s="34"/>
      <c r="U56" s="37"/>
      <c r="V56" s="37"/>
      <c r="W56" s="38"/>
      <c r="X56" s="39"/>
      <c r="Y56" s="40"/>
      <c r="Z56" s="40"/>
      <c r="AA56" s="34"/>
      <c r="AB56" s="34"/>
      <c r="AC56" s="130"/>
      <c r="AD56" s="130"/>
      <c r="AE56" s="130"/>
      <c r="AF56" s="34"/>
      <c r="AG56" s="34"/>
      <c r="AH56" s="62"/>
      <c r="AI56" s="38"/>
      <c r="AJ56" s="38"/>
      <c r="AK56" s="34"/>
      <c r="AL56" s="44"/>
      <c r="AM56" s="45"/>
      <c r="AN56" s="51"/>
      <c r="AO56" s="51"/>
      <c r="AP56" s="47"/>
      <c r="AQ56" s="48"/>
      <c r="AR56" s="49">
        <f t="shared" si="122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36"/>
        <v>45865</v>
      </c>
      <c r="C57" s="23" t="s">
        <v>55</v>
      </c>
      <c r="D57" s="50"/>
      <c r="E57" s="34"/>
      <c r="F57" s="34"/>
      <c r="G57" s="34"/>
      <c r="H57" s="35"/>
      <c r="I57" s="26"/>
      <c r="J57" s="27"/>
      <c r="K57" s="28"/>
      <c r="L57" s="28"/>
      <c r="M57" s="61"/>
      <c r="N57" s="61"/>
      <c r="O57" s="31"/>
      <c r="P57" s="28"/>
      <c r="Q57" s="28"/>
      <c r="R57" s="64"/>
      <c r="S57" s="34"/>
      <c r="T57" s="34"/>
      <c r="U57" s="37"/>
      <c r="V57" s="37"/>
      <c r="W57" s="38"/>
      <c r="X57" s="39"/>
      <c r="Y57" s="40"/>
      <c r="Z57" s="40"/>
      <c r="AA57" s="34"/>
      <c r="AB57" s="34"/>
      <c r="AC57" s="130"/>
      <c r="AD57" s="130"/>
      <c r="AE57" s="130"/>
      <c r="AF57" s="34"/>
      <c r="AG57" s="34"/>
      <c r="AH57" s="62"/>
      <c r="AI57" s="38"/>
      <c r="AJ57" s="38"/>
      <c r="AK57" s="34"/>
      <c r="AL57" s="44"/>
      <c r="AM57" s="45"/>
      <c r="AN57" s="51"/>
      <c r="AO57" s="51"/>
      <c r="AP57" s="47"/>
      <c r="AQ57" s="48"/>
      <c r="AR57" s="49">
        <f t="shared" si="122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36"/>
        <v>45866</v>
      </c>
      <c r="C58" s="23" t="s">
        <v>54</v>
      </c>
      <c r="D58" s="50"/>
      <c r="E58" s="34"/>
      <c r="F58" s="34"/>
      <c r="G58" s="34"/>
      <c r="H58" s="35"/>
      <c r="I58" s="26"/>
      <c r="J58" s="27"/>
      <c r="K58" s="28"/>
      <c r="L58" s="28"/>
      <c r="M58" s="61"/>
      <c r="N58" s="106"/>
      <c r="O58" s="31"/>
      <c r="P58" s="28"/>
      <c r="Q58" s="28"/>
      <c r="R58" s="64"/>
      <c r="S58" s="34"/>
      <c r="T58" s="34"/>
      <c r="U58" s="37"/>
      <c r="V58" s="37"/>
      <c r="W58" s="38"/>
      <c r="X58" s="39"/>
      <c r="Y58" s="40"/>
      <c r="Z58" s="40"/>
      <c r="AA58" s="34"/>
      <c r="AB58" s="34"/>
      <c r="AC58" s="130"/>
      <c r="AD58" s="130"/>
      <c r="AE58" s="130"/>
      <c r="AF58" s="34"/>
      <c r="AG58" s="34"/>
      <c r="AH58" s="62"/>
      <c r="AI58" s="38"/>
      <c r="AJ58" s="38"/>
      <c r="AK58" s="34"/>
      <c r="AL58" s="44"/>
      <c r="AM58" s="45"/>
      <c r="AN58" s="51"/>
      <c r="AO58" s="51"/>
      <c r="AP58" s="47"/>
      <c r="AQ58" s="48"/>
      <c r="AR58" s="49">
        <f t="shared" si="122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36"/>
        <v>45866</v>
      </c>
      <c r="C59" s="23" t="s">
        <v>55</v>
      </c>
      <c r="D59" s="50"/>
      <c r="E59" s="34"/>
      <c r="F59" s="34"/>
      <c r="G59" s="34"/>
      <c r="H59" s="35"/>
      <c r="I59" s="26"/>
      <c r="J59" s="27"/>
      <c r="K59" s="28"/>
      <c r="L59" s="28"/>
      <c r="M59" s="61"/>
      <c r="N59" s="61"/>
      <c r="O59" s="31"/>
      <c r="P59" s="28"/>
      <c r="Q59" s="28"/>
      <c r="R59" s="64"/>
      <c r="S59" s="34"/>
      <c r="T59" s="34"/>
      <c r="U59" s="37"/>
      <c r="V59" s="37"/>
      <c r="W59" s="38"/>
      <c r="X59" s="39"/>
      <c r="Y59" s="40"/>
      <c r="Z59" s="40"/>
      <c r="AA59" s="34"/>
      <c r="AB59" s="34"/>
      <c r="AC59" s="130"/>
      <c r="AD59" s="130"/>
      <c r="AE59" s="130"/>
      <c r="AF59" s="34"/>
      <c r="AG59" s="34"/>
      <c r="AH59" s="62"/>
      <c r="AI59" s="38"/>
      <c r="AJ59" s="38"/>
      <c r="AK59" s="34"/>
      <c r="AL59" s="44"/>
      <c r="AM59" s="45"/>
      <c r="AN59" s="51"/>
      <c r="AO59" s="51"/>
      <c r="AP59" s="47"/>
      <c r="AQ59" s="48"/>
      <c r="AR59" s="49">
        <f t="shared" si="122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36"/>
        <v>45867</v>
      </c>
      <c r="C60" s="23" t="s">
        <v>54</v>
      </c>
      <c r="D60" s="50"/>
      <c r="E60" s="34"/>
      <c r="F60" s="34"/>
      <c r="G60" s="34"/>
      <c r="H60" s="35"/>
      <c r="I60" s="26"/>
      <c r="J60" s="27"/>
      <c r="K60" s="28"/>
      <c r="L60" s="28"/>
      <c r="M60" s="61"/>
      <c r="N60" s="61"/>
      <c r="O60" s="31"/>
      <c r="P60" s="28"/>
      <c r="Q60" s="28"/>
      <c r="R60" s="64"/>
      <c r="S60" s="34"/>
      <c r="T60" s="34"/>
      <c r="U60" s="37"/>
      <c r="V60" s="37"/>
      <c r="W60" s="38"/>
      <c r="X60" s="39"/>
      <c r="Y60" s="40"/>
      <c r="Z60" s="40"/>
      <c r="AA60" s="34"/>
      <c r="AB60" s="34"/>
      <c r="AC60" s="130"/>
      <c r="AD60" s="130"/>
      <c r="AE60" s="130"/>
      <c r="AF60" s="34"/>
      <c r="AG60" s="34"/>
      <c r="AH60" s="62"/>
      <c r="AI60" s="38"/>
      <c r="AJ60" s="38"/>
      <c r="AK60" s="34"/>
      <c r="AL60" s="44"/>
      <c r="AM60" s="45"/>
      <c r="AN60" s="51"/>
      <c r="AO60" s="51"/>
      <c r="AP60" s="47"/>
      <c r="AQ60" s="48"/>
      <c r="AR60" s="49">
        <f t="shared" si="122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36"/>
        <v>45867</v>
      </c>
      <c r="C61" s="23" t="s">
        <v>55</v>
      </c>
      <c r="D61" s="50"/>
      <c r="E61" s="34"/>
      <c r="F61" s="34"/>
      <c r="G61" s="34"/>
      <c r="H61" s="35"/>
      <c r="I61" s="26"/>
      <c r="J61" s="27"/>
      <c r="K61" s="28"/>
      <c r="L61" s="28"/>
      <c r="M61" s="61"/>
      <c r="N61" s="61"/>
      <c r="O61" s="31"/>
      <c r="P61" s="28"/>
      <c r="Q61" s="28"/>
      <c r="R61" s="64"/>
      <c r="S61" s="34"/>
      <c r="T61" s="34"/>
      <c r="U61" s="37"/>
      <c r="V61" s="37"/>
      <c r="W61" s="38"/>
      <c r="X61" s="39"/>
      <c r="Y61" s="40"/>
      <c r="Z61" s="40"/>
      <c r="AA61" s="34"/>
      <c r="AB61" s="34"/>
      <c r="AC61" s="130"/>
      <c r="AD61" s="130"/>
      <c r="AE61" s="130"/>
      <c r="AF61" s="34"/>
      <c r="AG61" s="34"/>
      <c r="AH61" s="62"/>
      <c r="AI61" s="38"/>
      <c r="AJ61" s="38"/>
      <c r="AK61" s="34"/>
      <c r="AL61" s="44"/>
      <c r="AM61" s="45"/>
      <c r="AN61" s="51"/>
      <c r="AO61" s="51"/>
      <c r="AP61" s="47"/>
      <c r="AQ61" s="48"/>
      <c r="AR61" s="49">
        <f t="shared" si="122"/>
        <v>0</v>
      </c>
      <c r="AS61" s="49"/>
      <c r="AT61" s="52"/>
      <c r="AU61" s="52"/>
      <c r="AV61" s="52"/>
      <c r="AW61" s="52"/>
    </row>
    <row r="62" spans="2:49" x14ac:dyDescent="0.25">
      <c r="B62" s="22">
        <f t="shared" si="36"/>
        <v>45868</v>
      </c>
      <c r="C62" s="23" t="s">
        <v>54</v>
      </c>
      <c r="D62" s="50"/>
      <c r="E62" s="34"/>
      <c r="F62" s="34"/>
      <c r="G62" s="34"/>
      <c r="H62" s="35"/>
      <c r="I62" s="26"/>
      <c r="J62" s="27"/>
      <c r="K62" s="28"/>
      <c r="L62" s="28"/>
      <c r="M62" s="61"/>
      <c r="N62" s="61"/>
      <c r="O62" s="31"/>
      <c r="P62" s="28"/>
      <c r="Q62" s="28"/>
      <c r="R62" s="64"/>
      <c r="S62" s="34"/>
      <c r="T62" s="34"/>
      <c r="U62" s="37"/>
      <c r="V62" s="37"/>
      <c r="W62" s="38"/>
      <c r="X62" s="39"/>
      <c r="Y62" s="40"/>
      <c r="Z62" s="40"/>
      <c r="AA62" s="34"/>
      <c r="AB62" s="34"/>
      <c r="AC62" s="130"/>
      <c r="AD62" s="130"/>
      <c r="AE62" s="130"/>
      <c r="AF62" s="34"/>
      <c r="AG62" s="34"/>
      <c r="AH62" s="62"/>
      <c r="AI62" s="38"/>
      <c r="AJ62" s="38"/>
      <c r="AK62" s="34"/>
      <c r="AL62" s="44"/>
      <c r="AM62" s="45"/>
      <c r="AN62" s="51"/>
      <c r="AO62" s="51"/>
      <c r="AP62" s="47"/>
      <c r="AQ62" s="48"/>
      <c r="AR62" s="49">
        <f t="shared" si="122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36"/>
        <v>45868</v>
      </c>
      <c r="C63" s="23" t="s">
        <v>55</v>
      </c>
      <c r="D63" s="50"/>
      <c r="E63" s="34"/>
      <c r="F63" s="34"/>
      <c r="G63" s="34"/>
      <c r="H63" s="35"/>
      <c r="I63" s="26"/>
      <c r="J63" s="27"/>
      <c r="K63" s="28"/>
      <c r="L63" s="28"/>
      <c r="M63" s="61"/>
      <c r="N63" s="61"/>
      <c r="O63" s="31"/>
      <c r="P63" s="28"/>
      <c r="Q63" s="28"/>
      <c r="R63" s="64"/>
      <c r="S63" s="34"/>
      <c r="T63" s="34"/>
      <c r="U63" s="37"/>
      <c r="V63" s="37"/>
      <c r="W63" s="38"/>
      <c r="X63" s="39"/>
      <c r="Y63" s="40"/>
      <c r="Z63" s="40"/>
      <c r="AA63" s="34"/>
      <c r="AB63" s="34"/>
      <c r="AC63" s="130"/>
      <c r="AD63" s="130"/>
      <c r="AE63" s="130"/>
      <c r="AF63" s="34"/>
      <c r="AG63" s="34"/>
      <c r="AH63" s="62"/>
      <c r="AI63" s="38"/>
      <c r="AJ63" s="38"/>
      <c r="AK63" s="34"/>
      <c r="AL63" s="44"/>
      <c r="AM63" s="45"/>
      <c r="AN63" s="51"/>
      <c r="AO63" s="51"/>
      <c r="AP63" s="47"/>
      <c r="AQ63" s="48"/>
      <c r="AR63" s="49">
        <f t="shared" si="122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36"/>
        <v>45869</v>
      </c>
      <c r="C64" s="23" t="s">
        <v>54</v>
      </c>
      <c r="D64" s="50"/>
      <c r="E64" s="34"/>
      <c r="F64" s="34"/>
      <c r="G64" s="34"/>
      <c r="H64" s="35"/>
      <c r="I64" s="26"/>
      <c r="J64" s="27"/>
      <c r="K64" s="28"/>
      <c r="L64" s="28"/>
      <c r="M64" s="61"/>
      <c r="N64" s="61"/>
      <c r="O64" s="31"/>
      <c r="P64" s="28"/>
      <c r="Q64" s="28"/>
      <c r="R64" s="64"/>
      <c r="S64" s="34"/>
      <c r="T64" s="34"/>
      <c r="U64" s="37"/>
      <c r="V64" s="37"/>
      <c r="W64" s="38"/>
      <c r="X64" s="39"/>
      <c r="Y64" s="40"/>
      <c r="Z64" s="40"/>
      <c r="AA64" s="34"/>
      <c r="AB64" s="34"/>
      <c r="AC64" s="130"/>
      <c r="AD64" s="130"/>
      <c r="AE64" s="130"/>
      <c r="AF64" s="34"/>
      <c r="AG64" s="34"/>
      <c r="AH64" s="62"/>
      <c r="AI64" s="38"/>
      <c r="AJ64" s="38"/>
      <c r="AK64" s="34"/>
      <c r="AL64" s="44"/>
      <c r="AM64" s="45"/>
      <c r="AN64" s="51"/>
      <c r="AO64" s="51"/>
      <c r="AP64" s="47"/>
      <c r="AQ64" s="48"/>
      <c r="AR64" s="49">
        <f t="shared" si="122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6"/>
        <v>45869</v>
      </c>
      <c r="C65" s="23" t="s">
        <v>55</v>
      </c>
      <c r="D65" s="50"/>
      <c r="E65" s="34"/>
      <c r="F65" s="34"/>
      <c r="G65" s="34"/>
      <c r="H65" s="35"/>
      <c r="I65" s="26"/>
      <c r="J65" s="27"/>
      <c r="K65" s="28"/>
      <c r="L65" s="28"/>
      <c r="M65" s="61"/>
      <c r="N65" s="106"/>
      <c r="O65" s="31"/>
      <c r="P65" s="28"/>
      <c r="Q65" s="28"/>
      <c r="R65" s="64"/>
      <c r="S65" s="34"/>
      <c r="T65" s="34"/>
      <c r="U65" s="37"/>
      <c r="V65" s="37"/>
      <c r="W65" s="38"/>
      <c r="X65" s="39"/>
      <c r="Y65" s="40"/>
      <c r="Z65" s="40"/>
      <c r="AA65" s="34"/>
      <c r="AB65" s="34"/>
      <c r="AC65" s="130"/>
      <c r="AD65" s="130"/>
      <c r="AE65" s="130"/>
      <c r="AF65" s="34"/>
      <c r="AG65" s="34"/>
      <c r="AH65" s="62"/>
      <c r="AI65" s="38"/>
      <c r="AJ65" s="38"/>
      <c r="AK65" s="34"/>
      <c r="AL65" s="44"/>
      <c r="AM65" s="45"/>
      <c r="AN65" s="51"/>
      <c r="AO65" s="51"/>
      <c r="AP65" s="47"/>
      <c r="AQ65" s="48"/>
      <c r="AR65" s="49">
        <f t="shared" si="122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0</v>
      </c>
      <c r="K66" t="e">
        <f>SUMPRODUCT(J4:J65,K4:K65)/J66</f>
        <v>#DIV/0!</v>
      </c>
      <c r="L66" t="e">
        <f>SUMPRODUCT(J4:J65,L4:L65)/J66</f>
        <v>#DIV/0!</v>
      </c>
      <c r="AM66" s="55">
        <f>-SUM(AM4:AM65)</f>
        <v>0</v>
      </c>
      <c r="AN66" s="55">
        <f>-SUM(AN4:AN65)</f>
        <v>0</v>
      </c>
      <c r="AO66" s="55">
        <f>-SUM(AO4:AO65)</f>
        <v>0</v>
      </c>
      <c r="AQ66" s="55">
        <f>-SUM(AQ4:AQ65)</f>
        <v>0</v>
      </c>
    </row>
    <row r="67" spans="2:49" x14ac:dyDescent="0.25">
      <c r="J67" s="49">
        <f>J66</f>
        <v>0</v>
      </c>
      <c r="K67" t="e">
        <f>J67*K66%</f>
        <v>#DIV/0!</v>
      </c>
      <c r="L67" s="49" t="e">
        <f>J67*L66%</f>
        <v>#DIV/0!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" priority="1" operator="lessThan">
      <formula>0.1</formula>
    </cfRule>
    <cfRule type="cellIs" dxfId="3" priority="2" operator="greaterThan">
      <formula>0.1</formula>
    </cfRule>
  </conditionalFormatting>
  <conditionalFormatting sqref="AP1:AQ1">
    <cfRule type="cellIs" dxfId="2" priority="3" operator="lessThan">
      <formula>1</formula>
    </cfRule>
  </conditionalFormatting>
  <conditionalFormatting sqref="AQ4:AQ65">
    <cfRule type="cellIs" dxfId="1" priority="8" operator="lessThan">
      <formula>0</formula>
    </cfRule>
    <cfRule type="cellIs" dxfId="0" priority="9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2"/>
  <dimension ref="A1:AB146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132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14.5703125" bestFit="1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21" width="8.28515625" customWidth="1"/>
    <col min="22" max="22" width="8" customWidth="1"/>
    <col min="23" max="23" width="10.140625" customWidth="1"/>
    <col min="24" max="26" width="7.7109375" customWidth="1"/>
    <col min="27" max="27" width="8.28515625" customWidth="1"/>
    <col min="32" max="32" width="9.5703125" customWidth="1"/>
    <col min="33" max="33" width="9.42578125" customWidth="1"/>
  </cols>
  <sheetData>
    <row r="1" spans="1:28" x14ac:dyDescent="0.25">
      <c r="A1" s="368" t="s">
        <v>63</v>
      </c>
      <c r="B1" s="368"/>
      <c r="C1" s="368"/>
      <c r="D1" s="369" t="s">
        <v>64</v>
      </c>
      <c r="E1" s="369"/>
      <c r="F1" s="369"/>
      <c r="G1" s="369"/>
      <c r="H1" s="369"/>
      <c r="I1" s="369"/>
      <c r="J1" s="369"/>
      <c r="K1" s="369"/>
      <c r="L1" s="69"/>
      <c r="M1" s="370" t="s">
        <v>65</v>
      </c>
      <c r="N1" s="371"/>
      <c r="O1" s="371"/>
      <c r="P1" s="371"/>
      <c r="Q1" s="371"/>
      <c r="R1" s="371"/>
      <c r="S1" s="371"/>
      <c r="T1" s="372"/>
      <c r="U1" s="70"/>
      <c r="V1" s="373" t="s">
        <v>66</v>
      </c>
      <c r="W1" s="374"/>
      <c r="X1" s="374"/>
      <c r="Y1" s="374"/>
      <c r="Z1" s="374"/>
      <c r="AA1" s="374"/>
      <c r="AB1" s="375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75"/>
    </row>
    <row r="3" spans="1:28" x14ac:dyDescent="0.25">
      <c r="A3" s="83"/>
      <c r="B3" s="84" t="s">
        <v>73</v>
      </c>
      <c r="C3" s="85"/>
      <c r="D3" s="86"/>
      <c r="E3" s="86"/>
      <c r="F3" s="86"/>
      <c r="G3" s="86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v>0</v>
      </c>
      <c r="R7" s="80">
        <v>0</v>
      </c>
      <c r="S7" s="80">
        <v>0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8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98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86"/>
      <c r="H18" s="86"/>
      <c r="I18" s="86"/>
      <c r="J18" s="86"/>
      <c r="K18" s="86"/>
      <c r="L18" s="86"/>
      <c r="M18" s="87"/>
      <c r="N18" s="80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0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0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0"/>
      <c r="O25" s="77"/>
      <c r="P25" s="89"/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98"/>
      <c r="E30" s="86"/>
      <c r="F30" s="86"/>
      <c r="G30" s="86"/>
      <c r="H30" s="86"/>
      <c r="I30" s="86"/>
      <c r="J30" s="86"/>
      <c r="K30" s="86"/>
      <c r="L30" s="86"/>
      <c r="M30" s="87"/>
      <c r="N30" s="88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147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W33-I33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88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8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8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8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>
        <f t="shared" ref="P44:P46" si="0">V44</f>
        <v>0</v>
      </c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8"/>
      <c r="O45" s="77"/>
      <c r="P45" s="89">
        <f t="shared" si="0"/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8"/>
      <c r="O46" s="77"/>
      <c r="P46" s="89">
        <f t="shared" si="0"/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/>
      <c r="L48" s="86"/>
      <c r="M48" s="158"/>
      <c r="N48" s="159"/>
      <c r="O48" s="160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88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0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0"/>
      <c r="O55" s="77"/>
      <c r="P55" s="89"/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/>
      <c r="L63" s="86"/>
      <c r="M63" s="87"/>
      <c r="N63" s="80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98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8"/>
      <c r="O67" s="77"/>
      <c r="P67" s="89">
        <f>V67</f>
        <v>0</v>
      </c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0"/>
      <c r="W68" s="91"/>
      <c r="X68" s="92"/>
      <c r="Y68" s="92"/>
      <c r="Z68" s="92"/>
      <c r="AA68" s="92"/>
      <c r="AB68" s="93"/>
    </row>
    <row r="69" spans="1:28" x14ac:dyDescent="0.25">
      <c r="A69" s="83"/>
      <c r="B69" s="84" t="s">
        <v>73</v>
      </c>
      <c r="C69" s="85"/>
      <c r="D69" s="98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98"/>
      <c r="E70" s="86"/>
      <c r="F70" s="86"/>
      <c r="G70" s="86"/>
      <c r="H70" s="86"/>
      <c r="I70" s="86"/>
      <c r="J70" s="86"/>
      <c r="K70" s="86"/>
      <c r="L70" s="86"/>
      <c r="M70" s="87"/>
      <c r="N70" s="88"/>
      <c r="O70" s="77"/>
      <c r="P70" s="89">
        <f>V70</f>
        <v>0</v>
      </c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98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86"/>
      <c r="I80" s="86"/>
      <c r="J80" s="86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  <row r="81" spans="1:28" x14ac:dyDescent="0.25">
      <c r="A81" s="83"/>
      <c r="B81" s="84" t="s">
        <v>73</v>
      </c>
      <c r="C81" s="85"/>
      <c r="D81" s="98"/>
      <c r="E81" s="86"/>
      <c r="F81" s="86"/>
      <c r="G81" s="86"/>
      <c r="H81" s="86"/>
      <c r="I81" s="86"/>
      <c r="J81" s="86"/>
      <c r="K81" s="86"/>
      <c r="L81" s="86"/>
      <c r="M81" s="87"/>
      <c r="N81" s="80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8"/>
      <c r="O82" s="77"/>
      <c r="P82" s="89">
        <f>V82</f>
        <v>0</v>
      </c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8"/>
      <c r="O83" s="77"/>
      <c r="P83" s="89"/>
      <c r="Q83" s="79"/>
      <c r="R83" s="80"/>
      <c r="S83" s="80"/>
      <c r="T83" s="80"/>
      <c r="U83" s="80"/>
      <c r="V83" s="90"/>
      <c r="W83" s="91"/>
      <c r="X83" s="92"/>
      <c r="Y83" s="92"/>
      <c r="Z83" s="92"/>
      <c r="AA83" s="92"/>
      <c r="AB83" s="93"/>
    </row>
    <row r="84" spans="1:28" x14ac:dyDescent="0.25">
      <c r="A84" s="83"/>
      <c r="B84" s="84" t="s">
        <v>76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>
        <f t="shared" ref="K85" si="1">H85*I85%</f>
        <v>0</v>
      </c>
      <c r="L85" s="86">
        <f t="shared" ref="L85" si="2">H85*J85%</f>
        <v>0</v>
      </c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>
        <f t="shared" ref="K87:K88" si="3">H87*I87%</f>
        <v>0</v>
      </c>
      <c r="L87" s="86">
        <f t="shared" ref="L87:L88" si="4">H87*J87%</f>
        <v>0</v>
      </c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>
        <f t="shared" si="3"/>
        <v>0</v>
      </c>
      <c r="L88" s="86">
        <f t="shared" si="4"/>
        <v>0</v>
      </c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>
        <f>H90*I90%</f>
        <v>0</v>
      </c>
      <c r="L90" s="86">
        <f>H90*J90%</f>
        <v>0</v>
      </c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>
        <f>H91*I91%</f>
        <v>0</v>
      </c>
      <c r="L91" s="86">
        <f>H91*J91%</f>
        <v>0</v>
      </c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77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/>
      <c r="Q93" s="79"/>
      <c r="R93" s="80"/>
      <c r="S93" s="80"/>
      <c r="T93" s="80"/>
      <c r="U93" s="80"/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/>
      <c r="R94" s="80"/>
      <c r="S94" s="80"/>
      <c r="T94" s="80"/>
      <c r="U94" s="80"/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/>
      <c r="Q96" s="79"/>
      <c r="R96" s="80"/>
      <c r="S96" s="80"/>
      <c r="T96" s="80"/>
      <c r="U96" s="80"/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/>
      <c r="R97" s="80"/>
      <c r="S97" s="80"/>
      <c r="T97" s="80"/>
      <c r="U97" s="80"/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/>
      <c r="Q99" s="79"/>
      <c r="R99" s="80"/>
      <c r="S99" s="80"/>
      <c r="T99" s="80"/>
      <c r="U99" s="80"/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/>
      <c r="R100" s="80"/>
      <c r="S100" s="80"/>
      <c r="T100" s="80"/>
      <c r="U100" s="80"/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/>
      <c r="Q102" s="79"/>
      <c r="R102" s="80"/>
      <c r="S102" s="80"/>
      <c r="T102" s="80"/>
      <c r="U102" s="80"/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/>
      <c r="Q103" s="79"/>
      <c r="R103" s="80"/>
      <c r="S103" s="80"/>
      <c r="T103" s="80"/>
      <c r="U103" s="80"/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>
        <f t="shared" ref="K105:K106" si="5">H105*I105%</f>
        <v>0</v>
      </c>
      <c r="L105" s="86">
        <f t="shared" ref="L105:L106" si="6">H105*J105%</f>
        <v>0</v>
      </c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>
        <f t="shared" si="5"/>
        <v>0</v>
      </c>
      <c r="L106" s="86">
        <f t="shared" si="6"/>
        <v>0</v>
      </c>
      <c r="M106" s="87"/>
      <c r="N106" s="80"/>
      <c r="O106" s="77"/>
      <c r="P106" s="89"/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86"/>
      <c r="E108" s="86"/>
      <c r="F108" s="86"/>
      <c r="G108" s="86"/>
      <c r="H108" s="86"/>
      <c r="I108" s="86"/>
      <c r="J108" s="86"/>
      <c r="K108" s="86">
        <f t="shared" ref="K108:K109" si="7">H108*I108%</f>
        <v>0</v>
      </c>
      <c r="L108" s="86">
        <f t="shared" ref="L108:L109" si="8">H108*J108%</f>
        <v>0</v>
      </c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>
        <f t="shared" si="7"/>
        <v>0</v>
      </c>
      <c r="L109" s="86">
        <f t="shared" si="8"/>
        <v>0</v>
      </c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/>
      <c r="Q117" s="79"/>
      <c r="R117" s="80"/>
      <c r="S117" s="80"/>
      <c r="T117" s="80"/>
      <c r="U117" s="80"/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/>
      <c r="R118" s="80"/>
      <c r="S118" s="80"/>
      <c r="T118" s="80"/>
      <c r="U118" s="80"/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>
        <f t="shared" ref="K119:K125" si="9">H119*I119%</f>
        <v>0</v>
      </c>
      <c r="L119" s="86">
        <f t="shared" ref="L119:L125" si="10">H119*J119%</f>
        <v>0</v>
      </c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>
        <f t="shared" si="9"/>
        <v>0</v>
      </c>
      <c r="L120" s="86">
        <f t="shared" si="10"/>
        <v>0</v>
      </c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>
        <f t="shared" si="9"/>
        <v>0</v>
      </c>
      <c r="L121" s="86">
        <f t="shared" si="10"/>
        <v>0</v>
      </c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>
        <f t="shared" si="9"/>
        <v>0</v>
      </c>
      <c r="L122" s="86">
        <f t="shared" si="10"/>
        <v>0</v>
      </c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>
        <f t="shared" si="9"/>
        <v>0</v>
      </c>
      <c r="L123" s="86">
        <f t="shared" si="10"/>
        <v>0</v>
      </c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>
        <f t="shared" si="9"/>
        <v>0</v>
      </c>
      <c r="L124" s="86">
        <f t="shared" si="10"/>
        <v>0</v>
      </c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86">
        <f t="shared" si="9"/>
        <v>0</v>
      </c>
      <c r="L125" s="86">
        <f t="shared" si="10"/>
        <v>0</v>
      </c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/>
    </row>
    <row r="128" spans="1:28" x14ac:dyDescent="0.25">
      <c r="A128" s="83"/>
      <c r="B128" s="84"/>
      <c r="C128" s="85"/>
      <c r="D128" s="86"/>
      <c r="E128" s="86"/>
      <c r="F128" s="86"/>
      <c r="G128" s="86"/>
      <c r="H128" s="86"/>
      <c r="I128" s="86"/>
      <c r="J128" s="86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/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  <c r="AB139" s="93" t="s">
        <v>74</v>
      </c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  <c r="AB140" s="93"/>
    </row>
    <row r="141" spans="1:28" x14ac:dyDescent="0.25">
      <c r="A141" s="83"/>
      <c r="B141" s="84" t="s">
        <v>73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/>
      <c r="Q144" s="79"/>
      <c r="R144" s="80"/>
      <c r="S144" s="80"/>
      <c r="T144" s="80"/>
      <c r="U144" s="80"/>
      <c r="V144" s="95"/>
      <c r="W144" s="96"/>
      <c r="X144" s="97"/>
      <c r="Y144" s="97"/>
      <c r="Z144" s="97"/>
      <c r="AA144" s="97"/>
    </row>
    <row r="145" spans="1:27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0"/>
      <c r="O145" s="77"/>
      <c r="P145" s="89"/>
      <c r="Q145" s="79"/>
      <c r="R145" s="80"/>
      <c r="S145" s="80"/>
      <c r="T145" s="80"/>
      <c r="U145" s="80"/>
      <c r="V145" s="95"/>
      <c r="W145" s="96"/>
      <c r="X145" s="97"/>
      <c r="Y145" s="97"/>
      <c r="Z145" s="97"/>
      <c r="AA145" s="97"/>
    </row>
    <row r="146" spans="1:27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94"/>
      <c r="L146" s="94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</row>
  </sheetData>
  <autoFilter ref="A1:AB61" xr:uid="{00000000-0009-0000-0000-000019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Charts</vt:lpstr>
      </vt:variant>
      <vt:variant>
        <vt:i4>1</vt:i4>
      </vt:variant>
    </vt:vector>
  </HeadingPairs>
  <TitlesOfParts>
    <vt:vector size="26" baseType="lpstr">
      <vt:lpstr>Daily Losses</vt:lpstr>
      <vt:lpstr>Sheet1</vt:lpstr>
      <vt:lpstr>July 26</vt:lpstr>
      <vt:lpstr>Nov 25</vt:lpstr>
      <vt:lpstr>Oct 25</vt:lpstr>
      <vt:lpstr>Itki</vt:lpstr>
      <vt:lpstr>ItkiTanker</vt:lpstr>
      <vt:lpstr>Pali</vt:lpstr>
      <vt:lpstr>Pali Tanker</vt:lpstr>
      <vt:lpstr>Hisri</vt:lpstr>
      <vt:lpstr>Hisri Tanker</vt:lpstr>
      <vt:lpstr>Choriya</vt:lpstr>
      <vt:lpstr>Choreya Tanker</vt:lpstr>
      <vt:lpstr>Aug-25</vt:lpstr>
      <vt:lpstr>Orja</vt:lpstr>
      <vt:lpstr>Ormj Tank</vt:lpstr>
      <vt:lpstr>Piragutu</vt:lpstr>
      <vt:lpstr>Pira Tank</vt:lpstr>
      <vt:lpstr>Bhandra</vt:lpstr>
      <vt:lpstr>Bhandra Tank</vt:lpstr>
      <vt:lpstr>Chanho</vt:lpstr>
      <vt:lpstr>Chanho Tank</vt:lpstr>
      <vt:lpstr>Sheet2</vt:lpstr>
      <vt:lpstr>Baski</vt:lpstr>
      <vt:lpstr>Baski Tanker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Daya Society</cp:lastModifiedBy>
  <cp:lastPrinted>2025-02-17T05:55:29Z</cp:lastPrinted>
  <dcterms:created xsi:type="dcterms:W3CDTF">2015-06-05T18:17:20Z</dcterms:created>
  <dcterms:modified xsi:type="dcterms:W3CDTF">2026-07-06T06:11:26Z</dcterms:modified>
</cp:coreProperties>
</file>