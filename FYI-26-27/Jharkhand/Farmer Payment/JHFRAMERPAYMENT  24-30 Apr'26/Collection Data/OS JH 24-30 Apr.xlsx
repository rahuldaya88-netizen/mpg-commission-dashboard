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JHFRAMERPAYMENT  24-30 Apr'26\Collection Data\"/>
    </mc:Choice>
  </mc:AlternateContent>
  <xr:revisionPtr revIDLastSave="0" documentId="13_ncr:1_{27B47191-FBED-49AB-8367-1832903D17EA}" xr6:coauthVersionLast="47" xr6:coauthVersionMax="47" xr10:uidLastSave="{00000000-0000-0000-0000-000000000000}"/>
  <bookViews>
    <workbookView xWindow="-120" yWindow="-120" windowWidth="29040" windowHeight="15720" xr2:uid="{17A0C518-6D3D-4BD0-B64D-C9DA14DE0763}"/>
  </bookViews>
  <sheets>
    <sheet name="Sheet2" sheetId="2" r:id="rId1"/>
    <sheet name="Sheet1" sheetId="1" r:id="rId2"/>
  </sheets>
  <calcPr calcId="191029"/>
  <pivotCaches>
    <pivotCache cacheId="2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<sst xmlns="http://schemas.openxmlformats.org/spreadsheetml/2006/main" count="121" uniqueCount="50">
  <si>
    <t>Date</t>
  </si>
  <si>
    <t>Godown</t>
  </si>
  <si>
    <t>MPG Name</t>
  </si>
  <si>
    <t>New Code</t>
  </si>
  <si>
    <t>Name of Product</t>
  </si>
  <si>
    <t>Qty Sold</t>
  </si>
  <si>
    <t>Rate</t>
  </si>
  <si>
    <t>Sales Amount</t>
  </si>
  <si>
    <t>Sale Type</t>
  </si>
  <si>
    <t>Salesman Name</t>
  </si>
  <si>
    <t>Challan Number</t>
  </si>
  <si>
    <t>Month</t>
  </si>
  <si>
    <t>Mode</t>
  </si>
  <si>
    <t>Cycle</t>
  </si>
  <si>
    <t>Deduction Date</t>
  </si>
  <si>
    <t>Payment Amt</t>
  </si>
  <si>
    <t>Dues</t>
  </si>
  <si>
    <t>Remarks</t>
  </si>
  <si>
    <t>Ageing</t>
  </si>
  <si>
    <t>Bero</t>
  </si>
  <si>
    <t>Boriya</t>
  </si>
  <si>
    <t>Gomukh Gold 50 Kgs</t>
  </si>
  <si>
    <t>Deduction from Milk Payment</t>
  </si>
  <si>
    <t>Feb-26</t>
  </si>
  <si>
    <t>Farmer</t>
  </si>
  <si>
    <t>20 Mar - 26 Mar</t>
  </si>
  <si>
    <t>Chanho</t>
  </si>
  <si>
    <t>Naudi</t>
  </si>
  <si>
    <t>Mar-26</t>
  </si>
  <si>
    <t>27 Feb - 05 Mar &amp; 06-12 Mar 13-19 Mar 20-26 Mar 27-31 Mar</t>
  </si>
  <si>
    <t>Ormanjhi</t>
  </si>
  <si>
    <t>Mandro</t>
  </si>
  <si>
    <t>Jirabar</t>
  </si>
  <si>
    <t>03 Apr - 09 Apr &amp; 17-23 Apr</t>
  </si>
  <si>
    <t>Barhe</t>
  </si>
  <si>
    <t>Apr-26</t>
  </si>
  <si>
    <t>10 Apr - 16 Apr &amp; 17-23 Apr</t>
  </si>
  <si>
    <t>Kokar</t>
  </si>
  <si>
    <t>10 Apr - 16 Apr</t>
  </si>
  <si>
    <t>Chuttu</t>
  </si>
  <si>
    <t>Dumardagga</t>
  </si>
  <si>
    <t>17 Apr - 23 Apr</t>
  </si>
  <si>
    <t>Etachildri</t>
  </si>
  <si>
    <t>Pali</t>
  </si>
  <si>
    <t>Bijuliya</t>
  </si>
  <si>
    <t>Ranikhatanga</t>
  </si>
  <si>
    <t>Tikotoli</t>
  </si>
  <si>
    <t>Total</t>
  </si>
  <si>
    <t>Grand Total</t>
  </si>
  <si>
    <t>Sum of Dues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</si>
</sst>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7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7" tint="0.39997558519241921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theme="7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14" fontId="2" fillId="3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right"/>
    </xf>
    <xf numFmtId="0" fontId="2" fillId="4" borderId="2" xfId="0" applyFont="1" applyFill="1" applyBorder="1"/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/>
    <xf numFmtId="0" fontId="3" fillId="3" borderId="2" xfId="0" applyFont="1" applyFill="1" applyBorder="1"/>
    <xf numFmtId="16" fontId="3" fillId="3" borderId="2" xfId="0" applyNumberFormat="1" applyFont="1" applyFill="1" applyBorder="1"/>
    <xf numFmtId="0" fontId="2" fillId="3" borderId="3" xfId="0" applyFont="1" applyFill="1" applyBorder="1"/>
    <xf numFmtId="14" fontId="2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3" fillId="0" borderId="2" xfId="0" applyFont="1" applyBorder="1"/>
    <xf numFmtId="16" fontId="3" fillId="0" borderId="2" xfId="0" applyNumberFormat="1" applyFont="1" applyBorder="1"/>
    <xf numFmtId="0" fontId="2" fillId="0" borderId="3" xfId="0" applyFont="1" applyBorder="1"/>
    <xf numFmtId="0" fontId="3" fillId="3" borderId="4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right"/>
    </xf>
    <xf numFmtId="14" fontId="3" fillId="3" borderId="2" xfId="0" applyNumberFormat="1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3" xfId="0" applyFont="1" applyFill="1" applyBorder="1"/>
    <xf numFmtId="14" fontId="3" fillId="0" borderId="2" xfId="0" applyNumberFormat="1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3" fillId="0" borderId="3" xfId="0" applyFont="1" applyBorder="1"/>
    <xf numFmtId="0" fontId="0" fillId="0" borderId="0" xfId="0" pivotButton="1"/>
    <xf numFmtId="0" fontId="0" fillId="0" borderId="0" xfId="0" applyNumberFormat="1"/>
    <xf numFmtId="0" fontId="4" fillId="4" borderId="5" xfId="0" applyFont="1" applyFill="1" applyBorder="1"/>
    <xf numFmtId="0" fontId="4" fillId="4" borderId="6" xfId="0" applyFont="1" applyFill="1" applyBorder="1"/>
    <xf numFmtId="0" fontId="4" fillId="4" borderId="6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46.686461111109" createdVersion="8" refreshedVersion="8" minRefreshableVersion="3" recordCount="15" xr:uid="{60AB478A-E114-4FF2-A142-3234B702DA29}">
  <cacheSource type="worksheet">
    <worksheetSource ref="A1:S16" sheet="Sheet1"/>
  </cacheSource>
  <cacheFields count="19">
    <cacheField name="Date" numFmtId="14">
      <sharedItems containsSemiMixedTypes="0" containsNonDate="0" containsDate="1" containsString="0" minDate="2026-02-28T00:00:00" maxDate="2026-04-19T00:00:00"/>
    </cacheField>
    <cacheField name="Godown" numFmtId="0">
      <sharedItems/>
    </cacheField>
    <cacheField name="MPG Name" numFmtId="0">
      <sharedItems/>
    </cacheField>
    <cacheField name="New Code" numFmtId="0">
      <sharedItems containsSemiMixedTypes="0" containsString="0" containsNumber="1" containsInteger="1" minValue="20010003" maxValue="20090023" count="14">
        <n v="20010015"/>
        <n v="20090003"/>
        <n v="20060002"/>
        <n v="20060009"/>
        <n v="20090011"/>
        <n v="20090023"/>
        <n v="20060004"/>
        <n v="20060003"/>
        <n v="20060001"/>
        <n v="20010016"/>
        <n v="20010003"/>
        <n v="20020003"/>
        <n v="20020006"/>
        <n v="20020020"/>
      </sharedItems>
    </cacheField>
    <cacheField name="Name of Product" numFmtId="0">
      <sharedItems/>
    </cacheField>
    <cacheField name="Qty Sold" numFmtId="0">
      <sharedItems containsSemiMixedTypes="0" containsString="0" containsNumber="1" containsInteger="1" minValue="2" maxValue="22"/>
    </cacheField>
    <cacheField name="Rate" numFmtId="0">
      <sharedItems containsSemiMixedTypes="0" containsString="0" containsNumber="1" containsInteger="1" minValue="1250" maxValue="1250"/>
    </cacheField>
    <cacheField name="Sales Amount" numFmtId="0">
      <sharedItems containsSemiMixedTypes="0" containsString="0" containsNumber="1" containsInteger="1" minValue="2500" maxValue="25000"/>
    </cacheField>
    <cacheField name="Sale Type" numFmtId="0">
      <sharedItems/>
    </cacheField>
    <cacheField name="Salesman Name" numFmtId="0">
      <sharedItems containsNonDate="0" containsString="0" containsBlank="1"/>
    </cacheField>
    <cacheField name="Challan Number" numFmtId="0">
      <sharedItems containsString="0" containsBlank="1" containsNumber="1" containsInteger="1" minValue="4731" maxValue="4731"/>
    </cacheField>
    <cacheField name="Month" numFmtId="0">
      <sharedItems/>
    </cacheField>
    <cacheField name="Mode" numFmtId="0">
      <sharedItems containsBlank="1"/>
    </cacheField>
    <cacheField name="Cycle" numFmtId="0">
      <sharedItems containsBlank="1"/>
    </cacheField>
    <cacheField name="Deduction Date" numFmtId="16">
      <sharedItems containsNonDate="0" containsDate="1" containsString="0" containsBlank="1" minDate="2026-03-05T00:00:00" maxDate="2026-04-24T00:00:00"/>
    </cacheField>
    <cacheField name="Payment Amt" numFmtId="0">
      <sharedItems containsString="0" containsBlank="1" containsNumber="1" containsInteger="1" minValue="35" maxValue="12500"/>
    </cacheField>
    <cacheField name="Dues" numFmtId="0">
      <sharedItems containsSemiMixedTypes="0" containsString="0" containsNumber="1" containsInteger="1" minValue="795" maxValue="12500"/>
    </cacheField>
    <cacheField name="Remarks" numFmtId="0">
      <sharedItems containsNonDate="0" containsString="0" containsBlank="1"/>
    </cacheField>
    <cacheField name="Ageing" numFmtId="0">
      <sharedItems containsSemiMixedTypes="0" containsString="0" containsNumber="1" containsInteger="1" minValue="16" maxValue="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d v="2026-02-28T00:00:00"/>
    <s v="Bero"/>
    <s v="Boriya"/>
    <x v="0"/>
    <s v="Gomukh Gold 50 Kgs"/>
    <n v="22"/>
    <n v="1250"/>
    <n v="16500"/>
    <s v="Deduction from Milk Payment"/>
    <m/>
    <n v="4731"/>
    <s v="Feb-26"/>
    <s v="Farmer"/>
    <s v="20 Mar - 26 Mar"/>
    <d v="2026-03-26T00:00:00"/>
    <n v="12500"/>
    <n v="4000"/>
    <m/>
    <n v="65"/>
  </r>
  <r>
    <d v="2026-03-06T00:00:00"/>
    <s v="Chanho"/>
    <s v="Naudi"/>
    <x v="1"/>
    <s v="Gomukh Gold 50 Kgs"/>
    <n v="10"/>
    <n v="1250"/>
    <n v="12500"/>
    <s v="Deduction from Milk Payment"/>
    <m/>
    <m/>
    <s v="Mar-26"/>
    <s v="Farmer"/>
    <s v="27 Feb - 05 Mar &amp; 06-12 Mar 13-19 Mar 20-26 Mar 27-31 Mar"/>
    <d v="2026-03-05T00:00:00"/>
    <n v="9956"/>
    <n v="2544"/>
    <m/>
    <n v="59"/>
  </r>
  <r>
    <d v="2026-03-26T00:00:00"/>
    <s v="Ormanjhi"/>
    <s v="Mandro"/>
    <x v="2"/>
    <s v="Gomukh Gold 50 Kgs"/>
    <n v="5"/>
    <n v="1250"/>
    <n v="6250"/>
    <s v="Deduction from Milk Payment"/>
    <m/>
    <m/>
    <s v="Mar-26"/>
    <m/>
    <m/>
    <m/>
    <m/>
    <n v="6250"/>
    <m/>
    <n v="39"/>
  </r>
  <r>
    <d v="2026-03-26T00:00:00"/>
    <s v="Ormanjhi"/>
    <s v="Jirabar"/>
    <x v="3"/>
    <s v="Gomukh Gold 50 Kgs"/>
    <n v="5"/>
    <n v="1250"/>
    <n v="6250"/>
    <s v="Deduction from Milk Payment"/>
    <m/>
    <m/>
    <s v="Mar-26"/>
    <s v="Farmer"/>
    <s v="03 Apr - 09 Apr &amp; 17-23 Apr"/>
    <d v="2026-04-09T00:00:00"/>
    <n v="3910"/>
    <n v="2340"/>
    <m/>
    <n v="39"/>
  </r>
  <r>
    <d v="2026-04-06T00:00:00"/>
    <s v="Chanho"/>
    <s v="Barhe"/>
    <x v="4"/>
    <s v="Gomukh Gold 50 Kgs"/>
    <n v="5"/>
    <n v="1250"/>
    <n v="6250"/>
    <s v="Deduction from Milk Payment"/>
    <m/>
    <m/>
    <s v="Apr-26"/>
    <s v="Farmer"/>
    <s v="10 Apr - 16 Apr &amp; 17-23 Apr"/>
    <d v="2026-04-16T00:00:00"/>
    <n v="5000"/>
    <n v="1250"/>
    <m/>
    <n v="28"/>
  </r>
  <r>
    <d v="2026-04-06T00:00:00"/>
    <s v="Chanho"/>
    <s v="Kokar"/>
    <x v="5"/>
    <s v="Gomukh Gold 50 Kgs"/>
    <n v="5"/>
    <n v="1250"/>
    <n v="6250"/>
    <s v="Deduction from Milk Payment"/>
    <m/>
    <m/>
    <s v="Apr-26"/>
    <s v="Farmer"/>
    <s v="10 Apr - 16 Apr"/>
    <d v="2026-04-16T00:00:00"/>
    <n v="35"/>
    <n v="6215"/>
    <m/>
    <n v="28"/>
  </r>
  <r>
    <d v="2026-04-18T00:00:00"/>
    <s v="Chuttu"/>
    <s v="Chuttu"/>
    <x v="6"/>
    <s v="Gomukh Gold 50 Kgs"/>
    <n v="10"/>
    <n v="1250"/>
    <n v="12500"/>
    <s v="Deduction from Milk Payment"/>
    <m/>
    <m/>
    <s v="Apr-26"/>
    <m/>
    <m/>
    <m/>
    <m/>
    <n v="12500"/>
    <m/>
    <n v="16"/>
  </r>
  <r>
    <d v="2026-04-18T00:00:00"/>
    <s v="Dumardagga"/>
    <s v="Dumardagga"/>
    <x v="7"/>
    <s v="Gomukh Gold 50 Kgs"/>
    <n v="20"/>
    <n v="1250"/>
    <n v="25000"/>
    <s v="Deduction from Milk Payment"/>
    <m/>
    <m/>
    <s v="Apr-26"/>
    <s v="Farmer"/>
    <s v="17 Apr - 23 Apr"/>
    <d v="2026-04-23T00:00:00"/>
    <n v="12500"/>
    <n v="12500"/>
    <m/>
    <n v="16"/>
  </r>
  <r>
    <d v="2026-04-18T00:00:00"/>
    <s v="Ormanjhi"/>
    <s v="Jirabar"/>
    <x v="3"/>
    <s v="Gomukh Gold 50 Kgs"/>
    <n v="2"/>
    <n v="1250"/>
    <n v="2500"/>
    <s v="Deduction from Milk Payment"/>
    <m/>
    <m/>
    <s v="Apr-26"/>
    <m/>
    <m/>
    <m/>
    <m/>
    <n v="2500"/>
    <m/>
    <n v="16"/>
  </r>
  <r>
    <d v="2026-04-18T00:00:00"/>
    <s v="Ormanjhi"/>
    <s v="Ormanjhi"/>
    <x v="8"/>
    <s v="Gomukh Gold 50 Kgs"/>
    <n v="7"/>
    <n v="1250"/>
    <n v="8750"/>
    <s v="Deduction from Milk Payment"/>
    <m/>
    <m/>
    <s v="Apr-26"/>
    <s v="Farmer"/>
    <s v="10 Apr - 16 Apr"/>
    <d v="2026-04-16T00:00:00"/>
    <n v="7955"/>
    <n v="795"/>
    <m/>
    <n v="16"/>
  </r>
  <r>
    <d v="2026-04-03T00:00:00"/>
    <s v="Bero"/>
    <s v="Etachildri"/>
    <x v="9"/>
    <s v="Gomukh Gold 50 Kgs"/>
    <n v="2"/>
    <n v="1250"/>
    <n v="2500"/>
    <s v="Deduction from Milk Payment"/>
    <m/>
    <m/>
    <s v="Apr-26"/>
    <s v="Farmer"/>
    <s v="10 Apr - 16 Apr"/>
    <d v="2026-04-16T00:00:00"/>
    <n v="490"/>
    <n v="2010"/>
    <m/>
    <n v="31"/>
  </r>
  <r>
    <d v="2026-04-18T00:00:00"/>
    <s v="Bero"/>
    <s v="Bero"/>
    <x v="10"/>
    <s v="Gomukh Gold 50 Kgs"/>
    <n v="8"/>
    <n v="1250"/>
    <n v="10000"/>
    <s v="Deduction from Milk Payment"/>
    <m/>
    <m/>
    <s v="Apr-26"/>
    <m/>
    <m/>
    <m/>
    <m/>
    <n v="10000"/>
    <m/>
    <n v="16"/>
  </r>
  <r>
    <d v="2026-04-16T00:00:00"/>
    <s v="Pali"/>
    <s v="Bijuliya"/>
    <x v="11"/>
    <s v="Gomukh Gold 50 Kgs"/>
    <n v="10"/>
    <n v="1250"/>
    <n v="12500"/>
    <s v="Deduction from Milk Payment"/>
    <m/>
    <m/>
    <s v="Apr-26"/>
    <s v="Farmer"/>
    <s v="17 Apr - 23 Apr"/>
    <d v="2026-04-23T00:00:00"/>
    <n v="6250"/>
    <n v="6250"/>
    <m/>
    <n v="18"/>
  </r>
  <r>
    <d v="2026-04-16T00:00:00"/>
    <s v="Pali"/>
    <s v="Ranikhatanga"/>
    <x v="12"/>
    <s v="Gomukh Gold 50 Kgs"/>
    <n v="5"/>
    <n v="1250"/>
    <n v="6250"/>
    <s v="Deduction from Milk Payment"/>
    <m/>
    <m/>
    <s v="Apr-26"/>
    <m/>
    <m/>
    <m/>
    <m/>
    <n v="6250"/>
    <m/>
    <n v="18"/>
  </r>
  <r>
    <d v="2026-04-16T00:00:00"/>
    <s v="Pali"/>
    <s v="Tikotoli"/>
    <x v="13"/>
    <s v="Gomukh Gold 50 Kgs"/>
    <n v="5"/>
    <n v="1250"/>
    <n v="6250"/>
    <s v="Deduction from Milk Payment"/>
    <m/>
    <m/>
    <s v="Apr-26"/>
    <s v="Farmer"/>
    <s v="10 Apr - 16 Apr"/>
    <d v="2026-04-16T00:00:00"/>
    <n v="5100"/>
    <n v="1150"/>
    <m/>
    <n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EDBE2A-4204-43E7-9FB1-297C90214EA0}" name="PivotTable2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B19" firstHeaderRow="2" firstDataRow="2" firstDataCol="1"/>
  <pivotFields count="19">
    <pivotField compact="0" numFmtId="14" outline="0" showAll="0"/>
    <pivotField compact="0" outline="0" showAll="0"/>
    <pivotField compact="0" outline="0" showAll="0"/>
    <pivotField axis="axisRow" compact="0" outline="0" showAll="0">
      <items count="15">
        <item x="10"/>
        <item x="0"/>
        <item x="9"/>
        <item x="11"/>
        <item x="12"/>
        <item x="13"/>
        <item x="8"/>
        <item x="2"/>
        <item x="7"/>
        <item x="6"/>
        <item x="3"/>
        <item x="1"/>
        <item x="4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Dues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8884F-A92F-49CE-91E9-7D8C590CDCB9}">
  <dimension ref="A3:F19"/>
  <sheetViews>
    <sheetView tabSelected="1" workbookViewId="0">
      <selection activeCell="F5" sqref="F5"/>
    </sheetView>
  </sheetViews>
  <sheetFormatPr defaultRowHeight="15" x14ac:dyDescent="0.25"/>
  <cols>
    <col min="1" max="1" width="12.42578125" bestFit="1" customWidth="1"/>
    <col min="2" max="2" width="6" bestFit="1" customWidth="1"/>
  </cols>
  <sheetData>
    <row r="3" spans="1:6" x14ac:dyDescent="0.25">
      <c r="A3" s="32" t="s">
        <v>49</v>
      </c>
    </row>
    <row r="4" spans="1:6" x14ac:dyDescent="0.25">
      <c r="A4" s="32" t="s">
        <v>3</v>
      </c>
      <c r="B4" t="s">
        <v>47</v>
      </c>
      <c r="E4" s="34" t="s">
        <v>3</v>
      </c>
      <c r="F4" s="34" t="s">
        <v>47</v>
      </c>
    </row>
    <row r="5" spans="1:6" x14ac:dyDescent="0.25">
      <c r="A5">
        <v>20010003</v>
      </c>
      <c r="B5" s="33">
        <v>10000</v>
      </c>
      <c r="E5">
        <v>20010003</v>
      </c>
      <c r="F5" s="33">
        <v>10000</v>
      </c>
    </row>
    <row r="6" spans="1:6" x14ac:dyDescent="0.25">
      <c r="A6">
        <v>20010015</v>
      </c>
      <c r="B6" s="33">
        <v>4000</v>
      </c>
      <c r="E6">
        <v>20010015</v>
      </c>
      <c r="F6" s="33">
        <v>4000</v>
      </c>
    </row>
    <row r="7" spans="1:6" x14ac:dyDescent="0.25">
      <c r="A7">
        <v>20010016</v>
      </c>
      <c r="B7" s="33">
        <v>2010</v>
      </c>
      <c r="E7">
        <v>20010016</v>
      </c>
      <c r="F7" s="33">
        <v>2010</v>
      </c>
    </row>
    <row r="8" spans="1:6" x14ac:dyDescent="0.25">
      <c r="A8">
        <v>20020003</v>
      </c>
      <c r="B8" s="33">
        <v>6250</v>
      </c>
      <c r="E8">
        <v>20020003</v>
      </c>
      <c r="F8" s="33">
        <v>6250</v>
      </c>
    </row>
    <row r="9" spans="1:6" x14ac:dyDescent="0.25">
      <c r="A9">
        <v>20020006</v>
      </c>
      <c r="B9" s="33">
        <v>6250</v>
      </c>
      <c r="E9">
        <v>20020006</v>
      </c>
      <c r="F9" s="33">
        <v>6250</v>
      </c>
    </row>
    <row r="10" spans="1:6" x14ac:dyDescent="0.25">
      <c r="A10">
        <v>20020020</v>
      </c>
      <c r="B10" s="33">
        <v>1150</v>
      </c>
      <c r="E10">
        <v>20020020</v>
      </c>
      <c r="F10" s="33">
        <v>1150</v>
      </c>
    </row>
    <row r="11" spans="1:6" x14ac:dyDescent="0.25">
      <c r="A11">
        <v>20060001</v>
      </c>
      <c r="B11" s="33">
        <v>795</v>
      </c>
      <c r="E11">
        <v>20060001</v>
      </c>
      <c r="F11" s="33">
        <v>795</v>
      </c>
    </row>
    <row r="12" spans="1:6" x14ac:dyDescent="0.25">
      <c r="A12">
        <v>20060002</v>
      </c>
      <c r="B12" s="33">
        <v>6250</v>
      </c>
      <c r="E12">
        <v>20060002</v>
      </c>
      <c r="F12" s="33">
        <v>6250</v>
      </c>
    </row>
    <row r="13" spans="1:6" x14ac:dyDescent="0.25">
      <c r="A13">
        <v>20060003</v>
      </c>
      <c r="B13" s="33">
        <v>12500</v>
      </c>
      <c r="E13">
        <v>20060003</v>
      </c>
      <c r="F13" s="33">
        <v>12500</v>
      </c>
    </row>
    <row r="14" spans="1:6" x14ac:dyDescent="0.25">
      <c r="A14">
        <v>20060004</v>
      </c>
      <c r="B14" s="33">
        <v>12500</v>
      </c>
      <c r="E14">
        <v>20060004</v>
      </c>
      <c r="F14" s="33">
        <v>12500</v>
      </c>
    </row>
    <row r="15" spans="1:6" x14ac:dyDescent="0.25">
      <c r="A15">
        <v>20060009</v>
      </c>
      <c r="B15" s="33">
        <v>4840</v>
      </c>
      <c r="E15">
        <v>20060009</v>
      </c>
      <c r="F15" s="33">
        <v>4840</v>
      </c>
    </row>
    <row r="16" spans="1:6" x14ac:dyDescent="0.25">
      <c r="A16">
        <v>20090003</v>
      </c>
      <c r="B16" s="33">
        <v>2544</v>
      </c>
      <c r="E16">
        <v>20090003</v>
      </c>
      <c r="F16" s="33">
        <v>2544</v>
      </c>
    </row>
    <row r="17" spans="1:6" x14ac:dyDescent="0.25">
      <c r="A17">
        <v>20090011</v>
      </c>
      <c r="B17" s="33">
        <v>1250</v>
      </c>
      <c r="E17">
        <v>20090011</v>
      </c>
      <c r="F17" s="33">
        <v>1250</v>
      </c>
    </row>
    <row r="18" spans="1:6" x14ac:dyDescent="0.25">
      <c r="A18">
        <v>20090023</v>
      </c>
      <c r="B18" s="33">
        <v>6215</v>
      </c>
      <c r="E18">
        <v>20090023</v>
      </c>
      <c r="F18" s="33">
        <v>6215</v>
      </c>
    </row>
    <row r="19" spans="1:6" x14ac:dyDescent="0.25">
      <c r="A19" t="s">
        <v>48</v>
      </c>
      <c r="B19" s="33">
        <v>76554</v>
      </c>
      <c r="E19" s="35" t="s">
        <v>48</v>
      </c>
      <c r="F19" s="36">
        <v>76554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797EB-DD32-499C-9778-EEAB98366E1C}">
  <dimension ref="A1:S16"/>
  <sheetViews>
    <sheetView workbookViewId="0">
      <selection sqref="A1:S16"/>
    </sheetView>
  </sheetViews>
  <sheetFormatPr defaultRowHeight="15" x14ac:dyDescent="0.25"/>
  <cols>
    <col min="1" max="1" width="10.140625" bestFit="1" customWidth="1"/>
    <col min="5" max="5" width="17.5703125" bestFit="1" customWidth="1"/>
    <col min="9" max="9" width="24.7109375" bestFit="1" customWidth="1"/>
  </cols>
  <sheetData>
    <row r="1" spans="1:19" ht="26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3">
        <v>46081</v>
      </c>
      <c r="B2" s="4" t="s">
        <v>19</v>
      </c>
      <c r="C2" s="4" t="s">
        <v>20</v>
      </c>
      <c r="D2" s="5">
        <v>20010015</v>
      </c>
      <c r="E2" s="6" t="s">
        <v>21</v>
      </c>
      <c r="F2" s="7">
        <v>22</v>
      </c>
      <c r="G2" s="8">
        <v>1250</v>
      </c>
      <c r="H2" s="8">
        <v>16500</v>
      </c>
      <c r="I2" s="8" t="s">
        <v>22</v>
      </c>
      <c r="J2" s="8"/>
      <c r="K2" s="5">
        <v>4731</v>
      </c>
      <c r="L2" s="8" t="s">
        <v>23</v>
      </c>
      <c r="M2" s="9" t="s">
        <v>24</v>
      </c>
      <c r="N2" s="9" t="s">
        <v>25</v>
      </c>
      <c r="O2" s="10">
        <v>46107</v>
      </c>
      <c r="P2" s="9">
        <v>12500</v>
      </c>
      <c r="Q2" s="8">
        <v>4000</v>
      </c>
      <c r="R2" s="8"/>
      <c r="S2" s="11">
        <v>65</v>
      </c>
    </row>
    <row r="3" spans="1:19" x14ac:dyDescent="0.25">
      <c r="A3" s="12">
        <v>46087</v>
      </c>
      <c r="B3" s="13" t="s">
        <v>26</v>
      </c>
      <c r="C3" s="13" t="s">
        <v>27</v>
      </c>
      <c r="D3" s="14">
        <v>20090003</v>
      </c>
      <c r="E3" s="6" t="s">
        <v>21</v>
      </c>
      <c r="F3" s="15">
        <v>10</v>
      </c>
      <c r="G3" s="16">
        <v>1250</v>
      </c>
      <c r="H3" s="16">
        <v>12500</v>
      </c>
      <c r="I3" s="16" t="s">
        <v>22</v>
      </c>
      <c r="J3" s="16"/>
      <c r="K3" s="14"/>
      <c r="L3" s="16" t="s">
        <v>28</v>
      </c>
      <c r="M3" s="17" t="s">
        <v>24</v>
      </c>
      <c r="N3" s="17" t="s">
        <v>29</v>
      </c>
      <c r="O3" s="18">
        <v>46086</v>
      </c>
      <c r="P3" s="17">
        <v>9956</v>
      </c>
      <c r="Q3" s="16">
        <v>2544</v>
      </c>
      <c r="R3" s="16"/>
      <c r="S3" s="19">
        <v>59</v>
      </c>
    </row>
    <row r="4" spans="1:19" x14ac:dyDescent="0.25">
      <c r="A4" s="3">
        <v>46107</v>
      </c>
      <c r="B4" s="4" t="s">
        <v>30</v>
      </c>
      <c r="C4" s="4" t="s">
        <v>31</v>
      </c>
      <c r="D4" s="5">
        <v>20060002</v>
      </c>
      <c r="E4" s="6" t="s">
        <v>21</v>
      </c>
      <c r="F4" s="7">
        <v>5</v>
      </c>
      <c r="G4" s="8">
        <v>1250</v>
      </c>
      <c r="H4" s="8">
        <v>6250</v>
      </c>
      <c r="I4" s="8" t="s">
        <v>22</v>
      </c>
      <c r="J4" s="8"/>
      <c r="K4" s="5"/>
      <c r="L4" s="8" t="s">
        <v>28</v>
      </c>
      <c r="M4" s="9"/>
      <c r="N4" s="9"/>
      <c r="O4" s="10"/>
      <c r="P4" s="9"/>
      <c r="Q4" s="8">
        <v>6250</v>
      </c>
      <c r="R4" s="8"/>
      <c r="S4" s="11">
        <v>39</v>
      </c>
    </row>
    <row r="5" spans="1:19" x14ac:dyDescent="0.25">
      <c r="A5" s="12">
        <v>46107</v>
      </c>
      <c r="B5" s="13" t="s">
        <v>30</v>
      </c>
      <c r="C5" s="13" t="s">
        <v>32</v>
      </c>
      <c r="D5" s="14">
        <v>20060009</v>
      </c>
      <c r="E5" s="6" t="s">
        <v>21</v>
      </c>
      <c r="F5" s="15">
        <v>5</v>
      </c>
      <c r="G5" s="16">
        <v>1250</v>
      </c>
      <c r="H5" s="16">
        <v>6250</v>
      </c>
      <c r="I5" s="16" t="s">
        <v>22</v>
      </c>
      <c r="J5" s="16"/>
      <c r="K5" s="14"/>
      <c r="L5" s="16" t="s">
        <v>28</v>
      </c>
      <c r="M5" s="16" t="s">
        <v>24</v>
      </c>
      <c r="N5" s="16" t="s">
        <v>33</v>
      </c>
      <c r="O5" s="18">
        <v>46121</v>
      </c>
      <c r="P5" s="17">
        <v>3910</v>
      </c>
      <c r="Q5" s="16">
        <v>2340</v>
      </c>
      <c r="R5" s="16"/>
      <c r="S5" s="19">
        <v>39</v>
      </c>
    </row>
    <row r="6" spans="1:19" x14ac:dyDescent="0.25">
      <c r="A6" s="3">
        <v>46118</v>
      </c>
      <c r="B6" s="4" t="s">
        <v>26</v>
      </c>
      <c r="C6" s="20" t="s">
        <v>34</v>
      </c>
      <c r="D6" s="21">
        <v>20090011</v>
      </c>
      <c r="E6" s="6" t="s">
        <v>21</v>
      </c>
      <c r="F6" s="7">
        <v>5</v>
      </c>
      <c r="G6" s="8">
        <v>1250</v>
      </c>
      <c r="H6" s="8">
        <v>6250</v>
      </c>
      <c r="I6" s="8" t="s">
        <v>22</v>
      </c>
      <c r="J6" s="8"/>
      <c r="K6" s="5"/>
      <c r="L6" s="8" t="s">
        <v>35</v>
      </c>
      <c r="M6" s="9" t="s">
        <v>24</v>
      </c>
      <c r="N6" s="9" t="s">
        <v>36</v>
      </c>
      <c r="O6" s="10">
        <v>46128</v>
      </c>
      <c r="P6" s="9">
        <v>5000</v>
      </c>
      <c r="Q6" s="8">
        <v>1250</v>
      </c>
      <c r="R6" s="8"/>
      <c r="S6" s="11">
        <v>28</v>
      </c>
    </row>
    <row r="7" spans="1:19" x14ac:dyDescent="0.25">
      <c r="A7" s="12">
        <v>46118</v>
      </c>
      <c r="B7" s="13" t="s">
        <v>26</v>
      </c>
      <c r="C7" s="13" t="s">
        <v>37</v>
      </c>
      <c r="D7" s="14">
        <v>20090023</v>
      </c>
      <c r="E7" s="6" t="s">
        <v>21</v>
      </c>
      <c r="F7" s="15">
        <v>5</v>
      </c>
      <c r="G7" s="16">
        <v>1250</v>
      </c>
      <c r="H7" s="16">
        <v>6250</v>
      </c>
      <c r="I7" s="16" t="s">
        <v>22</v>
      </c>
      <c r="J7" s="16"/>
      <c r="K7" s="14"/>
      <c r="L7" s="16" t="s">
        <v>35</v>
      </c>
      <c r="M7" s="17" t="s">
        <v>24</v>
      </c>
      <c r="N7" s="17" t="s">
        <v>38</v>
      </c>
      <c r="O7" s="18">
        <v>46128</v>
      </c>
      <c r="P7" s="17">
        <v>35</v>
      </c>
      <c r="Q7" s="16">
        <v>6215</v>
      </c>
      <c r="R7" s="16"/>
      <c r="S7" s="19">
        <v>28</v>
      </c>
    </row>
    <row r="8" spans="1:19" x14ac:dyDescent="0.25">
      <c r="A8" s="22">
        <v>46130</v>
      </c>
      <c r="B8" s="23" t="s">
        <v>39</v>
      </c>
      <c r="C8" s="4" t="s">
        <v>39</v>
      </c>
      <c r="D8" s="5">
        <v>20060004</v>
      </c>
      <c r="E8" s="6" t="s">
        <v>21</v>
      </c>
      <c r="F8" s="24">
        <v>10</v>
      </c>
      <c r="G8" s="9">
        <v>1250</v>
      </c>
      <c r="H8" s="8">
        <v>12500</v>
      </c>
      <c r="I8" s="9" t="s">
        <v>22</v>
      </c>
      <c r="J8" s="9"/>
      <c r="K8" s="25"/>
      <c r="L8" s="9" t="s">
        <v>35</v>
      </c>
      <c r="M8" s="9"/>
      <c r="N8" s="9"/>
      <c r="O8" s="10"/>
      <c r="P8" s="9"/>
      <c r="Q8" s="9">
        <v>12500</v>
      </c>
      <c r="R8" s="9"/>
      <c r="S8" s="26">
        <v>16</v>
      </c>
    </row>
    <row r="9" spans="1:19" x14ac:dyDescent="0.25">
      <c r="A9" s="27">
        <v>46130</v>
      </c>
      <c r="B9" s="28" t="s">
        <v>40</v>
      </c>
      <c r="C9" s="13" t="s">
        <v>40</v>
      </c>
      <c r="D9" s="14">
        <v>20060003</v>
      </c>
      <c r="E9" s="6" t="s">
        <v>21</v>
      </c>
      <c r="F9" s="29">
        <v>20</v>
      </c>
      <c r="G9" s="17">
        <v>1250</v>
      </c>
      <c r="H9" s="16">
        <v>25000</v>
      </c>
      <c r="I9" s="17" t="s">
        <v>22</v>
      </c>
      <c r="J9" s="17"/>
      <c r="K9" s="30"/>
      <c r="L9" s="17" t="s">
        <v>35</v>
      </c>
      <c r="M9" s="17" t="s">
        <v>24</v>
      </c>
      <c r="N9" s="17" t="s">
        <v>41</v>
      </c>
      <c r="O9" s="18">
        <v>46135</v>
      </c>
      <c r="P9" s="17">
        <v>12500</v>
      </c>
      <c r="Q9" s="17">
        <v>12500</v>
      </c>
      <c r="R9" s="17"/>
      <c r="S9" s="31">
        <v>16</v>
      </c>
    </row>
    <row r="10" spans="1:19" x14ac:dyDescent="0.25">
      <c r="A10" s="22">
        <v>46130</v>
      </c>
      <c r="B10" s="23" t="s">
        <v>30</v>
      </c>
      <c r="C10" s="4" t="s">
        <v>32</v>
      </c>
      <c r="D10" s="5">
        <v>20060009</v>
      </c>
      <c r="E10" s="6" t="s">
        <v>21</v>
      </c>
      <c r="F10" s="24">
        <v>2</v>
      </c>
      <c r="G10" s="9">
        <v>1250</v>
      </c>
      <c r="H10" s="8">
        <v>2500</v>
      </c>
      <c r="I10" s="9" t="s">
        <v>22</v>
      </c>
      <c r="J10" s="9"/>
      <c r="K10" s="25"/>
      <c r="L10" s="9" t="s">
        <v>35</v>
      </c>
      <c r="M10" s="9"/>
      <c r="N10" s="9"/>
      <c r="O10" s="10"/>
      <c r="P10" s="9"/>
      <c r="Q10" s="9">
        <v>2500</v>
      </c>
      <c r="R10" s="9"/>
      <c r="S10" s="26">
        <v>16</v>
      </c>
    </row>
    <row r="11" spans="1:19" x14ac:dyDescent="0.25">
      <c r="A11" s="27">
        <v>46130</v>
      </c>
      <c r="B11" s="28" t="s">
        <v>30</v>
      </c>
      <c r="C11" s="13" t="s">
        <v>30</v>
      </c>
      <c r="D11" s="14">
        <v>20060001</v>
      </c>
      <c r="E11" s="6" t="s">
        <v>21</v>
      </c>
      <c r="F11" s="29">
        <v>7</v>
      </c>
      <c r="G11" s="17">
        <v>1250</v>
      </c>
      <c r="H11" s="16">
        <v>8750</v>
      </c>
      <c r="I11" s="17" t="s">
        <v>22</v>
      </c>
      <c r="J11" s="17"/>
      <c r="K11" s="30"/>
      <c r="L11" s="17" t="s">
        <v>35</v>
      </c>
      <c r="M11" s="17" t="s">
        <v>24</v>
      </c>
      <c r="N11" s="17" t="s">
        <v>38</v>
      </c>
      <c r="O11" s="18">
        <v>46128</v>
      </c>
      <c r="P11" s="17">
        <v>7955</v>
      </c>
      <c r="Q11" s="17">
        <v>795</v>
      </c>
      <c r="R11" s="17"/>
      <c r="S11" s="31">
        <v>16</v>
      </c>
    </row>
    <row r="12" spans="1:19" x14ac:dyDescent="0.25">
      <c r="A12" s="22">
        <v>46115</v>
      </c>
      <c r="B12" s="23" t="s">
        <v>19</v>
      </c>
      <c r="C12" s="4" t="s">
        <v>42</v>
      </c>
      <c r="D12" s="5">
        <v>20010016</v>
      </c>
      <c r="E12" s="6" t="s">
        <v>21</v>
      </c>
      <c r="F12" s="24">
        <v>2</v>
      </c>
      <c r="G12" s="9">
        <v>1250</v>
      </c>
      <c r="H12" s="8">
        <v>2500</v>
      </c>
      <c r="I12" s="9" t="s">
        <v>22</v>
      </c>
      <c r="J12" s="9"/>
      <c r="K12" s="25"/>
      <c r="L12" s="9" t="s">
        <v>35</v>
      </c>
      <c r="M12" s="9" t="s">
        <v>24</v>
      </c>
      <c r="N12" s="9" t="s">
        <v>38</v>
      </c>
      <c r="O12" s="10">
        <v>46128</v>
      </c>
      <c r="P12" s="9">
        <v>490</v>
      </c>
      <c r="Q12" s="9">
        <v>2010</v>
      </c>
      <c r="R12" s="9"/>
      <c r="S12" s="26">
        <v>31</v>
      </c>
    </row>
    <row r="13" spans="1:19" x14ac:dyDescent="0.25">
      <c r="A13" s="27">
        <v>46130</v>
      </c>
      <c r="B13" s="28" t="s">
        <v>19</v>
      </c>
      <c r="C13" s="13" t="s">
        <v>19</v>
      </c>
      <c r="D13" s="14">
        <v>20010003</v>
      </c>
      <c r="E13" s="6" t="s">
        <v>21</v>
      </c>
      <c r="F13" s="29">
        <v>8</v>
      </c>
      <c r="G13" s="17">
        <v>1250</v>
      </c>
      <c r="H13" s="16">
        <v>10000</v>
      </c>
      <c r="I13" s="17" t="s">
        <v>22</v>
      </c>
      <c r="J13" s="17"/>
      <c r="K13" s="30"/>
      <c r="L13" s="17" t="s">
        <v>35</v>
      </c>
      <c r="M13" s="17"/>
      <c r="N13" s="17"/>
      <c r="O13" s="18"/>
      <c r="P13" s="17"/>
      <c r="Q13" s="17">
        <v>10000</v>
      </c>
      <c r="R13" s="17"/>
      <c r="S13" s="31">
        <v>16</v>
      </c>
    </row>
    <row r="14" spans="1:19" x14ac:dyDescent="0.25">
      <c r="A14" s="22">
        <v>46128</v>
      </c>
      <c r="B14" s="23" t="s">
        <v>43</v>
      </c>
      <c r="C14" s="4" t="s">
        <v>44</v>
      </c>
      <c r="D14" s="5">
        <v>20020003</v>
      </c>
      <c r="E14" s="6" t="s">
        <v>21</v>
      </c>
      <c r="F14" s="24">
        <v>10</v>
      </c>
      <c r="G14" s="9">
        <v>1250</v>
      </c>
      <c r="H14" s="8">
        <v>12500</v>
      </c>
      <c r="I14" s="9" t="s">
        <v>22</v>
      </c>
      <c r="J14" s="9"/>
      <c r="K14" s="25"/>
      <c r="L14" s="9" t="s">
        <v>35</v>
      </c>
      <c r="M14" s="9" t="s">
        <v>24</v>
      </c>
      <c r="N14" s="9" t="s">
        <v>41</v>
      </c>
      <c r="O14" s="10">
        <v>46135</v>
      </c>
      <c r="P14" s="9">
        <v>6250</v>
      </c>
      <c r="Q14" s="9">
        <v>6250</v>
      </c>
      <c r="R14" s="9"/>
      <c r="S14" s="26">
        <v>18</v>
      </c>
    </row>
    <row r="15" spans="1:19" x14ac:dyDescent="0.25">
      <c r="A15" s="27">
        <v>46128</v>
      </c>
      <c r="B15" s="28" t="s">
        <v>43</v>
      </c>
      <c r="C15" s="13" t="s">
        <v>45</v>
      </c>
      <c r="D15" s="14">
        <v>20020006</v>
      </c>
      <c r="E15" s="6" t="s">
        <v>21</v>
      </c>
      <c r="F15" s="29">
        <v>5</v>
      </c>
      <c r="G15" s="17">
        <v>1250</v>
      </c>
      <c r="H15" s="16">
        <v>6250</v>
      </c>
      <c r="I15" s="17" t="s">
        <v>22</v>
      </c>
      <c r="J15" s="17"/>
      <c r="K15" s="30"/>
      <c r="L15" s="17" t="s">
        <v>35</v>
      </c>
      <c r="M15" s="17"/>
      <c r="N15" s="17"/>
      <c r="O15" s="18"/>
      <c r="P15" s="17"/>
      <c r="Q15" s="17">
        <v>6250</v>
      </c>
      <c r="R15" s="17"/>
      <c r="S15" s="31">
        <v>18</v>
      </c>
    </row>
    <row r="16" spans="1:19" x14ac:dyDescent="0.25">
      <c r="A16" s="22">
        <v>46128</v>
      </c>
      <c r="B16" s="23" t="s">
        <v>43</v>
      </c>
      <c r="C16" s="4" t="s">
        <v>46</v>
      </c>
      <c r="D16" s="5">
        <v>20020020</v>
      </c>
      <c r="E16" s="6" t="s">
        <v>21</v>
      </c>
      <c r="F16" s="24">
        <v>5</v>
      </c>
      <c r="G16" s="9">
        <v>1250</v>
      </c>
      <c r="H16" s="8">
        <v>6250</v>
      </c>
      <c r="I16" s="9" t="s">
        <v>22</v>
      </c>
      <c r="J16" s="9"/>
      <c r="K16" s="25"/>
      <c r="L16" s="9" t="s">
        <v>35</v>
      </c>
      <c r="M16" s="9" t="s">
        <v>24</v>
      </c>
      <c r="N16" s="9" t="s">
        <v>38</v>
      </c>
      <c r="O16" s="10">
        <v>46128</v>
      </c>
      <c r="P16" s="9">
        <v>5100</v>
      </c>
      <c r="Q16" s="9">
        <v>1150</v>
      </c>
      <c r="R16" s="9"/>
      <c r="S16" s="26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2026-05-04T09:45:43Z</dcterms:created>
  <dcterms:modified xsi:type="dcterms:W3CDTF">2026-05-04T11:03:04Z</dcterms:modified>
</cp:coreProperties>
</file>