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1-07 May'26\Collection Data\"/>
    </mc:Choice>
  </mc:AlternateContent>
  <xr:revisionPtr revIDLastSave="0" documentId="13_ncr:1_{37F02065-B499-4964-88B4-C83A606B22A6}" xr6:coauthVersionLast="47" xr6:coauthVersionMax="47" xr10:uidLastSave="{00000000-0000-0000-0000-000000000000}"/>
  <bookViews>
    <workbookView xWindow="-120" yWindow="-120" windowWidth="29040" windowHeight="15720" xr2:uid="{91735002-6466-4EEC-9CDD-D165A20C4A8B}"/>
  </bookViews>
  <sheets>
    <sheet name="Sheet1" sheetId="2" r:id="rId1"/>
    <sheet name="CF indent 01-07th May-26" sheetId="1" r:id="rId2"/>
  </sheets>
  <definedNames>
    <definedName name="_xlnm._FilterDatabase" localSheetId="1" hidden="1">'CF indent 01-07th May-26'!$A$3:$O$7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" i="2" l="1"/>
  <c r="L38" i="2" s="1"/>
  <c r="L28" i="2" l="1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N27" i="1"/>
  <c r="P27" i="1"/>
  <c r="L6" i="1"/>
  <c r="L5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23" i="1"/>
  <c r="L24" i="1"/>
  <c r="L25" i="1"/>
  <c r="L26" i="1"/>
  <c r="J1" i="1"/>
  <c r="M20" i="1" l="1"/>
  <c r="M21" i="1"/>
  <c r="M22" i="1"/>
  <c r="N22" i="1" s="1"/>
  <c r="M23" i="1"/>
  <c r="M24" i="1"/>
  <c r="N24" i="1" s="1"/>
  <c r="M25" i="1"/>
  <c r="N25" i="1" s="1"/>
  <c r="M26" i="1"/>
  <c r="N26" i="1" s="1"/>
  <c r="D20" i="1"/>
  <c r="D21" i="1"/>
  <c r="D22" i="1"/>
  <c r="D23" i="1"/>
  <c r="D24" i="1"/>
  <c r="D25" i="1"/>
  <c r="D26" i="1"/>
  <c r="N23" i="1" l="1"/>
  <c r="P23" i="1" s="1"/>
  <c r="N20" i="1"/>
  <c r="P20" i="1" s="1"/>
  <c r="L1" i="1"/>
  <c r="P26" i="1"/>
  <c r="P25" i="1"/>
  <c r="P22" i="1"/>
  <c r="P21" i="1"/>
  <c r="P24" i="1"/>
  <c r="M11" i="1"/>
  <c r="M12" i="1"/>
  <c r="N12" i="1" s="1"/>
  <c r="M13" i="1"/>
  <c r="N13" i="1" s="1"/>
  <c r="M14" i="1"/>
  <c r="N14" i="1" s="1"/>
  <c r="M15" i="1"/>
  <c r="M16" i="1"/>
  <c r="N16" i="1" s="1"/>
  <c r="P16" i="1" s="1"/>
  <c r="M17" i="1"/>
  <c r="N17" i="1" s="1"/>
  <c r="M18" i="1"/>
  <c r="N18" i="1" s="1"/>
  <c r="M19" i="1"/>
  <c r="M10" i="1"/>
  <c r="N10" i="1" s="1"/>
  <c r="P10" i="1" s="1"/>
  <c r="D14" i="1"/>
  <c r="D15" i="1"/>
  <c r="D16" i="1"/>
  <c r="D17" i="1"/>
  <c r="D18" i="1"/>
  <c r="D19" i="1"/>
  <c r="M9" i="1"/>
  <c r="N9" i="1" s="1"/>
  <c r="M8" i="1"/>
  <c r="D8" i="1"/>
  <c r="D9" i="1"/>
  <c r="D10" i="1"/>
  <c r="D11" i="1"/>
  <c r="D12" i="1"/>
  <c r="D13" i="1"/>
  <c r="N19" i="1" l="1"/>
  <c r="P19" i="1" s="1"/>
  <c r="N15" i="1"/>
  <c r="P15" i="1" s="1"/>
  <c r="N11" i="1"/>
  <c r="P11" i="1" s="1"/>
  <c r="N8" i="1"/>
  <c r="P8" i="1" s="1"/>
  <c r="P18" i="1"/>
  <c r="P17" i="1"/>
  <c r="P14" i="1"/>
  <c r="P13" i="1"/>
  <c r="P12" i="1"/>
  <c r="P9" i="1"/>
  <c r="M5" i="1" l="1"/>
  <c r="N5" i="1" s="1"/>
  <c r="M6" i="1"/>
  <c r="N6" i="1" s="1"/>
  <c r="M7" i="1"/>
  <c r="N7" i="1" s="1"/>
  <c r="M4" i="1"/>
  <c r="N4" i="1" s="1"/>
  <c r="D5" i="1" l="1"/>
  <c r="D6" i="1"/>
  <c r="D7" i="1"/>
  <c r="P7" i="1" l="1"/>
  <c r="P6" i="1"/>
  <c r="P5" i="1"/>
  <c r="D4" i="1"/>
  <c r="P4" i="1" l="1"/>
</calcChain>
</file>

<file path=xl/sharedStrings.xml><?xml version="1.0" encoding="utf-8"?>
<sst xmlns="http://schemas.openxmlformats.org/spreadsheetml/2006/main" count="244" uniqueCount="56">
  <si>
    <t>Proposed</t>
  </si>
  <si>
    <t xml:space="preserve">
Order Date </t>
  </si>
  <si>
    <t>Deduction Cycle</t>
  </si>
  <si>
    <t xml:space="preserve">
Item Name </t>
  </si>
  <si>
    <t>ID</t>
  </si>
  <si>
    <t xml:space="preserve">
MPG Code  </t>
  </si>
  <si>
    <t xml:space="preserve">
MPG Name </t>
  </si>
  <si>
    <t xml:space="preserve">
Farmer code  </t>
  </si>
  <si>
    <t xml:space="preserve">
BMC Name  </t>
  </si>
  <si>
    <t xml:space="preserve">
CSP  </t>
  </si>
  <si>
    <t xml:space="preserve">
Qty  </t>
  </si>
  <si>
    <t xml:space="preserve">
Rate </t>
  </si>
  <si>
    <t>Total Amount</t>
  </si>
  <si>
    <t>Final Qty</t>
  </si>
  <si>
    <t>Final Amount</t>
  </si>
  <si>
    <t>Milk Amonnt</t>
  </si>
  <si>
    <t>Gomukh Gold 50KG</t>
  </si>
  <si>
    <t>Daya Society</t>
  </si>
  <si>
    <t>Deduction</t>
  </si>
  <si>
    <t>R</t>
  </si>
  <si>
    <t>01-05-2026- 07-05-2026</t>
  </si>
  <si>
    <t>Dumardagga</t>
  </si>
  <si>
    <t>0002</t>
  </si>
  <si>
    <t>Jirabar</t>
  </si>
  <si>
    <t>Ormanjhi</t>
  </si>
  <si>
    <t>0003</t>
  </si>
  <si>
    <t>Bero</t>
  </si>
  <si>
    <t>Pali</t>
  </si>
  <si>
    <t>0049</t>
  </si>
  <si>
    <t>0117</t>
  </si>
  <si>
    <t>0141</t>
  </si>
  <si>
    <t>0037</t>
  </si>
  <si>
    <t>0081</t>
  </si>
  <si>
    <t>0134</t>
  </si>
  <si>
    <t>0135</t>
  </si>
  <si>
    <t>0121</t>
  </si>
  <si>
    <t>0033</t>
  </si>
  <si>
    <t>0103</t>
  </si>
  <si>
    <t>0114</t>
  </si>
  <si>
    <t>Jari</t>
  </si>
  <si>
    <t>0024</t>
  </si>
  <si>
    <t>0013</t>
  </si>
  <si>
    <t>Ganeshpur</t>
  </si>
  <si>
    <t>0005</t>
  </si>
  <si>
    <t>Chanho</t>
  </si>
  <si>
    <t>Nawatand</t>
  </si>
  <si>
    <t>Pakariyo</t>
  </si>
  <si>
    <t>0022</t>
  </si>
  <si>
    <t>0026</t>
  </si>
  <si>
    <t>0031</t>
  </si>
  <si>
    <t>Grand Total</t>
  </si>
  <si>
    <t>Sum of Final Amount</t>
  </si>
  <si>
    <t>Total</t>
  </si>
  <si>
    <t>Type</t>
  </si>
  <si>
    <t>outstanding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</si>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</sst>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0" borderId="1" xfId="0" applyFont="1" applyBorder="1"/>
    <xf numFmtId="0" fontId="3" fillId="0" borderId="0" xfId="0" applyFont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pivotButton="1"/>
    <xf numFmtId="0" fontId="8" fillId="5" borderId="5" xfId="0" applyFont="1" applyFill="1" applyBorder="1"/>
    <xf numFmtId="0" fontId="8" fillId="5" borderId="6" xfId="0" applyFont="1" applyFill="1" applyBorder="1"/>
    <xf numFmtId="0" fontId="8" fillId="0" borderId="5" xfId="0" applyFont="1" applyBorder="1"/>
    <xf numFmtId="0" fontId="8" fillId="0" borderId="0" xfId="0" applyFont="1"/>
    <xf numFmtId="0" fontId="5" fillId="0" borderId="7" xfId="0" applyFont="1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0" fillId="0" borderId="8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3.460712268519" createdVersion="8" refreshedVersion="8" minRefreshableVersion="3" recordCount="23" xr:uid="{FB4BEF6C-B78B-41A4-A027-B6901CA81C32}">
  <cacheSource type="worksheet">
    <worksheetSource ref="A3:O26" sheet="CF indent 01-07th May-26"/>
  </cacheSource>
  <cacheFields count="15">
    <cacheField name="_x000a_Order Date " numFmtId="14">
      <sharedItems containsSemiMixedTypes="0" containsNonDate="0" containsDate="1" containsString="0" minDate="2026-05-11T00:00:00" maxDate="2026-05-12T00:00:00"/>
    </cacheField>
    <cacheField name="Deduction Cycle" numFmtId="0">
      <sharedItems/>
    </cacheField>
    <cacheField name="_x000a_Item Name " numFmtId="0">
      <sharedItems/>
    </cacheField>
    <cacheField name="ID" numFmtId="0">
      <sharedItems/>
    </cacheField>
    <cacheField name="_x000a__x000a_MPG Code  " numFmtId="0">
      <sharedItems containsSemiMixedTypes="0" containsString="0" containsNumber="1" containsInteger="1" minValue="20010003" maxValue="20090017" count="8">
        <n v="20060003"/>
        <n v="20060005"/>
        <n v="20010003"/>
        <n v="20020001"/>
        <n v="20020002"/>
        <n v="20090008"/>
        <n v="20090017"/>
        <n v="20090015"/>
      </sharedItems>
    </cacheField>
    <cacheField name="_x000a_MPG Name " numFmtId="0">
      <sharedItems/>
    </cacheField>
    <cacheField name="_x000a__x000a_Farmer code  " numFmtId="0">
      <sharedItems count="19">
        <s v="0002"/>
        <s v="0003"/>
        <s v="0049"/>
        <s v="0117"/>
        <s v="0141"/>
        <s v="0037"/>
        <s v="0081"/>
        <s v="0134"/>
        <s v="0135"/>
        <s v="0121"/>
        <s v="0033"/>
        <s v="0103"/>
        <s v="0114"/>
        <s v="0024"/>
        <s v="0013"/>
        <s v="0005"/>
        <s v="0022"/>
        <s v="0026"/>
        <s v="0031"/>
      </sharedItems>
    </cacheField>
    <cacheField name="_x000a__x000a_BMC Name  " numFmtId="0">
      <sharedItems/>
    </cacheField>
    <cacheField name="_x000a__x000a_CSP  " numFmtId="0">
      <sharedItems/>
    </cacheField>
    <cacheField name="_x000a__x000a_Qty  " numFmtId="0">
      <sharedItems containsSemiMixedTypes="0" containsString="0" containsNumber="1" containsInteger="1" minValue="0" maxValue="20"/>
    </cacheField>
    <cacheField name="_x000a_Rate " numFmtId="0">
      <sharedItems containsSemiMixedTypes="0" containsString="0" containsNumber="1" containsInteger="1" minValue="0" maxValue="1250"/>
    </cacheField>
    <cacheField name="Total Amount" numFmtId="0">
      <sharedItems containsSemiMixedTypes="0" containsString="0" containsNumber="1" containsInteger="1" minValue="625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625" maxValue="250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6-05-11T00:00:00"/>
    <s v="01-05-2026- 07-05-2026"/>
    <s v="Gomukh Gold 50KG"/>
    <s v="200600030002"/>
    <x v="0"/>
    <s v="Dumardagga"/>
    <x v="0"/>
    <s v="Dumardagga"/>
    <s v="Daya Society"/>
    <n v="20"/>
    <n v="1250"/>
    <n v="25000"/>
    <n v="20"/>
    <n v="25000"/>
    <m/>
  </r>
  <r>
    <d v="2026-05-11T00:00:00"/>
    <s v="01-05-2026- 07-05-2026"/>
    <s v="Gomukh Gold 50KG"/>
    <s v="200600050003"/>
    <x v="1"/>
    <s v="Jirabar"/>
    <x v="1"/>
    <s v="Ormanjhi"/>
    <s v="Daya Society"/>
    <n v="2"/>
    <n v="1250"/>
    <n v="2500"/>
    <n v="2"/>
    <n v="2500"/>
    <m/>
  </r>
  <r>
    <d v="2026-05-11T00:00:00"/>
    <s v="01-05-2026- 07-05-2026"/>
    <s v="Gomukh Gold 50KG"/>
    <s v="200100030003"/>
    <x v="2"/>
    <s v="Bero"/>
    <x v="1"/>
    <s v="Bero"/>
    <s v="Daya Society"/>
    <n v="8"/>
    <n v="1250"/>
    <n v="10000"/>
    <n v="8"/>
    <n v="10000"/>
    <m/>
  </r>
  <r>
    <d v="2026-05-11T00:00:00"/>
    <s v="01-05-2026- 07-05-2026"/>
    <s v="Gomukh Gold 50KG"/>
    <s v="200200010003"/>
    <x v="3"/>
    <s v="Pali"/>
    <x v="1"/>
    <s v="Pali"/>
    <s v="Daya Society"/>
    <n v="1"/>
    <n v="1250"/>
    <n v="1250"/>
    <n v="1"/>
    <n v="1250"/>
    <m/>
  </r>
  <r>
    <d v="2026-05-11T00:00:00"/>
    <s v="01-05-2026- 07-05-2026"/>
    <s v="Gomukh Gold 50KG"/>
    <s v="200200010049"/>
    <x v="3"/>
    <s v="Pali"/>
    <x v="2"/>
    <s v="Pali"/>
    <s v="Daya Society"/>
    <n v="1"/>
    <n v="1250"/>
    <n v="1250"/>
    <n v="1"/>
    <n v="1250"/>
    <m/>
  </r>
  <r>
    <d v="2026-05-11T00:00:00"/>
    <s v="01-05-2026- 07-05-2026"/>
    <s v="Gomukh Gold 50KG"/>
    <s v="200200010117"/>
    <x v="3"/>
    <s v="Pali"/>
    <x v="3"/>
    <s v="Pali"/>
    <s v="Daya Society"/>
    <n v="1"/>
    <n v="1250"/>
    <n v="1250"/>
    <n v="1"/>
    <n v="1250"/>
    <m/>
  </r>
  <r>
    <d v="2026-05-11T00:00:00"/>
    <s v="01-05-2026- 07-05-2026"/>
    <s v="Gomukh Gold 50KG"/>
    <s v="200200010141"/>
    <x v="3"/>
    <s v="Pali"/>
    <x v="4"/>
    <s v="Pali"/>
    <s v="Daya Society"/>
    <n v="1"/>
    <n v="1250"/>
    <n v="1250"/>
    <n v="1"/>
    <n v="1250"/>
    <m/>
  </r>
  <r>
    <d v="2026-05-11T00:00:00"/>
    <s v="01-05-2026- 07-05-2026"/>
    <s v="Gomukh Gold 50KG"/>
    <s v="200200010037"/>
    <x v="3"/>
    <s v="Pali"/>
    <x v="5"/>
    <s v="Pali"/>
    <s v="Daya Society"/>
    <n v="1"/>
    <n v="1250"/>
    <n v="1250"/>
    <n v="1"/>
    <n v="1250"/>
    <m/>
  </r>
  <r>
    <d v="2026-05-11T00:00:00"/>
    <s v="01-05-2026- 07-05-2026"/>
    <s v="Gomukh Gold 50KG"/>
    <s v="200200010081"/>
    <x v="3"/>
    <s v="Pali"/>
    <x v="6"/>
    <s v="Pali"/>
    <s v="Daya Society"/>
    <n v="1"/>
    <n v="1250"/>
    <n v="1250"/>
    <n v="1"/>
    <n v="1250"/>
    <m/>
  </r>
  <r>
    <d v="2026-05-11T00:00:00"/>
    <s v="01-05-2026- 07-05-2026"/>
    <s v="Gomukh Gold 50KG"/>
    <s v="200200010134"/>
    <x v="3"/>
    <s v="Pali"/>
    <x v="7"/>
    <s v="Pali"/>
    <s v="Daya Society"/>
    <n v="1"/>
    <n v="1250"/>
    <n v="1250"/>
    <n v="1"/>
    <n v="1250"/>
    <m/>
  </r>
  <r>
    <d v="2026-05-11T00:00:00"/>
    <s v="01-05-2026- 07-05-2026"/>
    <s v="Gomukh Gold 50KG"/>
    <s v="200200010135"/>
    <x v="3"/>
    <s v="Pali"/>
    <x v="8"/>
    <s v="Pali"/>
    <s v="Daya Society"/>
    <n v="1"/>
    <n v="1250"/>
    <n v="1250"/>
    <n v="1"/>
    <n v="1250"/>
    <m/>
  </r>
  <r>
    <d v="2026-05-11T00:00:00"/>
    <s v="01-05-2026- 07-05-2026"/>
    <s v="Gomukh Gold 50KG"/>
    <s v="200200010121"/>
    <x v="3"/>
    <s v="Pali"/>
    <x v="9"/>
    <s v="Pali"/>
    <s v="Daya Society"/>
    <n v="2"/>
    <n v="1250"/>
    <n v="2500"/>
    <n v="2"/>
    <n v="2500"/>
    <m/>
  </r>
  <r>
    <d v="2026-05-11T00:00:00"/>
    <s v="01-05-2026- 07-05-2026"/>
    <s v="Gomukh Gold 50KG"/>
    <s v="200200010033"/>
    <x v="3"/>
    <s v="Pali"/>
    <x v="10"/>
    <s v="Pali"/>
    <s v="Daya Society"/>
    <n v="2"/>
    <n v="1250"/>
    <n v="2500"/>
    <n v="2"/>
    <n v="2500"/>
    <m/>
  </r>
  <r>
    <d v="2026-05-11T00:00:00"/>
    <s v="01-05-2026- 07-05-2026"/>
    <s v="Gomukh Gold 50KG"/>
    <s v="200200010103"/>
    <x v="3"/>
    <s v="Pali"/>
    <x v="11"/>
    <s v="Pali"/>
    <s v="Daya Society"/>
    <n v="3"/>
    <n v="1250"/>
    <n v="3750"/>
    <n v="3"/>
    <n v="3750"/>
    <m/>
  </r>
  <r>
    <d v="2026-05-11T00:00:00"/>
    <s v="01-05-2026- 07-05-2026"/>
    <s v="Gomukh Gold 50KG"/>
    <s v="200200010114"/>
    <x v="3"/>
    <s v="Pali"/>
    <x v="12"/>
    <s v="Pali"/>
    <s v="Daya Society"/>
    <n v="1"/>
    <n v="1250"/>
    <n v="1250"/>
    <n v="1"/>
    <n v="1250"/>
    <m/>
  </r>
  <r>
    <d v="2026-05-11T00:00:00"/>
    <s v="01-05-2026- 07-05-2026"/>
    <s v="Gomukh Gold 50KG"/>
    <s v="200200020024"/>
    <x v="4"/>
    <s v="Jari"/>
    <x v="13"/>
    <s v="Pali"/>
    <s v="Daya Society"/>
    <n v="1"/>
    <n v="1250"/>
    <n v="1250"/>
    <n v="1"/>
    <n v="1250"/>
    <m/>
  </r>
  <r>
    <d v="2026-05-11T00:00:00"/>
    <s v="01-05-2026- 07-05-2026"/>
    <s v="Gomukh Gold 50KG"/>
    <s v="200200020013"/>
    <x v="4"/>
    <s v="Jari"/>
    <x v="14"/>
    <s v="Pali"/>
    <s v="Daya Society"/>
    <n v="1"/>
    <n v="1250"/>
    <n v="1250"/>
    <n v="1"/>
    <n v="1250"/>
    <m/>
  </r>
  <r>
    <d v="2026-05-11T00:00:00"/>
    <s v="01-05-2026- 07-05-2026"/>
    <s v="Gomukh Gold 50KG"/>
    <s v="200900080005"/>
    <x v="5"/>
    <s v="Ganeshpur"/>
    <x v="15"/>
    <s v="Chanho"/>
    <s v="Daya Society"/>
    <n v="0"/>
    <n v="0"/>
    <n v="625"/>
    <n v="0"/>
    <n v="625"/>
    <m/>
  </r>
  <r>
    <d v="2026-05-11T00:00:00"/>
    <s v="01-05-2026- 07-05-2026"/>
    <s v="Gomukh Gold 50KG"/>
    <s v="200900170003"/>
    <x v="6"/>
    <s v="Nawatand"/>
    <x v="1"/>
    <s v="Chanho"/>
    <s v="Daya Society"/>
    <n v="3"/>
    <n v="1250"/>
    <n v="3750"/>
    <n v="3"/>
    <n v="3750"/>
    <m/>
  </r>
  <r>
    <d v="2026-05-11T00:00:00"/>
    <s v="01-05-2026- 07-05-2026"/>
    <s v="Gomukh Gold 50KG"/>
    <s v="200900150022"/>
    <x v="7"/>
    <s v="Pakariyo"/>
    <x v="16"/>
    <s v="Chanho"/>
    <s v="Daya Society"/>
    <n v="1"/>
    <n v="1250"/>
    <n v="1250"/>
    <n v="1"/>
    <n v="1250"/>
    <m/>
  </r>
  <r>
    <d v="2026-05-11T00:00:00"/>
    <s v="01-05-2026- 07-05-2026"/>
    <s v="Gomukh Gold 50KG"/>
    <s v="200900150026"/>
    <x v="7"/>
    <s v="Pakariyo"/>
    <x v="17"/>
    <s v="Chanho"/>
    <s v="Daya Society"/>
    <n v="1"/>
    <n v="1250"/>
    <n v="1250"/>
    <n v="1"/>
    <n v="1250"/>
    <m/>
  </r>
  <r>
    <d v="2026-05-11T00:00:00"/>
    <s v="01-05-2026- 07-05-2026"/>
    <s v="Gomukh Gold 50KG"/>
    <s v="200900150002"/>
    <x v="7"/>
    <s v="Pakariyo"/>
    <x v="0"/>
    <s v="Chanho"/>
    <s v="Daya Society"/>
    <n v="1"/>
    <n v="1250"/>
    <n v="1250"/>
    <n v="1"/>
    <n v="1250"/>
    <m/>
  </r>
  <r>
    <d v="2026-05-11T00:00:00"/>
    <s v="01-05-2026- 07-05-2026"/>
    <s v="Gomukh Gold 50KG"/>
    <s v="200900150031"/>
    <x v="7"/>
    <s v="Pakariyo"/>
    <x v="18"/>
    <s v="Chanho"/>
    <s v="Daya Society"/>
    <n v="1"/>
    <n v="1250"/>
    <n v="1250"/>
    <n v="1"/>
    <n v="125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4B2D9-E9C2-4345-AF16-0AC85064A94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8" firstHeaderRow="2" firstDataRow="2" firstDataCol="2"/>
  <pivotFields count="15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3"/>
        <item x="4"/>
        <item x="0"/>
        <item x="1"/>
        <item x="5"/>
        <item x="7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0">
        <item x="0"/>
        <item x="1"/>
        <item x="15"/>
        <item x="14"/>
        <item x="16"/>
        <item x="13"/>
        <item x="17"/>
        <item x="18"/>
        <item x="10"/>
        <item x="5"/>
        <item x="2"/>
        <item x="6"/>
        <item x="11"/>
        <item x="12"/>
        <item x="3"/>
        <item x="9"/>
        <item x="7"/>
        <item x="8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6"/>
  </rowFields>
  <rowItems count="24">
    <i>
      <x/>
      <x v="1"/>
    </i>
    <i>
      <x v="1"/>
      <x v="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"/>
      <x v="3"/>
    </i>
    <i r="1">
      <x v="5"/>
    </i>
    <i>
      <x v="3"/>
      <x/>
    </i>
    <i>
      <x v="4"/>
      <x v="1"/>
    </i>
    <i>
      <x v="5"/>
      <x v="2"/>
    </i>
    <i>
      <x v="6"/>
      <x/>
    </i>
    <i r="1">
      <x v="4"/>
    </i>
    <i r="1">
      <x v="6"/>
    </i>
    <i r="1">
      <x v="7"/>
    </i>
    <i>
      <x v="7"/>
      <x v="1"/>
    </i>
    <i t="grand">
      <x/>
    </i>
  </rowItems>
  <colItems count="1">
    <i/>
  </colItems>
  <dataFields count="1">
    <dataField name="Sum of Final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71EA-97EC-4123-B9F5-3338D70F57CD}">
  <dimension ref="A3:L38"/>
  <sheetViews>
    <sheetView tabSelected="1" topLeftCell="A4" workbookViewId="0">
      <selection activeCell="Q21" sqref="Q21"/>
    </sheetView>
  </sheetViews>
  <sheetFormatPr defaultRowHeight="15" x14ac:dyDescent="0.25"/>
  <cols>
    <col min="1" max="1" width="16" bestFit="1" customWidth="1"/>
    <col min="2" max="2" width="17.5703125" bestFit="1" customWidth="1"/>
    <col min="3" max="3" width="6" bestFit="1" customWidth="1"/>
    <col min="7" max="7" width="13.140625" bestFit="1" customWidth="1"/>
  </cols>
  <sheetData>
    <row r="3" spans="1:12" x14ac:dyDescent="0.25">
      <c r="A3" s="13" t="s">
        <v>51</v>
      </c>
    </row>
    <row r="4" spans="1:12" x14ac:dyDescent="0.25">
      <c r="A4" s="13" t="s">
        <v>5</v>
      </c>
      <c r="B4" s="13" t="s">
        <v>7</v>
      </c>
      <c r="C4" t="s">
        <v>52</v>
      </c>
      <c r="G4" s="14" t="s">
        <v>4</v>
      </c>
      <c r="H4" s="14" t="s">
        <v>5</v>
      </c>
      <c r="I4" s="14" t="s">
        <v>7</v>
      </c>
      <c r="J4" s="14" t="s">
        <v>52</v>
      </c>
      <c r="K4" s="14" t="s">
        <v>53</v>
      </c>
      <c r="L4" s="14" t="s">
        <v>18</v>
      </c>
    </row>
    <row r="5" spans="1:12" x14ac:dyDescent="0.25">
      <c r="A5">
        <v>20010003</v>
      </c>
      <c r="B5" t="s">
        <v>25</v>
      </c>
      <c r="C5">
        <v>10000</v>
      </c>
      <c r="G5" t="str">
        <f>CONCATENATE(H5,I5)</f>
        <v>200100030003</v>
      </c>
      <c r="H5" s="16">
        <v>20010003</v>
      </c>
      <c r="I5" t="s">
        <v>25</v>
      </c>
      <c r="J5">
        <v>10000</v>
      </c>
      <c r="K5" t="s">
        <v>55</v>
      </c>
      <c r="L5">
        <v>10000</v>
      </c>
    </row>
    <row r="6" spans="1:12" x14ac:dyDescent="0.25">
      <c r="A6">
        <v>20020001</v>
      </c>
      <c r="B6" t="s">
        <v>25</v>
      </c>
      <c r="C6">
        <v>1250</v>
      </c>
      <c r="G6" t="str">
        <f t="shared" ref="G6:G27" si="0">CONCATENATE(H6,I6)</f>
        <v>200200010003</v>
      </c>
      <c r="H6" s="17">
        <v>20020001</v>
      </c>
      <c r="I6" t="s">
        <v>25</v>
      </c>
      <c r="J6">
        <v>1250</v>
      </c>
      <c r="K6" t="s">
        <v>55</v>
      </c>
      <c r="L6">
        <v>1250</v>
      </c>
    </row>
    <row r="7" spans="1:12" x14ac:dyDescent="0.25">
      <c r="A7">
        <v>20020001</v>
      </c>
      <c r="B7" t="s">
        <v>36</v>
      </c>
      <c r="C7">
        <v>2500</v>
      </c>
      <c r="G7" t="str">
        <f t="shared" si="0"/>
        <v>200200010033</v>
      </c>
      <c r="H7" s="17">
        <v>20020001</v>
      </c>
      <c r="I7" t="s">
        <v>36</v>
      </c>
      <c r="J7">
        <v>2500</v>
      </c>
      <c r="K7" t="s">
        <v>55</v>
      </c>
      <c r="L7">
        <v>1855</v>
      </c>
    </row>
    <row r="8" spans="1:12" x14ac:dyDescent="0.25">
      <c r="A8">
        <v>20020001</v>
      </c>
      <c r="B8" t="s">
        <v>31</v>
      </c>
      <c r="C8">
        <v>1250</v>
      </c>
      <c r="G8" t="str">
        <f t="shared" si="0"/>
        <v>200200010037</v>
      </c>
      <c r="H8" s="17">
        <v>20020001</v>
      </c>
      <c r="I8" t="s">
        <v>31</v>
      </c>
      <c r="J8">
        <v>1250</v>
      </c>
      <c r="K8" t="s">
        <v>55</v>
      </c>
      <c r="L8">
        <v>1250</v>
      </c>
    </row>
    <row r="9" spans="1:12" x14ac:dyDescent="0.25">
      <c r="A9">
        <v>20020001</v>
      </c>
      <c r="B9" t="s">
        <v>28</v>
      </c>
      <c r="C9">
        <v>1250</v>
      </c>
      <c r="G9" t="str">
        <f t="shared" si="0"/>
        <v>200200010049</v>
      </c>
      <c r="H9" s="17">
        <v>20020001</v>
      </c>
      <c r="I9" t="s">
        <v>28</v>
      </c>
      <c r="J9">
        <v>1250</v>
      </c>
      <c r="K9" t="s">
        <v>55</v>
      </c>
      <c r="L9">
        <v>1250</v>
      </c>
    </row>
    <row r="10" spans="1:12" x14ac:dyDescent="0.25">
      <c r="A10">
        <v>20020001</v>
      </c>
      <c r="B10" t="s">
        <v>32</v>
      </c>
      <c r="C10">
        <v>1250</v>
      </c>
      <c r="G10" t="str">
        <f t="shared" si="0"/>
        <v>200200010081</v>
      </c>
      <c r="H10" s="17">
        <v>20020001</v>
      </c>
      <c r="I10" t="s">
        <v>32</v>
      </c>
      <c r="J10">
        <v>1250</v>
      </c>
      <c r="K10" t="s">
        <v>55</v>
      </c>
      <c r="L10">
        <v>1250</v>
      </c>
    </row>
    <row r="11" spans="1:12" x14ac:dyDescent="0.25">
      <c r="A11">
        <v>20020001</v>
      </c>
      <c r="B11" t="s">
        <v>37</v>
      </c>
      <c r="C11">
        <v>3750</v>
      </c>
      <c r="G11" t="str">
        <f t="shared" si="0"/>
        <v>200200010103</v>
      </c>
      <c r="H11" s="17">
        <v>20020001</v>
      </c>
      <c r="I11" t="s">
        <v>37</v>
      </c>
      <c r="J11">
        <v>3750</v>
      </c>
      <c r="K11" t="s">
        <v>55</v>
      </c>
      <c r="L11">
        <v>3750</v>
      </c>
    </row>
    <row r="12" spans="1:12" x14ac:dyDescent="0.25">
      <c r="A12">
        <v>20020001</v>
      </c>
      <c r="B12" t="s">
        <v>38</v>
      </c>
      <c r="C12">
        <v>1250</v>
      </c>
      <c r="G12" t="str">
        <f t="shared" si="0"/>
        <v>200200010114</v>
      </c>
      <c r="H12" s="17">
        <v>20020001</v>
      </c>
      <c r="I12" t="s">
        <v>38</v>
      </c>
      <c r="J12">
        <v>1250</v>
      </c>
      <c r="K12" t="s">
        <v>55</v>
      </c>
      <c r="L12">
        <v>1106</v>
      </c>
    </row>
    <row r="13" spans="1:12" x14ac:dyDescent="0.25">
      <c r="A13">
        <v>20020001</v>
      </c>
      <c r="B13" t="s">
        <v>29</v>
      </c>
      <c r="C13">
        <v>1250</v>
      </c>
      <c r="G13" t="str">
        <f t="shared" si="0"/>
        <v>200200010117</v>
      </c>
      <c r="H13" s="17">
        <v>20020001</v>
      </c>
      <c r="I13" t="s">
        <v>29</v>
      </c>
      <c r="J13">
        <v>1250</v>
      </c>
      <c r="K13" t="s">
        <v>55</v>
      </c>
      <c r="L13">
        <v>1250</v>
      </c>
    </row>
    <row r="14" spans="1:12" x14ac:dyDescent="0.25">
      <c r="A14">
        <v>20020001</v>
      </c>
      <c r="B14" t="s">
        <v>35</v>
      </c>
      <c r="C14">
        <v>2500</v>
      </c>
      <c r="G14" t="str">
        <f t="shared" si="0"/>
        <v>200200010121</v>
      </c>
      <c r="H14" s="17">
        <v>20020001</v>
      </c>
      <c r="I14" t="s">
        <v>35</v>
      </c>
      <c r="J14">
        <v>2500</v>
      </c>
      <c r="K14" t="s">
        <v>55</v>
      </c>
      <c r="L14">
        <v>2500</v>
      </c>
    </row>
    <row r="15" spans="1:12" x14ac:dyDescent="0.25">
      <c r="A15">
        <v>20020001</v>
      </c>
      <c r="B15" t="s">
        <v>33</v>
      </c>
      <c r="C15">
        <v>1250</v>
      </c>
      <c r="G15" t="str">
        <f t="shared" si="0"/>
        <v>200200010134</v>
      </c>
      <c r="H15" s="17">
        <v>20020001</v>
      </c>
      <c r="I15" t="s">
        <v>33</v>
      </c>
      <c r="J15">
        <v>1250</v>
      </c>
      <c r="K15" t="s">
        <v>55</v>
      </c>
      <c r="L15">
        <v>1250</v>
      </c>
    </row>
    <row r="16" spans="1:12" x14ac:dyDescent="0.25">
      <c r="A16">
        <v>20020001</v>
      </c>
      <c r="B16" t="s">
        <v>34</v>
      </c>
      <c r="C16">
        <v>1250</v>
      </c>
      <c r="G16" t="str">
        <f t="shared" si="0"/>
        <v>200200010135</v>
      </c>
      <c r="H16" s="17">
        <v>20020001</v>
      </c>
      <c r="I16" t="s">
        <v>34</v>
      </c>
      <c r="J16">
        <v>1250</v>
      </c>
      <c r="K16" t="s">
        <v>55</v>
      </c>
      <c r="L16">
        <v>1250</v>
      </c>
    </row>
    <row r="17" spans="1:12" x14ac:dyDescent="0.25">
      <c r="A17">
        <v>20020001</v>
      </c>
      <c r="B17" t="s">
        <v>30</v>
      </c>
      <c r="C17">
        <v>1250</v>
      </c>
      <c r="G17" t="str">
        <f t="shared" si="0"/>
        <v>200200010141</v>
      </c>
      <c r="H17" s="16">
        <v>20020001</v>
      </c>
      <c r="I17" t="s">
        <v>30</v>
      </c>
      <c r="J17">
        <v>1250</v>
      </c>
      <c r="K17" t="s">
        <v>55</v>
      </c>
      <c r="L17">
        <v>0</v>
      </c>
    </row>
    <row r="18" spans="1:12" x14ac:dyDescent="0.25">
      <c r="A18">
        <v>20020002</v>
      </c>
      <c r="B18" t="s">
        <v>41</v>
      </c>
      <c r="C18">
        <v>1250</v>
      </c>
      <c r="G18" t="str">
        <f t="shared" si="0"/>
        <v>200200020013</v>
      </c>
      <c r="H18" s="17">
        <v>20020002</v>
      </c>
      <c r="I18" t="s">
        <v>41</v>
      </c>
      <c r="J18">
        <v>1250</v>
      </c>
      <c r="K18" t="s">
        <v>55</v>
      </c>
      <c r="L18">
        <v>1250</v>
      </c>
    </row>
    <row r="19" spans="1:12" x14ac:dyDescent="0.25">
      <c r="A19">
        <v>20020002</v>
      </c>
      <c r="B19" t="s">
        <v>40</v>
      </c>
      <c r="C19">
        <v>1250</v>
      </c>
      <c r="G19" t="str">
        <f t="shared" si="0"/>
        <v>200200020024</v>
      </c>
      <c r="H19" s="16">
        <v>20020002</v>
      </c>
      <c r="I19" t="s">
        <v>40</v>
      </c>
      <c r="J19">
        <v>1250</v>
      </c>
      <c r="K19" t="s">
        <v>55</v>
      </c>
      <c r="L19">
        <v>1250</v>
      </c>
    </row>
    <row r="20" spans="1:12" x14ac:dyDescent="0.25">
      <c r="A20">
        <v>20060003</v>
      </c>
      <c r="B20" t="s">
        <v>22</v>
      </c>
      <c r="C20">
        <v>25000</v>
      </c>
      <c r="G20" t="str">
        <f t="shared" si="0"/>
        <v>200600030002</v>
      </c>
      <c r="H20" s="16">
        <v>20060003</v>
      </c>
      <c r="I20" t="s">
        <v>22</v>
      </c>
      <c r="J20">
        <v>25000</v>
      </c>
      <c r="K20" t="s">
        <v>55</v>
      </c>
      <c r="L20">
        <v>25000</v>
      </c>
    </row>
    <row r="21" spans="1:12" x14ac:dyDescent="0.25">
      <c r="A21">
        <v>20060005</v>
      </c>
      <c r="B21" t="s">
        <v>25</v>
      </c>
      <c r="C21">
        <v>2500</v>
      </c>
      <c r="G21" t="str">
        <f t="shared" si="0"/>
        <v>200600050003</v>
      </c>
      <c r="H21" s="16">
        <v>20060005</v>
      </c>
      <c r="I21" t="s">
        <v>25</v>
      </c>
      <c r="J21">
        <v>2500</v>
      </c>
      <c r="K21" t="s">
        <v>55</v>
      </c>
      <c r="L21">
        <v>2500</v>
      </c>
    </row>
    <row r="22" spans="1:12" x14ac:dyDescent="0.25">
      <c r="A22">
        <v>20090008</v>
      </c>
      <c r="B22" t="s">
        <v>43</v>
      </c>
      <c r="C22">
        <v>625</v>
      </c>
      <c r="G22" t="str">
        <f t="shared" si="0"/>
        <v>200900080005</v>
      </c>
      <c r="H22" s="16">
        <v>20090008</v>
      </c>
      <c r="I22" t="s">
        <v>43</v>
      </c>
      <c r="J22">
        <v>625</v>
      </c>
      <c r="K22" t="s">
        <v>55</v>
      </c>
      <c r="L22">
        <v>625</v>
      </c>
    </row>
    <row r="23" spans="1:12" x14ac:dyDescent="0.25">
      <c r="A23">
        <v>20090015</v>
      </c>
      <c r="B23" t="s">
        <v>22</v>
      </c>
      <c r="C23">
        <v>1250</v>
      </c>
      <c r="G23" t="str">
        <f t="shared" si="0"/>
        <v>200900150002</v>
      </c>
      <c r="H23" s="17">
        <v>20090015</v>
      </c>
      <c r="I23" t="s">
        <v>22</v>
      </c>
      <c r="J23">
        <v>1250</v>
      </c>
      <c r="K23" t="s">
        <v>55</v>
      </c>
      <c r="L23">
        <v>753</v>
      </c>
    </row>
    <row r="24" spans="1:12" x14ac:dyDescent="0.25">
      <c r="A24">
        <v>20090015</v>
      </c>
      <c r="B24" t="s">
        <v>47</v>
      </c>
      <c r="C24">
        <v>1250</v>
      </c>
      <c r="G24" t="str">
        <f t="shared" si="0"/>
        <v>200900150022</v>
      </c>
      <c r="H24" s="17">
        <v>20090015</v>
      </c>
      <c r="I24" t="s">
        <v>47</v>
      </c>
      <c r="J24">
        <v>1250</v>
      </c>
      <c r="K24" t="s">
        <v>55</v>
      </c>
      <c r="L24">
        <v>1027</v>
      </c>
    </row>
    <row r="25" spans="1:12" x14ac:dyDescent="0.25">
      <c r="A25">
        <v>20090015</v>
      </c>
      <c r="B25" t="s">
        <v>48</v>
      </c>
      <c r="C25">
        <v>1250</v>
      </c>
      <c r="G25" t="str">
        <f t="shared" si="0"/>
        <v>200900150026</v>
      </c>
      <c r="H25" s="17">
        <v>20090015</v>
      </c>
      <c r="I25" t="s">
        <v>48</v>
      </c>
      <c r="J25">
        <v>1250</v>
      </c>
      <c r="K25" t="s">
        <v>55</v>
      </c>
      <c r="L25">
        <v>446</v>
      </c>
    </row>
    <row r="26" spans="1:12" x14ac:dyDescent="0.25">
      <c r="A26">
        <v>20090015</v>
      </c>
      <c r="B26" t="s">
        <v>49</v>
      </c>
      <c r="C26">
        <v>1250</v>
      </c>
      <c r="G26" t="str">
        <f t="shared" si="0"/>
        <v>200900150031</v>
      </c>
      <c r="H26" s="16">
        <v>20090015</v>
      </c>
      <c r="I26" t="s">
        <v>49</v>
      </c>
      <c r="J26">
        <v>1250</v>
      </c>
      <c r="K26" t="s">
        <v>55</v>
      </c>
      <c r="L26">
        <v>1250</v>
      </c>
    </row>
    <row r="27" spans="1:12" x14ac:dyDescent="0.25">
      <c r="A27">
        <v>20090017</v>
      </c>
      <c r="B27" t="s">
        <v>25</v>
      </c>
      <c r="C27">
        <v>3750</v>
      </c>
      <c r="G27" t="str">
        <f t="shared" si="0"/>
        <v>200900170003</v>
      </c>
      <c r="H27" s="16">
        <v>20090017</v>
      </c>
      <c r="I27" t="s">
        <v>25</v>
      </c>
      <c r="J27">
        <v>3750</v>
      </c>
      <c r="K27" t="s">
        <v>55</v>
      </c>
      <c r="L27">
        <v>3750</v>
      </c>
    </row>
    <row r="28" spans="1:12" x14ac:dyDescent="0.25">
      <c r="A28" t="s">
        <v>50</v>
      </c>
      <c r="C28">
        <v>69375</v>
      </c>
      <c r="G28" s="15"/>
      <c r="H28" s="15" t="s">
        <v>50</v>
      </c>
      <c r="I28" s="15"/>
      <c r="J28" s="15">
        <v>69375</v>
      </c>
      <c r="K28" s="15"/>
      <c r="L28" s="15">
        <f>SUM(L5:L27)</f>
        <v>65812</v>
      </c>
    </row>
    <row r="30" spans="1:12" x14ac:dyDescent="0.25">
      <c r="G30" t="s">
        <v>54</v>
      </c>
      <c r="H30">
        <v>20010001</v>
      </c>
      <c r="L30">
        <v>96000</v>
      </c>
    </row>
    <row r="31" spans="1:12" x14ac:dyDescent="0.25">
      <c r="G31" t="s">
        <v>54</v>
      </c>
      <c r="H31">
        <v>20010016</v>
      </c>
      <c r="L31">
        <v>1943</v>
      </c>
    </row>
    <row r="32" spans="1:12" x14ac:dyDescent="0.25">
      <c r="G32" t="s">
        <v>54</v>
      </c>
      <c r="H32">
        <v>20020003</v>
      </c>
      <c r="L32">
        <v>6250</v>
      </c>
    </row>
    <row r="33" spans="7:12" x14ac:dyDescent="0.25">
      <c r="G33" t="s">
        <v>54</v>
      </c>
      <c r="H33">
        <v>20060017</v>
      </c>
      <c r="L33">
        <v>3077</v>
      </c>
    </row>
    <row r="34" spans="7:12" x14ac:dyDescent="0.25">
      <c r="G34" t="s">
        <v>54</v>
      </c>
      <c r="H34">
        <v>20070001</v>
      </c>
      <c r="L34">
        <v>6250</v>
      </c>
    </row>
    <row r="35" spans="7:12" ht="15.75" thickBot="1" x14ac:dyDescent="0.3">
      <c r="G35" s="25" t="s">
        <v>54</v>
      </c>
      <c r="H35" s="25">
        <v>20070010</v>
      </c>
      <c r="I35" s="25"/>
      <c r="J35" s="25"/>
      <c r="K35" s="25"/>
      <c r="L35" s="25">
        <v>10</v>
      </c>
    </row>
    <row r="36" spans="7:12" x14ac:dyDescent="0.25">
      <c r="G36" s="15"/>
      <c r="H36" s="15" t="s">
        <v>50</v>
      </c>
      <c r="I36" s="15"/>
      <c r="J36" s="15"/>
      <c r="K36" s="15"/>
      <c r="L36" s="15">
        <f>SUM(L30:L35)</f>
        <v>113530</v>
      </c>
    </row>
    <row r="38" spans="7:12" x14ac:dyDescent="0.25">
      <c r="L38">
        <f>L28+L36</f>
        <v>179342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7301-EE49-407F-9A80-E403DCB4FC82}">
  <dimension ref="A1:Q2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28" sqref="N28"/>
    </sheetView>
  </sheetViews>
  <sheetFormatPr defaultColWidth="12.5703125" defaultRowHeight="15" x14ac:dyDescent="0.25"/>
  <cols>
    <col min="1" max="1" width="13.28515625" customWidth="1"/>
    <col min="2" max="2" width="23.140625" customWidth="1"/>
    <col min="3" max="3" width="18.85546875" customWidth="1"/>
    <col min="4" max="4" width="14.5703125" customWidth="1"/>
    <col min="5" max="5" width="12.28515625" customWidth="1"/>
    <col min="6" max="6" width="16.140625" customWidth="1"/>
    <col min="7" max="7" width="13" customWidth="1"/>
    <col min="8" max="8" width="16" customWidth="1"/>
    <col min="9" max="9" width="16.140625" customWidth="1"/>
    <col min="10" max="10" width="7.85546875" customWidth="1"/>
    <col min="11" max="11" width="12.28515625" customWidth="1"/>
    <col min="12" max="13" width="13.140625" customWidth="1"/>
    <col min="14" max="14" width="16" customWidth="1"/>
    <col min="15" max="19" width="18.85546875" customWidth="1"/>
  </cols>
  <sheetData>
    <row r="1" spans="1:17" ht="15.75" customHeight="1" x14ac:dyDescent="0.25">
      <c r="J1">
        <f>SUBTOTAL(9,J4:J78)</f>
        <v>55</v>
      </c>
      <c r="L1">
        <f>SUBTOTAL(9,L4:L70)</f>
        <v>69375</v>
      </c>
    </row>
    <row r="2" spans="1:1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20" t="s">
        <v>0</v>
      </c>
      <c r="K2" s="21"/>
      <c r="L2" s="21"/>
      <c r="M2" s="22" t="s">
        <v>18</v>
      </c>
      <c r="N2" s="23"/>
      <c r="O2" s="24"/>
      <c r="P2" s="1"/>
    </row>
    <row r="3" spans="1:17" s="7" customFormat="1" ht="12.75" x14ac:dyDescent="0.2">
      <c r="A3" s="2" t="s">
        <v>1</v>
      </c>
      <c r="B3" s="2" t="s">
        <v>2</v>
      </c>
      <c r="C3" s="3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2" t="s">
        <v>8</v>
      </c>
      <c r="I3" s="2" t="s">
        <v>9</v>
      </c>
      <c r="J3" s="3" t="s">
        <v>10</v>
      </c>
      <c r="K3" s="2" t="s">
        <v>11</v>
      </c>
      <c r="L3" s="2" t="s">
        <v>12</v>
      </c>
      <c r="M3" s="5" t="s">
        <v>13</v>
      </c>
      <c r="N3" s="5" t="s">
        <v>14</v>
      </c>
      <c r="O3" s="5" t="s">
        <v>15</v>
      </c>
      <c r="P3" s="6"/>
      <c r="Q3" s="7" t="s">
        <v>19</v>
      </c>
    </row>
    <row r="4" spans="1:17" x14ac:dyDescent="0.25">
      <c r="A4" s="8">
        <v>46153</v>
      </c>
      <c r="B4" s="9" t="s">
        <v>20</v>
      </c>
      <c r="C4" s="9" t="s">
        <v>16</v>
      </c>
      <c r="D4" s="9" t="str">
        <f t="shared" ref="D4" si="0">CONCATENATE(E4,G4)</f>
        <v>200600030002</v>
      </c>
      <c r="E4" s="9">
        <v>20060003</v>
      </c>
      <c r="F4" s="10" t="s">
        <v>21</v>
      </c>
      <c r="G4" s="10" t="s">
        <v>22</v>
      </c>
      <c r="H4" s="10" t="s">
        <v>21</v>
      </c>
      <c r="I4" s="9" t="s">
        <v>17</v>
      </c>
      <c r="J4" s="9">
        <v>20</v>
      </c>
      <c r="K4" s="9">
        <v>1250</v>
      </c>
      <c r="L4" s="9">
        <f t="shared" ref="L4:L6" si="1">J4*K4</f>
        <v>25000</v>
      </c>
      <c r="M4" s="9">
        <f>J4</f>
        <v>20</v>
      </c>
      <c r="N4" s="9">
        <f t="shared" ref="N4:N6" si="2">M4*K4</f>
        <v>25000</v>
      </c>
      <c r="O4" s="1"/>
      <c r="P4" s="1">
        <f>N4-O4</f>
        <v>25000</v>
      </c>
    </row>
    <row r="5" spans="1:17" x14ac:dyDescent="0.25">
      <c r="A5" s="8">
        <v>46153</v>
      </c>
      <c r="B5" s="9" t="s">
        <v>20</v>
      </c>
      <c r="C5" s="9" t="s">
        <v>16</v>
      </c>
      <c r="D5" s="9" t="str">
        <f t="shared" ref="D5:D7" si="3">CONCATENATE(E5,G5)</f>
        <v>200600050003</v>
      </c>
      <c r="E5" s="9">
        <v>20060005</v>
      </c>
      <c r="F5" s="10" t="s">
        <v>23</v>
      </c>
      <c r="G5" s="10" t="s">
        <v>25</v>
      </c>
      <c r="H5" s="10" t="s">
        <v>24</v>
      </c>
      <c r="I5" s="9" t="s">
        <v>17</v>
      </c>
      <c r="J5" s="9">
        <v>2</v>
      </c>
      <c r="K5" s="9">
        <v>1250</v>
      </c>
      <c r="L5" s="9">
        <f t="shared" si="1"/>
        <v>2500</v>
      </c>
      <c r="M5" s="9">
        <f t="shared" ref="M5:M19" si="4">J5</f>
        <v>2</v>
      </c>
      <c r="N5" s="9">
        <f t="shared" si="2"/>
        <v>2500</v>
      </c>
      <c r="O5" s="1"/>
      <c r="P5" s="1">
        <f t="shared" ref="P5:P13" si="5">N5-O5</f>
        <v>2500</v>
      </c>
    </row>
    <row r="6" spans="1:17" x14ac:dyDescent="0.25">
      <c r="A6" s="8">
        <v>46153</v>
      </c>
      <c r="B6" s="9" t="s">
        <v>20</v>
      </c>
      <c r="C6" s="9" t="s">
        <v>16</v>
      </c>
      <c r="D6" s="9" t="str">
        <f t="shared" si="3"/>
        <v>200100030003</v>
      </c>
      <c r="E6" s="9">
        <v>20010003</v>
      </c>
      <c r="F6" s="10" t="s">
        <v>26</v>
      </c>
      <c r="G6" s="10" t="s">
        <v>25</v>
      </c>
      <c r="H6" s="10" t="s">
        <v>26</v>
      </c>
      <c r="I6" s="9" t="s">
        <v>17</v>
      </c>
      <c r="J6" s="9">
        <v>8</v>
      </c>
      <c r="K6" s="9">
        <v>1250</v>
      </c>
      <c r="L6" s="9">
        <f t="shared" si="1"/>
        <v>10000</v>
      </c>
      <c r="M6" s="9">
        <f t="shared" si="4"/>
        <v>8</v>
      </c>
      <c r="N6" s="9">
        <f t="shared" si="2"/>
        <v>10000</v>
      </c>
      <c r="O6" s="1"/>
      <c r="P6" s="1">
        <f t="shared" si="5"/>
        <v>10000</v>
      </c>
    </row>
    <row r="7" spans="1:17" x14ac:dyDescent="0.25">
      <c r="A7" s="8">
        <v>46153</v>
      </c>
      <c r="B7" s="9" t="s">
        <v>20</v>
      </c>
      <c r="C7" s="9" t="s">
        <v>16</v>
      </c>
      <c r="D7" s="9" t="str">
        <f t="shared" si="3"/>
        <v>200200010003</v>
      </c>
      <c r="E7" s="9">
        <v>20020001</v>
      </c>
      <c r="F7" s="10" t="s">
        <v>27</v>
      </c>
      <c r="G7" s="10" t="s">
        <v>25</v>
      </c>
      <c r="H7" s="10" t="s">
        <v>27</v>
      </c>
      <c r="I7" s="9" t="s">
        <v>17</v>
      </c>
      <c r="J7" s="9">
        <v>1</v>
      </c>
      <c r="K7" s="9">
        <v>1250</v>
      </c>
      <c r="L7" s="9">
        <f t="shared" ref="L7:L26" si="6">J7*K7</f>
        <v>1250</v>
      </c>
      <c r="M7" s="9">
        <f t="shared" si="4"/>
        <v>1</v>
      </c>
      <c r="N7" s="9">
        <f t="shared" ref="N7:N26" si="7">M7*K7</f>
        <v>1250</v>
      </c>
      <c r="O7" s="1"/>
      <c r="P7" s="1">
        <f t="shared" si="5"/>
        <v>1250</v>
      </c>
    </row>
    <row r="8" spans="1:17" x14ac:dyDescent="0.25">
      <c r="A8" s="8">
        <v>46153</v>
      </c>
      <c r="B8" s="9" t="s">
        <v>20</v>
      </c>
      <c r="C8" s="9" t="s">
        <v>16</v>
      </c>
      <c r="D8" s="9" t="str">
        <f t="shared" ref="D8:D13" si="8">CONCATENATE(E8,G8)</f>
        <v>200200010049</v>
      </c>
      <c r="E8" s="9">
        <v>20020001</v>
      </c>
      <c r="F8" s="10" t="s">
        <v>27</v>
      </c>
      <c r="G8" s="10" t="s">
        <v>28</v>
      </c>
      <c r="H8" s="10" t="s">
        <v>27</v>
      </c>
      <c r="I8" s="9" t="s">
        <v>17</v>
      </c>
      <c r="J8" s="9">
        <v>1</v>
      </c>
      <c r="K8" s="9">
        <v>1250</v>
      </c>
      <c r="L8" s="9">
        <f t="shared" si="6"/>
        <v>1250</v>
      </c>
      <c r="M8" s="11">
        <f t="shared" si="4"/>
        <v>1</v>
      </c>
      <c r="N8" s="9">
        <f t="shared" si="7"/>
        <v>1250</v>
      </c>
      <c r="O8" s="11"/>
      <c r="P8" s="1">
        <f t="shared" si="5"/>
        <v>1250</v>
      </c>
    </row>
    <row r="9" spans="1:17" x14ac:dyDescent="0.25">
      <c r="A9" s="8">
        <v>46153</v>
      </c>
      <c r="B9" s="9" t="s">
        <v>20</v>
      </c>
      <c r="C9" s="9" t="s">
        <v>16</v>
      </c>
      <c r="D9" s="9" t="str">
        <f t="shared" si="8"/>
        <v>200200010117</v>
      </c>
      <c r="E9" s="9">
        <v>20020001</v>
      </c>
      <c r="F9" s="10" t="s">
        <v>27</v>
      </c>
      <c r="G9" s="12" t="s">
        <v>29</v>
      </c>
      <c r="H9" s="10" t="s">
        <v>27</v>
      </c>
      <c r="I9" s="9" t="s">
        <v>17</v>
      </c>
      <c r="J9" s="9">
        <v>1</v>
      </c>
      <c r="K9" s="9">
        <v>1250</v>
      </c>
      <c r="L9" s="9">
        <f t="shared" si="6"/>
        <v>1250</v>
      </c>
      <c r="M9" s="11">
        <f t="shared" si="4"/>
        <v>1</v>
      </c>
      <c r="N9" s="9">
        <f t="shared" si="7"/>
        <v>1250</v>
      </c>
      <c r="O9" s="11"/>
      <c r="P9" s="1">
        <f t="shared" si="5"/>
        <v>1250</v>
      </c>
    </row>
    <row r="10" spans="1:17" x14ac:dyDescent="0.25">
      <c r="A10" s="8">
        <v>46153</v>
      </c>
      <c r="B10" s="9" t="s">
        <v>20</v>
      </c>
      <c r="C10" s="9" t="s">
        <v>16</v>
      </c>
      <c r="D10" s="9" t="str">
        <f t="shared" si="8"/>
        <v>200200010141</v>
      </c>
      <c r="E10" s="9">
        <v>20020001</v>
      </c>
      <c r="F10" s="10" t="s">
        <v>27</v>
      </c>
      <c r="G10" s="12" t="s">
        <v>30</v>
      </c>
      <c r="H10" s="10" t="s">
        <v>27</v>
      </c>
      <c r="I10" s="9" t="s">
        <v>17</v>
      </c>
      <c r="J10" s="9">
        <v>1</v>
      </c>
      <c r="K10" s="9">
        <v>1250</v>
      </c>
      <c r="L10" s="9">
        <f t="shared" si="6"/>
        <v>1250</v>
      </c>
      <c r="M10" s="11">
        <f t="shared" si="4"/>
        <v>1</v>
      </c>
      <c r="N10" s="9">
        <f t="shared" si="7"/>
        <v>1250</v>
      </c>
      <c r="O10" s="11"/>
      <c r="P10" s="1">
        <f t="shared" si="5"/>
        <v>1250</v>
      </c>
    </row>
    <row r="11" spans="1:17" x14ac:dyDescent="0.25">
      <c r="A11" s="8">
        <v>46153</v>
      </c>
      <c r="B11" s="9" t="s">
        <v>20</v>
      </c>
      <c r="C11" s="9" t="s">
        <v>16</v>
      </c>
      <c r="D11" s="9" t="str">
        <f t="shared" si="8"/>
        <v>200200010037</v>
      </c>
      <c r="E11" s="9">
        <v>20020001</v>
      </c>
      <c r="F11" s="10" t="s">
        <v>27</v>
      </c>
      <c r="G11" s="12" t="s">
        <v>31</v>
      </c>
      <c r="H11" s="10" t="s">
        <v>27</v>
      </c>
      <c r="I11" s="9" t="s">
        <v>17</v>
      </c>
      <c r="J11" s="9">
        <v>1</v>
      </c>
      <c r="K11" s="9">
        <v>1250</v>
      </c>
      <c r="L11" s="9">
        <f t="shared" si="6"/>
        <v>1250</v>
      </c>
      <c r="M11" s="11">
        <f t="shared" si="4"/>
        <v>1</v>
      </c>
      <c r="N11" s="9">
        <f t="shared" si="7"/>
        <v>1250</v>
      </c>
      <c r="O11" s="11"/>
      <c r="P11" s="1">
        <f t="shared" si="5"/>
        <v>1250</v>
      </c>
    </row>
    <row r="12" spans="1:17" x14ac:dyDescent="0.25">
      <c r="A12" s="8">
        <v>46153</v>
      </c>
      <c r="B12" s="9" t="s">
        <v>20</v>
      </c>
      <c r="C12" s="9" t="s">
        <v>16</v>
      </c>
      <c r="D12" s="9" t="str">
        <f t="shared" si="8"/>
        <v>200200010081</v>
      </c>
      <c r="E12" s="9">
        <v>20020001</v>
      </c>
      <c r="F12" s="10" t="s">
        <v>27</v>
      </c>
      <c r="G12" s="12" t="s">
        <v>32</v>
      </c>
      <c r="H12" s="10" t="s">
        <v>27</v>
      </c>
      <c r="I12" s="9" t="s">
        <v>17</v>
      </c>
      <c r="J12" s="9">
        <v>1</v>
      </c>
      <c r="K12" s="9">
        <v>1250</v>
      </c>
      <c r="L12" s="9">
        <f t="shared" si="6"/>
        <v>1250</v>
      </c>
      <c r="M12" s="11">
        <f t="shared" si="4"/>
        <v>1</v>
      </c>
      <c r="N12" s="9">
        <f t="shared" si="7"/>
        <v>1250</v>
      </c>
      <c r="O12" s="11"/>
      <c r="P12" s="1">
        <f t="shared" si="5"/>
        <v>1250</v>
      </c>
    </row>
    <row r="13" spans="1:17" x14ac:dyDescent="0.25">
      <c r="A13" s="8">
        <v>46153</v>
      </c>
      <c r="B13" s="9" t="s">
        <v>20</v>
      </c>
      <c r="C13" s="9" t="s">
        <v>16</v>
      </c>
      <c r="D13" s="9" t="str">
        <f t="shared" si="8"/>
        <v>200200010134</v>
      </c>
      <c r="E13" s="9">
        <v>20020001</v>
      </c>
      <c r="F13" s="10" t="s">
        <v>27</v>
      </c>
      <c r="G13" s="12" t="s">
        <v>33</v>
      </c>
      <c r="H13" s="10" t="s">
        <v>27</v>
      </c>
      <c r="I13" s="9" t="s">
        <v>17</v>
      </c>
      <c r="J13" s="9">
        <v>1</v>
      </c>
      <c r="K13" s="9">
        <v>1250</v>
      </c>
      <c r="L13" s="9">
        <f t="shared" si="6"/>
        <v>1250</v>
      </c>
      <c r="M13" s="11">
        <f t="shared" si="4"/>
        <v>1</v>
      </c>
      <c r="N13" s="9">
        <f t="shared" si="7"/>
        <v>1250</v>
      </c>
      <c r="O13" s="11"/>
      <c r="P13" s="1">
        <f t="shared" si="5"/>
        <v>1250</v>
      </c>
    </row>
    <row r="14" spans="1:17" x14ac:dyDescent="0.25">
      <c r="A14" s="8">
        <v>46153</v>
      </c>
      <c r="B14" s="9" t="s">
        <v>20</v>
      </c>
      <c r="C14" s="9" t="s">
        <v>16</v>
      </c>
      <c r="D14" s="9" t="str">
        <f t="shared" ref="D14:D19" si="9">CONCATENATE(E14,G14)</f>
        <v>200200010135</v>
      </c>
      <c r="E14" s="9">
        <v>20020001</v>
      </c>
      <c r="F14" s="10" t="s">
        <v>27</v>
      </c>
      <c r="G14" s="12" t="s">
        <v>34</v>
      </c>
      <c r="H14" s="10" t="s">
        <v>27</v>
      </c>
      <c r="I14" s="9" t="s">
        <v>17</v>
      </c>
      <c r="J14" s="9">
        <v>1</v>
      </c>
      <c r="K14" s="9">
        <v>1250</v>
      </c>
      <c r="L14" s="9">
        <f t="shared" si="6"/>
        <v>1250</v>
      </c>
      <c r="M14" s="11">
        <f t="shared" si="4"/>
        <v>1</v>
      </c>
      <c r="N14" s="9">
        <f t="shared" si="7"/>
        <v>1250</v>
      </c>
      <c r="O14" s="11"/>
      <c r="P14" s="1">
        <f t="shared" ref="P14:P19" si="10">N14-O14</f>
        <v>1250</v>
      </c>
    </row>
    <row r="15" spans="1:17" x14ac:dyDescent="0.25">
      <c r="A15" s="8">
        <v>46153</v>
      </c>
      <c r="B15" s="9" t="s">
        <v>20</v>
      </c>
      <c r="C15" s="9" t="s">
        <v>16</v>
      </c>
      <c r="D15" s="9" t="str">
        <f t="shared" si="9"/>
        <v>200200010121</v>
      </c>
      <c r="E15" s="9">
        <v>20020001</v>
      </c>
      <c r="F15" s="10" t="s">
        <v>27</v>
      </c>
      <c r="G15" s="12" t="s">
        <v>35</v>
      </c>
      <c r="H15" s="10" t="s">
        <v>27</v>
      </c>
      <c r="I15" s="9" t="s">
        <v>17</v>
      </c>
      <c r="J15" s="11">
        <v>2</v>
      </c>
      <c r="K15" s="9">
        <v>1250</v>
      </c>
      <c r="L15" s="9">
        <f t="shared" si="6"/>
        <v>2500</v>
      </c>
      <c r="M15" s="11">
        <f t="shared" si="4"/>
        <v>2</v>
      </c>
      <c r="N15" s="9">
        <f t="shared" si="7"/>
        <v>2500</v>
      </c>
      <c r="O15" s="11"/>
      <c r="P15" s="1">
        <f t="shared" si="10"/>
        <v>2500</v>
      </c>
    </row>
    <row r="16" spans="1:17" x14ac:dyDescent="0.25">
      <c r="A16" s="8">
        <v>46153</v>
      </c>
      <c r="B16" s="9" t="s">
        <v>20</v>
      </c>
      <c r="C16" s="9" t="s">
        <v>16</v>
      </c>
      <c r="D16" s="9" t="str">
        <f t="shared" si="9"/>
        <v>200200010033</v>
      </c>
      <c r="E16" s="9">
        <v>20020001</v>
      </c>
      <c r="F16" s="10" t="s">
        <v>27</v>
      </c>
      <c r="G16" s="12" t="s">
        <v>36</v>
      </c>
      <c r="H16" s="10" t="s">
        <v>27</v>
      </c>
      <c r="I16" s="9" t="s">
        <v>17</v>
      </c>
      <c r="J16" s="11">
        <v>2</v>
      </c>
      <c r="K16" s="9">
        <v>1250</v>
      </c>
      <c r="L16" s="9">
        <f t="shared" si="6"/>
        <v>2500</v>
      </c>
      <c r="M16" s="11">
        <f t="shared" si="4"/>
        <v>2</v>
      </c>
      <c r="N16" s="9">
        <f t="shared" si="7"/>
        <v>2500</v>
      </c>
      <c r="O16" s="11"/>
      <c r="P16" s="1">
        <f t="shared" si="10"/>
        <v>2500</v>
      </c>
    </row>
    <row r="17" spans="1:16" x14ac:dyDescent="0.25">
      <c r="A17" s="8">
        <v>46153</v>
      </c>
      <c r="B17" s="9" t="s">
        <v>20</v>
      </c>
      <c r="C17" s="9" t="s">
        <v>16</v>
      </c>
      <c r="D17" s="9" t="str">
        <f t="shared" si="9"/>
        <v>200200010103</v>
      </c>
      <c r="E17" s="9">
        <v>20020001</v>
      </c>
      <c r="F17" s="10" t="s">
        <v>27</v>
      </c>
      <c r="G17" s="12" t="s">
        <v>37</v>
      </c>
      <c r="H17" s="10" t="s">
        <v>27</v>
      </c>
      <c r="I17" s="9" t="s">
        <v>17</v>
      </c>
      <c r="J17" s="11">
        <v>3</v>
      </c>
      <c r="K17" s="9">
        <v>1250</v>
      </c>
      <c r="L17" s="9">
        <f t="shared" si="6"/>
        <v>3750</v>
      </c>
      <c r="M17" s="11">
        <f t="shared" si="4"/>
        <v>3</v>
      </c>
      <c r="N17" s="9">
        <f t="shared" si="7"/>
        <v>3750</v>
      </c>
      <c r="O17" s="11"/>
      <c r="P17" s="1">
        <f t="shared" si="10"/>
        <v>3750</v>
      </c>
    </row>
    <row r="18" spans="1:16" x14ac:dyDescent="0.25">
      <c r="A18" s="8">
        <v>46153</v>
      </c>
      <c r="B18" s="9" t="s">
        <v>20</v>
      </c>
      <c r="C18" s="9" t="s">
        <v>16</v>
      </c>
      <c r="D18" s="9" t="str">
        <f t="shared" si="9"/>
        <v>200200010114</v>
      </c>
      <c r="E18" s="9">
        <v>20020001</v>
      </c>
      <c r="F18" s="10" t="s">
        <v>27</v>
      </c>
      <c r="G18" s="12" t="s">
        <v>38</v>
      </c>
      <c r="H18" s="10" t="s">
        <v>27</v>
      </c>
      <c r="I18" s="9" t="s">
        <v>17</v>
      </c>
      <c r="J18" s="11">
        <v>1</v>
      </c>
      <c r="K18" s="9">
        <v>1250</v>
      </c>
      <c r="L18" s="9">
        <f t="shared" si="6"/>
        <v>1250</v>
      </c>
      <c r="M18" s="11">
        <f t="shared" si="4"/>
        <v>1</v>
      </c>
      <c r="N18" s="9">
        <f t="shared" si="7"/>
        <v>1250</v>
      </c>
      <c r="O18" s="11"/>
      <c r="P18" s="1">
        <f t="shared" si="10"/>
        <v>1250</v>
      </c>
    </row>
    <row r="19" spans="1:16" x14ac:dyDescent="0.25">
      <c r="A19" s="8">
        <v>46153</v>
      </c>
      <c r="B19" s="9" t="s">
        <v>20</v>
      </c>
      <c r="C19" s="9" t="s">
        <v>16</v>
      </c>
      <c r="D19" s="9" t="str">
        <f t="shared" si="9"/>
        <v>200200020024</v>
      </c>
      <c r="E19" s="9">
        <v>20020002</v>
      </c>
      <c r="F19" s="11" t="s">
        <v>39</v>
      </c>
      <c r="G19" s="12" t="s">
        <v>40</v>
      </c>
      <c r="H19" s="10" t="s">
        <v>27</v>
      </c>
      <c r="I19" s="9" t="s">
        <v>17</v>
      </c>
      <c r="J19" s="11">
        <v>1</v>
      </c>
      <c r="K19" s="9">
        <v>1250</v>
      </c>
      <c r="L19" s="9">
        <f t="shared" si="6"/>
        <v>1250</v>
      </c>
      <c r="M19" s="11">
        <f t="shared" si="4"/>
        <v>1</v>
      </c>
      <c r="N19" s="9">
        <f t="shared" si="7"/>
        <v>1250</v>
      </c>
      <c r="O19" s="11"/>
      <c r="P19" s="1">
        <f t="shared" si="10"/>
        <v>1250</v>
      </c>
    </row>
    <row r="20" spans="1:16" x14ac:dyDescent="0.25">
      <c r="A20" s="8">
        <v>46153</v>
      </c>
      <c r="B20" s="9" t="s">
        <v>20</v>
      </c>
      <c r="C20" s="9" t="s">
        <v>16</v>
      </c>
      <c r="D20" s="9" t="str">
        <f t="shared" ref="D20:D26" si="11">CONCATENATE(E20,G20)</f>
        <v>200200020013</v>
      </c>
      <c r="E20" s="9">
        <v>20020002</v>
      </c>
      <c r="F20" s="11" t="s">
        <v>39</v>
      </c>
      <c r="G20" s="12" t="s">
        <v>41</v>
      </c>
      <c r="H20" s="10" t="s">
        <v>27</v>
      </c>
      <c r="I20" s="9" t="s">
        <v>17</v>
      </c>
      <c r="J20" s="11">
        <v>1</v>
      </c>
      <c r="K20" s="9">
        <v>1250</v>
      </c>
      <c r="L20" s="9">
        <f t="shared" si="6"/>
        <v>1250</v>
      </c>
      <c r="M20" s="11">
        <f t="shared" ref="M20:M26" si="12">J20</f>
        <v>1</v>
      </c>
      <c r="N20" s="9">
        <f t="shared" si="7"/>
        <v>1250</v>
      </c>
      <c r="O20" s="11"/>
      <c r="P20" s="1">
        <f t="shared" ref="P20:P27" si="13">N20-O20</f>
        <v>1250</v>
      </c>
    </row>
    <row r="21" spans="1:16" x14ac:dyDescent="0.25">
      <c r="A21" s="8">
        <v>46153</v>
      </c>
      <c r="B21" s="9" t="s">
        <v>20</v>
      </c>
      <c r="C21" s="9" t="s">
        <v>16</v>
      </c>
      <c r="D21" s="9" t="str">
        <f t="shared" si="11"/>
        <v>200900080005</v>
      </c>
      <c r="E21" s="9">
        <v>20090008</v>
      </c>
      <c r="F21" s="11" t="s">
        <v>42</v>
      </c>
      <c r="G21" s="12" t="s">
        <v>43</v>
      </c>
      <c r="H21" s="11" t="s">
        <v>44</v>
      </c>
      <c r="I21" s="9" t="s">
        <v>17</v>
      </c>
      <c r="J21" s="11">
        <v>0</v>
      </c>
      <c r="K21" s="9">
        <v>0</v>
      </c>
      <c r="L21" s="9">
        <v>625</v>
      </c>
      <c r="M21" s="11">
        <f t="shared" si="12"/>
        <v>0</v>
      </c>
      <c r="N21" s="9">
        <v>625</v>
      </c>
      <c r="O21" s="11"/>
      <c r="P21" s="1">
        <f t="shared" si="13"/>
        <v>625</v>
      </c>
    </row>
    <row r="22" spans="1:16" x14ac:dyDescent="0.25">
      <c r="A22" s="8">
        <v>46153</v>
      </c>
      <c r="B22" s="9" t="s">
        <v>20</v>
      </c>
      <c r="C22" s="9" t="s">
        <v>16</v>
      </c>
      <c r="D22" s="9" t="str">
        <f t="shared" si="11"/>
        <v>200900170003</v>
      </c>
      <c r="E22" s="9">
        <v>20090017</v>
      </c>
      <c r="F22" s="11" t="s">
        <v>45</v>
      </c>
      <c r="G22" s="12" t="s">
        <v>25</v>
      </c>
      <c r="H22" s="11" t="s">
        <v>44</v>
      </c>
      <c r="I22" s="9" t="s">
        <v>17</v>
      </c>
      <c r="J22" s="11">
        <v>3</v>
      </c>
      <c r="K22" s="9">
        <v>1250</v>
      </c>
      <c r="L22" s="9">
        <f t="shared" si="6"/>
        <v>3750</v>
      </c>
      <c r="M22" s="11">
        <f t="shared" si="12"/>
        <v>3</v>
      </c>
      <c r="N22" s="9">
        <f t="shared" si="7"/>
        <v>3750</v>
      </c>
      <c r="O22" s="11"/>
      <c r="P22" s="1">
        <f t="shared" si="13"/>
        <v>3750</v>
      </c>
    </row>
    <row r="23" spans="1:16" x14ac:dyDescent="0.25">
      <c r="A23" s="8">
        <v>46153</v>
      </c>
      <c r="B23" s="9" t="s">
        <v>20</v>
      </c>
      <c r="C23" s="9" t="s">
        <v>16</v>
      </c>
      <c r="D23" s="9" t="str">
        <f t="shared" si="11"/>
        <v>200900150022</v>
      </c>
      <c r="E23" s="9">
        <v>20090015</v>
      </c>
      <c r="F23" s="11" t="s">
        <v>46</v>
      </c>
      <c r="G23" s="12" t="s">
        <v>47</v>
      </c>
      <c r="H23" s="11" t="s">
        <v>44</v>
      </c>
      <c r="I23" s="9" t="s">
        <v>17</v>
      </c>
      <c r="J23" s="11">
        <v>1</v>
      </c>
      <c r="K23" s="9">
        <v>1250</v>
      </c>
      <c r="L23" s="9">
        <f t="shared" si="6"/>
        <v>1250</v>
      </c>
      <c r="M23" s="11">
        <f t="shared" si="12"/>
        <v>1</v>
      </c>
      <c r="N23" s="9">
        <f t="shared" si="7"/>
        <v>1250</v>
      </c>
      <c r="O23" s="11"/>
      <c r="P23" s="1">
        <f t="shared" si="13"/>
        <v>1250</v>
      </c>
    </row>
    <row r="24" spans="1:16" x14ac:dyDescent="0.25">
      <c r="A24" s="8">
        <v>46153</v>
      </c>
      <c r="B24" s="9" t="s">
        <v>20</v>
      </c>
      <c r="C24" s="9" t="s">
        <v>16</v>
      </c>
      <c r="D24" s="9" t="str">
        <f t="shared" si="11"/>
        <v>200900150026</v>
      </c>
      <c r="E24" s="9">
        <v>20090015</v>
      </c>
      <c r="F24" s="11" t="s">
        <v>46</v>
      </c>
      <c r="G24" s="12" t="s">
        <v>48</v>
      </c>
      <c r="H24" s="11" t="s">
        <v>44</v>
      </c>
      <c r="I24" s="9" t="s">
        <v>17</v>
      </c>
      <c r="J24" s="11">
        <v>1</v>
      </c>
      <c r="K24" s="9">
        <v>1250</v>
      </c>
      <c r="L24" s="9">
        <f t="shared" si="6"/>
        <v>1250</v>
      </c>
      <c r="M24" s="11">
        <f t="shared" si="12"/>
        <v>1</v>
      </c>
      <c r="N24" s="9">
        <f t="shared" si="7"/>
        <v>1250</v>
      </c>
      <c r="O24" s="11"/>
      <c r="P24" s="1">
        <f t="shared" si="13"/>
        <v>1250</v>
      </c>
    </row>
    <row r="25" spans="1:16" x14ac:dyDescent="0.25">
      <c r="A25" s="8">
        <v>46153</v>
      </c>
      <c r="B25" s="9" t="s">
        <v>20</v>
      </c>
      <c r="C25" s="9" t="s">
        <v>16</v>
      </c>
      <c r="D25" s="9" t="str">
        <f t="shared" si="11"/>
        <v>200900150002</v>
      </c>
      <c r="E25" s="9">
        <v>20090015</v>
      </c>
      <c r="F25" s="11" t="s">
        <v>46</v>
      </c>
      <c r="G25" s="12" t="s">
        <v>22</v>
      </c>
      <c r="H25" s="11" t="s">
        <v>44</v>
      </c>
      <c r="I25" s="9" t="s">
        <v>17</v>
      </c>
      <c r="J25" s="11">
        <v>1</v>
      </c>
      <c r="K25" s="9">
        <v>1250</v>
      </c>
      <c r="L25" s="9">
        <f t="shared" si="6"/>
        <v>1250</v>
      </c>
      <c r="M25" s="11">
        <f t="shared" si="12"/>
        <v>1</v>
      </c>
      <c r="N25" s="9">
        <f t="shared" si="7"/>
        <v>1250</v>
      </c>
      <c r="O25" s="11"/>
      <c r="P25" s="1">
        <f t="shared" si="13"/>
        <v>1250</v>
      </c>
    </row>
    <row r="26" spans="1:16" x14ac:dyDescent="0.25">
      <c r="A26" s="8">
        <v>46153</v>
      </c>
      <c r="B26" s="9" t="s">
        <v>20</v>
      </c>
      <c r="C26" s="9" t="s">
        <v>16</v>
      </c>
      <c r="D26" s="9" t="str">
        <f t="shared" si="11"/>
        <v>200900150031</v>
      </c>
      <c r="E26" s="9">
        <v>20090015</v>
      </c>
      <c r="F26" s="11" t="s">
        <v>46</v>
      </c>
      <c r="G26" s="12" t="s">
        <v>49</v>
      </c>
      <c r="H26" s="11" t="s">
        <v>44</v>
      </c>
      <c r="I26" s="9" t="s">
        <v>17</v>
      </c>
      <c r="J26" s="11">
        <v>1</v>
      </c>
      <c r="K26" s="9">
        <v>1250</v>
      </c>
      <c r="L26" s="9">
        <f t="shared" si="6"/>
        <v>1250</v>
      </c>
      <c r="M26" s="11">
        <f t="shared" si="12"/>
        <v>1</v>
      </c>
      <c r="N26" s="9">
        <f t="shared" si="7"/>
        <v>1250</v>
      </c>
      <c r="O26" s="11"/>
      <c r="P26" s="1">
        <f t="shared" si="13"/>
        <v>1250</v>
      </c>
    </row>
    <row r="27" spans="1:16" x14ac:dyDescent="0.25">
      <c r="N27" s="18">
        <f>SUM(N4:N26)</f>
        <v>69375</v>
      </c>
      <c r="P27" s="19">
        <f t="shared" si="13"/>
        <v>69375</v>
      </c>
    </row>
  </sheetData>
  <autoFilter ref="A3:O7" xr:uid="{18FE7301-EE49-407F-9A80-E403DCB4FC82}"/>
  <mergeCells count="2">
    <mergeCell ref="J2:L2"/>
    <mergeCell ref="M2:O2"/>
  </mergeCells>
  <phoneticPr fontId="6" type="noConversion"/>
  <conditionalFormatting sqref="D1:D2 D4:D1048576">
    <cfRule type="duplicateValues" dxfId="2" priority="2"/>
    <cfRule type="duplicateValues" dxfId="1" priority="3"/>
  </conditionalFormatting>
  <conditionalFormatting sqref="P4:P27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indent 01-07th 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Munger</dc:creator>
  <cp:lastModifiedBy>RAHUL PANDIT</cp:lastModifiedBy>
  <dcterms:created xsi:type="dcterms:W3CDTF">2024-05-20T04:28:58Z</dcterms:created>
  <dcterms:modified xsi:type="dcterms:W3CDTF">2026-05-16T12:26:55Z</dcterms:modified>
</cp:coreProperties>
</file>