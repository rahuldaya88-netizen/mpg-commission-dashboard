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7-23 Apr'26\Collection Data\"/>
    </mc:Choice>
  </mc:AlternateContent>
  <xr:revisionPtr revIDLastSave="0" documentId="13_ncr:1_{AA77AC35-7237-4DBF-845D-820486FE1268}" xr6:coauthVersionLast="47" xr6:coauthVersionMax="47" xr10:uidLastSave="{00000000-0000-0000-0000-000000000000}"/>
  <bookViews>
    <workbookView xWindow="0" yWindow="720" windowWidth="28800" windowHeight="15480" xr2:uid="{91735002-6466-4EEC-9CDD-D165A20C4A8B}"/>
  </bookViews>
  <sheets>
    <sheet name="Sheet1" sheetId="2" r:id="rId1"/>
    <sheet name="CF indent 10-16th Apr-26" sheetId="1" r:id="rId2"/>
  </sheets>
  <definedNames>
    <definedName name="_xlnm._FilterDatabase" localSheetId="1" hidden="1">'CF indent 10-16th Apr-26'!$A$3:$O$34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2" l="1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D18" i="1"/>
  <c r="D5" i="1"/>
  <c r="L5" i="1"/>
  <c r="M5" i="1"/>
  <c r="P5" i="1"/>
  <c r="L6" i="1"/>
  <c r="L7" i="1"/>
  <c r="L9" i="1"/>
  <c r="L10" i="1"/>
  <c r="L11" i="1"/>
  <c r="L12" i="1"/>
  <c r="L13" i="1"/>
  <c r="L14" i="1"/>
  <c r="L16" i="1"/>
  <c r="L17" i="1"/>
  <c r="L23" i="1"/>
  <c r="L24" i="1"/>
  <c r="L25" i="1"/>
  <c r="L27" i="1"/>
  <c r="L28" i="1"/>
  <c r="L4" i="1"/>
  <c r="J1" i="1"/>
  <c r="D30" i="1"/>
  <c r="M30" i="1"/>
  <c r="P30" i="1" s="1"/>
  <c r="D31" i="1"/>
  <c r="M31" i="1"/>
  <c r="P31" i="1" s="1"/>
  <c r="D32" i="1"/>
  <c r="M32" i="1"/>
  <c r="P32" i="1" s="1"/>
  <c r="D33" i="1"/>
  <c r="M33" i="1"/>
  <c r="P33" i="1" s="1"/>
  <c r="D34" i="1"/>
  <c r="M34" i="1"/>
  <c r="P34" i="1" s="1"/>
  <c r="M20" i="1" l="1"/>
  <c r="P20" i="1" s="1"/>
  <c r="M21" i="1"/>
  <c r="M22" i="1"/>
  <c r="M23" i="1"/>
  <c r="P23" i="1" s="1"/>
  <c r="M24" i="1"/>
  <c r="M25" i="1"/>
  <c r="M26" i="1"/>
  <c r="M27" i="1"/>
  <c r="M28" i="1"/>
  <c r="P28" i="1" s="1"/>
  <c r="M29" i="1"/>
  <c r="D20" i="1"/>
  <c r="D21" i="1"/>
  <c r="D22" i="1"/>
  <c r="D23" i="1"/>
  <c r="D24" i="1"/>
  <c r="D25" i="1"/>
  <c r="D26" i="1"/>
  <c r="D27" i="1"/>
  <c r="D28" i="1"/>
  <c r="D29" i="1"/>
  <c r="L1" i="1" l="1"/>
  <c r="P29" i="1"/>
  <c r="P26" i="1"/>
  <c r="P25" i="1"/>
  <c r="P22" i="1"/>
  <c r="P21" i="1"/>
  <c r="P24" i="1"/>
  <c r="P27" i="1"/>
  <c r="M11" i="1"/>
  <c r="P11" i="1" s="1"/>
  <c r="M12" i="1"/>
  <c r="M13" i="1"/>
  <c r="M14" i="1"/>
  <c r="M15" i="1"/>
  <c r="P15" i="1" s="1"/>
  <c r="M16" i="1"/>
  <c r="M17" i="1"/>
  <c r="M18" i="1"/>
  <c r="M19" i="1"/>
  <c r="P19" i="1" s="1"/>
  <c r="M10" i="1"/>
  <c r="D14" i="1"/>
  <c r="D15" i="1"/>
  <c r="D16" i="1"/>
  <c r="P16" i="1"/>
  <c r="D17" i="1"/>
  <c r="D19" i="1"/>
  <c r="M9" i="1"/>
  <c r="M8" i="1"/>
  <c r="P8" i="1" s="1"/>
  <c r="P10" i="1"/>
  <c r="D8" i="1"/>
  <c r="D9" i="1"/>
  <c r="D10" i="1"/>
  <c r="D11" i="1"/>
  <c r="D12" i="1"/>
  <c r="D13" i="1"/>
  <c r="P18" i="1" l="1"/>
  <c r="P17" i="1"/>
  <c r="P14" i="1"/>
  <c r="P13" i="1"/>
  <c r="P12" i="1"/>
  <c r="P9" i="1"/>
  <c r="M6" i="1" l="1"/>
  <c r="M7" i="1"/>
  <c r="M4" i="1"/>
  <c r="D6" i="1" l="1"/>
  <c r="D7" i="1"/>
  <c r="P7" i="1" l="1"/>
  <c r="P6" i="1"/>
  <c r="D4" i="1"/>
  <c r="P4" i="1" l="1"/>
  <c r="M36" i="2" l="1"/>
</calcChain>
</file>

<file path=xl/sharedStrings.xml><?xml version="1.0" encoding="utf-8"?>
<sst xmlns="http://schemas.openxmlformats.org/spreadsheetml/2006/main" count="300" uniqueCount="65">
  <si>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</si>
  <si>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</si>
  <si>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</si>
  <si>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</si>
  <si>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</si>
  <si>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</si>
  <si>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</si>
  <si>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</si>
  <si>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</si>
  <si>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</si>
  <si>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</si>
  <si>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</si>
  <si>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</si>
  <si>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</si>
  <si>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</si>
  <si>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</si>
  <si>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</si>
  <si>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</si>
  <si>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</si>
  <si>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</si>
  <si>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Bero</t>
  </si>
  <si>
    <t>0025</t>
  </si>
  <si>
    <t>0005</t>
  </si>
  <si>
    <t>0002</t>
  </si>
  <si>
    <t>Dumardagga</t>
  </si>
  <si>
    <t>Pali</t>
  </si>
  <si>
    <t>0042</t>
  </si>
  <si>
    <t>0023</t>
  </si>
  <si>
    <t>0003</t>
  </si>
  <si>
    <t>Nawatand</t>
  </si>
  <si>
    <t>Ormanjhi</t>
  </si>
  <si>
    <t>0018</t>
  </si>
  <si>
    <t>0015</t>
  </si>
  <si>
    <t>0035</t>
  </si>
  <si>
    <t>Kokar</t>
  </si>
  <si>
    <t>0014</t>
  </si>
  <si>
    <t>0017</t>
  </si>
  <si>
    <t>0020</t>
  </si>
  <si>
    <t>0022</t>
  </si>
  <si>
    <t>0036</t>
  </si>
  <si>
    <t>Itki</t>
  </si>
  <si>
    <t>Girabar</t>
  </si>
  <si>
    <t>Elcharo</t>
  </si>
  <si>
    <t>0059</t>
  </si>
  <si>
    <t>17-04-2026 to 23-04-2026</t>
  </si>
  <si>
    <t>Kucchu</t>
  </si>
  <si>
    <t>20010001</t>
  </si>
  <si>
    <t>Bihuliya</t>
  </si>
  <si>
    <t>Agro</t>
  </si>
  <si>
    <t>Priraguttu</t>
  </si>
  <si>
    <t>Pakariya2</t>
  </si>
  <si>
    <t>Pakariya1</t>
  </si>
  <si>
    <t>0031</t>
  </si>
  <si>
    <t>0032</t>
  </si>
  <si>
    <t>barahe</t>
  </si>
  <si>
    <t>Bagha Toli</t>
  </si>
  <si>
    <t>Chano</t>
  </si>
  <si>
    <t>Tutlu</t>
  </si>
  <si>
    <t>(blank)</t>
  </si>
  <si>
    <t>Grand Total</t>
  </si>
  <si>
    <t>Sum of Total Amount</t>
  </si>
  <si>
    <t>Total</t>
  </si>
  <si>
    <t>Type</t>
  </si>
  <si>
    <t>Direct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</si>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</sst>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pivotButton="1"/>
    <xf numFmtId="0" fontId="8" fillId="5" borderId="5" xfId="0" applyFont="1" applyFill="1" applyBorder="1"/>
    <xf numFmtId="0" fontId="8" fillId="5" borderId="6" xfId="0" applyFont="1" applyFill="1" applyBorder="1"/>
    <xf numFmtId="0" fontId="8" fillId="0" borderId="5" xfId="0" applyFont="1" applyBorder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0.449108564811" createdVersion="8" refreshedVersion="8" minRefreshableVersion="3" recordCount="31" xr:uid="{DCB822CE-3F68-4E95-B05F-C2BC50423E66}">
  <cacheSource type="worksheet">
    <worksheetSource ref="A3:O34" sheet="CF indent 10-16th Apr-26"/>
  </cacheSource>
  <cacheFields count="15">
    <cacheField name="_x000a_Order Date " numFmtId="14">
      <sharedItems containsSemiMixedTypes="0" containsNonDate="0" containsDate="1" containsString="0" minDate="2026-04-27T00:00:00" maxDate="2026-04-28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Blank="1" containsMixedTypes="1" containsNumber="1" containsInteger="1" minValue="20010003" maxValue="20090026" count="17">
        <n v="20010008"/>
        <n v="20060009"/>
        <n v="20060003"/>
        <s v="20010001"/>
        <m/>
        <n v="20010003"/>
        <n v="20020003"/>
        <n v="20020025"/>
        <n v="20070001"/>
        <n v="20090020"/>
        <n v="20090015"/>
        <n v="20090017"/>
        <n v="20090011"/>
        <n v="20090025"/>
        <n v="20090026"/>
        <n v="20090001"/>
        <n v="20010053"/>
      </sharedItems>
    </cacheField>
    <cacheField name="_x000a_MPG Name " numFmtId="0">
      <sharedItems/>
    </cacheField>
    <cacheField name="_x000a__x000a_Farmer code  " numFmtId="0">
      <sharedItems count="17">
        <s v="0035"/>
        <s v="0059"/>
        <s v="0025"/>
        <s v="0002"/>
        <s v="0015"/>
        <s v="0023"/>
        <s v="0018"/>
        <s v="0003"/>
        <s v="0005"/>
        <s v="0014"/>
        <s v="0031"/>
        <s v="0032"/>
        <s v="0022"/>
        <s v="0017"/>
        <s v="0020"/>
        <s v="0036"/>
        <s v="0042"/>
      </sharedItems>
    </cacheField>
    <cacheField name="_x000a__x000a_BMC Name  " numFmtId="0">
      <sharedItems containsBlank="1"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20"/>
    </cacheField>
    <cacheField name="_x000a_Rate " numFmtId="0">
      <sharedItems containsSemiMixedTypes="0" containsString="0" containsNumber="1" containsInteger="1" minValue="1250" maxValue="1250"/>
    </cacheField>
    <cacheField name="Total Amount" numFmtId="0">
      <sharedItems containsSemiMixedTypes="0" containsString="0" containsNumber="1" containsInteger="1" minValue="81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NonDate="0" containsString="0" containsBlank="1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6-04-27T00:00:00"/>
    <s v="17-04-2026 to 23-04-2026"/>
    <s v="Gomukh Gold 50KG"/>
    <s v="200100080035"/>
    <x v="0"/>
    <s v="Elcharo"/>
    <x v="0"/>
    <s v="Itki"/>
    <s v="Daya Society"/>
    <n v="9"/>
    <n v="1250"/>
    <n v="11250"/>
    <n v="9"/>
    <m/>
    <m/>
  </r>
  <r>
    <d v="2026-04-27T00:00:00"/>
    <s v="17-04-2026 to 23-04-2026"/>
    <s v="Gomukh Gold 50KG"/>
    <s v="200100080059"/>
    <x v="0"/>
    <s v="Elcharo"/>
    <x v="1"/>
    <s v="Itki"/>
    <s v="Daya Society"/>
    <n v="1"/>
    <n v="1250"/>
    <n v="1250"/>
    <n v="1"/>
    <m/>
    <m/>
  </r>
  <r>
    <d v="2026-04-27T00:00:00"/>
    <s v="17-04-2026 to 23-04-2026"/>
    <s v="Gomukh Gold 50KG"/>
    <s v="200600090025"/>
    <x v="1"/>
    <s v="Kucchu"/>
    <x v="2"/>
    <m/>
    <s v="Daya Society"/>
    <n v="1"/>
    <n v="1250"/>
    <n v="1250"/>
    <n v="1"/>
    <m/>
    <m/>
  </r>
  <r>
    <d v="2026-04-27T00:00:00"/>
    <s v="17-04-2026 to 23-04-2026"/>
    <s v="Gomukh Gold 50KG"/>
    <s v="200600030002"/>
    <x v="2"/>
    <s v="Dumardagga"/>
    <x v="3"/>
    <m/>
    <s v="Daya Society"/>
    <n v="20"/>
    <n v="1250"/>
    <n v="25000"/>
    <n v="20"/>
    <m/>
    <m/>
  </r>
  <r>
    <d v="2026-04-27T00:00:00"/>
    <s v="17-04-2026 to 23-04-2026"/>
    <s v="Gomukh Gold 50KG"/>
    <s v="200100010002"/>
    <x v="3"/>
    <s v="Itki"/>
    <x v="3"/>
    <s v="Itki"/>
    <s v="Daya Society"/>
    <n v="0"/>
    <n v="1250"/>
    <n v="12600"/>
    <n v="0"/>
    <m/>
    <m/>
  </r>
  <r>
    <d v="2026-04-27T00:00:00"/>
    <s v="17-04-2026 to 23-04-2026"/>
    <s v="Gomukh Gold 50KG"/>
    <s v="0015"/>
    <x v="4"/>
    <s v="Ormanjhi"/>
    <x v="4"/>
    <m/>
    <s v="Daya Society"/>
    <n v="1"/>
    <n v="1250"/>
    <n v="1250"/>
    <n v="1"/>
    <m/>
    <m/>
  </r>
  <r>
    <d v="2026-04-27T00:00:00"/>
    <s v="17-04-2026 to 23-04-2026"/>
    <s v="Gomukh Gold 50KG"/>
    <s v="0023"/>
    <x v="4"/>
    <s v="Ormanjhi"/>
    <x v="5"/>
    <m/>
    <s v="Daya Society"/>
    <n v="1"/>
    <n v="1250"/>
    <n v="1250"/>
    <n v="1"/>
    <m/>
    <m/>
  </r>
  <r>
    <d v="2026-04-27T00:00:00"/>
    <s v="17-04-2026 to 23-04-2026"/>
    <s v="Gomukh Gold 50KG"/>
    <s v="0018"/>
    <x v="4"/>
    <s v="Ormanjhi"/>
    <x v="6"/>
    <m/>
    <s v="Daya Society"/>
    <n v="1"/>
    <n v="1250"/>
    <n v="1250"/>
    <n v="1"/>
    <m/>
    <m/>
  </r>
  <r>
    <d v="2026-04-27T00:00:00"/>
    <s v="17-04-2026 to 23-04-2026"/>
    <s v="Gomukh Gold 50KG"/>
    <s v="200100030003"/>
    <x v="5"/>
    <s v="Bero"/>
    <x v="7"/>
    <m/>
    <s v="Daya Society"/>
    <n v="10"/>
    <n v="1250"/>
    <n v="12500"/>
    <n v="10"/>
    <m/>
    <m/>
  </r>
  <r>
    <d v="2026-04-27T00:00:00"/>
    <s v="17-04-2026 to 23-04-2026"/>
    <s v="Gomukh Gold 50KG"/>
    <s v="200600090003"/>
    <x v="1"/>
    <s v="Girabar"/>
    <x v="7"/>
    <m/>
    <s v="Daya Society"/>
    <n v="2"/>
    <n v="1250"/>
    <n v="2500"/>
    <n v="2"/>
    <m/>
    <m/>
  </r>
  <r>
    <d v="2026-04-27T00:00:00"/>
    <s v="17-04-2026 to 23-04-2026"/>
    <s v="Gomukh Gold 50KG"/>
    <s v="200200030002"/>
    <x v="6"/>
    <s v="Bihuliya"/>
    <x v="3"/>
    <s v="Pali"/>
    <s v="Daya Society"/>
    <n v="5"/>
    <n v="1250"/>
    <n v="6250"/>
    <n v="5"/>
    <m/>
    <m/>
  </r>
  <r>
    <d v="2026-04-27T00:00:00"/>
    <s v="17-04-2026 to 23-04-2026"/>
    <s v="Gomukh Gold 50KG"/>
    <s v="200200250002"/>
    <x v="7"/>
    <s v="Agro"/>
    <x v="3"/>
    <s v="Pali"/>
    <s v="Daya Society"/>
    <n v="5"/>
    <n v="1250"/>
    <n v="7968"/>
    <n v="5"/>
    <m/>
    <m/>
  </r>
  <r>
    <d v="2026-04-27T00:00:00"/>
    <s v="17-04-2026 to 23-04-2026"/>
    <s v="Gomukh Gold 50KG"/>
    <s v="200700010002"/>
    <x v="8"/>
    <s v="Priraguttu"/>
    <x v="3"/>
    <m/>
    <s v="Daya Society"/>
    <n v="7"/>
    <n v="1250"/>
    <n v="8750"/>
    <n v="7"/>
    <m/>
    <m/>
  </r>
  <r>
    <d v="2026-04-27T00:00:00"/>
    <s v="17-04-2026 to 23-04-2026"/>
    <s v="Gomukh Gold 50KG"/>
    <s v="200900200002"/>
    <x v="9"/>
    <s v="Pakariya2"/>
    <x v="3"/>
    <s v="Chano"/>
    <s v="Daya Society"/>
    <n v="1"/>
    <n v="1250"/>
    <n v="1250"/>
    <n v="1"/>
    <m/>
    <m/>
  </r>
  <r>
    <d v="2026-04-27T00:00:00"/>
    <s v="17-04-2026 to 23-04-2026"/>
    <s v="Gomukh Gold 50KG"/>
    <s v="200900200005"/>
    <x v="9"/>
    <s v="Pakariya2"/>
    <x v="8"/>
    <s v="Chano"/>
    <s v="Daya Society"/>
    <n v="0"/>
    <n v="1250"/>
    <n v="625"/>
    <n v="0"/>
    <m/>
    <m/>
  </r>
  <r>
    <d v="2026-04-27T00:00:00"/>
    <s v="17-04-2026 to 23-04-2026"/>
    <s v="Gomukh Gold 50KG"/>
    <s v="200900150002"/>
    <x v="10"/>
    <s v="Pakariya1"/>
    <x v="3"/>
    <s v="Chano"/>
    <s v="Daya Society"/>
    <n v="0"/>
    <n v="1250"/>
    <n v="463"/>
    <n v="0"/>
    <m/>
    <m/>
  </r>
  <r>
    <d v="2026-04-27T00:00:00"/>
    <s v="17-04-2026 to 23-04-2026"/>
    <s v="Gomukh Gold 50KG"/>
    <s v="200900150014"/>
    <x v="10"/>
    <s v="Pakariya1"/>
    <x v="9"/>
    <s v="Chano"/>
    <s v="Daya Society"/>
    <n v="0"/>
    <n v="1250"/>
    <n v="100"/>
    <n v="0"/>
    <m/>
    <m/>
  </r>
  <r>
    <d v="2026-04-27T00:00:00"/>
    <s v="17-04-2026 to 23-04-2026"/>
    <s v="Gomukh Gold 50KG"/>
    <s v="200900150031"/>
    <x v="10"/>
    <s v="Pakariya1"/>
    <x v="10"/>
    <s v="Chano"/>
    <s v="Daya Society"/>
    <n v="0"/>
    <n v="1250"/>
    <n v="100"/>
    <n v="0"/>
    <m/>
    <m/>
  </r>
  <r>
    <d v="2026-04-27T00:00:00"/>
    <s v="17-04-2026 to 23-04-2026"/>
    <s v="Gomukh Gold 50KG"/>
    <s v="200900150032"/>
    <x v="10"/>
    <s v="Pakariya1"/>
    <x v="11"/>
    <s v="Chano"/>
    <s v="Daya Society"/>
    <n v="0"/>
    <n v="1250"/>
    <n v="100"/>
    <n v="0"/>
    <m/>
    <m/>
  </r>
  <r>
    <d v="2026-04-27T00:00:00"/>
    <s v="17-04-2026 to 23-04-2026"/>
    <s v="Gomukh Gold 50KG"/>
    <s v="200900150022"/>
    <x v="10"/>
    <s v="Pakariya1"/>
    <x v="12"/>
    <s v="Chano"/>
    <s v="Daya Society"/>
    <n v="1"/>
    <n v="1250"/>
    <n v="1250"/>
    <n v="1"/>
    <m/>
    <m/>
  </r>
  <r>
    <d v="2026-04-27T00:00:00"/>
    <s v="17-04-2026 to 23-04-2026"/>
    <s v="Gomukh Gold 50KG"/>
    <s v="200900170003"/>
    <x v="11"/>
    <s v="Nawatand"/>
    <x v="7"/>
    <s v="Chano"/>
    <s v="Daya Society"/>
    <n v="1"/>
    <n v="1250"/>
    <n v="1250"/>
    <n v="1"/>
    <m/>
    <m/>
  </r>
  <r>
    <d v="2026-04-27T00:00:00"/>
    <s v="17-04-2026 to 23-04-2026"/>
    <s v="Gomukh Gold 50KG"/>
    <s v="200900110003"/>
    <x v="12"/>
    <s v="barahe"/>
    <x v="7"/>
    <s v="Chano"/>
    <s v="Daya Society"/>
    <n v="1"/>
    <n v="1250"/>
    <n v="1250"/>
    <n v="1"/>
    <m/>
    <m/>
  </r>
  <r>
    <d v="2026-04-27T00:00:00"/>
    <s v="17-04-2026 to 23-04-2026"/>
    <s v="Gomukh Gold 50KG"/>
    <s v="200900250003"/>
    <x v="13"/>
    <s v="Kokar"/>
    <x v="7"/>
    <s v="Chano"/>
    <s v="Daya Society"/>
    <n v="0"/>
    <n v="1250"/>
    <n v="6215"/>
    <n v="0"/>
    <m/>
    <m/>
  </r>
  <r>
    <d v="2026-04-27T00:00:00"/>
    <s v="17-04-2026 to 23-04-2026"/>
    <s v="Gomukh Gold 50KG"/>
    <s v="200900260002"/>
    <x v="14"/>
    <s v="Bagha Toli"/>
    <x v="3"/>
    <s v="Chano"/>
    <s v="Daya Society"/>
    <n v="1"/>
    <n v="1250"/>
    <n v="1250"/>
    <n v="1"/>
    <m/>
    <m/>
  </r>
  <r>
    <d v="2026-04-27T00:00:00"/>
    <s v="17-04-2026 to 23-04-2026"/>
    <s v="Gomukh Gold 50KG"/>
    <s v="200900010002"/>
    <x v="15"/>
    <s v="Chano"/>
    <x v="3"/>
    <s v="Chano"/>
    <s v="Daya Society"/>
    <n v="1"/>
    <n v="1250"/>
    <n v="1250"/>
    <n v="1"/>
    <m/>
    <m/>
  </r>
  <r>
    <d v="2026-04-27T00:00:00"/>
    <s v="17-04-2026 to 23-04-2026"/>
    <s v="Gomukh Gold 50KG"/>
    <s v="200100530014"/>
    <x v="16"/>
    <s v="Tutlu"/>
    <x v="9"/>
    <m/>
    <s v="Daya Society"/>
    <n v="0"/>
    <n v="1250"/>
    <n v="128"/>
    <n v="0"/>
    <m/>
    <m/>
  </r>
  <r>
    <d v="2026-04-27T00:00:00"/>
    <s v="17-04-2026 to 23-04-2026"/>
    <s v="Gomukh Gold 50KG"/>
    <s v="200100530017"/>
    <x v="16"/>
    <s v="Tutlu"/>
    <x v="13"/>
    <m/>
    <s v="Daya Society"/>
    <n v="0"/>
    <n v="1250"/>
    <n v="98"/>
    <n v="0"/>
    <m/>
    <m/>
  </r>
  <r>
    <d v="2026-04-27T00:00:00"/>
    <s v="17-04-2026 to 23-04-2026"/>
    <s v="Gomukh Gold 50KG"/>
    <s v="200100530020"/>
    <x v="16"/>
    <s v="Tutlu"/>
    <x v="14"/>
    <m/>
    <s v="Daya Society"/>
    <n v="0"/>
    <n v="1250"/>
    <n v="138"/>
    <n v="0"/>
    <m/>
    <m/>
  </r>
  <r>
    <d v="2026-04-27T00:00:00"/>
    <s v="17-04-2026 to 23-04-2026"/>
    <s v="Gomukh Gold 50KG"/>
    <s v="200100530022"/>
    <x v="16"/>
    <s v="Tutlu"/>
    <x v="12"/>
    <m/>
    <s v="Daya Society"/>
    <n v="0"/>
    <n v="1250"/>
    <n v="103"/>
    <n v="0"/>
    <m/>
    <m/>
  </r>
  <r>
    <d v="2026-04-27T00:00:00"/>
    <s v="17-04-2026 to 23-04-2026"/>
    <s v="Gomukh Gold 50KG"/>
    <s v="200100530036"/>
    <x v="16"/>
    <s v="Tutlu"/>
    <x v="15"/>
    <m/>
    <s v="Daya Society"/>
    <n v="0"/>
    <n v="1250"/>
    <n v="117"/>
    <n v="0"/>
    <m/>
    <m/>
  </r>
  <r>
    <d v="2026-04-27T00:00:00"/>
    <s v="17-04-2026 to 23-04-2026"/>
    <s v="Gomukh Gold 50KG"/>
    <s v="200100530042"/>
    <x v="16"/>
    <s v="Tutlu"/>
    <x v="16"/>
    <m/>
    <s v="Daya Society"/>
    <n v="0"/>
    <n v="1250"/>
    <n v="81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17FB4-4786-40B8-A7FF-C26C650553C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6" firstHeaderRow="2" firstDataRow="2" firstDataCol="2"/>
  <pivotFields count="15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5"/>
        <item x="0"/>
        <item x="16"/>
        <item x="6"/>
        <item x="7"/>
        <item x="2"/>
        <item x="1"/>
        <item x="8"/>
        <item x="15"/>
        <item x="12"/>
        <item x="10"/>
        <item x="11"/>
        <item x="9"/>
        <item x="13"/>
        <item x="14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8">
        <item x="3"/>
        <item x="7"/>
        <item x="8"/>
        <item x="9"/>
        <item x="4"/>
        <item x="13"/>
        <item x="6"/>
        <item x="14"/>
        <item x="12"/>
        <item x="5"/>
        <item x="2"/>
        <item x="10"/>
        <item x="11"/>
        <item x="0"/>
        <item x="15"/>
        <item x="16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32">
    <i>
      <x/>
      <x v="1"/>
    </i>
    <i>
      <x v="1"/>
      <x v="13"/>
    </i>
    <i r="1">
      <x v="16"/>
    </i>
    <i>
      <x v="2"/>
      <x v="3"/>
    </i>
    <i r="1">
      <x v="5"/>
    </i>
    <i r="1">
      <x v="7"/>
    </i>
    <i r="1">
      <x v="8"/>
    </i>
    <i r="1">
      <x v="14"/>
    </i>
    <i r="1">
      <x v="15"/>
    </i>
    <i>
      <x v="3"/>
      <x/>
    </i>
    <i>
      <x v="4"/>
      <x/>
    </i>
    <i>
      <x v="5"/>
      <x/>
    </i>
    <i>
      <x v="6"/>
      <x v="1"/>
    </i>
    <i r="1">
      <x v="10"/>
    </i>
    <i>
      <x v="7"/>
      <x/>
    </i>
    <i>
      <x v="8"/>
      <x/>
    </i>
    <i>
      <x v="9"/>
      <x v="1"/>
    </i>
    <i>
      <x v="10"/>
      <x/>
    </i>
    <i r="1">
      <x v="3"/>
    </i>
    <i r="1">
      <x v="8"/>
    </i>
    <i r="1">
      <x v="11"/>
    </i>
    <i r="1">
      <x v="12"/>
    </i>
    <i>
      <x v="11"/>
      <x v="1"/>
    </i>
    <i>
      <x v="12"/>
      <x/>
    </i>
    <i r="1">
      <x v="2"/>
    </i>
    <i>
      <x v="13"/>
      <x v="1"/>
    </i>
    <i>
      <x v="14"/>
      <x/>
    </i>
    <i>
      <x v="15"/>
      <x/>
    </i>
    <i>
      <x v="16"/>
      <x v="4"/>
    </i>
    <i r="1">
      <x v="6"/>
    </i>
    <i r="1">
      <x v="9"/>
    </i>
    <i t="grand">
      <x/>
    </i>
  </rowItems>
  <colItems count="1">
    <i/>
  </colItems>
  <dataFields count="1">
    <dataField name="Sum of Total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67E-9421-441E-86A2-D49ABB05BC48}">
  <dimension ref="A3:M40"/>
  <sheetViews>
    <sheetView tabSelected="1" topLeftCell="A6" workbookViewId="0">
      <selection activeCell="M40" sqref="M40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7" bestFit="1" customWidth="1"/>
    <col min="8" max="8" width="13.140625" bestFit="1" customWidth="1"/>
    <col min="9" max="9" width="13.7109375" bestFit="1" customWidth="1"/>
    <col min="10" max="10" width="15.28515625" bestFit="1" customWidth="1"/>
    <col min="11" max="11" width="7" bestFit="1" customWidth="1"/>
    <col min="13" max="13" width="10.140625" bestFit="1" customWidth="1"/>
  </cols>
  <sheetData>
    <row r="3" spans="1:13" x14ac:dyDescent="0.25">
      <c r="A3" s="13" t="s">
        <v>60</v>
      </c>
    </row>
    <row r="4" spans="1:13" x14ac:dyDescent="0.25">
      <c r="A4" s="13" t="s">
        <v>5</v>
      </c>
      <c r="B4" s="13" t="s">
        <v>7</v>
      </c>
      <c r="C4" t="s">
        <v>61</v>
      </c>
      <c r="H4" s="14" t="s">
        <v>4</v>
      </c>
      <c r="I4" s="14" t="s">
        <v>5</v>
      </c>
      <c r="J4" s="14" t="s">
        <v>7</v>
      </c>
      <c r="K4" s="14" t="s">
        <v>61</v>
      </c>
      <c r="L4" s="14" t="s">
        <v>62</v>
      </c>
      <c r="M4" s="14" t="s">
        <v>18</v>
      </c>
    </row>
    <row r="5" spans="1:13" x14ac:dyDescent="0.25">
      <c r="A5">
        <v>20010003</v>
      </c>
      <c r="B5" t="s">
        <v>28</v>
      </c>
      <c r="C5">
        <v>12500</v>
      </c>
      <c r="H5" t="str">
        <f>CONCATENATE(I5,J5)</f>
        <v>200100030003</v>
      </c>
      <c r="I5" s="16">
        <v>20010003</v>
      </c>
      <c r="J5" t="s">
        <v>28</v>
      </c>
      <c r="K5">
        <v>12500</v>
      </c>
      <c r="L5" t="s">
        <v>63</v>
      </c>
      <c r="M5">
        <v>12500</v>
      </c>
    </row>
    <row r="6" spans="1:13" x14ac:dyDescent="0.25">
      <c r="A6">
        <v>20010008</v>
      </c>
      <c r="B6" t="s">
        <v>33</v>
      </c>
      <c r="C6">
        <v>11250</v>
      </c>
      <c r="H6" t="str">
        <f t="shared" ref="H6:H35" si="0">CONCATENATE(I6,J6)</f>
        <v>200100080035</v>
      </c>
      <c r="I6" s="17">
        <v>20010008</v>
      </c>
      <c r="J6" t="s">
        <v>33</v>
      </c>
      <c r="K6">
        <v>11250</v>
      </c>
      <c r="L6" t="s">
        <v>63</v>
      </c>
      <c r="M6">
        <v>11250</v>
      </c>
    </row>
    <row r="7" spans="1:13" x14ac:dyDescent="0.25">
      <c r="A7">
        <v>20010008</v>
      </c>
      <c r="B7" t="s">
        <v>43</v>
      </c>
      <c r="C7">
        <v>1250</v>
      </c>
      <c r="H7" t="str">
        <f t="shared" si="0"/>
        <v>200100080059</v>
      </c>
      <c r="I7" s="16">
        <v>20010008</v>
      </c>
      <c r="J7" t="s">
        <v>43</v>
      </c>
      <c r="K7">
        <v>1250</v>
      </c>
      <c r="L7" t="s">
        <v>63</v>
      </c>
      <c r="M7">
        <v>1250</v>
      </c>
    </row>
    <row r="8" spans="1:13" x14ac:dyDescent="0.25">
      <c r="A8">
        <v>20010053</v>
      </c>
      <c r="B8" t="s">
        <v>35</v>
      </c>
      <c r="C8">
        <v>128</v>
      </c>
      <c r="H8" t="str">
        <f t="shared" si="0"/>
        <v>200100530014</v>
      </c>
      <c r="I8" s="17">
        <v>20010053</v>
      </c>
      <c r="J8" t="s">
        <v>35</v>
      </c>
      <c r="K8">
        <v>128</v>
      </c>
      <c r="L8" t="s">
        <v>63</v>
      </c>
      <c r="M8">
        <v>128</v>
      </c>
    </row>
    <row r="9" spans="1:13" x14ac:dyDescent="0.25">
      <c r="A9">
        <v>20010053</v>
      </c>
      <c r="B9" t="s">
        <v>36</v>
      </c>
      <c r="C9">
        <v>98</v>
      </c>
      <c r="H9" t="str">
        <f t="shared" si="0"/>
        <v>200100530017</v>
      </c>
      <c r="I9" s="17">
        <v>20010053</v>
      </c>
      <c r="J9" t="s">
        <v>36</v>
      </c>
      <c r="K9">
        <v>98</v>
      </c>
      <c r="L9" t="s">
        <v>63</v>
      </c>
      <c r="M9">
        <v>98</v>
      </c>
    </row>
    <row r="10" spans="1:13" x14ac:dyDescent="0.25">
      <c r="A10">
        <v>20010053</v>
      </c>
      <c r="B10" t="s">
        <v>37</v>
      </c>
      <c r="C10">
        <v>138</v>
      </c>
      <c r="H10" t="str">
        <f t="shared" si="0"/>
        <v>200100530020</v>
      </c>
      <c r="I10" s="17">
        <v>20010053</v>
      </c>
      <c r="J10" t="s">
        <v>37</v>
      </c>
      <c r="K10">
        <v>138</v>
      </c>
      <c r="L10" t="s">
        <v>63</v>
      </c>
      <c r="M10">
        <v>138</v>
      </c>
    </row>
    <row r="11" spans="1:13" x14ac:dyDescent="0.25">
      <c r="A11">
        <v>20010053</v>
      </c>
      <c r="B11" t="s">
        <v>38</v>
      </c>
      <c r="C11">
        <v>103</v>
      </c>
      <c r="H11" t="str">
        <f t="shared" si="0"/>
        <v>200100530022</v>
      </c>
      <c r="I11" s="17">
        <v>20010053</v>
      </c>
      <c r="J11" t="s">
        <v>38</v>
      </c>
      <c r="K11">
        <v>103</v>
      </c>
      <c r="L11" t="s">
        <v>63</v>
      </c>
      <c r="M11">
        <v>103</v>
      </c>
    </row>
    <row r="12" spans="1:13" x14ac:dyDescent="0.25">
      <c r="A12">
        <v>20010053</v>
      </c>
      <c r="B12" t="s">
        <v>39</v>
      </c>
      <c r="C12">
        <v>117</v>
      </c>
      <c r="H12" t="str">
        <f t="shared" si="0"/>
        <v>200100530036</v>
      </c>
      <c r="I12" s="17">
        <v>20010053</v>
      </c>
      <c r="J12" t="s">
        <v>39</v>
      </c>
      <c r="K12">
        <v>117</v>
      </c>
      <c r="L12" t="s">
        <v>63</v>
      </c>
      <c r="M12">
        <v>117</v>
      </c>
    </row>
    <row r="13" spans="1:13" x14ac:dyDescent="0.25">
      <c r="A13">
        <v>20010053</v>
      </c>
      <c r="B13" t="s">
        <v>26</v>
      </c>
      <c r="C13">
        <v>81</v>
      </c>
      <c r="H13" t="str">
        <f t="shared" si="0"/>
        <v>200100530042</v>
      </c>
      <c r="I13" s="16">
        <v>20010053</v>
      </c>
      <c r="J13" t="s">
        <v>26</v>
      </c>
      <c r="K13">
        <v>81</v>
      </c>
      <c r="L13" t="s">
        <v>63</v>
      </c>
      <c r="M13">
        <v>81</v>
      </c>
    </row>
    <row r="14" spans="1:13" x14ac:dyDescent="0.25">
      <c r="A14">
        <v>20020003</v>
      </c>
      <c r="B14" t="s">
        <v>23</v>
      </c>
      <c r="C14">
        <v>6250</v>
      </c>
      <c r="H14" t="str">
        <f t="shared" si="0"/>
        <v>200200030002</v>
      </c>
      <c r="I14" s="16">
        <v>20020003</v>
      </c>
      <c r="J14" t="s">
        <v>23</v>
      </c>
      <c r="K14">
        <v>6250</v>
      </c>
      <c r="L14" t="s">
        <v>63</v>
      </c>
      <c r="M14">
        <v>6250</v>
      </c>
    </row>
    <row r="15" spans="1:13" x14ac:dyDescent="0.25">
      <c r="A15">
        <v>20020025</v>
      </c>
      <c r="B15" t="s">
        <v>23</v>
      </c>
      <c r="C15">
        <v>7968</v>
      </c>
      <c r="H15" t="str">
        <f t="shared" si="0"/>
        <v>200200250002</v>
      </c>
      <c r="I15" s="16">
        <v>20020025</v>
      </c>
      <c r="J15" t="s">
        <v>23</v>
      </c>
      <c r="K15">
        <v>7968</v>
      </c>
      <c r="L15" t="s">
        <v>63</v>
      </c>
      <c r="M15">
        <v>4841</v>
      </c>
    </row>
    <row r="16" spans="1:13" x14ac:dyDescent="0.25">
      <c r="A16">
        <v>20060003</v>
      </c>
      <c r="B16" t="s">
        <v>23</v>
      </c>
      <c r="C16">
        <v>25000</v>
      </c>
      <c r="H16" t="str">
        <f t="shared" si="0"/>
        <v>200600030002</v>
      </c>
      <c r="I16" s="16">
        <v>20060003</v>
      </c>
      <c r="J16" t="s">
        <v>23</v>
      </c>
      <c r="K16">
        <v>25000</v>
      </c>
      <c r="L16" t="s">
        <v>63</v>
      </c>
      <c r="M16">
        <v>25000</v>
      </c>
    </row>
    <row r="17" spans="1:13" x14ac:dyDescent="0.25">
      <c r="A17">
        <v>20060009</v>
      </c>
      <c r="B17" t="s">
        <v>28</v>
      </c>
      <c r="C17">
        <v>2500</v>
      </c>
      <c r="H17" t="str">
        <f t="shared" si="0"/>
        <v>200600090003</v>
      </c>
      <c r="I17" s="17">
        <v>20060009</v>
      </c>
      <c r="J17" t="s">
        <v>28</v>
      </c>
      <c r="K17">
        <v>2500</v>
      </c>
      <c r="L17" t="s">
        <v>63</v>
      </c>
      <c r="M17">
        <v>0</v>
      </c>
    </row>
    <row r="18" spans="1:13" x14ac:dyDescent="0.25">
      <c r="A18">
        <v>20060009</v>
      </c>
      <c r="B18" t="s">
        <v>21</v>
      </c>
      <c r="C18">
        <v>1250</v>
      </c>
      <c r="H18" t="str">
        <f t="shared" si="0"/>
        <v>200600090025</v>
      </c>
      <c r="I18" s="16">
        <v>20060009</v>
      </c>
      <c r="J18" t="s">
        <v>21</v>
      </c>
      <c r="K18">
        <v>1250</v>
      </c>
      <c r="L18" t="s">
        <v>63</v>
      </c>
      <c r="M18">
        <v>445</v>
      </c>
    </row>
    <row r="19" spans="1:13" x14ac:dyDescent="0.25">
      <c r="A19">
        <v>20070001</v>
      </c>
      <c r="B19" t="s">
        <v>23</v>
      </c>
      <c r="C19">
        <v>8750</v>
      </c>
      <c r="H19" t="str">
        <f t="shared" si="0"/>
        <v>200700010002</v>
      </c>
      <c r="I19" s="16">
        <v>20070001</v>
      </c>
      <c r="J19" t="s">
        <v>23</v>
      </c>
      <c r="K19">
        <v>8750</v>
      </c>
      <c r="L19" t="s">
        <v>63</v>
      </c>
      <c r="M19">
        <v>8750</v>
      </c>
    </row>
    <row r="20" spans="1:13" x14ac:dyDescent="0.25">
      <c r="A20">
        <v>20090001</v>
      </c>
      <c r="B20" t="s">
        <v>23</v>
      </c>
      <c r="C20">
        <v>1250</v>
      </c>
      <c r="H20" t="str">
        <f t="shared" si="0"/>
        <v>200900010002</v>
      </c>
      <c r="I20" s="16">
        <v>20090001</v>
      </c>
      <c r="J20" t="s">
        <v>23</v>
      </c>
      <c r="K20">
        <v>1250</v>
      </c>
      <c r="L20" t="s">
        <v>63</v>
      </c>
      <c r="M20">
        <v>1250</v>
      </c>
    </row>
    <row r="21" spans="1:13" x14ac:dyDescent="0.25">
      <c r="A21">
        <v>20090011</v>
      </c>
      <c r="B21" t="s">
        <v>28</v>
      </c>
      <c r="C21">
        <v>1250</v>
      </c>
      <c r="H21" t="str">
        <f t="shared" si="0"/>
        <v>200900110003</v>
      </c>
      <c r="I21" s="16">
        <v>20090011</v>
      </c>
      <c r="J21" t="s">
        <v>28</v>
      </c>
      <c r="K21">
        <v>1250</v>
      </c>
      <c r="L21" t="s">
        <v>63</v>
      </c>
      <c r="M21">
        <v>1250</v>
      </c>
    </row>
    <row r="22" spans="1:13" x14ac:dyDescent="0.25">
      <c r="A22">
        <v>20090015</v>
      </c>
      <c r="B22" t="s">
        <v>23</v>
      </c>
      <c r="C22">
        <v>463</v>
      </c>
      <c r="H22" t="str">
        <f t="shared" si="0"/>
        <v>200900150002</v>
      </c>
      <c r="I22" s="17">
        <v>20090015</v>
      </c>
      <c r="J22" t="s">
        <v>23</v>
      </c>
      <c r="K22">
        <v>463</v>
      </c>
      <c r="L22" t="s">
        <v>63</v>
      </c>
      <c r="M22">
        <v>463</v>
      </c>
    </row>
    <row r="23" spans="1:13" x14ac:dyDescent="0.25">
      <c r="A23">
        <v>20090015</v>
      </c>
      <c r="B23" t="s">
        <v>35</v>
      </c>
      <c r="C23">
        <v>100</v>
      </c>
      <c r="H23" t="str">
        <f t="shared" si="0"/>
        <v>200900150014</v>
      </c>
      <c r="I23" s="17">
        <v>20090015</v>
      </c>
      <c r="J23" t="s">
        <v>35</v>
      </c>
      <c r="K23">
        <v>100</v>
      </c>
      <c r="L23" t="s">
        <v>63</v>
      </c>
      <c r="M23">
        <v>100</v>
      </c>
    </row>
    <row r="24" spans="1:13" x14ac:dyDescent="0.25">
      <c r="A24">
        <v>20090015</v>
      </c>
      <c r="B24" t="s">
        <v>38</v>
      </c>
      <c r="C24">
        <v>1250</v>
      </c>
      <c r="H24" t="str">
        <f t="shared" si="0"/>
        <v>200900150022</v>
      </c>
      <c r="I24" s="17">
        <v>20090015</v>
      </c>
      <c r="J24" t="s">
        <v>38</v>
      </c>
      <c r="K24">
        <v>1250</v>
      </c>
      <c r="L24" t="s">
        <v>63</v>
      </c>
      <c r="M24">
        <v>1158</v>
      </c>
    </row>
    <row r="25" spans="1:13" x14ac:dyDescent="0.25">
      <c r="A25">
        <v>20090015</v>
      </c>
      <c r="B25" t="s">
        <v>52</v>
      </c>
      <c r="C25">
        <v>100</v>
      </c>
      <c r="H25" t="str">
        <f t="shared" si="0"/>
        <v>200900150031</v>
      </c>
      <c r="I25" s="17">
        <v>20090015</v>
      </c>
      <c r="J25" t="s">
        <v>52</v>
      </c>
      <c r="K25">
        <v>100</v>
      </c>
      <c r="L25" t="s">
        <v>63</v>
      </c>
      <c r="M25">
        <v>100</v>
      </c>
    </row>
    <row r="26" spans="1:13" x14ac:dyDescent="0.25">
      <c r="A26">
        <v>20090015</v>
      </c>
      <c r="B26" t="s">
        <v>53</v>
      </c>
      <c r="C26">
        <v>100</v>
      </c>
      <c r="H26" t="str">
        <f t="shared" si="0"/>
        <v>200900150032</v>
      </c>
      <c r="I26" s="16">
        <v>20090015</v>
      </c>
      <c r="J26" t="s">
        <v>53</v>
      </c>
      <c r="K26">
        <v>100</v>
      </c>
      <c r="L26" t="s">
        <v>63</v>
      </c>
      <c r="M26">
        <v>100</v>
      </c>
    </row>
    <row r="27" spans="1:13" x14ac:dyDescent="0.25">
      <c r="A27">
        <v>20090017</v>
      </c>
      <c r="B27" t="s">
        <v>28</v>
      </c>
      <c r="C27">
        <v>1250</v>
      </c>
      <c r="H27" t="str">
        <f t="shared" si="0"/>
        <v>200900170003</v>
      </c>
      <c r="I27" s="16">
        <v>20090017</v>
      </c>
      <c r="J27" t="s">
        <v>28</v>
      </c>
      <c r="K27">
        <v>1250</v>
      </c>
      <c r="L27" t="s">
        <v>63</v>
      </c>
      <c r="M27">
        <v>1250</v>
      </c>
    </row>
    <row r="28" spans="1:13" x14ac:dyDescent="0.25">
      <c r="A28">
        <v>20090020</v>
      </c>
      <c r="B28" t="s">
        <v>23</v>
      </c>
      <c r="C28">
        <v>1250</v>
      </c>
      <c r="H28" t="str">
        <f t="shared" si="0"/>
        <v>200900200002</v>
      </c>
      <c r="I28" s="17">
        <v>20090020</v>
      </c>
      <c r="J28" t="s">
        <v>23</v>
      </c>
      <c r="K28">
        <v>1250</v>
      </c>
      <c r="L28" t="s">
        <v>63</v>
      </c>
      <c r="M28">
        <v>1250</v>
      </c>
    </row>
    <row r="29" spans="1:13" x14ac:dyDescent="0.25">
      <c r="A29">
        <v>20090020</v>
      </c>
      <c r="B29" t="s">
        <v>22</v>
      </c>
      <c r="C29">
        <v>625</v>
      </c>
      <c r="H29" t="str">
        <f t="shared" si="0"/>
        <v>200900200005</v>
      </c>
      <c r="I29" s="16">
        <v>20090020</v>
      </c>
      <c r="J29" t="s">
        <v>22</v>
      </c>
      <c r="K29">
        <v>625</v>
      </c>
      <c r="L29" t="s">
        <v>63</v>
      </c>
      <c r="M29">
        <v>625</v>
      </c>
    </row>
    <row r="30" spans="1:13" x14ac:dyDescent="0.25">
      <c r="A30">
        <v>20090025</v>
      </c>
      <c r="B30" t="s">
        <v>28</v>
      </c>
      <c r="C30">
        <v>6215</v>
      </c>
      <c r="H30" t="str">
        <f t="shared" si="0"/>
        <v>200900250003</v>
      </c>
      <c r="I30" s="16">
        <v>20090025</v>
      </c>
      <c r="J30" t="s">
        <v>28</v>
      </c>
      <c r="K30">
        <v>6215</v>
      </c>
      <c r="L30" t="s">
        <v>64</v>
      </c>
      <c r="M30">
        <v>6215</v>
      </c>
    </row>
    <row r="31" spans="1:13" x14ac:dyDescent="0.25">
      <c r="A31">
        <v>20090026</v>
      </c>
      <c r="B31" t="s">
        <v>23</v>
      </c>
      <c r="C31">
        <v>1250</v>
      </c>
      <c r="H31" t="str">
        <f t="shared" si="0"/>
        <v>200900260002</v>
      </c>
      <c r="I31" s="16">
        <v>20090026</v>
      </c>
      <c r="J31" t="s">
        <v>23</v>
      </c>
      <c r="K31">
        <v>1250</v>
      </c>
      <c r="L31" t="s">
        <v>63</v>
      </c>
      <c r="M31">
        <v>1250</v>
      </c>
    </row>
    <row r="32" spans="1:13" x14ac:dyDescent="0.25">
      <c r="A32" t="s">
        <v>46</v>
      </c>
      <c r="B32" t="s">
        <v>23</v>
      </c>
      <c r="C32">
        <v>12600</v>
      </c>
      <c r="H32" t="str">
        <f t="shared" si="0"/>
        <v>200100010002</v>
      </c>
      <c r="I32" s="16">
        <v>20010001</v>
      </c>
      <c r="J32" t="s">
        <v>23</v>
      </c>
      <c r="K32">
        <v>12600</v>
      </c>
      <c r="L32" t="s">
        <v>63</v>
      </c>
      <c r="M32">
        <v>126000</v>
      </c>
    </row>
    <row r="33" spans="1:13" x14ac:dyDescent="0.25">
      <c r="A33" t="s">
        <v>58</v>
      </c>
      <c r="B33" t="s">
        <v>32</v>
      </c>
      <c r="C33">
        <v>1250</v>
      </c>
      <c r="H33" t="str">
        <f t="shared" si="0"/>
        <v>(blank)0015</v>
      </c>
      <c r="I33" s="17" t="s">
        <v>58</v>
      </c>
      <c r="J33" t="s">
        <v>32</v>
      </c>
      <c r="K33">
        <v>1250</v>
      </c>
      <c r="L33" t="e">
        <v>#N/A</v>
      </c>
      <c r="M33">
        <v>0</v>
      </c>
    </row>
    <row r="34" spans="1:13" x14ac:dyDescent="0.25">
      <c r="A34" t="s">
        <v>58</v>
      </c>
      <c r="B34" t="s">
        <v>31</v>
      </c>
      <c r="C34">
        <v>1250</v>
      </c>
      <c r="H34" t="str">
        <f t="shared" si="0"/>
        <v>(blank)0018</v>
      </c>
      <c r="I34" s="17" t="s">
        <v>58</v>
      </c>
      <c r="J34" t="s">
        <v>31</v>
      </c>
      <c r="K34">
        <v>1250</v>
      </c>
      <c r="L34" t="e">
        <v>#N/A</v>
      </c>
      <c r="M34">
        <v>0</v>
      </c>
    </row>
    <row r="35" spans="1:13" x14ac:dyDescent="0.25">
      <c r="A35" t="s">
        <v>58</v>
      </c>
      <c r="B35" t="s">
        <v>27</v>
      </c>
      <c r="C35">
        <v>1250</v>
      </c>
      <c r="H35" t="str">
        <f t="shared" si="0"/>
        <v>(blank)0023</v>
      </c>
      <c r="I35" s="16" t="s">
        <v>58</v>
      </c>
      <c r="J35" t="s">
        <v>27</v>
      </c>
      <c r="K35">
        <v>1250</v>
      </c>
      <c r="L35" t="e">
        <v>#N/A</v>
      </c>
      <c r="M35">
        <v>0</v>
      </c>
    </row>
    <row r="36" spans="1:13" x14ac:dyDescent="0.25">
      <c r="A36" t="s">
        <v>59</v>
      </c>
      <c r="C36">
        <v>108836</v>
      </c>
      <c r="I36" s="15" t="s">
        <v>59</v>
      </c>
      <c r="J36" s="15"/>
      <c r="K36" s="15">
        <v>108836</v>
      </c>
      <c r="L36" s="15"/>
      <c r="M36" s="15">
        <f>SUM(M5:M35)</f>
        <v>211962</v>
      </c>
    </row>
    <row r="38" spans="1:13" x14ac:dyDescent="0.25">
      <c r="M38">
        <v>8215</v>
      </c>
    </row>
    <row r="40" spans="1:13" x14ac:dyDescent="0.25">
      <c r="M40">
        <f>M36+M38</f>
        <v>220177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Q34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8" sqref="L8"/>
    </sheetView>
  </sheetViews>
  <sheetFormatPr defaultColWidth="12.5703125" defaultRowHeight="15" x14ac:dyDescent="0.25"/>
  <cols>
    <col min="1" max="1" width="13.28515625" customWidth="1"/>
    <col min="2" max="2" width="23.140625" customWidth="1"/>
    <col min="3" max="3" width="18.85546875" customWidth="1"/>
    <col min="4" max="4" width="14.5703125" customWidth="1"/>
    <col min="5" max="5" width="12.28515625" customWidth="1"/>
    <col min="6" max="6" width="16.140625" customWidth="1"/>
    <col min="7" max="7" width="13" customWidth="1"/>
    <col min="8" max="8" width="16" customWidth="1"/>
    <col min="9" max="9" width="16.140625" customWidth="1"/>
    <col min="10" max="10" width="7.85546875" customWidth="1"/>
    <col min="11" max="11" width="12.28515625" customWidth="1"/>
    <col min="12" max="13" width="13.140625" customWidth="1"/>
    <col min="14" max="14" width="16" customWidth="1"/>
    <col min="15" max="19" width="18.85546875" customWidth="1"/>
  </cols>
  <sheetData>
    <row r="1" spans="1:17" ht="15.75" customHeight="1" x14ac:dyDescent="0.25">
      <c r="J1">
        <f>SUBTOTAL(9,J4:J76)</f>
        <v>69</v>
      </c>
      <c r="L1">
        <f>SUBTOTAL(9,L4:L68)</f>
        <v>222236</v>
      </c>
    </row>
    <row r="2" spans="1:1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8" t="s">
        <v>0</v>
      </c>
      <c r="K2" s="19"/>
      <c r="L2" s="19"/>
      <c r="M2" s="20" t="s">
        <v>18</v>
      </c>
      <c r="N2" s="21"/>
      <c r="O2" s="22"/>
      <c r="P2" s="1"/>
    </row>
    <row r="3" spans="1:17" s="7" customFormat="1" ht="12.75" x14ac:dyDescent="0.2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2" t="s">
        <v>8</v>
      </c>
      <c r="I3" s="2" t="s">
        <v>9</v>
      </c>
      <c r="J3" s="3" t="s">
        <v>10</v>
      </c>
      <c r="K3" s="2" t="s">
        <v>11</v>
      </c>
      <c r="L3" s="2" t="s">
        <v>12</v>
      </c>
      <c r="M3" s="5" t="s">
        <v>13</v>
      </c>
      <c r="N3" s="5" t="s">
        <v>14</v>
      </c>
      <c r="O3" s="5" t="s">
        <v>15</v>
      </c>
      <c r="P3" s="6"/>
      <c r="Q3" s="7" t="s">
        <v>19</v>
      </c>
    </row>
    <row r="4" spans="1:17" x14ac:dyDescent="0.25">
      <c r="A4" s="8">
        <v>46139</v>
      </c>
      <c r="B4" s="9" t="s">
        <v>44</v>
      </c>
      <c r="C4" s="9" t="s">
        <v>16</v>
      </c>
      <c r="D4" s="9" t="str">
        <f t="shared" ref="D4" si="0">CONCATENATE(E4,G4)</f>
        <v>200100080035</v>
      </c>
      <c r="E4" s="9">
        <v>20010008</v>
      </c>
      <c r="F4" s="10" t="s">
        <v>42</v>
      </c>
      <c r="G4" s="10" t="s">
        <v>33</v>
      </c>
      <c r="H4" s="10" t="s">
        <v>40</v>
      </c>
      <c r="I4" s="9" t="s">
        <v>17</v>
      </c>
      <c r="J4" s="9">
        <v>9</v>
      </c>
      <c r="K4" s="9">
        <v>1250</v>
      </c>
      <c r="L4" s="9">
        <f>+J4*K4</f>
        <v>11250</v>
      </c>
      <c r="M4" s="9">
        <f>J4</f>
        <v>9</v>
      </c>
      <c r="N4" s="9"/>
      <c r="O4" s="1"/>
      <c r="P4" s="1">
        <f>N4-O4</f>
        <v>0</v>
      </c>
    </row>
    <row r="5" spans="1:17" x14ac:dyDescent="0.25">
      <c r="A5" s="8">
        <v>46139</v>
      </c>
      <c r="B5" s="9" t="s">
        <v>44</v>
      </c>
      <c r="C5" s="9" t="s">
        <v>16</v>
      </c>
      <c r="D5" s="9" t="str">
        <f t="shared" ref="D5" si="1">CONCATENATE(E5,G5)</f>
        <v>200100080059</v>
      </c>
      <c r="E5" s="9">
        <v>20010008</v>
      </c>
      <c r="F5" s="10" t="s">
        <v>42</v>
      </c>
      <c r="G5" s="10" t="s">
        <v>43</v>
      </c>
      <c r="H5" s="10" t="s">
        <v>40</v>
      </c>
      <c r="I5" s="9" t="s">
        <v>17</v>
      </c>
      <c r="J5" s="9">
        <v>1</v>
      </c>
      <c r="K5" s="9">
        <v>1250</v>
      </c>
      <c r="L5" s="9">
        <f>+J5*K5</f>
        <v>1250</v>
      </c>
      <c r="M5" s="9">
        <f>J5</f>
        <v>1</v>
      </c>
      <c r="N5" s="9"/>
      <c r="O5" s="1"/>
      <c r="P5" s="1">
        <f>N5-O5</f>
        <v>0</v>
      </c>
    </row>
    <row r="6" spans="1:17" x14ac:dyDescent="0.25">
      <c r="A6" s="8">
        <v>46139</v>
      </c>
      <c r="B6" s="9" t="s">
        <v>44</v>
      </c>
      <c r="C6" s="9" t="s">
        <v>16</v>
      </c>
      <c r="D6" s="9" t="str">
        <f t="shared" ref="D6:D7" si="2">CONCATENATE(E6,G6)</f>
        <v>200600090025</v>
      </c>
      <c r="E6" s="9">
        <v>20060009</v>
      </c>
      <c r="F6" s="10" t="s">
        <v>45</v>
      </c>
      <c r="G6" s="10" t="s">
        <v>21</v>
      </c>
      <c r="H6" s="9"/>
      <c r="I6" s="9" t="s">
        <v>17</v>
      </c>
      <c r="J6" s="9">
        <v>1</v>
      </c>
      <c r="K6" s="9">
        <v>1250</v>
      </c>
      <c r="L6" s="9">
        <f t="shared" ref="L6:L28" si="3">+J6*K6</f>
        <v>1250</v>
      </c>
      <c r="M6" s="9">
        <f t="shared" ref="M6:M19" si="4">J6</f>
        <v>1</v>
      </c>
      <c r="N6" s="9"/>
      <c r="O6" s="1"/>
      <c r="P6" s="1">
        <f t="shared" ref="P6:P13" si="5">N6-O6</f>
        <v>0</v>
      </c>
    </row>
    <row r="7" spans="1:17" x14ac:dyDescent="0.25">
      <c r="A7" s="8">
        <v>46139</v>
      </c>
      <c r="B7" s="9" t="s">
        <v>44</v>
      </c>
      <c r="C7" s="9" t="s">
        <v>16</v>
      </c>
      <c r="D7" s="9" t="str">
        <f t="shared" si="2"/>
        <v>200600030002</v>
      </c>
      <c r="E7" s="9">
        <v>20060003</v>
      </c>
      <c r="F7" s="10" t="s">
        <v>24</v>
      </c>
      <c r="G7" s="10" t="s">
        <v>23</v>
      </c>
      <c r="H7" s="9"/>
      <c r="I7" s="9" t="s">
        <v>17</v>
      </c>
      <c r="J7" s="9">
        <v>20</v>
      </c>
      <c r="K7" s="9">
        <v>1250</v>
      </c>
      <c r="L7" s="9">
        <f t="shared" si="3"/>
        <v>25000</v>
      </c>
      <c r="M7" s="9">
        <f t="shared" si="4"/>
        <v>20</v>
      </c>
      <c r="N7" s="9"/>
      <c r="O7" s="1"/>
      <c r="P7" s="1">
        <f t="shared" si="5"/>
        <v>0</v>
      </c>
    </row>
    <row r="8" spans="1:17" x14ac:dyDescent="0.25">
      <c r="A8" s="8">
        <v>46139</v>
      </c>
      <c r="B8" s="9" t="s">
        <v>44</v>
      </c>
      <c r="C8" s="9" t="s">
        <v>16</v>
      </c>
      <c r="D8" s="9" t="str">
        <f t="shared" ref="D8:D13" si="6">CONCATENATE(E8,G8)</f>
        <v>200100010002</v>
      </c>
      <c r="E8" s="10" t="s">
        <v>46</v>
      </c>
      <c r="F8" s="10" t="s">
        <v>40</v>
      </c>
      <c r="G8" s="10" t="s">
        <v>23</v>
      </c>
      <c r="H8" s="10" t="s">
        <v>40</v>
      </c>
      <c r="I8" s="9" t="s">
        <v>17</v>
      </c>
      <c r="J8" s="11">
        <v>0</v>
      </c>
      <c r="K8" s="9">
        <v>1250</v>
      </c>
      <c r="L8" s="9">
        <v>126000</v>
      </c>
      <c r="M8" s="11">
        <f t="shared" si="4"/>
        <v>0</v>
      </c>
      <c r="N8" s="9"/>
      <c r="O8" s="11"/>
      <c r="P8" s="1">
        <f t="shared" si="5"/>
        <v>0</v>
      </c>
    </row>
    <row r="9" spans="1:17" x14ac:dyDescent="0.25">
      <c r="A9" s="8">
        <v>46139</v>
      </c>
      <c r="B9" s="9" t="s">
        <v>44</v>
      </c>
      <c r="C9" s="9" t="s">
        <v>16</v>
      </c>
      <c r="D9" s="9" t="str">
        <f t="shared" si="6"/>
        <v>0015</v>
      </c>
      <c r="E9" s="9"/>
      <c r="F9" s="11" t="s">
        <v>30</v>
      </c>
      <c r="G9" s="12" t="s">
        <v>32</v>
      </c>
      <c r="H9" s="11"/>
      <c r="I9" s="9" t="s">
        <v>17</v>
      </c>
      <c r="J9" s="11">
        <v>1</v>
      </c>
      <c r="K9" s="9">
        <v>1250</v>
      </c>
      <c r="L9" s="9">
        <f t="shared" si="3"/>
        <v>1250</v>
      </c>
      <c r="M9" s="11">
        <f t="shared" si="4"/>
        <v>1</v>
      </c>
      <c r="N9" s="9"/>
      <c r="O9" s="11"/>
      <c r="P9" s="1">
        <f t="shared" si="5"/>
        <v>0</v>
      </c>
    </row>
    <row r="10" spans="1:17" x14ac:dyDescent="0.25">
      <c r="A10" s="8">
        <v>46139</v>
      </c>
      <c r="B10" s="9" t="s">
        <v>44</v>
      </c>
      <c r="C10" s="9" t="s">
        <v>16</v>
      </c>
      <c r="D10" s="9" t="str">
        <f t="shared" si="6"/>
        <v>0023</v>
      </c>
      <c r="E10" s="9"/>
      <c r="F10" s="11" t="s">
        <v>30</v>
      </c>
      <c r="G10" s="12" t="s">
        <v>27</v>
      </c>
      <c r="H10" s="11"/>
      <c r="I10" s="9" t="s">
        <v>17</v>
      </c>
      <c r="J10" s="11">
        <v>1</v>
      </c>
      <c r="K10" s="9">
        <v>1250</v>
      </c>
      <c r="L10" s="9">
        <f t="shared" si="3"/>
        <v>1250</v>
      </c>
      <c r="M10" s="11">
        <f t="shared" si="4"/>
        <v>1</v>
      </c>
      <c r="N10" s="9"/>
      <c r="O10" s="11"/>
      <c r="P10" s="1">
        <f t="shared" si="5"/>
        <v>0</v>
      </c>
    </row>
    <row r="11" spans="1:17" x14ac:dyDescent="0.25">
      <c r="A11" s="8">
        <v>46139</v>
      </c>
      <c r="B11" s="9" t="s">
        <v>44</v>
      </c>
      <c r="C11" s="9" t="s">
        <v>16</v>
      </c>
      <c r="D11" s="9" t="str">
        <f t="shared" si="6"/>
        <v>0018</v>
      </c>
      <c r="E11" s="9"/>
      <c r="F11" s="11" t="s">
        <v>30</v>
      </c>
      <c r="G11" s="12" t="s">
        <v>31</v>
      </c>
      <c r="H11" s="11"/>
      <c r="I11" s="9" t="s">
        <v>17</v>
      </c>
      <c r="J11" s="11">
        <v>1</v>
      </c>
      <c r="K11" s="9">
        <v>1250</v>
      </c>
      <c r="L11" s="9">
        <f t="shared" si="3"/>
        <v>1250</v>
      </c>
      <c r="M11" s="11">
        <f t="shared" si="4"/>
        <v>1</v>
      </c>
      <c r="N11" s="9"/>
      <c r="O11" s="11"/>
      <c r="P11" s="1">
        <f t="shared" si="5"/>
        <v>0</v>
      </c>
    </row>
    <row r="12" spans="1:17" x14ac:dyDescent="0.25">
      <c r="A12" s="8">
        <v>46139</v>
      </c>
      <c r="B12" s="9" t="s">
        <v>44</v>
      </c>
      <c r="C12" s="9" t="s">
        <v>16</v>
      </c>
      <c r="D12" s="9" t="str">
        <f t="shared" si="6"/>
        <v>200100030003</v>
      </c>
      <c r="E12" s="9">
        <v>20010003</v>
      </c>
      <c r="F12" s="11" t="s">
        <v>20</v>
      </c>
      <c r="G12" s="12" t="s">
        <v>28</v>
      </c>
      <c r="H12" s="11"/>
      <c r="I12" s="9" t="s">
        <v>17</v>
      </c>
      <c r="J12" s="11">
        <v>10</v>
      </c>
      <c r="K12" s="9">
        <v>1250</v>
      </c>
      <c r="L12" s="9">
        <f t="shared" si="3"/>
        <v>12500</v>
      </c>
      <c r="M12" s="11">
        <f t="shared" si="4"/>
        <v>10</v>
      </c>
      <c r="N12" s="9"/>
      <c r="O12" s="11"/>
      <c r="P12" s="1">
        <f t="shared" si="5"/>
        <v>0</v>
      </c>
    </row>
    <row r="13" spans="1:17" x14ac:dyDescent="0.25">
      <c r="A13" s="8">
        <v>46139</v>
      </c>
      <c r="B13" s="9" t="s">
        <v>44</v>
      </c>
      <c r="C13" s="9" t="s">
        <v>16</v>
      </c>
      <c r="D13" s="9" t="str">
        <f t="shared" si="6"/>
        <v>200600090003</v>
      </c>
      <c r="E13" s="9">
        <v>20060009</v>
      </c>
      <c r="F13" s="11" t="s">
        <v>41</v>
      </c>
      <c r="G13" s="12" t="s">
        <v>28</v>
      </c>
      <c r="H13" s="11"/>
      <c r="I13" s="9" t="s">
        <v>17</v>
      </c>
      <c r="J13" s="11">
        <v>2</v>
      </c>
      <c r="K13" s="9">
        <v>1250</v>
      </c>
      <c r="L13" s="9">
        <f t="shared" si="3"/>
        <v>2500</v>
      </c>
      <c r="M13" s="11">
        <f t="shared" si="4"/>
        <v>2</v>
      </c>
      <c r="N13" s="9"/>
      <c r="O13" s="11"/>
      <c r="P13" s="1">
        <f t="shared" si="5"/>
        <v>0</v>
      </c>
    </row>
    <row r="14" spans="1:17" x14ac:dyDescent="0.25">
      <c r="A14" s="8">
        <v>46139</v>
      </c>
      <c r="B14" s="9" t="s">
        <v>44</v>
      </c>
      <c r="C14" s="9" t="s">
        <v>16</v>
      </c>
      <c r="D14" s="9" t="str">
        <f t="shared" ref="D14:D19" si="7">CONCATENATE(E14,G14)</f>
        <v>200200030002</v>
      </c>
      <c r="E14" s="9">
        <v>20020003</v>
      </c>
      <c r="F14" s="11" t="s">
        <v>47</v>
      </c>
      <c r="G14" s="10" t="s">
        <v>23</v>
      </c>
      <c r="H14" s="11" t="s">
        <v>25</v>
      </c>
      <c r="I14" s="9" t="s">
        <v>17</v>
      </c>
      <c r="J14" s="11">
        <v>5</v>
      </c>
      <c r="K14" s="9">
        <v>1250</v>
      </c>
      <c r="L14" s="9">
        <f t="shared" si="3"/>
        <v>6250</v>
      </c>
      <c r="M14" s="11">
        <f t="shared" si="4"/>
        <v>5</v>
      </c>
      <c r="N14" s="9"/>
      <c r="O14" s="11"/>
      <c r="P14" s="1">
        <f t="shared" ref="P14:P19" si="8">N14-O14</f>
        <v>0</v>
      </c>
    </row>
    <row r="15" spans="1:17" x14ac:dyDescent="0.25">
      <c r="A15" s="8">
        <v>46139</v>
      </c>
      <c r="B15" s="9" t="s">
        <v>44</v>
      </c>
      <c r="C15" s="9" t="s">
        <v>16</v>
      </c>
      <c r="D15" s="9" t="str">
        <f t="shared" si="7"/>
        <v>200200250002</v>
      </c>
      <c r="E15" s="9">
        <v>20020025</v>
      </c>
      <c r="F15" s="11" t="s">
        <v>48</v>
      </c>
      <c r="G15" s="10" t="s">
        <v>23</v>
      </c>
      <c r="H15" s="11" t="s">
        <v>25</v>
      </c>
      <c r="I15" s="9" t="s">
        <v>17</v>
      </c>
      <c r="J15" s="11">
        <v>5</v>
      </c>
      <c r="K15" s="9">
        <v>1250</v>
      </c>
      <c r="L15" s="9">
        <v>7968</v>
      </c>
      <c r="M15" s="11">
        <f t="shared" si="4"/>
        <v>5</v>
      </c>
      <c r="N15" s="9"/>
      <c r="O15" s="11"/>
      <c r="P15" s="1">
        <f t="shared" si="8"/>
        <v>0</v>
      </c>
    </row>
    <row r="16" spans="1:17" x14ac:dyDescent="0.25">
      <c r="A16" s="8">
        <v>46139</v>
      </c>
      <c r="B16" s="9" t="s">
        <v>44</v>
      </c>
      <c r="C16" s="9" t="s">
        <v>16</v>
      </c>
      <c r="D16" s="9" t="str">
        <f t="shared" si="7"/>
        <v>200700010002</v>
      </c>
      <c r="E16" s="9">
        <v>20070001</v>
      </c>
      <c r="F16" s="11" t="s">
        <v>49</v>
      </c>
      <c r="G16" s="10" t="s">
        <v>23</v>
      </c>
      <c r="H16" s="11"/>
      <c r="I16" s="9" t="s">
        <v>17</v>
      </c>
      <c r="J16" s="11">
        <v>7</v>
      </c>
      <c r="K16" s="9">
        <v>1250</v>
      </c>
      <c r="L16" s="9">
        <f t="shared" si="3"/>
        <v>8750</v>
      </c>
      <c r="M16" s="11">
        <f t="shared" si="4"/>
        <v>7</v>
      </c>
      <c r="N16" s="9"/>
      <c r="O16" s="11"/>
      <c r="P16" s="1">
        <f t="shared" si="8"/>
        <v>0</v>
      </c>
    </row>
    <row r="17" spans="1:16" x14ac:dyDescent="0.25">
      <c r="A17" s="8">
        <v>46139</v>
      </c>
      <c r="B17" s="9" t="s">
        <v>44</v>
      </c>
      <c r="C17" s="9" t="s">
        <v>16</v>
      </c>
      <c r="D17" s="9" t="str">
        <f t="shared" si="7"/>
        <v>200900200002</v>
      </c>
      <c r="E17" s="9">
        <v>20090020</v>
      </c>
      <c r="F17" s="11" t="s">
        <v>50</v>
      </c>
      <c r="G17" s="10" t="s">
        <v>23</v>
      </c>
      <c r="H17" s="11" t="s">
        <v>56</v>
      </c>
      <c r="I17" s="9" t="s">
        <v>17</v>
      </c>
      <c r="J17" s="11">
        <v>1</v>
      </c>
      <c r="K17" s="9">
        <v>1250</v>
      </c>
      <c r="L17" s="9">
        <f t="shared" si="3"/>
        <v>1250</v>
      </c>
      <c r="M17" s="11">
        <f t="shared" si="4"/>
        <v>1</v>
      </c>
      <c r="N17" s="9"/>
      <c r="O17" s="11"/>
      <c r="P17" s="1">
        <f t="shared" si="8"/>
        <v>0</v>
      </c>
    </row>
    <row r="18" spans="1:16" x14ac:dyDescent="0.25">
      <c r="A18" s="8">
        <v>46139</v>
      </c>
      <c r="B18" s="9" t="s">
        <v>44</v>
      </c>
      <c r="C18" s="9" t="s">
        <v>16</v>
      </c>
      <c r="D18" s="9" t="str">
        <f t="shared" ref="D18" si="9">CONCATENATE(E18,G18)</f>
        <v>200900200005</v>
      </c>
      <c r="E18" s="9">
        <v>20090020</v>
      </c>
      <c r="F18" s="11" t="s">
        <v>50</v>
      </c>
      <c r="G18" s="10" t="s">
        <v>22</v>
      </c>
      <c r="H18" s="11" t="s">
        <v>56</v>
      </c>
      <c r="I18" s="9" t="s">
        <v>17</v>
      </c>
      <c r="J18" s="11">
        <v>0</v>
      </c>
      <c r="K18" s="9">
        <v>1250</v>
      </c>
      <c r="L18" s="9">
        <v>625</v>
      </c>
      <c r="M18" s="11">
        <f t="shared" si="4"/>
        <v>0</v>
      </c>
      <c r="N18" s="9"/>
      <c r="O18" s="11"/>
      <c r="P18" s="1">
        <f t="shared" si="8"/>
        <v>0</v>
      </c>
    </row>
    <row r="19" spans="1:16" x14ac:dyDescent="0.25">
      <c r="A19" s="8">
        <v>46139</v>
      </c>
      <c r="B19" s="9" t="s">
        <v>44</v>
      </c>
      <c r="C19" s="9" t="s">
        <v>16</v>
      </c>
      <c r="D19" s="9" t="str">
        <f t="shared" si="7"/>
        <v>200900150002</v>
      </c>
      <c r="E19" s="9">
        <v>20090015</v>
      </c>
      <c r="F19" s="11" t="s">
        <v>51</v>
      </c>
      <c r="G19" s="10" t="s">
        <v>23</v>
      </c>
      <c r="H19" s="11" t="s">
        <v>56</v>
      </c>
      <c r="I19" s="9" t="s">
        <v>17</v>
      </c>
      <c r="J19" s="11">
        <v>0</v>
      </c>
      <c r="K19" s="9">
        <v>1250</v>
      </c>
      <c r="L19" s="9">
        <v>463</v>
      </c>
      <c r="M19" s="11">
        <f t="shared" si="4"/>
        <v>0</v>
      </c>
      <c r="N19" s="9"/>
      <c r="O19" s="11"/>
      <c r="P19" s="1">
        <f t="shared" si="8"/>
        <v>0</v>
      </c>
    </row>
    <row r="20" spans="1:16" x14ac:dyDescent="0.25">
      <c r="A20" s="8">
        <v>46139</v>
      </c>
      <c r="B20" s="9" t="s">
        <v>44</v>
      </c>
      <c r="C20" s="9" t="s">
        <v>16</v>
      </c>
      <c r="D20" s="9" t="str">
        <f t="shared" ref="D20:D29" si="10">CONCATENATE(E20,G20)</f>
        <v>200900150014</v>
      </c>
      <c r="E20" s="9">
        <v>20090015</v>
      </c>
      <c r="F20" s="11" t="s">
        <v>51</v>
      </c>
      <c r="G20" s="12" t="s">
        <v>35</v>
      </c>
      <c r="H20" s="11" t="s">
        <v>56</v>
      </c>
      <c r="I20" s="9" t="s">
        <v>17</v>
      </c>
      <c r="J20" s="11">
        <v>0</v>
      </c>
      <c r="K20" s="9">
        <v>1250</v>
      </c>
      <c r="L20" s="9">
        <v>100</v>
      </c>
      <c r="M20" s="11">
        <f t="shared" ref="M20:M29" si="11">J20</f>
        <v>0</v>
      </c>
      <c r="N20" s="9"/>
      <c r="O20" s="11"/>
      <c r="P20" s="1">
        <f t="shared" ref="P20:P29" si="12">N20-O20</f>
        <v>0</v>
      </c>
    </row>
    <row r="21" spans="1:16" x14ac:dyDescent="0.25">
      <c r="A21" s="8">
        <v>46139</v>
      </c>
      <c r="B21" s="9" t="s">
        <v>44</v>
      </c>
      <c r="C21" s="9" t="s">
        <v>16</v>
      </c>
      <c r="D21" s="9" t="str">
        <f t="shared" si="10"/>
        <v>200900150031</v>
      </c>
      <c r="E21" s="9">
        <v>20090015</v>
      </c>
      <c r="F21" s="11" t="s">
        <v>51</v>
      </c>
      <c r="G21" s="12" t="s">
        <v>52</v>
      </c>
      <c r="H21" s="11" t="s">
        <v>56</v>
      </c>
      <c r="I21" s="9" t="s">
        <v>17</v>
      </c>
      <c r="J21" s="11">
        <v>0</v>
      </c>
      <c r="K21" s="9">
        <v>1250</v>
      </c>
      <c r="L21" s="9">
        <v>100</v>
      </c>
      <c r="M21" s="11">
        <f t="shared" si="11"/>
        <v>0</v>
      </c>
      <c r="N21" s="9"/>
      <c r="O21" s="11"/>
      <c r="P21" s="1">
        <f t="shared" si="12"/>
        <v>0</v>
      </c>
    </row>
    <row r="22" spans="1:16" x14ac:dyDescent="0.25">
      <c r="A22" s="8">
        <v>46139</v>
      </c>
      <c r="B22" s="9" t="s">
        <v>44</v>
      </c>
      <c r="C22" s="9" t="s">
        <v>16</v>
      </c>
      <c r="D22" s="9" t="str">
        <f t="shared" si="10"/>
        <v>200900150032</v>
      </c>
      <c r="E22" s="9">
        <v>20090015</v>
      </c>
      <c r="F22" s="11" t="s">
        <v>51</v>
      </c>
      <c r="G22" s="12" t="s">
        <v>53</v>
      </c>
      <c r="H22" s="11" t="s">
        <v>56</v>
      </c>
      <c r="I22" s="9" t="s">
        <v>17</v>
      </c>
      <c r="J22" s="11">
        <v>0</v>
      </c>
      <c r="K22" s="9">
        <v>1250</v>
      </c>
      <c r="L22" s="9">
        <v>100</v>
      </c>
      <c r="M22" s="11">
        <f t="shared" si="11"/>
        <v>0</v>
      </c>
      <c r="N22" s="9"/>
      <c r="O22" s="11"/>
      <c r="P22" s="1">
        <f t="shared" si="12"/>
        <v>0</v>
      </c>
    </row>
    <row r="23" spans="1:16" x14ac:dyDescent="0.25">
      <c r="A23" s="8">
        <v>46139</v>
      </c>
      <c r="B23" s="9" t="s">
        <v>44</v>
      </c>
      <c r="C23" s="9" t="s">
        <v>16</v>
      </c>
      <c r="D23" s="9" t="str">
        <f t="shared" si="10"/>
        <v>200900150022</v>
      </c>
      <c r="E23" s="9">
        <v>20090015</v>
      </c>
      <c r="F23" s="11" t="s">
        <v>51</v>
      </c>
      <c r="G23" s="12" t="s">
        <v>38</v>
      </c>
      <c r="H23" s="11" t="s">
        <v>56</v>
      </c>
      <c r="I23" s="9" t="s">
        <v>17</v>
      </c>
      <c r="J23" s="11">
        <v>1</v>
      </c>
      <c r="K23" s="9">
        <v>1250</v>
      </c>
      <c r="L23" s="9">
        <f t="shared" si="3"/>
        <v>1250</v>
      </c>
      <c r="M23" s="11">
        <f t="shared" si="11"/>
        <v>1</v>
      </c>
      <c r="N23" s="9"/>
      <c r="O23" s="11"/>
      <c r="P23" s="1">
        <f t="shared" si="12"/>
        <v>0</v>
      </c>
    </row>
    <row r="24" spans="1:16" x14ac:dyDescent="0.25">
      <c r="A24" s="8">
        <v>46139</v>
      </c>
      <c r="B24" s="9" t="s">
        <v>44</v>
      </c>
      <c r="C24" s="9" t="s">
        <v>16</v>
      </c>
      <c r="D24" s="9" t="str">
        <f t="shared" si="10"/>
        <v>200900170003</v>
      </c>
      <c r="E24" s="11">
        <v>20090017</v>
      </c>
      <c r="F24" s="11" t="s">
        <v>29</v>
      </c>
      <c r="G24" s="12" t="s">
        <v>28</v>
      </c>
      <c r="H24" s="11" t="s">
        <v>56</v>
      </c>
      <c r="I24" s="9" t="s">
        <v>17</v>
      </c>
      <c r="J24" s="11">
        <v>1</v>
      </c>
      <c r="K24" s="9">
        <v>1250</v>
      </c>
      <c r="L24" s="9">
        <f t="shared" si="3"/>
        <v>1250</v>
      </c>
      <c r="M24" s="11">
        <f t="shared" si="11"/>
        <v>1</v>
      </c>
      <c r="N24" s="9"/>
      <c r="O24" s="11"/>
      <c r="P24" s="1">
        <f t="shared" si="12"/>
        <v>0</v>
      </c>
    </row>
    <row r="25" spans="1:16" x14ac:dyDescent="0.25">
      <c r="A25" s="8">
        <v>46139</v>
      </c>
      <c r="B25" s="9" t="s">
        <v>44</v>
      </c>
      <c r="C25" s="9" t="s">
        <v>16</v>
      </c>
      <c r="D25" s="9" t="str">
        <f t="shared" si="10"/>
        <v>200900110003</v>
      </c>
      <c r="E25" s="11">
        <v>20090011</v>
      </c>
      <c r="F25" s="11" t="s">
        <v>54</v>
      </c>
      <c r="G25" s="12" t="s">
        <v>28</v>
      </c>
      <c r="H25" s="11" t="s">
        <v>56</v>
      </c>
      <c r="I25" s="9" t="s">
        <v>17</v>
      </c>
      <c r="J25" s="11">
        <v>1</v>
      </c>
      <c r="K25" s="9">
        <v>1250</v>
      </c>
      <c r="L25" s="9">
        <f t="shared" si="3"/>
        <v>1250</v>
      </c>
      <c r="M25" s="11">
        <f t="shared" si="11"/>
        <v>1</v>
      </c>
      <c r="N25" s="9"/>
      <c r="O25" s="11"/>
      <c r="P25" s="1">
        <f t="shared" si="12"/>
        <v>0</v>
      </c>
    </row>
    <row r="26" spans="1:16" x14ac:dyDescent="0.25">
      <c r="A26" s="8">
        <v>46139</v>
      </c>
      <c r="B26" s="9" t="s">
        <v>44</v>
      </c>
      <c r="C26" s="9" t="s">
        <v>16</v>
      </c>
      <c r="D26" s="9" t="str">
        <f t="shared" si="10"/>
        <v>200900250003</v>
      </c>
      <c r="E26" s="11">
        <v>20090025</v>
      </c>
      <c r="F26" s="11" t="s">
        <v>34</v>
      </c>
      <c r="G26" s="12" t="s">
        <v>28</v>
      </c>
      <c r="H26" s="11" t="s">
        <v>56</v>
      </c>
      <c r="I26" s="9" t="s">
        <v>17</v>
      </c>
      <c r="J26" s="11">
        <v>0</v>
      </c>
      <c r="K26" s="9">
        <v>1250</v>
      </c>
      <c r="L26" s="9">
        <v>6215</v>
      </c>
      <c r="M26" s="11">
        <f t="shared" si="11"/>
        <v>0</v>
      </c>
      <c r="N26" s="9"/>
      <c r="O26" s="11"/>
      <c r="P26" s="1">
        <f t="shared" si="12"/>
        <v>0</v>
      </c>
    </row>
    <row r="27" spans="1:16" x14ac:dyDescent="0.25">
      <c r="A27" s="8">
        <v>46139</v>
      </c>
      <c r="B27" s="9" t="s">
        <v>44</v>
      </c>
      <c r="C27" s="9" t="s">
        <v>16</v>
      </c>
      <c r="D27" s="9" t="str">
        <f t="shared" si="10"/>
        <v>200900260002</v>
      </c>
      <c r="E27" s="11">
        <v>20090026</v>
      </c>
      <c r="F27" s="11" t="s">
        <v>55</v>
      </c>
      <c r="G27" s="12" t="s">
        <v>23</v>
      </c>
      <c r="H27" s="11" t="s">
        <v>56</v>
      </c>
      <c r="I27" s="9" t="s">
        <v>17</v>
      </c>
      <c r="J27" s="11">
        <v>1</v>
      </c>
      <c r="K27" s="9">
        <v>1250</v>
      </c>
      <c r="L27" s="9">
        <f t="shared" si="3"/>
        <v>1250</v>
      </c>
      <c r="M27" s="11">
        <f t="shared" si="11"/>
        <v>1</v>
      </c>
      <c r="N27" s="9"/>
      <c r="O27" s="11"/>
      <c r="P27" s="1">
        <f t="shared" si="12"/>
        <v>0</v>
      </c>
    </row>
    <row r="28" spans="1:16" x14ac:dyDescent="0.25">
      <c r="A28" s="8">
        <v>46139</v>
      </c>
      <c r="B28" s="9" t="s">
        <v>44</v>
      </c>
      <c r="C28" s="9" t="s">
        <v>16</v>
      </c>
      <c r="D28" s="9" t="str">
        <f t="shared" si="10"/>
        <v>200900010002</v>
      </c>
      <c r="E28" s="11">
        <v>20090001</v>
      </c>
      <c r="F28" s="11" t="s">
        <v>56</v>
      </c>
      <c r="G28" s="12" t="s">
        <v>23</v>
      </c>
      <c r="H28" s="11" t="s">
        <v>56</v>
      </c>
      <c r="I28" s="9" t="s">
        <v>17</v>
      </c>
      <c r="J28" s="11">
        <v>1</v>
      </c>
      <c r="K28" s="9">
        <v>1250</v>
      </c>
      <c r="L28" s="9">
        <f t="shared" si="3"/>
        <v>1250</v>
      </c>
      <c r="M28" s="11">
        <f t="shared" si="11"/>
        <v>1</v>
      </c>
      <c r="N28" s="9"/>
      <c r="O28" s="11"/>
      <c r="P28" s="1">
        <f t="shared" si="12"/>
        <v>0</v>
      </c>
    </row>
    <row r="29" spans="1:16" x14ac:dyDescent="0.25">
      <c r="A29" s="8">
        <v>46139</v>
      </c>
      <c r="B29" s="9" t="s">
        <v>44</v>
      </c>
      <c r="C29" s="9" t="s">
        <v>16</v>
      </c>
      <c r="D29" s="9" t="str">
        <f t="shared" si="10"/>
        <v>200100530014</v>
      </c>
      <c r="E29" s="11">
        <v>20010053</v>
      </c>
      <c r="F29" s="11" t="s">
        <v>57</v>
      </c>
      <c r="G29" s="12" t="s">
        <v>35</v>
      </c>
      <c r="H29" s="11"/>
      <c r="I29" s="9" t="s">
        <v>17</v>
      </c>
      <c r="J29" s="11">
        <v>0</v>
      </c>
      <c r="K29" s="9">
        <v>1250</v>
      </c>
      <c r="L29" s="9">
        <v>128</v>
      </c>
      <c r="M29" s="11">
        <f t="shared" si="11"/>
        <v>0</v>
      </c>
      <c r="N29" s="9"/>
      <c r="O29" s="11"/>
      <c r="P29" s="1">
        <f t="shared" si="12"/>
        <v>0</v>
      </c>
    </row>
    <row r="30" spans="1:16" x14ac:dyDescent="0.25">
      <c r="A30" s="8">
        <v>46139</v>
      </c>
      <c r="B30" s="9" t="s">
        <v>44</v>
      </c>
      <c r="C30" s="9" t="s">
        <v>16</v>
      </c>
      <c r="D30" s="9" t="str">
        <f t="shared" ref="D30:D34" si="13">CONCATENATE(E30,G30)</f>
        <v>200100530017</v>
      </c>
      <c r="E30" s="11">
        <v>20010053</v>
      </c>
      <c r="F30" s="11" t="s">
        <v>57</v>
      </c>
      <c r="G30" s="12" t="s">
        <v>36</v>
      </c>
      <c r="H30" s="11"/>
      <c r="I30" s="9" t="s">
        <v>17</v>
      </c>
      <c r="J30" s="11">
        <v>0</v>
      </c>
      <c r="K30" s="9">
        <v>1250</v>
      </c>
      <c r="L30" s="9">
        <v>98</v>
      </c>
      <c r="M30" s="11">
        <f t="shared" ref="M30:M34" si="14">J30</f>
        <v>0</v>
      </c>
      <c r="N30" s="9"/>
      <c r="O30" s="11"/>
      <c r="P30" s="1">
        <f t="shared" ref="P30:P34" si="15">N30-O30</f>
        <v>0</v>
      </c>
    </row>
    <row r="31" spans="1:16" x14ac:dyDescent="0.25">
      <c r="A31" s="8">
        <v>46139</v>
      </c>
      <c r="B31" s="9" t="s">
        <v>44</v>
      </c>
      <c r="C31" s="9" t="s">
        <v>16</v>
      </c>
      <c r="D31" s="9" t="str">
        <f t="shared" si="13"/>
        <v>200100530020</v>
      </c>
      <c r="E31" s="11">
        <v>20010053</v>
      </c>
      <c r="F31" s="11" t="s">
        <v>57</v>
      </c>
      <c r="G31" s="12" t="s">
        <v>37</v>
      </c>
      <c r="H31" s="11"/>
      <c r="I31" s="9" t="s">
        <v>17</v>
      </c>
      <c r="J31" s="11">
        <v>0</v>
      </c>
      <c r="K31" s="9">
        <v>1250</v>
      </c>
      <c r="L31" s="9">
        <v>138</v>
      </c>
      <c r="M31" s="11">
        <f t="shared" si="14"/>
        <v>0</v>
      </c>
      <c r="N31" s="9"/>
      <c r="O31" s="11"/>
      <c r="P31" s="1">
        <f t="shared" si="15"/>
        <v>0</v>
      </c>
    </row>
    <row r="32" spans="1:16" x14ac:dyDescent="0.25">
      <c r="A32" s="8">
        <v>46139</v>
      </c>
      <c r="B32" s="9" t="s">
        <v>44</v>
      </c>
      <c r="C32" s="9" t="s">
        <v>16</v>
      </c>
      <c r="D32" s="9" t="str">
        <f t="shared" si="13"/>
        <v>200100530022</v>
      </c>
      <c r="E32" s="11">
        <v>20010053</v>
      </c>
      <c r="F32" s="11" t="s">
        <v>57</v>
      </c>
      <c r="G32" s="12" t="s">
        <v>38</v>
      </c>
      <c r="H32" s="11"/>
      <c r="I32" s="9" t="s">
        <v>17</v>
      </c>
      <c r="J32" s="11">
        <v>0</v>
      </c>
      <c r="K32" s="9">
        <v>1250</v>
      </c>
      <c r="L32" s="9">
        <v>103</v>
      </c>
      <c r="M32" s="11">
        <f t="shared" si="14"/>
        <v>0</v>
      </c>
      <c r="N32" s="9"/>
      <c r="O32" s="11"/>
      <c r="P32" s="1">
        <f t="shared" si="15"/>
        <v>0</v>
      </c>
    </row>
    <row r="33" spans="1:16" x14ac:dyDescent="0.25">
      <c r="A33" s="8">
        <v>46139</v>
      </c>
      <c r="B33" s="9" t="s">
        <v>44</v>
      </c>
      <c r="C33" s="9" t="s">
        <v>16</v>
      </c>
      <c r="D33" s="9" t="str">
        <f t="shared" si="13"/>
        <v>200100530036</v>
      </c>
      <c r="E33" s="11">
        <v>20010053</v>
      </c>
      <c r="F33" s="11" t="s">
        <v>57</v>
      </c>
      <c r="G33" s="12" t="s">
        <v>39</v>
      </c>
      <c r="H33" s="11"/>
      <c r="I33" s="9" t="s">
        <v>17</v>
      </c>
      <c r="J33" s="11">
        <v>0</v>
      </c>
      <c r="K33" s="9">
        <v>1250</v>
      </c>
      <c r="L33" s="9">
        <v>117</v>
      </c>
      <c r="M33" s="11">
        <f t="shared" si="14"/>
        <v>0</v>
      </c>
      <c r="N33" s="9"/>
      <c r="O33" s="11"/>
      <c r="P33" s="1">
        <f t="shared" si="15"/>
        <v>0</v>
      </c>
    </row>
    <row r="34" spans="1:16" x14ac:dyDescent="0.25">
      <c r="A34" s="8">
        <v>46139</v>
      </c>
      <c r="B34" s="9" t="s">
        <v>44</v>
      </c>
      <c r="C34" s="9" t="s">
        <v>16</v>
      </c>
      <c r="D34" s="9" t="str">
        <f t="shared" si="13"/>
        <v>200100530042</v>
      </c>
      <c r="E34" s="11">
        <v>20010053</v>
      </c>
      <c r="F34" s="11" t="s">
        <v>57</v>
      </c>
      <c r="G34" s="12" t="s">
        <v>26</v>
      </c>
      <c r="H34" s="11"/>
      <c r="I34" s="9" t="s">
        <v>17</v>
      </c>
      <c r="J34" s="11">
        <v>0</v>
      </c>
      <c r="K34" s="9">
        <v>1250</v>
      </c>
      <c r="L34" s="9">
        <v>81</v>
      </c>
      <c r="M34" s="11">
        <f t="shared" si="14"/>
        <v>0</v>
      </c>
      <c r="N34" s="9"/>
      <c r="O34" s="11"/>
      <c r="P34" s="1">
        <f t="shared" si="15"/>
        <v>0</v>
      </c>
    </row>
  </sheetData>
  <autoFilter ref="A3:O34" xr:uid="{18FE7301-EE49-407F-9A80-E403DCB4FC82}"/>
  <mergeCells count="2">
    <mergeCell ref="J2:L2"/>
    <mergeCell ref="M2:O2"/>
  </mergeCells>
  <phoneticPr fontId="6" type="noConversion"/>
  <conditionalFormatting sqref="D1:D2 D4:D1048576">
    <cfRule type="duplicateValues" dxfId="2" priority="2"/>
    <cfRule type="duplicateValues" dxfId="1" priority="3"/>
  </conditionalFormatting>
  <conditionalFormatting sqref="P4:P3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10-16th 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2026-05-02T09:39:20Z</dcterms:modified>
</cp:coreProperties>
</file>