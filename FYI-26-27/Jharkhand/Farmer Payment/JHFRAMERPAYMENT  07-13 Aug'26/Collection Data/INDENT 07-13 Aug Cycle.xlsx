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"/>
    </mc:Choice>
  </mc:AlternateContent>
  <xr:revisionPtr revIDLastSave="0" documentId="13_ncr:1_{0961B355-0E1E-45E5-9911-8775F818F8AE}" xr6:coauthVersionLast="47" xr6:coauthVersionMax="47" xr10:uidLastSave="{00000000-0000-0000-0000-000000000000}"/>
  <bookViews>
    <workbookView xWindow="30" yWindow="30" windowWidth="28770" windowHeight="15450" activeTab="1" xr2:uid="{182BC691-7CB6-4E21-8F55-17BB8AFD9224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8" i="1" l="1"/>
  <c r="U36" i="1"/>
  <c r="H35" i="2" l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S34" i="1"/>
  <c r="M36" i="2" l="1"/>
  <c r="U34" i="1"/>
</calcChain>
</file>

<file path=xl/sharedStrings.xml><?xml version="1.0" encoding="utf-8"?>
<sst xmlns="http://schemas.openxmlformats.org/spreadsheetml/2006/main" count="453" uniqueCount="112">
  <si>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</si>
  <si>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</si>
  <si>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</si>
  <si>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</si>
  <si>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</si>
  <si>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</si>
  <si>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</si>
  <si>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</si>
  <si>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</si>
  <si>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</si>
  <si>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</si>
  <si>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</si>
  <si>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</si>
  <si>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</si>
  <si>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</si>
  <si>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</si>
  <si>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</si>
  <si>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</si>
  <si>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</si>
  <si>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</si>
  <si>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</si>
  <si>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200600030002</t>
  </si>
  <si>
    <t>DUMARDAGA</t>
  </si>
  <si>
    <t>0002</t>
  </si>
  <si>
    <t>ORMANJHI</t>
  </si>
  <si>
    <t>Daya Society</t>
  </si>
  <si>
    <t>CHUTTU</t>
  </si>
  <si>
    <t>Chanho</t>
  </si>
  <si>
    <t>PAKARIYO</t>
  </si>
  <si>
    <t>0022</t>
  </si>
  <si>
    <t>200100540012</t>
  </si>
  <si>
    <t>NARKOPI</t>
  </si>
  <si>
    <t>0012</t>
  </si>
  <si>
    <t>200900170003</t>
  </si>
  <si>
    <t>NAWATAND</t>
  </si>
  <si>
    <t>0003</t>
  </si>
  <si>
    <t>Itki</t>
  </si>
  <si>
    <t>200100080059</t>
  </si>
  <si>
    <t>Erchoro</t>
  </si>
  <si>
    <t>0059</t>
  </si>
  <si>
    <t>200100080035</t>
  </si>
  <si>
    <t>0035</t>
  </si>
  <si>
    <t>Vikash</t>
  </si>
  <si>
    <t>200200030002</t>
  </si>
  <si>
    <t>Bijuliya</t>
  </si>
  <si>
    <t>Paali</t>
  </si>
  <si>
    <t>200200200038</t>
  </si>
  <si>
    <t>TIKO TOLI</t>
  </si>
  <si>
    <t>0038</t>
  </si>
  <si>
    <t>0005</t>
  </si>
  <si>
    <t>200200200023</t>
  </si>
  <si>
    <t>0023</t>
  </si>
  <si>
    <t>200200200041</t>
  </si>
  <si>
    <t>0041</t>
  </si>
  <si>
    <t>Amar sahu</t>
  </si>
  <si>
    <t>200900080005</t>
  </si>
  <si>
    <t>GANESHPUR</t>
  </si>
  <si>
    <t>KOKAR</t>
  </si>
  <si>
    <t>200900200002</t>
  </si>
  <si>
    <t>PAKARIYO 2</t>
  </si>
  <si>
    <t>200900230002</t>
  </si>
  <si>
    <t>CHOREYA</t>
  </si>
  <si>
    <t>0024</t>
  </si>
  <si>
    <t>200600040002</t>
  </si>
  <si>
    <t>200500020056</t>
  </si>
  <si>
    <t>KANBHITHA</t>
  </si>
  <si>
    <t>0056</t>
  </si>
  <si>
    <t>0015</t>
  </si>
  <si>
    <t>200900140015</t>
  </si>
  <si>
    <t>HUTAR</t>
  </si>
  <si>
    <t>200400010003</t>
  </si>
  <si>
    <t>0047</t>
  </si>
  <si>
    <t>GARRI</t>
  </si>
  <si>
    <t>200100010002</t>
  </si>
  <si>
    <t>200200200022</t>
  </si>
  <si>
    <t>200200270005</t>
  </si>
  <si>
    <t>200200270003</t>
  </si>
  <si>
    <t>200200270009</t>
  </si>
  <si>
    <t>0009</t>
  </si>
  <si>
    <t>200200300002</t>
  </si>
  <si>
    <t>Nayasarai</t>
  </si>
  <si>
    <t>Murma</t>
  </si>
  <si>
    <t>Prabhat sahu</t>
  </si>
  <si>
    <t>CHATTI BHANDRA</t>
  </si>
  <si>
    <t>200100520002</t>
  </si>
  <si>
    <t>Kumbatoli</t>
  </si>
  <si>
    <t>07-08-2026 to 13-08-2026</t>
  </si>
  <si>
    <t>200200200039</t>
  </si>
  <si>
    <t>0039</t>
  </si>
  <si>
    <t>200200200042</t>
  </si>
  <si>
    <t>0042</t>
  </si>
  <si>
    <t>200200200047</t>
  </si>
  <si>
    <t>200200290005</t>
  </si>
  <si>
    <t>200200290003</t>
  </si>
  <si>
    <t>200200290016</t>
  </si>
  <si>
    <t>0016</t>
  </si>
  <si>
    <t>200800390023</t>
  </si>
  <si>
    <t>LONGA</t>
  </si>
  <si>
    <t>200900150014</t>
  </si>
  <si>
    <t>0014</t>
  </si>
  <si>
    <t>200100080024</t>
  </si>
  <si>
    <t>Type</t>
  </si>
  <si>
    <t>Deduction</t>
  </si>
  <si>
    <t>Direct</t>
  </si>
  <si>
    <t>Indirect</t>
  </si>
  <si>
    <t>Grand Total</t>
  </si>
  <si>
    <t>Sum of Final Amount</t>
  </si>
  <si>
    <t>Total</t>
  </si>
  <si>
    <t>Direct Total</t>
  </si>
  <si>
    <t>Indirect Total</t>
  </si>
  <si>
    <t>Indent</t>
  </si>
  <si>
    <t>OS (20050003)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</si>
</sst>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9" xfId="0" applyBorder="1"/>
    <xf numFmtId="0" fontId="0" fillId="0" borderId="7" xfId="0" applyBorder="1"/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0" borderId="8" xfId="0" applyBorder="1"/>
    <xf numFmtId="0" fontId="0" fillId="0" borderId="0" xfId="0" pivotButton="1"/>
    <xf numFmtId="0" fontId="4" fillId="5" borderId="10" xfId="0" applyFont="1" applyFill="1" applyBorder="1"/>
    <xf numFmtId="0" fontId="4" fillId="0" borderId="10" xfId="0" applyFont="1" applyBorder="1"/>
    <xf numFmtId="0" fontId="4" fillId="0" borderId="0" xfId="0" applyFont="1"/>
    <xf numFmtId="0" fontId="4" fillId="0" borderId="11" xfId="0" applyFont="1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A17240C9-9B44-48B9-90DB-35FED4396C01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87335879632" createdVersion="8" refreshedVersion="8" minRefreshableVersion="3" recordCount="32" xr:uid="{7FFA1E78-1FB3-4BDE-8758-1F3CAA13726B}">
  <cacheSource type="worksheet">
    <worksheetSource name="Table7"/>
  </cacheSource>
  <cacheFields count="21">
    <cacheField name="Timestamp" numFmtId="164">
      <sharedItems containsSemiMixedTypes="0" containsNonDate="0" containsDate="1" containsString="0" minDate="2026-08-14T20:00:22" maxDate="2026-08-17T10:34:55"/>
    </cacheField>
    <cacheField name="User Name" numFmtId="0">
      <sharedItems/>
    </cacheField>
    <cacheField name="Order Date" numFmtId="165">
      <sharedItems containsSemiMixedTypes="0" containsNonDate="0" containsDate="1" containsString="0" minDate="2026-08-14T00:00:00" maxDate="2026-08-18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1" maxValue="20090023" count="20">
        <n v="20020027"/>
        <n v="20020020"/>
        <n v="20020003"/>
        <n v="20050002"/>
        <n v="20020029"/>
        <n v="20080039"/>
        <n v="20040001"/>
        <n v="20010054"/>
        <n v="20090008"/>
        <n v="20090014"/>
        <n v="20090017"/>
        <n v="20090023"/>
        <n v="20090015"/>
        <n v="20090020"/>
        <n v="20010008"/>
        <n v="20010001"/>
        <n v="20060003"/>
        <n v="20060004"/>
        <n v="20010052"/>
        <n v="20020030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19">
        <s v="0009"/>
        <s v="0005"/>
        <s v="0003"/>
        <s v="0023"/>
        <s v="0022"/>
        <s v="0039"/>
        <s v="0038"/>
        <s v="0042"/>
        <s v="0041"/>
        <s v="0047"/>
        <s v="0002"/>
        <s v="0056"/>
        <s v="0016"/>
        <s v="0012"/>
        <s v="0015"/>
        <s v="0014"/>
        <s v="0024"/>
        <s v="0059"/>
        <s v="0035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70"/>
    </cacheField>
    <cacheField name="Rate" numFmtId="0">
      <sharedItems containsSemiMixedTypes="0" containsString="0" containsNumber="1" containsInteger="1" minValue="1220" maxValue="1270"/>
    </cacheField>
    <cacheField name="Total Amount" numFmtId="0">
      <sharedItems containsSemiMixedTypes="0" containsString="0" containsNumber="1" containsInteger="1" minValue="0" maxValue="85400"/>
    </cacheField>
    <cacheField name="Other Due Amt" numFmtId="0">
      <sharedItems containsSemiMixedTypes="0" containsString="0" containsNumber="1" containsInteger="1" minValue="0" maxValue="27353"/>
    </cacheField>
    <cacheField name="Total Amount (Proposed)" numFmtId="0">
      <sharedItems containsSemiMixedTypes="0" containsString="0" containsNumber="1" containsInteger="1" minValue="635" maxValue="85400"/>
    </cacheField>
    <cacheField name="Final Qty" numFmtId="0">
      <sharedItems containsSemiMixedTypes="0" containsString="0" containsNumber="1" containsInteger="1" minValue="0" maxValue="70"/>
    </cacheField>
    <cacheField name="Final Amount" numFmtId="0">
      <sharedItems containsSemiMixedTypes="0" containsString="0" containsNumber="1" containsInteger="1" minValue="635" maxValue="854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6-08-14T20:00:22"/>
    <s v="Vikash"/>
    <d v="2026-08-14T00:00:00"/>
    <s v="07-08-2026 to 13-08-2026"/>
    <s v="Gomukh Gold 50KG"/>
    <s v="200200270009"/>
    <x v="0"/>
    <x v="0"/>
    <s v="GARRI"/>
    <x v="0"/>
    <s v="Paali"/>
    <s v="Daya Society"/>
    <n v="2"/>
    <n v="1270"/>
    <n v="2540"/>
    <n v="0"/>
    <n v="2540"/>
    <n v="2"/>
    <n v="2540"/>
    <m/>
    <m/>
  </r>
  <r>
    <d v="2026-08-14T20:01:11"/>
    <s v="Vikash"/>
    <d v="2026-08-14T00:00:00"/>
    <s v="07-08-2026 to 13-08-2026"/>
    <s v="Gomukh Gold 50KG"/>
    <s v="200200270005"/>
    <x v="0"/>
    <x v="0"/>
    <s v="GARRI"/>
    <x v="1"/>
    <s v="Paali"/>
    <s v="Daya Society"/>
    <n v="1"/>
    <n v="1270"/>
    <n v="1270"/>
    <n v="0"/>
    <n v="1270"/>
    <n v="1"/>
    <n v="1270"/>
    <m/>
    <m/>
  </r>
  <r>
    <d v="2026-08-14T20:02:04"/>
    <s v="Vikash"/>
    <d v="2026-08-14T00:00:00"/>
    <s v="07-08-2026 to 13-08-2026"/>
    <s v="Gomukh Gold 50KG"/>
    <s v="200200270003"/>
    <x v="0"/>
    <x v="0"/>
    <s v="GARRI"/>
    <x v="2"/>
    <s v="Paali"/>
    <s v="Daya Society"/>
    <n v="1"/>
    <n v="1270"/>
    <n v="1270"/>
    <n v="0"/>
    <n v="1270"/>
    <n v="1"/>
    <n v="1270"/>
    <m/>
    <m/>
  </r>
  <r>
    <d v="2026-08-14T20:26:56"/>
    <s v="Vikash"/>
    <d v="2026-08-14T00:00:00"/>
    <s v="07-08-2026 to 13-08-2026"/>
    <s v="Gomukh Gold 50KG"/>
    <s v="200200200023"/>
    <x v="1"/>
    <x v="0"/>
    <s v="TIKO TOLI"/>
    <x v="3"/>
    <s v="Paali"/>
    <s v="Daya Society"/>
    <n v="2"/>
    <n v="1270"/>
    <n v="2540"/>
    <n v="0"/>
    <n v="2540"/>
    <n v="2"/>
    <n v="2540"/>
    <m/>
    <m/>
  </r>
  <r>
    <d v="2026-08-14T20:27:17"/>
    <s v="Vikash"/>
    <d v="2026-08-14T00:00:00"/>
    <s v="07-08-2026 to 13-08-2026"/>
    <s v="Gomukh Gold 50KG"/>
    <s v="200200200022"/>
    <x v="1"/>
    <x v="0"/>
    <s v="TIKO TOLI"/>
    <x v="4"/>
    <s v="Paali"/>
    <s v="Daya Society"/>
    <n v="1"/>
    <n v="1270"/>
    <n v="1270"/>
    <n v="0"/>
    <n v="1270"/>
    <n v="1"/>
    <n v="1270"/>
    <m/>
    <m/>
  </r>
  <r>
    <d v="2026-08-14T20:27:37"/>
    <s v="Vikash"/>
    <d v="2026-08-14T00:00:00"/>
    <s v="07-08-2026 to 13-08-2026"/>
    <s v="Gomukh Gold 50KG"/>
    <s v="200200200039"/>
    <x v="1"/>
    <x v="0"/>
    <s v="TIKO TOLI"/>
    <x v="5"/>
    <s v="Paali"/>
    <s v="Daya Society"/>
    <n v="1"/>
    <n v="1270"/>
    <n v="1270"/>
    <n v="0"/>
    <n v="1270"/>
    <n v="1"/>
    <n v="1270"/>
    <m/>
    <m/>
  </r>
  <r>
    <d v="2026-08-14T20:28:04"/>
    <s v="Vikash"/>
    <d v="2026-08-14T00:00:00"/>
    <s v="07-08-2026 to 13-08-2026"/>
    <s v="Gomukh Gold 50KG"/>
    <s v="200200200038"/>
    <x v="1"/>
    <x v="0"/>
    <s v="TIKO TOLI"/>
    <x v="6"/>
    <s v="Paali"/>
    <s v="Daya Society"/>
    <n v="1"/>
    <n v="1270"/>
    <n v="1270"/>
    <n v="0"/>
    <n v="1270"/>
    <n v="1"/>
    <n v="1270"/>
    <m/>
    <m/>
  </r>
  <r>
    <d v="2026-08-14T20:28:25"/>
    <s v="Vikash"/>
    <d v="2026-08-14T00:00:00"/>
    <s v="07-08-2026 to 13-08-2026"/>
    <s v="Gomukh Gold 50KG"/>
    <s v="200200200042"/>
    <x v="1"/>
    <x v="0"/>
    <s v="TIKO TOLI"/>
    <x v="7"/>
    <s v="Paali"/>
    <s v="Daya Society"/>
    <n v="1"/>
    <n v="1270"/>
    <n v="1270"/>
    <n v="0"/>
    <n v="1270"/>
    <n v="1"/>
    <n v="1270"/>
    <m/>
    <m/>
  </r>
  <r>
    <d v="2026-08-14T20:28:54"/>
    <s v="Vikash"/>
    <d v="2026-08-14T00:00:00"/>
    <s v="07-08-2026 to 13-08-2026"/>
    <s v="Gomukh Gold 50KG"/>
    <s v="200200200041"/>
    <x v="1"/>
    <x v="0"/>
    <s v="TIKO TOLI"/>
    <x v="8"/>
    <s v="Paali"/>
    <s v="Daya Society"/>
    <n v="1"/>
    <n v="1270"/>
    <n v="1270"/>
    <n v="0"/>
    <n v="1270"/>
    <n v="1"/>
    <n v="1270"/>
    <m/>
    <m/>
  </r>
  <r>
    <d v="2026-08-14T20:29:18"/>
    <s v="Vikash"/>
    <d v="2026-08-14T00:00:00"/>
    <s v="07-08-2026 to 13-08-2026"/>
    <s v="Gomukh Gold 50KG"/>
    <s v="200200200047"/>
    <x v="1"/>
    <x v="0"/>
    <s v="TIKO TOLI"/>
    <x v="9"/>
    <s v="Paali"/>
    <s v="Daya Society"/>
    <n v="1"/>
    <n v="1270"/>
    <n v="1270"/>
    <n v="0"/>
    <n v="1270"/>
    <n v="1"/>
    <n v="1270"/>
    <m/>
    <m/>
  </r>
  <r>
    <d v="2026-08-14T20:30:43"/>
    <s v="Vikash"/>
    <d v="2026-08-14T00:00:00"/>
    <s v="07-08-2026 to 13-08-2026"/>
    <s v="Gomukh Gold 50KG"/>
    <s v="200200030002"/>
    <x v="2"/>
    <x v="0"/>
    <s v="Bijuliya"/>
    <x v="10"/>
    <s v="Paali"/>
    <s v="Daya Society"/>
    <n v="10"/>
    <n v="1270"/>
    <n v="12700"/>
    <n v="0"/>
    <n v="12700"/>
    <n v="10"/>
    <n v="12700"/>
    <m/>
    <m/>
  </r>
  <r>
    <d v="2026-08-14T20:32:36"/>
    <s v="Vikash"/>
    <d v="2026-08-14T00:00:00"/>
    <s v="07-08-2026 to 13-08-2026"/>
    <s v="Gomukh Gold 50KG"/>
    <s v="200500020056"/>
    <x v="3"/>
    <x v="0"/>
    <s v="KANBHITHA"/>
    <x v="11"/>
    <s v="Paali"/>
    <s v="Daya Society"/>
    <n v="5"/>
    <n v="1270"/>
    <n v="6350"/>
    <n v="0"/>
    <n v="6350"/>
    <n v="5"/>
    <n v="6350"/>
    <m/>
    <m/>
  </r>
  <r>
    <d v="2026-08-14T20:34:16"/>
    <s v="Vikash"/>
    <d v="2026-08-14T00:00:00"/>
    <s v="07-08-2026 to 13-08-2026"/>
    <s v="Gomukh Gold 50KG"/>
    <s v="200200290005"/>
    <x v="4"/>
    <x v="0"/>
    <s v="Murma"/>
    <x v="1"/>
    <s v="Paali"/>
    <s v="Daya Society"/>
    <n v="2"/>
    <n v="1270"/>
    <n v="2540"/>
    <n v="0"/>
    <n v="2540"/>
    <n v="2"/>
    <n v="2540"/>
    <m/>
    <m/>
  </r>
  <r>
    <d v="2026-08-14T20:34:37"/>
    <s v="Vikash"/>
    <d v="2026-08-14T00:00:00"/>
    <s v="07-08-2026 to 13-08-2026"/>
    <s v="Gomukh Gold 50KG"/>
    <s v="200200290003"/>
    <x v="4"/>
    <x v="0"/>
    <s v="Murma"/>
    <x v="2"/>
    <s v="Paali"/>
    <s v="Daya Society"/>
    <n v="1"/>
    <n v="1270"/>
    <n v="1270"/>
    <n v="0"/>
    <n v="1270"/>
    <n v="1"/>
    <n v="1270"/>
    <m/>
    <m/>
  </r>
  <r>
    <d v="2026-08-14T20:35:14"/>
    <s v="Vikash"/>
    <d v="2026-08-14T00:00:00"/>
    <s v="07-08-2026 to 13-08-2026"/>
    <s v="Gomukh Gold 50KG"/>
    <s v="200200290016"/>
    <x v="4"/>
    <x v="0"/>
    <s v="Murma"/>
    <x v="12"/>
    <s v="Paali"/>
    <s v="Daya Society"/>
    <n v="1"/>
    <n v="1270"/>
    <n v="1270"/>
    <n v="0"/>
    <n v="1270"/>
    <n v="1"/>
    <n v="1270"/>
    <m/>
    <m/>
  </r>
  <r>
    <d v="2026-08-16T18:16:53"/>
    <s v="Prabhat sahu"/>
    <d v="2026-08-16T00:00:00"/>
    <s v="07-08-2026 to 13-08-2026"/>
    <s v="Gomukh Gold 50KG"/>
    <s v="200800390023"/>
    <x v="5"/>
    <x v="0"/>
    <s v="LONGA"/>
    <x v="3"/>
    <s v="CHATTI BHANDRA"/>
    <s v="Daya Society"/>
    <n v="3"/>
    <n v="1270"/>
    <n v="3810"/>
    <n v="0"/>
    <n v="3810"/>
    <n v="3"/>
    <n v="3810"/>
    <m/>
    <m/>
  </r>
  <r>
    <d v="2026-08-16T18:31:07"/>
    <s v="Amar sahu"/>
    <d v="2026-08-16T00:00:00"/>
    <s v="07-08-2026 to 13-08-2026"/>
    <s v="Gomukh Gold 50KG"/>
    <s v="200400010003"/>
    <x v="6"/>
    <x v="0"/>
    <s v="CHOREYA"/>
    <x v="2"/>
    <s v="CHOREYA"/>
    <s v="Daya Society"/>
    <n v="2"/>
    <n v="1270"/>
    <n v="2540"/>
    <n v="0"/>
    <n v="2540"/>
    <n v="2"/>
    <n v="2540"/>
    <m/>
    <m/>
  </r>
  <r>
    <d v="2026-08-16T18:31:27"/>
    <s v="Amar sahu"/>
    <d v="2026-08-16T00:00:00"/>
    <s v="07-08-2026 to 13-08-2026"/>
    <s v="Gomukh Gold 50KG"/>
    <s v="200100540012"/>
    <x v="7"/>
    <x v="0"/>
    <s v="NARKOPI"/>
    <x v="13"/>
    <s v="Chanho"/>
    <s v="Daya Society"/>
    <n v="2"/>
    <n v="1270"/>
    <n v="2540"/>
    <n v="0"/>
    <n v="2540"/>
    <n v="2"/>
    <n v="2540"/>
    <m/>
    <m/>
  </r>
  <r>
    <d v="2026-08-16T18:31:54"/>
    <s v="Amar sahu"/>
    <d v="2026-08-16T00:00:00"/>
    <s v="07-08-2026 to 13-08-2026"/>
    <s v="Gomukh Gold 50KG"/>
    <s v="200900080005"/>
    <x v="8"/>
    <x v="0"/>
    <s v="GANESHPUR"/>
    <x v="1"/>
    <s v="Chanho"/>
    <s v="Daya Society"/>
    <n v="0"/>
    <n v="1270"/>
    <n v="0"/>
    <n v="635"/>
    <n v="635"/>
    <n v="0"/>
    <n v="635"/>
    <m/>
    <m/>
  </r>
  <r>
    <d v="2026-08-16T18:32:15"/>
    <s v="Amar sahu"/>
    <d v="2026-08-16T00:00:00"/>
    <s v="07-08-2026 to 13-08-2026"/>
    <s v="Gomukh Gold 50KG"/>
    <s v="200900140015"/>
    <x v="9"/>
    <x v="0"/>
    <s v="HUTAR"/>
    <x v="14"/>
    <s v="Chanho"/>
    <s v="Daya Society"/>
    <n v="5"/>
    <n v="1270"/>
    <n v="6350"/>
    <n v="0"/>
    <n v="6350"/>
    <n v="5"/>
    <n v="6350"/>
    <m/>
    <m/>
  </r>
  <r>
    <d v="2026-08-16T18:32:36"/>
    <s v="Amar sahu"/>
    <d v="2026-08-16T00:00:00"/>
    <s v="07-08-2026 to 13-08-2026"/>
    <s v="Gomukh Gold 50KG"/>
    <s v="200900170003"/>
    <x v="10"/>
    <x v="0"/>
    <s v="NAWATAND"/>
    <x v="2"/>
    <s v="Chanho"/>
    <s v="Daya Society"/>
    <n v="2"/>
    <n v="1270"/>
    <n v="2540"/>
    <n v="0"/>
    <n v="2540"/>
    <n v="2"/>
    <n v="2540"/>
    <m/>
    <m/>
  </r>
  <r>
    <d v="2026-08-16T18:32:53"/>
    <s v="Amar sahu"/>
    <d v="2026-08-16T00:00:00"/>
    <s v="07-08-2026 to 13-08-2026"/>
    <s v="Gomukh Gold 50KG"/>
    <s v="200900230002"/>
    <x v="11"/>
    <x v="0"/>
    <s v="KOKAR"/>
    <x v="10"/>
    <s v="Chanho"/>
    <s v="Daya Society"/>
    <n v="0"/>
    <n v="1270"/>
    <n v="0"/>
    <n v="635"/>
    <n v="635"/>
    <n v="0"/>
    <n v="635"/>
    <m/>
    <m/>
  </r>
  <r>
    <d v="2026-08-16T18:33:13"/>
    <s v="Amar sahu"/>
    <d v="2026-08-16T00:00:00"/>
    <s v="07-08-2026 to 13-08-2026"/>
    <s v="Gomukh Gold 50KG"/>
    <s v="200900150014"/>
    <x v="12"/>
    <x v="0"/>
    <s v="PAKARIYO"/>
    <x v="15"/>
    <s v="Chanho"/>
    <s v="Daya Society"/>
    <n v="0"/>
    <n v="1270"/>
    <n v="0"/>
    <n v="635"/>
    <n v="635"/>
    <n v="0"/>
    <n v="635"/>
    <m/>
    <m/>
  </r>
  <r>
    <d v="2026-08-16T18:33:47"/>
    <s v="Amar sahu"/>
    <d v="2026-08-16T00:00:00"/>
    <s v="07-08-2026 to 13-08-2026"/>
    <s v="Gomukh Gold 50KG"/>
    <s v="200900200002"/>
    <x v="13"/>
    <x v="0"/>
    <s v="PAKARIYO 2"/>
    <x v="10"/>
    <s v="Chanho"/>
    <s v="Daya Society"/>
    <n v="0"/>
    <n v="1270"/>
    <n v="0"/>
    <n v="635"/>
    <n v="635"/>
    <n v="0"/>
    <n v="635"/>
    <m/>
    <m/>
  </r>
  <r>
    <d v="2026-08-17T10:23:18"/>
    <s v="Satendra kumar"/>
    <d v="2026-08-17T00:00:00"/>
    <s v="07-08-2026 to 13-08-2026"/>
    <s v="Gomukh Gold 50KG"/>
    <s v="200100080024"/>
    <x v="14"/>
    <x v="0"/>
    <s v="Erchoro"/>
    <x v="16"/>
    <s v="Itki"/>
    <s v="Daya Society"/>
    <n v="1"/>
    <n v="1270"/>
    <n v="1270"/>
    <n v="0"/>
    <n v="1270"/>
    <n v="1"/>
    <n v="1270"/>
    <m/>
    <m/>
  </r>
  <r>
    <d v="2026-08-17T10:24:24"/>
    <s v="Satendra kumar"/>
    <d v="2026-08-17T00:00:00"/>
    <s v="07-08-2026 to 13-08-2026"/>
    <s v="Gomukh Gold 50KG"/>
    <s v="200100080059"/>
    <x v="14"/>
    <x v="0"/>
    <s v="Erchoro"/>
    <x v="17"/>
    <s v="Itki"/>
    <s v="Daya Society"/>
    <n v="3"/>
    <n v="1270"/>
    <n v="3810"/>
    <n v="0"/>
    <n v="3810"/>
    <n v="3"/>
    <n v="3810"/>
    <m/>
    <m/>
  </r>
  <r>
    <d v="2026-08-17T10:25:22"/>
    <s v="Satendra kumar"/>
    <d v="2026-08-17T00:00:00"/>
    <s v="07-08-2026 to 13-08-2026"/>
    <s v="Gomukh Gold 50KG"/>
    <s v="200100080035"/>
    <x v="14"/>
    <x v="0"/>
    <s v="Erchoro"/>
    <x v="18"/>
    <s v="Itki"/>
    <s v="Daya Society"/>
    <n v="11"/>
    <n v="1270"/>
    <n v="13970"/>
    <n v="0"/>
    <n v="13970"/>
    <n v="11"/>
    <n v="13970"/>
    <m/>
    <m/>
  </r>
  <r>
    <d v="2026-08-17T10:26:55"/>
    <s v="Satendra kumar"/>
    <d v="2026-08-17T00:00:00"/>
    <s v="07-08-2026 to 13-08-2026"/>
    <s v="Gomukh Gold 50KG"/>
    <s v="200100010002"/>
    <x v="15"/>
    <x v="0"/>
    <s v="Itki"/>
    <x v="10"/>
    <s v="Itki"/>
    <s v="Daya Society"/>
    <n v="70"/>
    <n v="1220"/>
    <n v="85400"/>
    <n v="0"/>
    <n v="85400"/>
    <n v="70"/>
    <n v="85400"/>
    <m/>
    <m/>
  </r>
  <r>
    <d v="2026-08-17T10:28:57"/>
    <s v="Satendra kumar"/>
    <d v="2026-08-17T00:00:00"/>
    <s v="07-08-2026 to 13-08-2026"/>
    <s v="Gomukh Gold 50KG"/>
    <s v="200600030002"/>
    <x v="16"/>
    <x v="0"/>
    <s v="DUMARDAGA"/>
    <x v="10"/>
    <s v="ORMANJHI"/>
    <s v="Daya Society"/>
    <n v="20"/>
    <n v="1270"/>
    <n v="25400"/>
    <n v="4286"/>
    <n v="29686"/>
    <n v="20"/>
    <n v="29686"/>
    <m/>
    <m/>
  </r>
  <r>
    <d v="2026-08-17T10:29:46"/>
    <s v="Satendra kumar"/>
    <d v="2026-08-17T00:00:00"/>
    <s v="07-08-2026 to 13-08-2026"/>
    <s v="Gomukh Gold 50KG"/>
    <s v="200600040002"/>
    <x v="17"/>
    <x v="0"/>
    <s v="CHUTTU"/>
    <x v="10"/>
    <s v="ORMANJHI"/>
    <s v="Daya Society"/>
    <n v="5"/>
    <n v="1270"/>
    <n v="6350"/>
    <n v="0"/>
    <n v="6350"/>
    <n v="5"/>
    <n v="6350"/>
    <m/>
    <m/>
  </r>
  <r>
    <d v="2026-08-17T10:34:55"/>
    <s v="Satendra kumar"/>
    <d v="2026-08-17T00:00:00"/>
    <s v="07-08-2026 to 13-08-2026"/>
    <s v="Gomukh Gold 50KG"/>
    <s v="200100520002"/>
    <x v="18"/>
    <x v="0"/>
    <s v="Kumbatoli"/>
    <x v="10"/>
    <s v="Itki"/>
    <s v="Daya Society"/>
    <n v="0"/>
    <n v="1270"/>
    <n v="0"/>
    <n v="27353"/>
    <n v="27353"/>
    <n v="0"/>
    <n v="27353"/>
    <m/>
    <m/>
  </r>
  <r>
    <d v="2026-08-14T20:36:13"/>
    <s v="Vikash"/>
    <d v="2026-08-14T00:00:00"/>
    <s v="07-08-2026 to 13-08-2026"/>
    <s v="Gomukh Gold 50KG"/>
    <s v="200200300002"/>
    <x v="19"/>
    <x v="1"/>
    <s v="Nayasarai"/>
    <x v="10"/>
    <s v="Paali"/>
    <s v="Daya Society"/>
    <n v="4"/>
    <n v="1270"/>
    <n v="5080"/>
    <n v="0"/>
    <n v="5080"/>
    <n v="4"/>
    <n v="508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C561D-F54B-4ABC-B8F7-5C8F7D990C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9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5"/>
        <item x="14"/>
        <item x="18"/>
        <item x="7"/>
        <item x="2"/>
        <item x="1"/>
        <item x="0"/>
        <item x="4"/>
        <item x="19"/>
        <item x="6"/>
        <item x="3"/>
        <item x="16"/>
        <item x="17"/>
        <item x="5"/>
        <item x="8"/>
        <item x="9"/>
        <item x="12"/>
        <item x="10"/>
        <item x="13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0">
        <item x="10"/>
        <item x="2"/>
        <item x="1"/>
        <item x="0"/>
        <item x="13"/>
        <item x="15"/>
        <item x="14"/>
        <item x="12"/>
        <item x="4"/>
        <item x="3"/>
        <item x="16"/>
        <item x="18"/>
        <item x="6"/>
        <item x="5"/>
        <item x="8"/>
        <item x="7"/>
        <item x="9"/>
        <item x="11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35">
    <i>
      <x/>
      <x/>
      <x/>
    </i>
    <i r="1">
      <x v="1"/>
      <x v="10"/>
    </i>
    <i r="2">
      <x v="11"/>
    </i>
    <i r="2">
      <x v="18"/>
    </i>
    <i r="1">
      <x v="2"/>
      <x/>
    </i>
    <i r="1">
      <x v="3"/>
      <x v="4"/>
    </i>
    <i r="1">
      <x v="4"/>
      <x/>
    </i>
    <i r="1">
      <x v="5"/>
      <x v="8"/>
    </i>
    <i r="2">
      <x v="9"/>
    </i>
    <i r="2">
      <x v="12"/>
    </i>
    <i r="2">
      <x v="13"/>
    </i>
    <i r="2">
      <x v="14"/>
    </i>
    <i r="2">
      <x v="15"/>
    </i>
    <i r="2">
      <x v="16"/>
    </i>
    <i r="1">
      <x v="6"/>
      <x v="1"/>
    </i>
    <i r="2">
      <x v="2"/>
    </i>
    <i r="2">
      <x v="3"/>
    </i>
    <i r="1">
      <x v="7"/>
      <x v="1"/>
    </i>
    <i r="2">
      <x v="2"/>
    </i>
    <i r="2">
      <x v="7"/>
    </i>
    <i r="1">
      <x v="9"/>
      <x v="1"/>
    </i>
    <i r="1">
      <x v="10"/>
      <x v="17"/>
    </i>
    <i r="1">
      <x v="11"/>
      <x/>
    </i>
    <i r="1">
      <x v="12"/>
      <x/>
    </i>
    <i r="1">
      <x v="13"/>
      <x v="9"/>
    </i>
    <i r="1">
      <x v="14"/>
      <x v="2"/>
    </i>
    <i r="1">
      <x v="15"/>
      <x v="6"/>
    </i>
    <i r="1">
      <x v="16"/>
      <x v="5"/>
    </i>
    <i r="1">
      <x v="17"/>
      <x v="1"/>
    </i>
    <i r="1">
      <x v="18"/>
      <x/>
    </i>
    <i r="1">
      <x v="19"/>
      <x/>
    </i>
    <i t="default">
      <x/>
    </i>
    <i>
      <x v="1"/>
      <x v="8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0CAE0-2DE3-46AE-BBBB-77F341CBD5C8}" name="Table7" displayName="Table7" ref="A1:U34" totalsRowCount="1" headerRowDxfId="46" totalsRowDxfId="43" headerRowBorderDxfId="45" tableBorderDxfId="44">
  <autoFilter ref="A1:U33" xr:uid="{FA90CAE0-2DE3-46AE-BBBB-77F341CBD5C8}"/>
  <sortState xmlns:xlrd2="http://schemas.microsoft.com/office/spreadsheetml/2017/richdata2" ref="A2:U33">
    <sortCondition ref="H1:H33"/>
  </sortState>
  <tableColumns count="21">
    <tableColumn id="1" xr3:uid="{B10C6D86-7512-40E8-9623-69C6A42C5887}" name="Timestamp" dataDxfId="42" totalsRowDxfId="41"/>
    <tableColumn id="2" xr3:uid="{02720AE7-7E59-47DF-956B-DD40A70B5BDD}" name="User Name" dataDxfId="40" totalsRowDxfId="39"/>
    <tableColumn id="3" xr3:uid="{18A094E2-7819-4830-84DC-B6F3676EA3E8}" name="Order Date" dataDxfId="38" totalsRowDxfId="37"/>
    <tableColumn id="4" xr3:uid="{E6A8AA82-8076-4E93-8C16-B46196C0872E}" name="Deduction Cycle" dataDxfId="36" totalsRowDxfId="35"/>
    <tableColumn id="5" xr3:uid="{DBAC6C81-A9E0-4E65-80EF-97220AF0C296}" name="Item Name" dataDxfId="34" totalsRowDxfId="33"/>
    <tableColumn id="6" xr3:uid="{C0E52241-71E9-4E30-890A-18786AD8BED8}" name="ID" dataDxfId="32" totalsRowDxfId="31"/>
    <tableColumn id="7" xr3:uid="{711045E3-028B-44D7-B99A-9B6B7FC19AFE}" name="MPG Code" dataDxfId="30" totalsRowDxfId="29"/>
    <tableColumn id="20" xr3:uid="{9A7749CB-2992-46AD-AEDD-E3ECAB3F5C68}" name="Type" dataDxfId="28" totalsRowDxfId="27"/>
    <tableColumn id="8" xr3:uid="{B534B319-3458-4EA0-9840-841D2AC00D8D}" name="MPG Name" dataDxfId="26" totalsRowDxfId="25"/>
    <tableColumn id="9" xr3:uid="{19D250C0-57E7-4D5A-9CE0-28429052EAFD}" name="Farmer code" dataDxfId="24" totalsRowDxfId="23"/>
    <tableColumn id="10" xr3:uid="{3C1BC0A9-CB7D-4CC2-BD86-676547A7EDDE}" name="BMC Name" dataDxfId="22" totalsRowDxfId="21"/>
    <tableColumn id="11" xr3:uid="{CC25CF67-A6A2-47C6-BBF2-1D6ED398FC3E}" name="CSP" dataDxfId="20" totalsRowDxfId="19"/>
    <tableColumn id="12" xr3:uid="{7A35254A-B3F9-460A-9E95-3B9C2CC4CD44}" name="Qty" dataDxfId="18" totalsRowDxfId="17"/>
    <tableColumn id="13" xr3:uid="{B2A8F327-828C-4465-8344-BE517C18E7B4}" name="Rate" dataDxfId="16" totalsRowDxfId="15"/>
    <tableColumn id="14" xr3:uid="{281D6739-A69F-46F4-A04D-AF15E747D8CF}" name="Total Amount" dataDxfId="14" totalsRowDxfId="13"/>
    <tableColumn id="15" xr3:uid="{E75B10F0-0B7A-49AB-B87D-DED77BA9C900}" name="Other Due Amt" dataDxfId="12" totalsRowDxfId="11"/>
    <tableColumn id="16" xr3:uid="{DAEC6A4F-031C-4E13-9EC9-64CC6FBEDC76}" name="Total Amount (Proposed)" dataDxfId="10" totalsRowDxfId="9"/>
    <tableColumn id="17" xr3:uid="{BD78AE39-9378-4E73-9001-60AF7F325F01}" name="Final Qty" dataDxfId="8" totalsRowDxfId="7"/>
    <tableColumn id="18" xr3:uid="{A7166DA5-37A9-415A-B409-A629122DF464}" name="Final Amount" totalsRowFunction="sum" dataDxfId="6" totalsRowDxfId="5"/>
    <tableColumn id="21" xr3:uid="{EAD8D063-6B48-46FA-BFB7-4A113D3E5738}" name="Milk Amonnt" dataDxfId="4" totalsRowDxfId="3"/>
    <tableColumn id="19" xr3:uid="{DA221DEE-42DC-4D6F-94EE-CEE8B2C46A12}" name="Deduction" totalsRowFunction="sum" dataDxfId="2" totalsRowDxfId="1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50AA-4C4F-4FC2-A338-6F1FB91E6368}">
  <dimension ref="A3:M39"/>
  <sheetViews>
    <sheetView topLeftCell="A3" workbookViewId="0">
      <selection activeCell="M35" sqref="M5:M35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7" bestFit="1" customWidth="1"/>
  </cols>
  <sheetData>
    <row r="3" spans="1:13" x14ac:dyDescent="0.25">
      <c r="A3" s="26" t="s">
        <v>106</v>
      </c>
    </row>
    <row r="4" spans="1:13" x14ac:dyDescent="0.25">
      <c r="A4" s="26" t="s">
        <v>101</v>
      </c>
      <c r="B4" s="26" t="s">
        <v>6</v>
      </c>
      <c r="C4" s="26" t="s">
        <v>8</v>
      </c>
      <c r="D4" t="s">
        <v>107</v>
      </c>
      <c r="H4" s="27" t="s">
        <v>5</v>
      </c>
      <c r="I4" s="27" t="s">
        <v>101</v>
      </c>
      <c r="J4" s="27" t="s">
        <v>6</v>
      </c>
      <c r="K4" s="27" t="s">
        <v>8</v>
      </c>
      <c r="L4" s="27" t="s">
        <v>107</v>
      </c>
      <c r="M4" s="27" t="s">
        <v>102</v>
      </c>
    </row>
    <row r="5" spans="1:13" x14ac:dyDescent="0.25">
      <c r="A5" t="s">
        <v>103</v>
      </c>
      <c r="B5">
        <v>20010001</v>
      </c>
      <c r="C5" t="s">
        <v>23</v>
      </c>
      <c r="D5">
        <v>85400</v>
      </c>
      <c r="H5" t="str">
        <f>CONCATENATE(J5,K5)</f>
        <v>200100010002</v>
      </c>
      <c r="I5" s="29" t="s">
        <v>103</v>
      </c>
      <c r="J5" s="29">
        <v>20010001</v>
      </c>
      <c r="K5" t="s">
        <v>23</v>
      </c>
      <c r="L5">
        <v>85400</v>
      </c>
      <c r="M5">
        <v>69177</v>
      </c>
    </row>
    <row r="6" spans="1:13" x14ac:dyDescent="0.25">
      <c r="A6" t="s">
        <v>103</v>
      </c>
      <c r="B6">
        <v>20010008</v>
      </c>
      <c r="C6" t="s">
        <v>62</v>
      </c>
      <c r="D6">
        <v>1270</v>
      </c>
      <c r="H6" t="str">
        <f t="shared" ref="H6:H35" si="0">CONCATENATE(J6,K6)</f>
        <v>200100080024</v>
      </c>
      <c r="I6" s="29" t="s">
        <v>103</v>
      </c>
      <c r="J6" s="29">
        <v>20010008</v>
      </c>
      <c r="K6" t="s">
        <v>62</v>
      </c>
      <c r="L6">
        <v>1270</v>
      </c>
      <c r="M6">
        <v>1270</v>
      </c>
    </row>
    <row r="7" spans="1:13" x14ac:dyDescent="0.25">
      <c r="A7" t="s">
        <v>103</v>
      </c>
      <c r="B7">
        <v>20010008</v>
      </c>
      <c r="C7" t="s">
        <v>41</v>
      </c>
      <c r="D7">
        <v>13970</v>
      </c>
      <c r="H7" t="str">
        <f t="shared" si="0"/>
        <v>200100080035</v>
      </c>
      <c r="I7" s="29" t="s">
        <v>103</v>
      </c>
      <c r="J7" s="29">
        <v>20010008</v>
      </c>
      <c r="K7" t="s">
        <v>41</v>
      </c>
      <c r="L7">
        <v>13970</v>
      </c>
      <c r="M7">
        <v>13970</v>
      </c>
    </row>
    <row r="8" spans="1:13" x14ac:dyDescent="0.25">
      <c r="A8" t="s">
        <v>103</v>
      </c>
      <c r="B8">
        <v>20010008</v>
      </c>
      <c r="C8" t="s">
        <v>39</v>
      </c>
      <c r="D8">
        <v>3810</v>
      </c>
      <c r="H8" t="str">
        <f t="shared" si="0"/>
        <v>200100080059</v>
      </c>
      <c r="I8" s="29" t="s">
        <v>103</v>
      </c>
      <c r="J8" s="29">
        <v>20010008</v>
      </c>
      <c r="K8" t="s">
        <v>39</v>
      </c>
      <c r="L8">
        <v>3810</v>
      </c>
      <c r="M8">
        <v>3810</v>
      </c>
    </row>
    <row r="9" spans="1:13" x14ac:dyDescent="0.25">
      <c r="A9" t="s">
        <v>103</v>
      </c>
      <c r="B9">
        <v>20010052</v>
      </c>
      <c r="C9" t="s">
        <v>23</v>
      </c>
      <c r="D9">
        <v>27353</v>
      </c>
      <c r="H9" t="str">
        <f t="shared" si="0"/>
        <v>200100520002</v>
      </c>
      <c r="I9" s="29" t="s">
        <v>103</v>
      </c>
      <c r="J9" s="29">
        <v>20010052</v>
      </c>
      <c r="K9" t="s">
        <v>23</v>
      </c>
      <c r="L9">
        <v>27353</v>
      </c>
      <c r="M9">
        <v>16835</v>
      </c>
    </row>
    <row r="10" spans="1:13" x14ac:dyDescent="0.25">
      <c r="A10" t="s">
        <v>103</v>
      </c>
      <c r="B10">
        <v>20010054</v>
      </c>
      <c r="C10" t="s">
        <v>32</v>
      </c>
      <c r="D10">
        <v>2540</v>
      </c>
      <c r="H10" t="str">
        <f t="shared" si="0"/>
        <v>200100540012</v>
      </c>
      <c r="I10" s="29" t="s">
        <v>103</v>
      </c>
      <c r="J10" s="29">
        <v>20010054</v>
      </c>
      <c r="K10" t="s">
        <v>32</v>
      </c>
      <c r="L10">
        <v>2540</v>
      </c>
      <c r="M10">
        <v>2540</v>
      </c>
    </row>
    <row r="11" spans="1:13" x14ac:dyDescent="0.25">
      <c r="A11" t="s">
        <v>103</v>
      </c>
      <c r="B11">
        <v>20020003</v>
      </c>
      <c r="C11" t="s">
        <v>23</v>
      </c>
      <c r="D11">
        <v>12700</v>
      </c>
      <c r="H11" t="str">
        <f t="shared" si="0"/>
        <v>200200030002</v>
      </c>
      <c r="I11" s="29" t="s">
        <v>103</v>
      </c>
      <c r="J11" s="29">
        <v>20020003</v>
      </c>
      <c r="K11" t="s">
        <v>23</v>
      </c>
      <c r="L11">
        <v>12700</v>
      </c>
      <c r="M11">
        <v>12700</v>
      </c>
    </row>
    <row r="12" spans="1:13" x14ac:dyDescent="0.25">
      <c r="A12" t="s">
        <v>103</v>
      </c>
      <c r="B12">
        <v>20020020</v>
      </c>
      <c r="C12" t="s">
        <v>29</v>
      </c>
      <c r="D12">
        <v>1270</v>
      </c>
      <c r="H12" t="str">
        <f t="shared" si="0"/>
        <v>200200200022</v>
      </c>
      <c r="I12" s="29" t="s">
        <v>103</v>
      </c>
      <c r="J12" s="29">
        <v>20020020</v>
      </c>
      <c r="K12" t="s">
        <v>29</v>
      </c>
      <c r="L12">
        <v>1270</v>
      </c>
      <c r="M12">
        <v>1270</v>
      </c>
    </row>
    <row r="13" spans="1:13" x14ac:dyDescent="0.25">
      <c r="A13" t="s">
        <v>103</v>
      </c>
      <c r="B13">
        <v>20020020</v>
      </c>
      <c r="C13" t="s">
        <v>51</v>
      </c>
      <c r="D13">
        <v>2540</v>
      </c>
      <c r="H13" t="str">
        <f t="shared" si="0"/>
        <v>200200200023</v>
      </c>
      <c r="I13" s="29" t="s">
        <v>103</v>
      </c>
      <c r="J13" s="29">
        <v>20020020</v>
      </c>
      <c r="K13" t="s">
        <v>51</v>
      </c>
      <c r="L13">
        <v>2540</v>
      </c>
      <c r="M13">
        <v>2540</v>
      </c>
    </row>
    <row r="14" spans="1:13" x14ac:dyDescent="0.25">
      <c r="A14" t="s">
        <v>103</v>
      </c>
      <c r="B14">
        <v>20020020</v>
      </c>
      <c r="C14" t="s">
        <v>48</v>
      </c>
      <c r="D14">
        <v>1270</v>
      </c>
      <c r="H14" t="str">
        <f t="shared" si="0"/>
        <v>200200200038</v>
      </c>
      <c r="I14" s="29" t="s">
        <v>103</v>
      </c>
      <c r="J14" s="29">
        <v>20020020</v>
      </c>
      <c r="K14" t="s">
        <v>48</v>
      </c>
      <c r="L14">
        <v>1270</v>
      </c>
      <c r="M14">
        <v>717</v>
      </c>
    </row>
    <row r="15" spans="1:13" x14ac:dyDescent="0.25">
      <c r="A15" t="s">
        <v>103</v>
      </c>
      <c r="B15">
        <v>20020020</v>
      </c>
      <c r="C15" t="s">
        <v>88</v>
      </c>
      <c r="D15">
        <v>1270</v>
      </c>
      <c r="H15" t="str">
        <f t="shared" si="0"/>
        <v>200200200039</v>
      </c>
      <c r="I15" s="29" t="s">
        <v>103</v>
      </c>
      <c r="J15" s="29">
        <v>20020020</v>
      </c>
      <c r="K15" t="s">
        <v>88</v>
      </c>
      <c r="L15">
        <v>1270</v>
      </c>
      <c r="M15">
        <v>1270</v>
      </c>
    </row>
    <row r="16" spans="1:13" x14ac:dyDescent="0.25">
      <c r="A16" t="s">
        <v>103</v>
      </c>
      <c r="B16">
        <v>20020020</v>
      </c>
      <c r="C16" t="s">
        <v>53</v>
      </c>
      <c r="D16">
        <v>1270</v>
      </c>
      <c r="H16" t="str">
        <f t="shared" si="0"/>
        <v>200200200041</v>
      </c>
      <c r="I16" s="29" t="s">
        <v>103</v>
      </c>
      <c r="J16" s="29">
        <v>20020020</v>
      </c>
      <c r="K16" t="s">
        <v>53</v>
      </c>
      <c r="L16">
        <v>1270</v>
      </c>
      <c r="M16">
        <v>1270</v>
      </c>
    </row>
    <row r="17" spans="1:13" x14ac:dyDescent="0.25">
      <c r="A17" t="s">
        <v>103</v>
      </c>
      <c r="B17">
        <v>20020020</v>
      </c>
      <c r="C17" t="s">
        <v>90</v>
      </c>
      <c r="D17">
        <v>1270</v>
      </c>
      <c r="H17" t="str">
        <f t="shared" si="0"/>
        <v>200200200042</v>
      </c>
      <c r="I17" s="29" t="s">
        <v>103</v>
      </c>
      <c r="J17" s="29">
        <v>20020020</v>
      </c>
      <c r="K17" t="s">
        <v>90</v>
      </c>
      <c r="L17">
        <v>1270</v>
      </c>
      <c r="M17">
        <v>1270</v>
      </c>
    </row>
    <row r="18" spans="1:13" x14ac:dyDescent="0.25">
      <c r="A18" t="s">
        <v>103</v>
      </c>
      <c r="B18">
        <v>20020020</v>
      </c>
      <c r="C18" t="s">
        <v>71</v>
      </c>
      <c r="D18">
        <v>1270</v>
      </c>
      <c r="H18" t="str">
        <f t="shared" si="0"/>
        <v>200200200047</v>
      </c>
      <c r="I18" s="29" t="s">
        <v>103</v>
      </c>
      <c r="J18" s="29">
        <v>20020020</v>
      </c>
      <c r="K18" t="s">
        <v>71</v>
      </c>
      <c r="L18">
        <v>1270</v>
      </c>
      <c r="M18">
        <v>1270</v>
      </c>
    </row>
    <row r="19" spans="1:13" x14ac:dyDescent="0.25">
      <c r="A19" t="s">
        <v>103</v>
      </c>
      <c r="B19">
        <v>20020027</v>
      </c>
      <c r="C19" t="s">
        <v>35</v>
      </c>
      <c r="D19">
        <v>1270</v>
      </c>
      <c r="H19" t="str">
        <f t="shared" si="0"/>
        <v>200200270003</v>
      </c>
      <c r="I19" s="29" t="s">
        <v>103</v>
      </c>
      <c r="J19" s="29">
        <v>20020027</v>
      </c>
      <c r="K19" t="s">
        <v>35</v>
      </c>
      <c r="L19">
        <v>1270</v>
      </c>
      <c r="M19">
        <v>1003</v>
      </c>
    </row>
    <row r="20" spans="1:13" x14ac:dyDescent="0.25">
      <c r="A20" t="s">
        <v>103</v>
      </c>
      <c r="B20">
        <v>20020027</v>
      </c>
      <c r="C20" t="s">
        <v>49</v>
      </c>
      <c r="D20">
        <v>1270</v>
      </c>
      <c r="H20" t="str">
        <f t="shared" si="0"/>
        <v>200200270005</v>
      </c>
      <c r="I20" s="29" t="s">
        <v>103</v>
      </c>
      <c r="J20" s="29">
        <v>20020027</v>
      </c>
      <c r="K20" t="s">
        <v>49</v>
      </c>
      <c r="L20">
        <v>1270</v>
      </c>
      <c r="M20">
        <v>1270</v>
      </c>
    </row>
    <row r="21" spans="1:13" x14ac:dyDescent="0.25">
      <c r="A21" t="s">
        <v>103</v>
      </c>
      <c r="B21">
        <v>20020027</v>
      </c>
      <c r="C21" t="s">
        <v>78</v>
      </c>
      <c r="D21">
        <v>2540</v>
      </c>
      <c r="H21" t="str">
        <f t="shared" si="0"/>
        <v>200200270009</v>
      </c>
      <c r="I21" s="29" t="s">
        <v>103</v>
      </c>
      <c r="J21" s="29">
        <v>20020027</v>
      </c>
      <c r="K21" t="s">
        <v>78</v>
      </c>
      <c r="L21">
        <v>2540</v>
      </c>
      <c r="M21">
        <v>2540</v>
      </c>
    </row>
    <row r="22" spans="1:13" x14ac:dyDescent="0.25">
      <c r="A22" t="s">
        <v>103</v>
      </c>
      <c r="B22">
        <v>20020029</v>
      </c>
      <c r="C22" t="s">
        <v>35</v>
      </c>
      <c r="D22">
        <v>1270</v>
      </c>
      <c r="H22" t="str">
        <f t="shared" si="0"/>
        <v>200200290003</v>
      </c>
      <c r="I22" s="29" t="s">
        <v>103</v>
      </c>
      <c r="J22" s="29">
        <v>20020029</v>
      </c>
      <c r="K22" t="s">
        <v>35</v>
      </c>
      <c r="L22">
        <v>1270</v>
      </c>
      <c r="M22">
        <v>1270</v>
      </c>
    </row>
    <row r="23" spans="1:13" x14ac:dyDescent="0.25">
      <c r="A23" t="s">
        <v>103</v>
      </c>
      <c r="B23">
        <v>20020029</v>
      </c>
      <c r="C23" t="s">
        <v>49</v>
      </c>
      <c r="D23">
        <v>2540</v>
      </c>
      <c r="H23" t="str">
        <f t="shared" si="0"/>
        <v>200200290005</v>
      </c>
      <c r="I23" s="29" t="s">
        <v>103</v>
      </c>
      <c r="J23" s="29">
        <v>20020029</v>
      </c>
      <c r="K23" t="s">
        <v>49</v>
      </c>
      <c r="L23">
        <v>2540</v>
      </c>
      <c r="M23">
        <v>2540</v>
      </c>
    </row>
    <row r="24" spans="1:13" x14ac:dyDescent="0.25">
      <c r="A24" t="s">
        <v>103</v>
      </c>
      <c r="B24">
        <v>20020029</v>
      </c>
      <c r="C24" t="s">
        <v>95</v>
      </c>
      <c r="D24">
        <v>1270</v>
      </c>
      <c r="H24" t="str">
        <f t="shared" si="0"/>
        <v>200200290016</v>
      </c>
      <c r="I24" s="29" t="s">
        <v>103</v>
      </c>
      <c r="J24" s="29">
        <v>20020029</v>
      </c>
      <c r="K24" t="s">
        <v>95</v>
      </c>
      <c r="L24">
        <v>1270</v>
      </c>
      <c r="M24">
        <v>1270</v>
      </c>
    </row>
    <row r="25" spans="1:13" x14ac:dyDescent="0.25">
      <c r="A25" t="s">
        <v>103</v>
      </c>
      <c r="B25">
        <v>20040001</v>
      </c>
      <c r="C25" t="s">
        <v>35</v>
      </c>
      <c r="D25">
        <v>2540</v>
      </c>
      <c r="H25" t="str">
        <f t="shared" si="0"/>
        <v>200400010003</v>
      </c>
      <c r="I25" s="29" t="s">
        <v>103</v>
      </c>
      <c r="J25" s="29">
        <v>20040001</v>
      </c>
      <c r="K25" t="s">
        <v>35</v>
      </c>
      <c r="L25">
        <v>2540</v>
      </c>
      <c r="M25">
        <v>2540</v>
      </c>
    </row>
    <row r="26" spans="1:13" x14ac:dyDescent="0.25">
      <c r="A26" t="s">
        <v>103</v>
      </c>
      <c r="B26">
        <v>20050002</v>
      </c>
      <c r="C26" t="s">
        <v>66</v>
      </c>
      <c r="D26">
        <v>6350</v>
      </c>
      <c r="H26" t="str">
        <f t="shared" si="0"/>
        <v>200500020056</v>
      </c>
      <c r="I26" s="29" t="s">
        <v>103</v>
      </c>
      <c r="J26" s="29">
        <v>20050002</v>
      </c>
      <c r="K26" t="s">
        <v>66</v>
      </c>
      <c r="L26">
        <v>6350</v>
      </c>
      <c r="M26">
        <v>5660</v>
      </c>
    </row>
    <row r="27" spans="1:13" x14ac:dyDescent="0.25">
      <c r="A27" t="s">
        <v>103</v>
      </c>
      <c r="B27">
        <v>20060003</v>
      </c>
      <c r="C27" t="s">
        <v>23</v>
      </c>
      <c r="D27">
        <v>29686</v>
      </c>
      <c r="H27" t="str">
        <f t="shared" si="0"/>
        <v>200600030002</v>
      </c>
      <c r="I27" s="29" t="s">
        <v>103</v>
      </c>
      <c r="J27" s="29">
        <v>20060003</v>
      </c>
      <c r="K27" t="s">
        <v>23</v>
      </c>
      <c r="L27">
        <v>29686</v>
      </c>
      <c r="M27">
        <v>29686</v>
      </c>
    </row>
    <row r="28" spans="1:13" x14ac:dyDescent="0.25">
      <c r="A28" t="s">
        <v>103</v>
      </c>
      <c r="B28">
        <v>20060004</v>
      </c>
      <c r="C28" t="s">
        <v>23</v>
      </c>
      <c r="D28">
        <v>6350</v>
      </c>
      <c r="H28" t="str">
        <f t="shared" si="0"/>
        <v>200600040002</v>
      </c>
      <c r="I28" s="29" t="s">
        <v>103</v>
      </c>
      <c r="J28" s="29">
        <v>20060004</v>
      </c>
      <c r="K28" t="s">
        <v>23</v>
      </c>
      <c r="L28">
        <v>6350</v>
      </c>
      <c r="M28">
        <v>6350</v>
      </c>
    </row>
    <row r="29" spans="1:13" x14ac:dyDescent="0.25">
      <c r="A29" t="s">
        <v>103</v>
      </c>
      <c r="B29">
        <v>20080039</v>
      </c>
      <c r="C29" t="s">
        <v>51</v>
      </c>
      <c r="D29">
        <v>3810</v>
      </c>
      <c r="H29" t="str">
        <f t="shared" si="0"/>
        <v>200800390023</v>
      </c>
      <c r="I29" s="29" t="s">
        <v>103</v>
      </c>
      <c r="J29" s="29">
        <v>20080039</v>
      </c>
      <c r="K29" t="s">
        <v>51</v>
      </c>
      <c r="L29">
        <v>3810</v>
      </c>
      <c r="M29">
        <v>3810</v>
      </c>
    </row>
    <row r="30" spans="1:13" x14ac:dyDescent="0.25">
      <c r="A30" t="s">
        <v>103</v>
      </c>
      <c r="B30">
        <v>20090008</v>
      </c>
      <c r="C30" t="s">
        <v>49</v>
      </c>
      <c r="D30">
        <v>635</v>
      </c>
      <c r="H30" t="str">
        <f t="shared" si="0"/>
        <v>200900080005</v>
      </c>
      <c r="I30" s="29" t="s">
        <v>103</v>
      </c>
      <c r="J30" s="29">
        <v>20090008</v>
      </c>
      <c r="K30" t="s">
        <v>49</v>
      </c>
      <c r="L30">
        <v>635</v>
      </c>
      <c r="M30">
        <v>635</v>
      </c>
    </row>
    <row r="31" spans="1:13" x14ac:dyDescent="0.25">
      <c r="A31" t="s">
        <v>103</v>
      </c>
      <c r="B31">
        <v>20090014</v>
      </c>
      <c r="C31" t="s">
        <v>67</v>
      </c>
      <c r="D31">
        <v>6350</v>
      </c>
      <c r="H31" t="str">
        <f t="shared" si="0"/>
        <v>200900140015</v>
      </c>
      <c r="I31" s="29" t="s">
        <v>103</v>
      </c>
      <c r="J31" s="29">
        <v>20090014</v>
      </c>
      <c r="K31" t="s">
        <v>67</v>
      </c>
      <c r="L31">
        <v>6350</v>
      </c>
      <c r="M31">
        <v>6350</v>
      </c>
    </row>
    <row r="32" spans="1:13" x14ac:dyDescent="0.25">
      <c r="A32" t="s">
        <v>103</v>
      </c>
      <c r="B32">
        <v>20090015</v>
      </c>
      <c r="C32" t="s">
        <v>99</v>
      </c>
      <c r="D32">
        <v>635</v>
      </c>
      <c r="H32" t="str">
        <f t="shared" si="0"/>
        <v>200900150014</v>
      </c>
      <c r="I32" s="29" t="s">
        <v>103</v>
      </c>
      <c r="J32" s="29">
        <v>20090015</v>
      </c>
      <c r="K32" t="s">
        <v>99</v>
      </c>
      <c r="L32">
        <v>635</v>
      </c>
      <c r="M32">
        <v>635</v>
      </c>
    </row>
    <row r="33" spans="1:13" x14ac:dyDescent="0.25">
      <c r="A33" t="s">
        <v>103</v>
      </c>
      <c r="B33">
        <v>20090017</v>
      </c>
      <c r="C33" t="s">
        <v>35</v>
      </c>
      <c r="D33">
        <v>2540</v>
      </c>
      <c r="H33" t="str">
        <f t="shared" si="0"/>
        <v>200900170003</v>
      </c>
      <c r="I33" s="29" t="s">
        <v>103</v>
      </c>
      <c r="J33" s="29">
        <v>20090017</v>
      </c>
      <c r="K33" t="s">
        <v>35</v>
      </c>
      <c r="L33">
        <v>2540</v>
      </c>
      <c r="M33">
        <v>2540</v>
      </c>
    </row>
    <row r="34" spans="1:13" x14ac:dyDescent="0.25">
      <c r="A34" t="s">
        <v>103</v>
      </c>
      <c r="B34">
        <v>20090020</v>
      </c>
      <c r="C34" t="s">
        <v>23</v>
      </c>
      <c r="D34">
        <v>635</v>
      </c>
      <c r="H34" t="str">
        <f t="shared" si="0"/>
        <v>200900200002</v>
      </c>
      <c r="I34" s="29" t="s">
        <v>103</v>
      </c>
      <c r="J34" s="29">
        <v>20090020</v>
      </c>
      <c r="K34" t="s">
        <v>23</v>
      </c>
      <c r="L34">
        <v>635</v>
      </c>
      <c r="M34">
        <v>635</v>
      </c>
    </row>
    <row r="35" spans="1:13" x14ac:dyDescent="0.25">
      <c r="A35" t="s">
        <v>103</v>
      </c>
      <c r="B35">
        <v>20090023</v>
      </c>
      <c r="C35" t="s">
        <v>23</v>
      </c>
      <c r="D35">
        <v>635</v>
      </c>
      <c r="H35" t="str">
        <f t="shared" si="0"/>
        <v>200900230002</v>
      </c>
      <c r="I35" s="28" t="s">
        <v>103</v>
      </c>
      <c r="J35" s="29">
        <v>20090023</v>
      </c>
      <c r="K35" t="s">
        <v>23</v>
      </c>
      <c r="L35">
        <v>635</v>
      </c>
      <c r="M35">
        <v>635</v>
      </c>
    </row>
    <row r="36" spans="1:13" x14ac:dyDescent="0.25">
      <c r="A36" t="s">
        <v>108</v>
      </c>
      <c r="D36">
        <v>227529</v>
      </c>
      <c r="H36" s="30" t="s">
        <v>108</v>
      </c>
      <c r="I36" s="30"/>
      <c r="J36" s="30"/>
      <c r="K36" s="30"/>
      <c r="L36" s="30">
        <v>227529</v>
      </c>
      <c r="M36" s="30">
        <f>SUM(M5:M35)</f>
        <v>199278</v>
      </c>
    </row>
    <row r="37" spans="1:13" x14ac:dyDescent="0.25">
      <c r="A37" t="s">
        <v>104</v>
      </c>
      <c r="B37">
        <v>20020030</v>
      </c>
      <c r="C37" t="s">
        <v>23</v>
      </c>
      <c r="D37">
        <v>5080</v>
      </c>
    </row>
    <row r="38" spans="1:13" x14ac:dyDescent="0.25">
      <c r="A38" t="s">
        <v>109</v>
      </c>
      <c r="D38">
        <v>5080</v>
      </c>
    </row>
    <row r="39" spans="1:13" x14ac:dyDescent="0.25">
      <c r="A39" t="s">
        <v>105</v>
      </c>
      <c r="D39">
        <v>232609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2AB3-3580-4A1F-B2C1-5EC286218F98}">
  <dimension ref="A1:U38"/>
  <sheetViews>
    <sheetView tabSelected="1" topLeftCell="B4" workbookViewId="0">
      <selection activeCell="U27" sqref="U27"/>
    </sheetView>
  </sheetViews>
  <sheetFormatPr defaultRowHeight="15" x14ac:dyDescent="0.25"/>
  <cols>
    <col min="1" max="1" width="18.140625" bestFit="1" customWidth="1"/>
    <col min="2" max="2" width="18.5703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7109375" bestFit="1" customWidth="1"/>
    <col min="19" max="19" width="12.5703125" bestFit="1" customWidth="1"/>
  </cols>
  <sheetData>
    <row r="1" spans="1:21" s="20" customForma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101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9" t="s">
        <v>18</v>
      </c>
      <c r="U1" s="19" t="s">
        <v>102</v>
      </c>
    </row>
    <row r="2" spans="1:21" x14ac:dyDescent="0.25">
      <c r="A2" s="1">
        <v>46248.833592465278</v>
      </c>
      <c r="B2" s="2" t="s">
        <v>42</v>
      </c>
      <c r="C2" s="3">
        <v>46248</v>
      </c>
      <c r="D2" s="8" t="s">
        <v>86</v>
      </c>
      <c r="E2" s="2" t="s">
        <v>20</v>
      </c>
      <c r="F2" s="4" t="s">
        <v>77</v>
      </c>
      <c r="G2" s="5">
        <v>20020027</v>
      </c>
      <c r="H2" s="5" t="s">
        <v>103</v>
      </c>
      <c r="I2" s="2" t="s">
        <v>72</v>
      </c>
      <c r="J2" s="6" t="s">
        <v>78</v>
      </c>
      <c r="K2" s="2" t="s">
        <v>45</v>
      </c>
      <c r="L2" s="2" t="s">
        <v>25</v>
      </c>
      <c r="M2" s="5">
        <v>2</v>
      </c>
      <c r="N2" s="5">
        <v>1270</v>
      </c>
      <c r="O2" s="5">
        <v>2540</v>
      </c>
      <c r="P2" s="5">
        <v>0</v>
      </c>
      <c r="Q2" s="5">
        <v>2540</v>
      </c>
      <c r="R2" s="5">
        <v>2</v>
      </c>
      <c r="S2" s="5">
        <v>2540</v>
      </c>
      <c r="T2" s="23"/>
      <c r="U2" s="7">
        <v>2540</v>
      </c>
    </row>
    <row r="3" spans="1:21" x14ac:dyDescent="0.25">
      <c r="A3" s="1">
        <v>46248.834153773147</v>
      </c>
      <c r="B3" s="2" t="s">
        <v>42</v>
      </c>
      <c r="C3" s="3">
        <v>46248</v>
      </c>
      <c r="D3" s="8" t="s">
        <v>86</v>
      </c>
      <c r="E3" s="2" t="s">
        <v>20</v>
      </c>
      <c r="F3" s="4" t="s">
        <v>75</v>
      </c>
      <c r="G3" s="5">
        <v>20020027</v>
      </c>
      <c r="H3" s="5" t="s">
        <v>103</v>
      </c>
      <c r="I3" s="2" t="s">
        <v>72</v>
      </c>
      <c r="J3" s="6" t="s">
        <v>49</v>
      </c>
      <c r="K3" s="2" t="s">
        <v>45</v>
      </c>
      <c r="L3" s="2" t="s">
        <v>25</v>
      </c>
      <c r="M3" s="5">
        <v>1</v>
      </c>
      <c r="N3" s="5">
        <v>1270</v>
      </c>
      <c r="O3" s="5">
        <v>1270</v>
      </c>
      <c r="P3" s="5">
        <v>0</v>
      </c>
      <c r="Q3" s="5">
        <v>1270</v>
      </c>
      <c r="R3" s="5">
        <v>1</v>
      </c>
      <c r="S3" s="5">
        <v>1270</v>
      </c>
      <c r="T3" s="23"/>
      <c r="U3" s="7">
        <v>1270</v>
      </c>
    </row>
    <row r="4" spans="1:21" x14ac:dyDescent="0.25">
      <c r="A4" s="1">
        <v>46248.834768252316</v>
      </c>
      <c r="B4" s="2" t="s">
        <v>42</v>
      </c>
      <c r="C4" s="3">
        <v>46248</v>
      </c>
      <c r="D4" s="8" t="s">
        <v>86</v>
      </c>
      <c r="E4" s="2" t="s">
        <v>20</v>
      </c>
      <c r="F4" s="4" t="s">
        <v>76</v>
      </c>
      <c r="G4" s="5">
        <v>20020027</v>
      </c>
      <c r="H4" s="5" t="s">
        <v>103</v>
      </c>
      <c r="I4" s="2" t="s">
        <v>72</v>
      </c>
      <c r="J4" s="6" t="s">
        <v>35</v>
      </c>
      <c r="K4" s="2" t="s">
        <v>45</v>
      </c>
      <c r="L4" s="2" t="s">
        <v>25</v>
      </c>
      <c r="M4" s="5">
        <v>1</v>
      </c>
      <c r="N4" s="5">
        <v>1270</v>
      </c>
      <c r="O4" s="5">
        <v>1270</v>
      </c>
      <c r="P4" s="5">
        <v>0</v>
      </c>
      <c r="Q4" s="5">
        <v>1270</v>
      </c>
      <c r="R4" s="5">
        <v>1</v>
      </c>
      <c r="S4" s="5">
        <v>1270</v>
      </c>
      <c r="T4" s="23"/>
      <c r="U4" s="7">
        <v>1003</v>
      </c>
    </row>
    <row r="5" spans="1:21" x14ac:dyDescent="0.25">
      <c r="A5" s="1">
        <v>46248.852032303243</v>
      </c>
      <c r="B5" s="2" t="s">
        <v>42</v>
      </c>
      <c r="C5" s="3">
        <v>46248</v>
      </c>
      <c r="D5" s="8" t="s">
        <v>86</v>
      </c>
      <c r="E5" s="2" t="s">
        <v>20</v>
      </c>
      <c r="F5" s="4" t="s">
        <v>50</v>
      </c>
      <c r="G5" s="5">
        <v>20020020</v>
      </c>
      <c r="H5" s="5" t="s">
        <v>103</v>
      </c>
      <c r="I5" s="2" t="s">
        <v>47</v>
      </c>
      <c r="J5" s="6" t="s">
        <v>51</v>
      </c>
      <c r="K5" s="2" t="s">
        <v>45</v>
      </c>
      <c r="L5" s="2" t="s">
        <v>25</v>
      </c>
      <c r="M5" s="5">
        <v>2</v>
      </c>
      <c r="N5" s="5">
        <v>1270</v>
      </c>
      <c r="O5" s="5">
        <v>2540</v>
      </c>
      <c r="P5" s="5">
        <v>0</v>
      </c>
      <c r="Q5" s="5">
        <v>2540</v>
      </c>
      <c r="R5" s="5">
        <v>2</v>
      </c>
      <c r="S5" s="5">
        <v>2540</v>
      </c>
      <c r="T5" s="23"/>
      <c r="U5" s="7">
        <v>2540</v>
      </c>
    </row>
    <row r="6" spans="1:21" x14ac:dyDescent="0.25">
      <c r="A6" s="1">
        <v>46248.852275960649</v>
      </c>
      <c r="B6" s="2" t="s">
        <v>42</v>
      </c>
      <c r="C6" s="3">
        <v>46248</v>
      </c>
      <c r="D6" s="8" t="s">
        <v>86</v>
      </c>
      <c r="E6" s="2" t="s">
        <v>20</v>
      </c>
      <c r="F6" s="4" t="s">
        <v>74</v>
      </c>
      <c r="G6" s="5">
        <v>20020020</v>
      </c>
      <c r="H6" s="5" t="s">
        <v>103</v>
      </c>
      <c r="I6" s="2" t="s">
        <v>47</v>
      </c>
      <c r="J6" s="6" t="s">
        <v>29</v>
      </c>
      <c r="K6" s="2" t="s">
        <v>45</v>
      </c>
      <c r="L6" s="2" t="s">
        <v>25</v>
      </c>
      <c r="M6" s="5">
        <v>1</v>
      </c>
      <c r="N6" s="5">
        <v>1270</v>
      </c>
      <c r="O6" s="5">
        <v>1270</v>
      </c>
      <c r="P6" s="5">
        <v>0</v>
      </c>
      <c r="Q6" s="5">
        <v>1270</v>
      </c>
      <c r="R6" s="5">
        <v>1</v>
      </c>
      <c r="S6" s="5">
        <v>1270</v>
      </c>
      <c r="T6" s="23"/>
      <c r="U6" s="7">
        <v>1270</v>
      </c>
    </row>
    <row r="7" spans="1:21" x14ac:dyDescent="0.25">
      <c r="A7" s="1">
        <v>46248.852515462961</v>
      </c>
      <c r="B7" s="2" t="s">
        <v>42</v>
      </c>
      <c r="C7" s="3">
        <v>46248</v>
      </c>
      <c r="D7" s="8" t="s">
        <v>86</v>
      </c>
      <c r="E7" s="2" t="s">
        <v>20</v>
      </c>
      <c r="F7" s="4" t="s">
        <v>87</v>
      </c>
      <c r="G7" s="5">
        <v>20020020</v>
      </c>
      <c r="H7" s="5" t="s">
        <v>103</v>
      </c>
      <c r="I7" s="2" t="s">
        <v>47</v>
      </c>
      <c r="J7" s="6" t="s">
        <v>88</v>
      </c>
      <c r="K7" s="2" t="s">
        <v>45</v>
      </c>
      <c r="L7" s="2" t="s">
        <v>25</v>
      </c>
      <c r="M7" s="5">
        <v>1</v>
      </c>
      <c r="N7" s="5">
        <v>1270</v>
      </c>
      <c r="O7" s="5">
        <v>1270</v>
      </c>
      <c r="P7" s="5">
        <v>0</v>
      </c>
      <c r="Q7" s="5">
        <v>1270</v>
      </c>
      <c r="R7" s="5">
        <v>1</v>
      </c>
      <c r="S7" s="5">
        <v>1270</v>
      </c>
      <c r="T7" s="23"/>
      <c r="U7" s="7">
        <v>1270</v>
      </c>
    </row>
    <row r="8" spans="1:21" x14ac:dyDescent="0.25">
      <c r="A8" s="1">
        <v>46248.852820798609</v>
      </c>
      <c r="B8" s="2" t="s">
        <v>42</v>
      </c>
      <c r="C8" s="3">
        <v>46248</v>
      </c>
      <c r="D8" s="8" t="s">
        <v>86</v>
      </c>
      <c r="E8" s="2" t="s">
        <v>20</v>
      </c>
      <c r="F8" s="4" t="s">
        <v>46</v>
      </c>
      <c r="G8" s="5">
        <v>20020020</v>
      </c>
      <c r="H8" s="5" t="s">
        <v>103</v>
      </c>
      <c r="I8" s="2" t="s">
        <v>47</v>
      </c>
      <c r="J8" s="6" t="s">
        <v>48</v>
      </c>
      <c r="K8" s="2" t="s">
        <v>45</v>
      </c>
      <c r="L8" s="2" t="s">
        <v>25</v>
      </c>
      <c r="M8" s="5">
        <v>1</v>
      </c>
      <c r="N8" s="5">
        <v>1270</v>
      </c>
      <c r="O8" s="5">
        <v>1270</v>
      </c>
      <c r="P8" s="5">
        <v>0</v>
      </c>
      <c r="Q8" s="5">
        <v>1270</v>
      </c>
      <c r="R8" s="5">
        <v>1</v>
      </c>
      <c r="S8" s="5">
        <v>1270</v>
      </c>
      <c r="T8" s="23"/>
      <c r="U8" s="7">
        <v>717</v>
      </c>
    </row>
    <row r="9" spans="1:21" x14ac:dyDescent="0.25">
      <c r="A9" s="1">
        <v>46248.853066215277</v>
      </c>
      <c r="B9" s="2" t="s">
        <v>42</v>
      </c>
      <c r="C9" s="3">
        <v>46248</v>
      </c>
      <c r="D9" s="8" t="s">
        <v>86</v>
      </c>
      <c r="E9" s="2" t="s">
        <v>20</v>
      </c>
      <c r="F9" s="4" t="s">
        <v>89</v>
      </c>
      <c r="G9" s="5">
        <v>20020020</v>
      </c>
      <c r="H9" s="5" t="s">
        <v>103</v>
      </c>
      <c r="I9" s="2" t="s">
        <v>47</v>
      </c>
      <c r="J9" s="6" t="s">
        <v>90</v>
      </c>
      <c r="K9" s="2" t="s">
        <v>45</v>
      </c>
      <c r="L9" s="2" t="s">
        <v>25</v>
      </c>
      <c r="M9" s="5">
        <v>1</v>
      </c>
      <c r="N9" s="5">
        <v>1270</v>
      </c>
      <c r="O9" s="5">
        <v>1270</v>
      </c>
      <c r="P9" s="5">
        <v>0</v>
      </c>
      <c r="Q9" s="5">
        <v>1270</v>
      </c>
      <c r="R9" s="5">
        <v>1</v>
      </c>
      <c r="S9" s="5">
        <v>1270</v>
      </c>
      <c r="T9" s="23"/>
      <c r="U9" s="7">
        <v>1270</v>
      </c>
    </row>
    <row r="10" spans="1:21" x14ac:dyDescent="0.25">
      <c r="A10" s="1">
        <v>46248.853406365743</v>
      </c>
      <c r="B10" s="2" t="s">
        <v>42</v>
      </c>
      <c r="C10" s="3">
        <v>46248</v>
      </c>
      <c r="D10" s="8" t="s">
        <v>86</v>
      </c>
      <c r="E10" s="2" t="s">
        <v>20</v>
      </c>
      <c r="F10" s="4" t="s">
        <v>52</v>
      </c>
      <c r="G10" s="5">
        <v>20020020</v>
      </c>
      <c r="H10" s="5" t="s">
        <v>103</v>
      </c>
      <c r="I10" s="2" t="s">
        <v>47</v>
      </c>
      <c r="J10" s="6" t="s">
        <v>53</v>
      </c>
      <c r="K10" s="2" t="s">
        <v>45</v>
      </c>
      <c r="L10" s="2" t="s">
        <v>25</v>
      </c>
      <c r="M10" s="5">
        <v>1</v>
      </c>
      <c r="N10" s="5">
        <v>1270</v>
      </c>
      <c r="O10" s="5">
        <v>1270</v>
      </c>
      <c r="P10" s="5">
        <v>0</v>
      </c>
      <c r="Q10" s="5">
        <v>1270</v>
      </c>
      <c r="R10" s="5">
        <v>1</v>
      </c>
      <c r="S10" s="5">
        <v>1270</v>
      </c>
      <c r="T10" s="23"/>
      <c r="U10" s="7">
        <v>1270</v>
      </c>
    </row>
    <row r="11" spans="1:21" x14ac:dyDescent="0.25">
      <c r="A11" s="1">
        <v>46248.853685451388</v>
      </c>
      <c r="B11" s="2" t="s">
        <v>42</v>
      </c>
      <c r="C11" s="3">
        <v>46248</v>
      </c>
      <c r="D11" s="8" t="s">
        <v>86</v>
      </c>
      <c r="E11" s="2" t="s">
        <v>20</v>
      </c>
      <c r="F11" s="4" t="s">
        <v>91</v>
      </c>
      <c r="G11" s="5">
        <v>20020020</v>
      </c>
      <c r="H11" s="5" t="s">
        <v>103</v>
      </c>
      <c r="I11" s="2" t="s">
        <v>47</v>
      </c>
      <c r="J11" s="6" t="s">
        <v>71</v>
      </c>
      <c r="K11" s="2" t="s">
        <v>45</v>
      </c>
      <c r="L11" s="2" t="s">
        <v>25</v>
      </c>
      <c r="M11" s="5">
        <v>1</v>
      </c>
      <c r="N11" s="5">
        <v>1270</v>
      </c>
      <c r="O11" s="5">
        <v>1270</v>
      </c>
      <c r="P11" s="5">
        <v>0</v>
      </c>
      <c r="Q11" s="5">
        <v>1270</v>
      </c>
      <c r="R11" s="5">
        <v>1</v>
      </c>
      <c r="S11" s="5">
        <v>1270</v>
      </c>
      <c r="T11" s="23"/>
      <c r="U11" s="7">
        <v>1270</v>
      </c>
    </row>
    <row r="12" spans="1:21" x14ac:dyDescent="0.25">
      <c r="A12" s="1">
        <v>46248.854662812504</v>
      </c>
      <c r="B12" s="2" t="s">
        <v>42</v>
      </c>
      <c r="C12" s="3">
        <v>46248</v>
      </c>
      <c r="D12" s="8" t="s">
        <v>86</v>
      </c>
      <c r="E12" s="2" t="s">
        <v>20</v>
      </c>
      <c r="F12" s="4" t="s">
        <v>43</v>
      </c>
      <c r="G12" s="5">
        <v>20020003</v>
      </c>
      <c r="H12" s="5" t="s">
        <v>103</v>
      </c>
      <c r="I12" s="2" t="s">
        <v>44</v>
      </c>
      <c r="J12" s="6" t="s">
        <v>23</v>
      </c>
      <c r="K12" s="2" t="s">
        <v>45</v>
      </c>
      <c r="L12" s="2" t="s">
        <v>25</v>
      </c>
      <c r="M12" s="5">
        <v>10</v>
      </c>
      <c r="N12" s="5">
        <v>1270</v>
      </c>
      <c r="O12" s="5">
        <v>12700</v>
      </c>
      <c r="P12" s="5">
        <v>0</v>
      </c>
      <c r="Q12" s="5">
        <v>12700</v>
      </c>
      <c r="R12" s="5">
        <v>10</v>
      </c>
      <c r="S12" s="5">
        <v>12700</v>
      </c>
      <c r="T12" s="23"/>
      <c r="U12" s="7">
        <v>12700</v>
      </c>
    </row>
    <row r="13" spans="1:21" x14ac:dyDescent="0.25">
      <c r="A13" s="1">
        <v>46248.855970914352</v>
      </c>
      <c r="B13" s="2" t="s">
        <v>42</v>
      </c>
      <c r="C13" s="3">
        <v>46248</v>
      </c>
      <c r="D13" s="8" t="s">
        <v>86</v>
      </c>
      <c r="E13" s="2" t="s">
        <v>20</v>
      </c>
      <c r="F13" s="4" t="s">
        <v>64</v>
      </c>
      <c r="G13" s="5">
        <v>20050002</v>
      </c>
      <c r="H13" s="5" t="s">
        <v>103</v>
      </c>
      <c r="I13" s="2" t="s">
        <v>65</v>
      </c>
      <c r="J13" s="6" t="s">
        <v>66</v>
      </c>
      <c r="K13" s="2" t="s">
        <v>45</v>
      </c>
      <c r="L13" s="2" t="s">
        <v>25</v>
      </c>
      <c r="M13" s="5">
        <v>5</v>
      </c>
      <c r="N13" s="5">
        <v>1270</v>
      </c>
      <c r="O13" s="5">
        <v>6350</v>
      </c>
      <c r="P13" s="5">
        <v>0</v>
      </c>
      <c r="Q13" s="5">
        <v>6350</v>
      </c>
      <c r="R13" s="5">
        <v>5</v>
      </c>
      <c r="S13" s="5">
        <v>6350</v>
      </c>
      <c r="T13" s="23"/>
      <c r="U13" s="7">
        <v>5660</v>
      </c>
    </row>
    <row r="14" spans="1:21" x14ac:dyDescent="0.25">
      <c r="A14" s="1">
        <v>46248.857132523146</v>
      </c>
      <c r="B14" s="2" t="s">
        <v>42</v>
      </c>
      <c r="C14" s="3">
        <v>46248</v>
      </c>
      <c r="D14" s="8" t="s">
        <v>86</v>
      </c>
      <c r="E14" s="2" t="s">
        <v>20</v>
      </c>
      <c r="F14" s="4" t="s">
        <v>92</v>
      </c>
      <c r="G14" s="5">
        <v>20020029</v>
      </c>
      <c r="H14" s="5" t="s">
        <v>103</v>
      </c>
      <c r="I14" s="2" t="s">
        <v>81</v>
      </c>
      <c r="J14" s="6" t="s">
        <v>49</v>
      </c>
      <c r="K14" s="2" t="s">
        <v>45</v>
      </c>
      <c r="L14" s="2" t="s">
        <v>25</v>
      </c>
      <c r="M14" s="5">
        <v>2</v>
      </c>
      <c r="N14" s="5">
        <v>1270</v>
      </c>
      <c r="O14" s="5">
        <v>2540</v>
      </c>
      <c r="P14" s="5">
        <v>0</v>
      </c>
      <c r="Q14" s="5">
        <v>2540</v>
      </c>
      <c r="R14" s="5">
        <v>2</v>
      </c>
      <c r="S14" s="5">
        <v>2540</v>
      </c>
      <c r="T14" s="23"/>
      <c r="U14" s="7">
        <v>2540</v>
      </c>
    </row>
    <row r="15" spans="1:21" x14ac:dyDescent="0.25">
      <c r="A15" s="1">
        <v>46248.857372557875</v>
      </c>
      <c r="B15" s="2" t="s">
        <v>42</v>
      </c>
      <c r="C15" s="3">
        <v>46248</v>
      </c>
      <c r="D15" s="8" t="s">
        <v>86</v>
      </c>
      <c r="E15" s="2" t="s">
        <v>20</v>
      </c>
      <c r="F15" s="4" t="s">
        <v>93</v>
      </c>
      <c r="G15" s="5">
        <v>20020029</v>
      </c>
      <c r="H15" s="5" t="s">
        <v>103</v>
      </c>
      <c r="I15" s="2" t="s">
        <v>81</v>
      </c>
      <c r="J15" s="6" t="s">
        <v>35</v>
      </c>
      <c r="K15" s="2" t="s">
        <v>45</v>
      </c>
      <c r="L15" s="2" t="s">
        <v>25</v>
      </c>
      <c r="M15" s="5">
        <v>1</v>
      </c>
      <c r="N15" s="5">
        <v>1270</v>
      </c>
      <c r="O15" s="5">
        <v>1270</v>
      </c>
      <c r="P15" s="5">
        <v>0</v>
      </c>
      <c r="Q15" s="5">
        <v>1270</v>
      </c>
      <c r="R15" s="5">
        <v>1</v>
      </c>
      <c r="S15" s="5">
        <v>1270</v>
      </c>
      <c r="T15" s="23"/>
      <c r="U15" s="7">
        <v>1270</v>
      </c>
    </row>
    <row r="16" spans="1:21" x14ac:dyDescent="0.25">
      <c r="A16" s="1">
        <v>46248.857797743054</v>
      </c>
      <c r="B16" s="2" t="s">
        <v>42</v>
      </c>
      <c r="C16" s="3">
        <v>46248</v>
      </c>
      <c r="D16" s="8" t="s">
        <v>86</v>
      </c>
      <c r="E16" s="2" t="s">
        <v>20</v>
      </c>
      <c r="F16" s="4" t="s">
        <v>94</v>
      </c>
      <c r="G16" s="5">
        <v>20020029</v>
      </c>
      <c r="H16" s="5" t="s">
        <v>103</v>
      </c>
      <c r="I16" s="2" t="s">
        <v>81</v>
      </c>
      <c r="J16" s="6" t="s">
        <v>95</v>
      </c>
      <c r="K16" s="2" t="s">
        <v>45</v>
      </c>
      <c r="L16" s="2" t="s">
        <v>25</v>
      </c>
      <c r="M16" s="5">
        <v>1</v>
      </c>
      <c r="N16" s="5">
        <v>1270</v>
      </c>
      <c r="O16" s="5">
        <v>1270</v>
      </c>
      <c r="P16" s="5">
        <v>0</v>
      </c>
      <c r="Q16" s="5">
        <v>1270</v>
      </c>
      <c r="R16" s="5">
        <v>1</v>
      </c>
      <c r="S16" s="5">
        <v>1270</v>
      </c>
      <c r="T16" s="23"/>
      <c r="U16" s="7">
        <v>1270</v>
      </c>
    </row>
    <row r="17" spans="1:21" x14ac:dyDescent="0.25">
      <c r="A17" s="1">
        <v>46250.761725925928</v>
      </c>
      <c r="B17" s="2" t="s">
        <v>82</v>
      </c>
      <c r="C17" s="3">
        <v>46250</v>
      </c>
      <c r="D17" s="8" t="s">
        <v>86</v>
      </c>
      <c r="E17" s="2" t="s">
        <v>20</v>
      </c>
      <c r="F17" s="4" t="s">
        <v>96</v>
      </c>
      <c r="G17" s="5">
        <v>20080039</v>
      </c>
      <c r="H17" s="5" t="s">
        <v>103</v>
      </c>
      <c r="I17" s="2" t="s">
        <v>97</v>
      </c>
      <c r="J17" s="6" t="s">
        <v>51</v>
      </c>
      <c r="K17" s="2" t="s">
        <v>83</v>
      </c>
      <c r="L17" s="2" t="s">
        <v>25</v>
      </c>
      <c r="M17" s="5">
        <v>3</v>
      </c>
      <c r="N17" s="5">
        <v>1270</v>
      </c>
      <c r="O17" s="5">
        <v>3810</v>
      </c>
      <c r="P17" s="5">
        <v>0</v>
      </c>
      <c r="Q17" s="5">
        <v>3810</v>
      </c>
      <c r="R17" s="5">
        <v>3</v>
      </c>
      <c r="S17" s="5">
        <v>3810</v>
      </c>
      <c r="T17" s="23"/>
      <c r="U17" s="7">
        <v>3810</v>
      </c>
    </row>
    <row r="18" spans="1:21" x14ac:dyDescent="0.25">
      <c r="A18" s="1">
        <v>46250.771607175921</v>
      </c>
      <c r="B18" s="2" t="s">
        <v>54</v>
      </c>
      <c r="C18" s="3">
        <v>46250</v>
      </c>
      <c r="D18" s="8" t="s">
        <v>86</v>
      </c>
      <c r="E18" s="2" t="s">
        <v>20</v>
      </c>
      <c r="F18" s="4" t="s">
        <v>70</v>
      </c>
      <c r="G18" s="5">
        <v>20040001</v>
      </c>
      <c r="H18" s="5" t="s">
        <v>103</v>
      </c>
      <c r="I18" s="2" t="s">
        <v>61</v>
      </c>
      <c r="J18" s="6" t="s">
        <v>35</v>
      </c>
      <c r="K18" s="2" t="s">
        <v>61</v>
      </c>
      <c r="L18" s="2" t="s">
        <v>25</v>
      </c>
      <c r="M18" s="5">
        <v>2</v>
      </c>
      <c r="N18" s="5">
        <v>1270</v>
      </c>
      <c r="O18" s="5">
        <v>2540</v>
      </c>
      <c r="P18" s="5">
        <v>0</v>
      </c>
      <c r="Q18" s="5">
        <v>2540</v>
      </c>
      <c r="R18" s="5">
        <v>2</v>
      </c>
      <c r="S18" s="5">
        <v>2540</v>
      </c>
      <c r="T18" s="23"/>
      <c r="U18" s="7">
        <v>2540</v>
      </c>
    </row>
    <row r="19" spans="1:21" x14ac:dyDescent="0.25">
      <c r="A19" s="1">
        <v>46250.771840590278</v>
      </c>
      <c r="B19" s="2" t="s">
        <v>54</v>
      </c>
      <c r="C19" s="3">
        <v>46250</v>
      </c>
      <c r="D19" s="8" t="s">
        <v>86</v>
      </c>
      <c r="E19" s="2" t="s">
        <v>20</v>
      </c>
      <c r="F19" s="4" t="s">
        <v>30</v>
      </c>
      <c r="G19" s="5">
        <v>20010054</v>
      </c>
      <c r="H19" s="5" t="s">
        <v>103</v>
      </c>
      <c r="I19" s="2" t="s">
        <v>31</v>
      </c>
      <c r="J19" s="6" t="s">
        <v>32</v>
      </c>
      <c r="K19" s="2" t="s">
        <v>27</v>
      </c>
      <c r="L19" s="2" t="s">
        <v>25</v>
      </c>
      <c r="M19" s="5">
        <v>2</v>
      </c>
      <c r="N19" s="5">
        <v>1270</v>
      </c>
      <c r="O19" s="5">
        <v>2540</v>
      </c>
      <c r="P19" s="5">
        <v>0</v>
      </c>
      <c r="Q19" s="5">
        <v>2540</v>
      </c>
      <c r="R19" s="5">
        <v>2</v>
      </c>
      <c r="S19" s="5">
        <v>2540</v>
      </c>
      <c r="T19" s="23"/>
      <c r="U19" s="7">
        <v>2540</v>
      </c>
    </row>
    <row r="20" spans="1:21" x14ac:dyDescent="0.25">
      <c r="A20" s="1">
        <v>46250.772154328704</v>
      </c>
      <c r="B20" s="2" t="s">
        <v>54</v>
      </c>
      <c r="C20" s="3">
        <v>46250</v>
      </c>
      <c r="D20" s="8" t="s">
        <v>86</v>
      </c>
      <c r="E20" s="2" t="s">
        <v>20</v>
      </c>
      <c r="F20" s="4" t="s">
        <v>55</v>
      </c>
      <c r="G20" s="5">
        <v>20090008</v>
      </c>
      <c r="H20" s="5" t="s">
        <v>103</v>
      </c>
      <c r="I20" s="2" t="s">
        <v>56</v>
      </c>
      <c r="J20" s="6" t="s">
        <v>49</v>
      </c>
      <c r="K20" s="2" t="s">
        <v>27</v>
      </c>
      <c r="L20" s="2" t="s">
        <v>25</v>
      </c>
      <c r="M20" s="5">
        <v>0</v>
      </c>
      <c r="N20" s="5">
        <v>1270</v>
      </c>
      <c r="O20" s="5">
        <v>0</v>
      </c>
      <c r="P20" s="5">
        <v>635</v>
      </c>
      <c r="Q20" s="5">
        <v>635</v>
      </c>
      <c r="R20" s="5">
        <v>0</v>
      </c>
      <c r="S20" s="5">
        <v>635</v>
      </c>
      <c r="T20" s="23"/>
      <c r="U20" s="7">
        <v>635</v>
      </c>
    </row>
    <row r="21" spans="1:21" x14ac:dyDescent="0.25">
      <c r="A21" s="1">
        <v>46250.772398148147</v>
      </c>
      <c r="B21" s="2" t="s">
        <v>54</v>
      </c>
      <c r="C21" s="3">
        <v>46250</v>
      </c>
      <c r="D21" s="8" t="s">
        <v>86</v>
      </c>
      <c r="E21" s="2" t="s">
        <v>20</v>
      </c>
      <c r="F21" s="4" t="s">
        <v>68</v>
      </c>
      <c r="G21" s="5">
        <v>20090014</v>
      </c>
      <c r="H21" s="5" t="s">
        <v>103</v>
      </c>
      <c r="I21" s="2" t="s">
        <v>69</v>
      </c>
      <c r="J21" s="6" t="s">
        <v>67</v>
      </c>
      <c r="K21" s="2" t="s">
        <v>27</v>
      </c>
      <c r="L21" s="2" t="s">
        <v>25</v>
      </c>
      <c r="M21" s="5">
        <v>5</v>
      </c>
      <c r="N21" s="5">
        <v>1270</v>
      </c>
      <c r="O21" s="5">
        <v>6350</v>
      </c>
      <c r="P21" s="5">
        <v>0</v>
      </c>
      <c r="Q21" s="5">
        <v>6350</v>
      </c>
      <c r="R21" s="5">
        <v>5</v>
      </c>
      <c r="S21" s="5">
        <v>6350</v>
      </c>
      <c r="T21" s="23"/>
      <c r="U21" s="7">
        <v>6350</v>
      </c>
    </row>
    <row r="22" spans="1:21" x14ac:dyDescent="0.25">
      <c r="A22" s="1">
        <v>46250.772640868061</v>
      </c>
      <c r="B22" s="2" t="s">
        <v>54</v>
      </c>
      <c r="C22" s="3">
        <v>46250</v>
      </c>
      <c r="D22" s="8" t="s">
        <v>86</v>
      </c>
      <c r="E22" s="2" t="s">
        <v>20</v>
      </c>
      <c r="F22" s="4" t="s">
        <v>33</v>
      </c>
      <c r="G22" s="5">
        <v>20090017</v>
      </c>
      <c r="H22" s="5" t="s">
        <v>103</v>
      </c>
      <c r="I22" s="2" t="s">
        <v>34</v>
      </c>
      <c r="J22" s="6" t="s">
        <v>35</v>
      </c>
      <c r="K22" s="2" t="s">
        <v>27</v>
      </c>
      <c r="L22" s="2" t="s">
        <v>25</v>
      </c>
      <c r="M22" s="5">
        <v>2</v>
      </c>
      <c r="N22" s="5">
        <v>1270</v>
      </c>
      <c r="O22" s="5">
        <v>2540</v>
      </c>
      <c r="P22" s="5">
        <v>0</v>
      </c>
      <c r="Q22" s="5">
        <v>2540</v>
      </c>
      <c r="R22" s="5">
        <v>2</v>
      </c>
      <c r="S22" s="5">
        <v>2540</v>
      </c>
      <c r="T22" s="23"/>
      <c r="U22" s="7">
        <v>2540</v>
      </c>
    </row>
    <row r="23" spans="1:21" x14ac:dyDescent="0.25">
      <c r="A23" s="1">
        <v>46250.772838576391</v>
      </c>
      <c r="B23" s="2" t="s">
        <v>54</v>
      </c>
      <c r="C23" s="3">
        <v>46250</v>
      </c>
      <c r="D23" s="8" t="s">
        <v>86</v>
      </c>
      <c r="E23" s="2" t="s">
        <v>20</v>
      </c>
      <c r="F23" s="4" t="s">
        <v>60</v>
      </c>
      <c r="G23" s="5">
        <v>20090023</v>
      </c>
      <c r="H23" s="5" t="s">
        <v>103</v>
      </c>
      <c r="I23" s="2" t="s">
        <v>57</v>
      </c>
      <c r="J23" s="6" t="s">
        <v>23</v>
      </c>
      <c r="K23" s="2" t="s">
        <v>27</v>
      </c>
      <c r="L23" s="2" t="s">
        <v>25</v>
      </c>
      <c r="M23" s="5">
        <v>0</v>
      </c>
      <c r="N23" s="5">
        <v>1270</v>
      </c>
      <c r="O23" s="5">
        <v>0</v>
      </c>
      <c r="P23" s="5">
        <v>635</v>
      </c>
      <c r="Q23" s="5">
        <v>635</v>
      </c>
      <c r="R23" s="5">
        <v>0</v>
      </c>
      <c r="S23" s="5">
        <v>635</v>
      </c>
      <c r="T23" s="23"/>
      <c r="U23" s="7">
        <v>635</v>
      </c>
    </row>
    <row r="24" spans="1:21" x14ac:dyDescent="0.25">
      <c r="A24" s="1">
        <v>46250.773069189818</v>
      </c>
      <c r="B24" s="2" t="s">
        <v>54</v>
      </c>
      <c r="C24" s="3">
        <v>46250</v>
      </c>
      <c r="D24" s="8" t="s">
        <v>86</v>
      </c>
      <c r="E24" s="2" t="s">
        <v>20</v>
      </c>
      <c r="F24" s="4" t="s">
        <v>98</v>
      </c>
      <c r="G24" s="5">
        <v>20090015</v>
      </c>
      <c r="H24" s="5" t="s">
        <v>103</v>
      </c>
      <c r="I24" s="2" t="s">
        <v>28</v>
      </c>
      <c r="J24" s="6" t="s">
        <v>99</v>
      </c>
      <c r="K24" s="2" t="s">
        <v>27</v>
      </c>
      <c r="L24" s="2" t="s">
        <v>25</v>
      </c>
      <c r="M24" s="5">
        <v>0</v>
      </c>
      <c r="N24" s="5">
        <v>1270</v>
      </c>
      <c r="O24" s="5">
        <v>0</v>
      </c>
      <c r="P24" s="5">
        <v>635</v>
      </c>
      <c r="Q24" s="5">
        <v>635</v>
      </c>
      <c r="R24" s="5">
        <v>0</v>
      </c>
      <c r="S24" s="5">
        <v>635</v>
      </c>
      <c r="T24" s="23"/>
      <c r="U24" s="7">
        <v>635</v>
      </c>
    </row>
    <row r="25" spans="1:21" x14ac:dyDescent="0.25">
      <c r="A25" s="1">
        <v>46250.773459212964</v>
      </c>
      <c r="B25" s="2" t="s">
        <v>54</v>
      </c>
      <c r="C25" s="3">
        <v>46250</v>
      </c>
      <c r="D25" s="8" t="s">
        <v>86</v>
      </c>
      <c r="E25" s="2" t="s">
        <v>20</v>
      </c>
      <c r="F25" s="4" t="s">
        <v>58</v>
      </c>
      <c r="G25" s="5">
        <v>20090020</v>
      </c>
      <c r="H25" s="5" t="s">
        <v>103</v>
      </c>
      <c r="I25" s="2" t="s">
        <v>59</v>
      </c>
      <c r="J25" s="6" t="s">
        <v>23</v>
      </c>
      <c r="K25" s="2" t="s">
        <v>27</v>
      </c>
      <c r="L25" s="2" t="s">
        <v>25</v>
      </c>
      <c r="M25" s="5">
        <v>0</v>
      </c>
      <c r="N25" s="5">
        <v>1270</v>
      </c>
      <c r="O25" s="5">
        <v>0</v>
      </c>
      <c r="P25" s="5">
        <v>635</v>
      </c>
      <c r="Q25" s="5">
        <v>635</v>
      </c>
      <c r="R25" s="5">
        <v>0</v>
      </c>
      <c r="S25" s="5">
        <v>635</v>
      </c>
      <c r="T25" s="23"/>
      <c r="U25" s="7">
        <v>635</v>
      </c>
    </row>
    <row r="26" spans="1:21" x14ac:dyDescent="0.25">
      <c r="A26" s="1">
        <v>46251.432850659723</v>
      </c>
      <c r="B26" s="2" t="s">
        <v>19</v>
      </c>
      <c r="C26" s="3">
        <v>46251</v>
      </c>
      <c r="D26" s="8" t="s">
        <v>86</v>
      </c>
      <c r="E26" s="2" t="s">
        <v>20</v>
      </c>
      <c r="F26" s="4" t="s">
        <v>100</v>
      </c>
      <c r="G26" s="5">
        <v>20010008</v>
      </c>
      <c r="H26" s="5" t="s">
        <v>103</v>
      </c>
      <c r="I26" s="2" t="s">
        <v>38</v>
      </c>
      <c r="J26" s="6" t="s">
        <v>62</v>
      </c>
      <c r="K26" s="2" t="s">
        <v>36</v>
      </c>
      <c r="L26" s="2" t="s">
        <v>25</v>
      </c>
      <c r="M26" s="5">
        <v>1</v>
      </c>
      <c r="N26" s="5">
        <v>1270</v>
      </c>
      <c r="O26" s="5">
        <v>1270</v>
      </c>
      <c r="P26" s="5">
        <v>0</v>
      </c>
      <c r="Q26" s="5">
        <v>1270</v>
      </c>
      <c r="R26" s="5">
        <v>1</v>
      </c>
      <c r="S26" s="5">
        <v>1270</v>
      </c>
      <c r="T26" s="23"/>
      <c r="U26" s="7">
        <v>1270</v>
      </c>
    </row>
    <row r="27" spans="1:21" x14ac:dyDescent="0.25">
      <c r="A27" s="1">
        <v>46251.433614872687</v>
      </c>
      <c r="B27" s="2" t="s">
        <v>19</v>
      </c>
      <c r="C27" s="3">
        <v>46251</v>
      </c>
      <c r="D27" s="8" t="s">
        <v>86</v>
      </c>
      <c r="E27" s="2" t="s">
        <v>20</v>
      </c>
      <c r="F27" s="4" t="s">
        <v>37</v>
      </c>
      <c r="G27" s="5">
        <v>20010008</v>
      </c>
      <c r="H27" s="5" t="s">
        <v>103</v>
      </c>
      <c r="I27" s="2" t="s">
        <v>38</v>
      </c>
      <c r="J27" s="6" t="s">
        <v>39</v>
      </c>
      <c r="K27" s="2" t="s">
        <v>36</v>
      </c>
      <c r="L27" s="2" t="s">
        <v>25</v>
      </c>
      <c r="M27" s="5">
        <v>3</v>
      </c>
      <c r="N27" s="5">
        <v>1270</v>
      </c>
      <c r="O27" s="5">
        <v>3810</v>
      </c>
      <c r="P27" s="5">
        <v>0</v>
      </c>
      <c r="Q27" s="5">
        <v>3810</v>
      </c>
      <c r="R27" s="5">
        <v>3</v>
      </c>
      <c r="S27" s="5">
        <v>3810</v>
      </c>
      <c r="T27" s="23"/>
      <c r="U27" s="7">
        <v>3810</v>
      </c>
    </row>
    <row r="28" spans="1:21" x14ac:dyDescent="0.25">
      <c r="A28" s="1">
        <v>46251.434284965275</v>
      </c>
      <c r="B28" s="2" t="s">
        <v>19</v>
      </c>
      <c r="C28" s="3">
        <v>46251</v>
      </c>
      <c r="D28" s="8" t="s">
        <v>86</v>
      </c>
      <c r="E28" s="2" t="s">
        <v>20</v>
      </c>
      <c r="F28" s="4" t="s">
        <v>40</v>
      </c>
      <c r="G28" s="5">
        <v>20010008</v>
      </c>
      <c r="H28" s="5" t="s">
        <v>103</v>
      </c>
      <c r="I28" s="2" t="s">
        <v>38</v>
      </c>
      <c r="J28" s="6" t="s">
        <v>41</v>
      </c>
      <c r="K28" s="2" t="s">
        <v>36</v>
      </c>
      <c r="L28" s="2" t="s">
        <v>25</v>
      </c>
      <c r="M28" s="5">
        <v>11</v>
      </c>
      <c r="N28" s="5">
        <v>1270</v>
      </c>
      <c r="O28" s="5">
        <v>13970</v>
      </c>
      <c r="P28" s="5">
        <v>0</v>
      </c>
      <c r="Q28" s="5">
        <v>13970</v>
      </c>
      <c r="R28" s="5">
        <v>11</v>
      </c>
      <c r="S28" s="5">
        <v>13970</v>
      </c>
      <c r="T28" s="23"/>
      <c r="U28" s="7">
        <v>13970</v>
      </c>
    </row>
    <row r="29" spans="1:21" x14ac:dyDescent="0.25">
      <c r="A29" s="1">
        <v>46251.43536319444</v>
      </c>
      <c r="B29" s="2" t="s">
        <v>19</v>
      </c>
      <c r="C29" s="3">
        <v>46251</v>
      </c>
      <c r="D29" s="8" t="s">
        <v>86</v>
      </c>
      <c r="E29" s="2" t="s">
        <v>20</v>
      </c>
      <c r="F29" s="4" t="s">
        <v>73</v>
      </c>
      <c r="G29" s="5">
        <v>20010001</v>
      </c>
      <c r="H29" s="5" t="s">
        <v>103</v>
      </c>
      <c r="I29" s="2" t="s">
        <v>36</v>
      </c>
      <c r="J29" s="6" t="s">
        <v>23</v>
      </c>
      <c r="K29" s="2" t="s">
        <v>36</v>
      </c>
      <c r="L29" s="2" t="s">
        <v>25</v>
      </c>
      <c r="M29" s="5">
        <v>70</v>
      </c>
      <c r="N29" s="5">
        <v>1220</v>
      </c>
      <c r="O29" s="5">
        <v>85400</v>
      </c>
      <c r="P29" s="5">
        <v>0</v>
      </c>
      <c r="Q29" s="5">
        <v>85400</v>
      </c>
      <c r="R29" s="5">
        <v>70</v>
      </c>
      <c r="S29" s="5">
        <v>85400</v>
      </c>
      <c r="T29" s="23"/>
      <c r="U29" s="7">
        <v>69177</v>
      </c>
    </row>
    <row r="30" spans="1:21" x14ac:dyDescent="0.25">
      <c r="A30" s="1">
        <v>46251.436773310183</v>
      </c>
      <c r="B30" s="2" t="s">
        <v>19</v>
      </c>
      <c r="C30" s="3">
        <v>46251</v>
      </c>
      <c r="D30" s="8" t="s">
        <v>86</v>
      </c>
      <c r="E30" s="2" t="s">
        <v>20</v>
      </c>
      <c r="F30" s="4" t="s">
        <v>21</v>
      </c>
      <c r="G30" s="5">
        <v>20060003</v>
      </c>
      <c r="H30" s="5" t="s">
        <v>103</v>
      </c>
      <c r="I30" s="2" t="s">
        <v>22</v>
      </c>
      <c r="J30" s="6" t="s">
        <v>23</v>
      </c>
      <c r="K30" s="2" t="s">
        <v>24</v>
      </c>
      <c r="L30" s="2" t="s">
        <v>25</v>
      </c>
      <c r="M30" s="5">
        <v>20</v>
      </c>
      <c r="N30" s="5">
        <v>1270</v>
      </c>
      <c r="O30" s="5">
        <v>25400</v>
      </c>
      <c r="P30" s="5">
        <v>4286</v>
      </c>
      <c r="Q30" s="5">
        <v>29686</v>
      </c>
      <c r="R30" s="5">
        <v>20</v>
      </c>
      <c r="S30" s="5">
        <v>29686</v>
      </c>
      <c r="T30" s="23"/>
      <c r="U30" s="7">
        <v>29686</v>
      </c>
    </row>
    <row r="31" spans="1:21" x14ac:dyDescent="0.25">
      <c r="A31" s="1">
        <v>46251.437337974538</v>
      </c>
      <c r="B31" s="2" t="s">
        <v>19</v>
      </c>
      <c r="C31" s="3">
        <v>46251</v>
      </c>
      <c r="D31" s="8" t="s">
        <v>86</v>
      </c>
      <c r="E31" s="2" t="s">
        <v>20</v>
      </c>
      <c r="F31" s="4" t="s">
        <v>63</v>
      </c>
      <c r="G31" s="5">
        <v>20060004</v>
      </c>
      <c r="H31" s="5" t="s">
        <v>103</v>
      </c>
      <c r="I31" s="2" t="s">
        <v>26</v>
      </c>
      <c r="J31" s="6" t="s">
        <v>23</v>
      </c>
      <c r="K31" s="2" t="s">
        <v>24</v>
      </c>
      <c r="L31" s="2" t="s">
        <v>25</v>
      </c>
      <c r="M31" s="5">
        <v>5</v>
      </c>
      <c r="N31" s="5">
        <v>1270</v>
      </c>
      <c r="O31" s="5">
        <v>6350</v>
      </c>
      <c r="P31" s="5">
        <v>0</v>
      </c>
      <c r="Q31" s="5">
        <v>6350</v>
      </c>
      <c r="R31" s="5">
        <v>5</v>
      </c>
      <c r="S31" s="5">
        <v>6350</v>
      </c>
      <c r="T31" s="23"/>
      <c r="U31" s="7">
        <v>6350</v>
      </c>
    </row>
    <row r="32" spans="1:21" x14ac:dyDescent="0.25">
      <c r="A32" s="1">
        <v>46251.440915405095</v>
      </c>
      <c r="B32" s="2" t="s">
        <v>19</v>
      </c>
      <c r="C32" s="3">
        <v>46251</v>
      </c>
      <c r="D32" s="8" t="s">
        <v>86</v>
      </c>
      <c r="E32" s="2" t="s">
        <v>20</v>
      </c>
      <c r="F32" s="4" t="s">
        <v>84</v>
      </c>
      <c r="G32" s="5">
        <v>20010052</v>
      </c>
      <c r="H32" s="5" t="s">
        <v>103</v>
      </c>
      <c r="I32" s="2" t="s">
        <v>85</v>
      </c>
      <c r="J32" s="6" t="s">
        <v>23</v>
      </c>
      <c r="K32" s="2" t="s">
        <v>36</v>
      </c>
      <c r="L32" s="2" t="s">
        <v>25</v>
      </c>
      <c r="M32" s="5">
        <v>0</v>
      </c>
      <c r="N32" s="5">
        <v>1270</v>
      </c>
      <c r="O32" s="5">
        <v>0</v>
      </c>
      <c r="P32" s="5">
        <v>27353</v>
      </c>
      <c r="Q32" s="5">
        <v>27353</v>
      </c>
      <c r="R32" s="5">
        <v>0</v>
      </c>
      <c r="S32" s="5">
        <v>27353</v>
      </c>
      <c r="T32" s="23"/>
      <c r="U32" s="7">
        <v>16835</v>
      </c>
    </row>
    <row r="33" spans="1:21" x14ac:dyDescent="0.25">
      <c r="A33" s="9">
        <v>46248.858483298609</v>
      </c>
      <c r="B33" s="10" t="s">
        <v>42</v>
      </c>
      <c r="C33" s="11">
        <v>46248</v>
      </c>
      <c r="D33" s="12" t="s">
        <v>86</v>
      </c>
      <c r="E33" s="10" t="s">
        <v>20</v>
      </c>
      <c r="F33" s="13" t="s">
        <v>79</v>
      </c>
      <c r="G33" s="14">
        <v>20020030</v>
      </c>
      <c r="H33" s="14" t="s">
        <v>104</v>
      </c>
      <c r="I33" s="10" t="s">
        <v>80</v>
      </c>
      <c r="J33" s="15" t="s">
        <v>23</v>
      </c>
      <c r="K33" s="10" t="s">
        <v>45</v>
      </c>
      <c r="L33" s="10" t="s">
        <v>25</v>
      </c>
      <c r="M33" s="14">
        <v>4</v>
      </c>
      <c r="N33" s="14">
        <v>1270</v>
      </c>
      <c r="O33" s="14">
        <v>5080</v>
      </c>
      <c r="P33" s="14">
        <v>0</v>
      </c>
      <c r="Q33" s="14">
        <v>5080</v>
      </c>
      <c r="R33" s="14">
        <v>4</v>
      </c>
      <c r="S33" s="14">
        <v>5080</v>
      </c>
      <c r="T33" s="24"/>
      <c r="U33" s="16">
        <v>5080</v>
      </c>
    </row>
    <row r="34" spans="1:21" x14ac:dyDescent="0.25">
      <c r="A34" s="22"/>
      <c r="B34" s="25"/>
      <c r="C34" s="25"/>
      <c r="D34" s="25"/>
      <c r="E34" s="25"/>
      <c r="F34" s="25"/>
      <c r="G34" s="25"/>
      <c r="H34" s="1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>
        <f>SUBTOTAL(109,Table7[Final Amount])</f>
        <v>232609</v>
      </c>
      <c r="T34" s="24"/>
      <c r="U34" s="21">
        <f>SUBTOTAL(109,Table7[Deduction])</f>
        <v>204358</v>
      </c>
    </row>
    <row r="36" spans="1:21" x14ac:dyDescent="0.25">
      <c r="S36" t="s">
        <v>110</v>
      </c>
      <c r="U36">
        <f>Table7[[#Totals],[Deduction]]</f>
        <v>204358</v>
      </c>
    </row>
    <row r="37" spans="1:21" ht="15.75" thickBot="1" x14ac:dyDescent="0.3">
      <c r="S37" s="31" t="s">
        <v>111</v>
      </c>
      <c r="T37" s="31"/>
      <c r="U37" s="31">
        <v>3155</v>
      </c>
    </row>
    <row r="38" spans="1:21" ht="16.5" thickTop="1" thickBot="1" x14ac:dyDescent="0.3">
      <c r="S38" s="32" t="s">
        <v>107</v>
      </c>
      <c r="T38" s="32"/>
      <c r="U38" s="32">
        <f>SUM(U36:U37)</f>
        <v>207513</v>
      </c>
    </row>
  </sheetData>
  <conditionalFormatting sqref="F2:F33">
    <cfRule type="duplicateValues" dxfId="0" priority="1"/>
  </conditionalFormatting>
  <dataValidations count="2">
    <dataValidation type="list" allowBlank="1" sqref="E2:E33" xr:uid="{556EA6A1-2DC9-45FD-BC79-2D8D5F2CE6C5}">
      <formula1>#REF!</formula1>
    </dataValidation>
    <dataValidation allowBlank="1" showDropDown="1" sqref="F2:F33" xr:uid="{2430326D-0BBD-4FEB-B2FD-995108ACD979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2026-08-17T05:15:14Z</dcterms:created>
  <dcterms:modified xsi:type="dcterms:W3CDTF">2026-08-20T11:08:36Z</dcterms:modified>
</cp:coreProperties>
</file>