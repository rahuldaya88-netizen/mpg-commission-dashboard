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7-13 Aug'26\Collection Data\"/>
    </mc:Choice>
  </mc:AlternateContent>
  <xr:revisionPtr revIDLastSave="0" documentId="13_ncr:1_{84BC1A10-6B1C-45BB-A577-71DFD41BB85B}" xr6:coauthVersionLast="47" xr6:coauthVersionMax="47" xr10:uidLastSave="{00000000-0000-0000-0000-000000000000}"/>
  <bookViews>
    <workbookView xWindow="-120" yWindow="-120" windowWidth="29040" windowHeight="15720" xr2:uid="{480ECC98-DF17-4392-87A5-A5142CAE3F05}"/>
  </bookViews>
  <sheets>
    <sheet name="Sheet2" sheetId="2" r:id="rId1"/>
    <sheet name="Sheet1" sheetId="1" r:id="rId2"/>
  </sheets>
  <calcPr calcId="191029"/>
  <pivotCaches>
    <pivotCache cacheId="8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<sst xmlns="http://schemas.openxmlformats.org/spreadsheetml/2006/main" count="79" uniqueCount="43">
  <si>
    <t>Sales Date</t>
  </si>
  <si>
    <t>0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</si>
  <si>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</si>
  <si>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</si>
  <si>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</si>
  <si>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</si>
  <si>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</si>
  <si>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</si>
  <si>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</si>
  <si>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</si>
  <si>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</si>
  <si>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</si>
  <si>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</si>
  <si>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</si>
  <si>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</si>
  <si>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</si>
  <si>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</si>
  <si>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</si>
  <si>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</si>
  <si>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Chanho</t>
  </si>
  <si>
    <t>Gomukh Gold 50KG</t>
  </si>
  <si>
    <t>Bag</t>
  </si>
  <si>
    <t>Naudi</t>
  </si>
  <si>
    <t>Daya Society</t>
  </si>
  <si>
    <t>Farmer Payment</t>
  </si>
  <si>
    <t>27 Feb - 05 Mar &amp; 06-12 Mar 13-19 Mar 20-26 Mar, 27-31 Mar</t>
  </si>
  <si>
    <t>Pali</t>
  </si>
  <si>
    <t>UCHARI</t>
  </si>
  <si>
    <t>Paali</t>
  </si>
  <si>
    <t>24-30 JULY &amp; 31-06 Aug</t>
  </si>
  <si>
    <t>30-Jul-2026/06-08-2026</t>
  </si>
  <si>
    <t>Murma</t>
  </si>
  <si>
    <t>Ningani</t>
  </si>
  <si>
    <t>Kundo</t>
  </si>
  <si>
    <t>CHATTI BHANDRA</t>
  </si>
  <si>
    <t>Ningni</t>
  </si>
  <si>
    <t>LONGA</t>
  </si>
  <si>
    <t>Dumardagga</t>
  </si>
  <si>
    <t>DUMARDAGA</t>
  </si>
  <si>
    <t>ORMANJHI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</si>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</sst>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535FC1"/>
      <name val="Roboto"/>
    </font>
    <font>
      <sz val="10"/>
      <color rgb="FFFFFFFF"/>
      <name val="Roboto"/>
    </font>
    <font>
      <sz val="10"/>
      <color theme="1"/>
      <name val="Arial"/>
    </font>
    <font>
      <sz val="10"/>
      <color rgb="FF434343"/>
      <name val="Roboto"/>
    </font>
    <font>
      <sz val="10"/>
      <color rgb="FF000000"/>
      <name val="Arial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FF00"/>
      </patternFill>
    </fill>
    <fill>
      <patternFill patternType="solid">
        <fgColor theme="5" tint="0.59999389629810485"/>
        <bgColor rgb="FF535FC1"/>
      </patternFill>
    </fill>
    <fill>
      <patternFill patternType="solid">
        <fgColor theme="5" tint="0.59999389629810485"/>
        <bgColor rgb="FFF6F8F9"/>
      </patternFill>
    </fill>
    <fill>
      <patternFill patternType="solid">
        <fgColor theme="5" tint="0.59999389629810485"/>
        <bgColor rgb="FF35685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6" fillId="2" borderId="1" xfId="0" quotePrefix="1" applyFont="1" applyFill="1" applyBorder="1" applyAlignment="1">
      <alignment horizontal="center"/>
    </xf>
    <xf numFmtId="0" fontId="4" fillId="5" borderId="1" xfId="0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49" fontId="3" fillId="8" borderId="1" xfId="0" applyNumberFormat="1" applyFont="1" applyFill="1" applyBorder="1" applyAlignment="1">
      <alignment horizontal="left" vertical="center"/>
    </xf>
    <xf numFmtId="0" fontId="0" fillId="9" borderId="0" xfId="0" applyFill="1"/>
    <xf numFmtId="0" fontId="0" fillId="0" borderId="0" xfId="0" pivotButton="1"/>
    <xf numFmtId="0" fontId="7" fillId="10" borderId="2" xfId="0" applyFont="1" applyFill="1" applyBorder="1"/>
    <xf numFmtId="0" fontId="7" fillId="10" borderId="3" xfId="0" applyFont="1" applyFill="1" applyBorder="1"/>
    <xf numFmtId="0" fontId="0" fillId="0" borderId="0" xfId="0" applyNumberFormat="1"/>
    <xf numFmtId="0" fontId="7" fillId="10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1.491194560185" createdVersion="8" refreshedVersion="8" minRefreshableVersion="3" recordCount="7" xr:uid="{C1C2EA24-7167-422D-8F69-3159C45D1329}">
  <cacheSource type="worksheet">
    <worksheetSource ref="A1:S8" sheet="Sheet1"/>
  </cacheSource>
  <cacheFields count="19">
    <cacheField name="Sales Date" numFmtId="164">
      <sharedItems containsSemiMixedTypes="0" containsNonDate="0" containsDate="1" containsString="0" minDate="2026-03-06T00:00:00" maxDate="2026-08-01T00:00:00"/>
    </cacheField>
    <cacheField name="0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20020029" maxValue="20090003" count="7">
        <n v="20090003"/>
        <n v="20050003"/>
        <n v="20020029"/>
        <n v="20080035"/>
        <n v="20080008"/>
        <n v="20080039"/>
        <n v="20060003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String="0" containsBlank="1" containsNumber="1" containsInteger="1" minValue="0" maxValue="0"/>
    </cacheField>
    <cacheField name="Qty" numFmtId="0">
      <sharedItems containsSemiMixedTypes="0" containsString="0" containsNumber="1" containsInteger="1" minValue="3" maxValue="50"/>
    </cacheField>
    <cacheField name="Rate" numFmtId="0">
      <sharedItems containsSemiMixedTypes="0" containsString="0" containsNumber="1" containsInteger="1" minValue="1250" maxValue="1270"/>
    </cacheField>
    <cacheField name="Total Amount" numFmtId="0">
      <sharedItems containsSemiMixedTypes="0" containsString="0" containsNumber="1" containsInteger="1" minValue="3810" maxValue="6350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6-03-05T00:00:00" maxDate="2026-03-06T00:00:00"/>
    </cacheField>
    <cacheField name="Payment Amount" numFmtId="0">
      <sharedItems containsString="0" containsBlank="1" containsNumber="1" containsInteger="1" minValue="655" maxValue="59214"/>
    </cacheField>
    <cacheField name="Balance Due" numFmtId="0">
      <sharedItems containsSemiMixedTypes="0" containsString="0" containsNumber="1" containsInteger="1" minValue="2544" maxValue="25400"/>
    </cacheField>
    <cacheField name="Remarks" numFmtId="0">
      <sharedItems containsNonDate="0" containsString="0" containsBlank="1"/>
    </cacheField>
    <cacheField name="Agening" numFmtId="0">
      <sharedItems containsSemiMixedTypes="0" containsString="0" containsNumber="1" containsInteger="1" minValue="17" maxValue="1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d v="2026-03-06T00:00:00"/>
    <s v="Chanho"/>
    <s v="Gomukh Gold 50KG"/>
    <s v="Bag"/>
    <x v="0"/>
    <s v="Naudi"/>
    <s v="Chanho"/>
    <s v="Daya Society"/>
    <m/>
    <n v="10"/>
    <n v="1250"/>
    <n v="12500"/>
    <s v="Farmer Payment"/>
    <s v="27 Feb - 05 Mar &amp; 06-12 Mar 13-19 Mar 20-26 Mar, 27-31 Mar"/>
    <d v="2026-03-05T00:00:00"/>
    <n v="9956"/>
    <n v="2544"/>
    <m/>
    <n v="164"/>
  </r>
  <r>
    <d v="2026-07-28T00:00:00"/>
    <s v="Pali"/>
    <s v="Gomukh Gold 50KG"/>
    <s v="Bag"/>
    <x v="1"/>
    <s v="UCHARI"/>
    <s v="Paali"/>
    <s v="Daya Society"/>
    <n v="0"/>
    <n v="3"/>
    <n v="1270"/>
    <n v="3810"/>
    <s v="Farmer Payment"/>
    <s v="24-30 JULY &amp; 31-06 Aug"/>
    <s v="30-Jul-2026/06-08-2026"/>
    <n v="655"/>
    <n v="3155"/>
    <m/>
    <n v="20"/>
  </r>
  <r>
    <d v="2026-07-28T00:00:00"/>
    <s v="Pali"/>
    <s v="Gomukh Gold 50KG"/>
    <s v="Bag"/>
    <x v="2"/>
    <s v="Murma"/>
    <s v="Paali"/>
    <s v="Daya Society"/>
    <n v="0"/>
    <n v="6"/>
    <n v="1270"/>
    <n v="7620"/>
    <s v="Farmer Payment"/>
    <s v="24-30 JULY &amp; 31-06 Aug"/>
    <s v="30-Jul-2026/06-08-2026"/>
    <n v="4369"/>
    <n v="3251"/>
    <m/>
    <n v="20"/>
  </r>
  <r>
    <d v="2026-07-30T00:00:00"/>
    <s v="Ningani"/>
    <s v="Gomukh Gold 50KG"/>
    <s v="Bag"/>
    <x v="3"/>
    <s v="Kundo"/>
    <s v="CHATTI BHANDRA"/>
    <s v="Daya Society"/>
    <n v="0"/>
    <n v="10"/>
    <n v="1270"/>
    <n v="12700"/>
    <m/>
    <m/>
    <m/>
    <m/>
    <n v="12700"/>
    <m/>
    <n v="18"/>
  </r>
  <r>
    <d v="2026-07-30T00:00:00"/>
    <s v="Ningani"/>
    <s v="Gomukh Gold 50KG"/>
    <s v="Bag"/>
    <x v="4"/>
    <s v="Ningni"/>
    <s v="CHATTI BHANDRA"/>
    <s v="Daya Society"/>
    <n v="0"/>
    <n v="20"/>
    <n v="1270"/>
    <n v="25400"/>
    <m/>
    <m/>
    <m/>
    <m/>
    <n v="25400"/>
    <m/>
    <n v="18"/>
  </r>
  <r>
    <d v="2026-07-30T00:00:00"/>
    <s v="Ningani"/>
    <s v="Gomukh Gold 50KG"/>
    <s v="Bag"/>
    <x v="5"/>
    <s v="LONGA"/>
    <s v="CHATTI BHANDRA"/>
    <s v="Daya Society"/>
    <n v="0"/>
    <n v="3"/>
    <n v="1270"/>
    <n v="3810"/>
    <m/>
    <m/>
    <m/>
    <m/>
    <n v="3810"/>
    <m/>
    <n v="18"/>
  </r>
  <r>
    <d v="2026-07-31T00:00:00"/>
    <s v="Dumardagga"/>
    <s v="Gomukh Gold 50KG"/>
    <s v="Bag"/>
    <x v="6"/>
    <s v="DUMARDAGA"/>
    <s v="ORMANJHI"/>
    <s v="Daya Society"/>
    <n v="0"/>
    <n v="50"/>
    <n v="1270"/>
    <n v="63500"/>
    <s v="Farmer Payment"/>
    <s v="24-30 JULY &amp; 31-06 Aug"/>
    <s v="30-Jul-2026/06-08-2026"/>
    <n v="59214"/>
    <n v="4286"/>
    <m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F6DB5-6CA9-4C5C-8C95-6BBDE7138401}" name="PivotTable5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2" firstHeaderRow="2" firstDataRow="2" firstDataCol="1"/>
  <pivotFields count="19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1"/>
        <item x="6"/>
        <item x="4"/>
        <item x="3"/>
        <item x="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Balance D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0B13-B857-4C43-A945-DF9AEF287E71}">
  <dimension ref="A3:H12"/>
  <sheetViews>
    <sheetView tabSelected="1" workbookViewId="0">
      <selection activeCell="N19" sqref="N19"/>
    </sheetView>
  </sheetViews>
  <sheetFormatPr defaultRowHeight="15" x14ac:dyDescent="0.25"/>
  <cols>
    <col min="1" max="1" width="18.7109375" bestFit="1" customWidth="1"/>
    <col min="2" max="2" width="6" bestFit="1" customWidth="1"/>
  </cols>
  <sheetData>
    <row r="3" spans="1:8" x14ac:dyDescent="0.25">
      <c r="A3" s="22" t="s">
        <v>41</v>
      </c>
    </row>
    <row r="4" spans="1:8" x14ac:dyDescent="0.25">
      <c r="A4" s="22" t="s">
        <v>4</v>
      </c>
      <c r="B4" t="s">
        <v>42</v>
      </c>
      <c r="G4" s="23" t="s">
        <v>4</v>
      </c>
      <c r="H4" s="23" t="s">
        <v>42</v>
      </c>
    </row>
    <row r="5" spans="1:8" x14ac:dyDescent="0.25">
      <c r="A5">
        <v>20020029</v>
      </c>
      <c r="B5" s="25">
        <v>3251</v>
      </c>
      <c r="G5">
        <v>20020029</v>
      </c>
      <c r="H5" s="25">
        <v>3251</v>
      </c>
    </row>
    <row r="6" spans="1:8" x14ac:dyDescent="0.25">
      <c r="A6">
        <v>20050003</v>
      </c>
      <c r="B6" s="25">
        <v>3155</v>
      </c>
      <c r="G6">
        <v>20050003</v>
      </c>
      <c r="H6" s="25">
        <v>3155</v>
      </c>
    </row>
    <row r="7" spans="1:8" x14ac:dyDescent="0.25">
      <c r="A7">
        <v>20060003</v>
      </c>
      <c r="B7" s="25">
        <v>4286</v>
      </c>
      <c r="G7">
        <v>20060003</v>
      </c>
      <c r="H7" s="25">
        <v>4286</v>
      </c>
    </row>
    <row r="8" spans="1:8" x14ac:dyDescent="0.25">
      <c r="A8">
        <v>20080008</v>
      </c>
      <c r="B8" s="25">
        <v>25400</v>
      </c>
      <c r="G8">
        <v>20080008</v>
      </c>
      <c r="H8" s="25">
        <v>25400</v>
      </c>
    </row>
    <row r="9" spans="1:8" x14ac:dyDescent="0.25">
      <c r="A9">
        <v>20080035</v>
      </c>
      <c r="B9" s="25">
        <v>12700</v>
      </c>
      <c r="G9">
        <v>20080035</v>
      </c>
      <c r="H9" s="25">
        <v>12700</v>
      </c>
    </row>
    <row r="10" spans="1:8" x14ac:dyDescent="0.25">
      <c r="A10">
        <v>20080039</v>
      </c>
      <c r="B10" s="25">
        <v>3810</v>
      </c>
      <c r="G10">
        <v>20080039</v>
      </c>
      <c r="H10" s="25">
        <v>3810</v>
      </c>
    </row>
    <row r="11" spans="1:8" x14ac:dyDescent="0.25">
      <c r="A11">
        <v>20090003</v>
      </c>
      <c r="B11" s="25">
        <v>2544</v>
      </c>
      <c r="G11">
        <v>20090003</v>
      </c>
      <c r="H11" s="25">
        <v>2544</v>
      </c>
    </row>
    <row r="12" spans="1:8" x14ac:dyDescent="0.25">
      <c r="A12" t="s">
        <v>40</v>
      </c>
      <c r="B12" s="25">
        <v>55146</v>
      </c>
      <c r="G12" s="24" t="s">
        <v>40</v>
      </c>
      <c r="H12" s="26">
        <v>55146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5B5E-399A-40FB-81D1-C4B64C0201FC}">
  <dimension ref="A1:S8"/>
  <sheetViews>
    <sheetView workbookViewId="0">
      <selection activeCell="Q2" sqref="Q2:Q8"/>
    </sheetView>
  </sheetViews>
  <sheetFormatPr defaultRowHeight="15" x14ac:dyDescent="0.25"/>
  <cols>
    <col min="1" max="1" width="10.7109375" bestFit="1" customWidth="1"/>
    <col min="3" max="3" width="17.28515625" bestFit="1" customWidth="1"/>
    <col min="7" max="7" width="16.7109375" bestFit="1" customWidth="1"/>
    <col min="8" max="8" width="12" bestFit="1" customWidth="1"/>
    <col min="13" max="15" width="0" hidden="1" customWidth="1"/>
    <col min="17" max="17" width="11.28515625" bestFit="1" customWidth="1"/>
    <col min="18" max="18" width="13.140625" bestFit="1" customWidth="1"/>
  </cols>
  <sheetData>
    <row r="1" spans="1:19" s="21" customForma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9" t="s">
        <v>12</v>
      </c>
      <c r="N1" s="19" t="s">
        <v>13</v>
      </c>
      <c r="O1" s="19" t="s">
        <v>14</v>
      </c>
      <c r="P1" s="20" t="s">
        <v>15</v>
      </c>
      <c r="Q1" s="19" t="s">
        <v>16</v>
      </c>
      <c r="R1" s="19" t="s">
        <v>17</v>
      </c>
      <c r="S1" s="19" t="s">
        <v>18</v>
      </c>
    </row>
    <row r="2" spans="1:19" x14ac:dyDescent="0.25">
      <c r="A2" s="2">
        <v>46087</v>
      </c>
      <c r="B2" s="1" t="s">
        <v>19</v>
      </c>
      <c r="C2" s="1" t="s">
        <v>20</v>
      </c>
      <c r="D2" s="1" t="s">
        <v>21</v>
      </c>
      <c r="E2" s="1">
        <v>20090003</v>
      </c>
      <c r="F2" s="1" t="s">
        <v>22</v>
      </c>
      <c r="G2" s="1" t="s">
        <v>19</v>
      </c>
      <c r="H2" s="1" t="s">
        <v>23</v>
      </c>
      <c r="I2" s="1"/>
      <c r="J2" s="1">
        <v>10</v>
      </c>
      <c r="K2" s="3">
        <v>1250</v>
      </c>
      <c r="L2" s="1">
        <v>12500</v>
      </c>
      <c r="M2" s="1" t="s">
        <v>24</v>
      </c>
      <c r="N2" s="1" t="s">
        <v>25</v>
      </c>
      <c r="O2" s="2">
        <v>46086</v>
      </c>
      <c r="P2" s="1">
        <v>9956</v>
      </c>
      <c r="Q2" s="1">
        <v>2544</v>
      </c>
      <c r="R2" s="1"/>
      <c r="S2" s="1">
        <v>164</v>
      </c>
    </row>
    <row r="3" spans="1:19" x14ac:dyDescent="0.25">
      <c r="A3" s="5">
        <v>46231</v>
      </c>
      <c r="B3" s="4" t="s">
        <v>26</v>
      </c>
      <c r="C3" s="4" t="s">
        <v>20</v>
      </c>
      <c r="D3" s="4" t="s">
        <v>21</v>
      </c>
      <c r="E3" s="4">
        <v>20050003</v>
      </c>
      <c r="F3" s="4" t="s">
        <v>27</v>
      </c>
      <c r="G3" s="4" t="s">
        <v>28</v>
      </c>
      <c r="H3" s="4" t="s">
        <v>23</v>
      </c>
      <c r="I3" s="4">
        <v>0</v>
      </c>
      <c r="J3" s="4">
        <v>3</v>
      </c>
      <c r="K3" s="6">
        <v>1270</v>
      </c>
      <c r="L3" s="4">
        <v>3810</v>
      </c>
      <c r="M3" s="4" t="s">
        <v>24</v>
      </c>
      <c r="N3" s="7" t="s">
        <v>29</v>
      </c>
      <c r="O3" s="4" t="s">
        <v>30</v>
      </c>
      <c r="P3" s="4">
        <v>655</v>
      </c>
      <c r="Q3" s="4">
        <v>3155</v>
      </c>
      <c r="R3" s="4"/>
      <c r="S3" s="4">
        <v>20</v>
      </c>
    </row>
    <row r="4" spans="1:19" x14ac:dyDescent="0.25">
      <c r="A4" s="5">
        <v>46231</v>
      </c>
      <c r="B4" s="4" t="s">
        <v>26</v>
      </c>
      <c r="C4" s="4" t="s">
        <v>20</v>
      </c>
      <c r="D4" s="4" t="s">
        <v>21</v>
      </c>
      <c r="E4" s="4">
        <v>20020029</v>
      </c>
      <c r="F4" s="4" t="s">
        <v>31</v>
      </c>
      <c r="G4" s="4" t="s">
        <v>28</v>
      </c>
      <c r="H4" s="4" t="s">
        <v>23</v>
      </c>
      <c r="I4" s="4">
        <v>0</v>
      </c>
      <c r="J4" s="4">
        <v>6</v>
      </c>
      <c r="K4" s="6">
        <v>1270</v>
      </c>
      <c r="L4" s="4">
        <v>7620</v>
      </c>
      <c r="M4" s="4" t="s">
        <v>24</v>
      </c>
      <c r="N4" s="7" t="s">
        <v>29</v>
      </c>
      <c r="O4" s="4" t="s">
        <v>30</v>
      </c>
      <c r="P4" s="4">
        <v>4369</v>
      </c>
      <c r="Q4" s="4">
        <v>3251</v>
      </c>
      <c r="R4" s="4"/>
      <c r="S4" s="4">
        <v>20</v>
      </c>
    </row>
    <row r="5" spans="1:19" x14ac:dyDescent="0.25">
      <c r="A5" s="9">
        <v>46233</v>
      </c>
      <c r="B5" s="8" t="s">
        <v>32</v>
      </c>
      <c r="C5" s="8" t="s">
        <v>20</v>
      </c>
      <c r="D5" s="8" t="s">
        <v>21</v>
      </c>
      <c r="E5" s="8">
        <v>20080035</v>
      </c>
      <c r="F5" s="8" t="s">
        <v>33</v>
      </c>
      <c r="G5" s="8" t="s">
        <v>34</v>
      </c>
      <c r="H5" s="8" t="s">
        <v>23</v>
      </c>
      <c r="I5" s="8">
        <v>0</v>
      </c>
      <c r="J5" s="8">
        <v>10</v>
      </c>
      <c r="K5" s="10">
        <v>1270</v>
      </c>
      <c r="L5" s="8">
        <v>12700</v>
      </c>
      <c r="M5" s="8"/>
      <c r="N5" s="11"/>
      <c r="O5" s="9"/>
      <c r="P5" s="8"/>
      <c r="Q5" s="8">
        <v>12700</v>
      </c>
      <c r="R5" s="8"/>
      <c r="S5" s="8">
        <v>18</v>
      </c>
    </row>
    <row r="6" spans="1:19" x14ac:dyDescent="0.25">
      <c r="A6" s="9">
        <v>46233</v>
      </c>
      <c r="B6" s="8" t="s">
        <v>32</v>
      </c>
      <c r="C6" s="8" t="s">
        <v>20</v>
      </c>
      <c r="D6" s="8" t="s">
        <v>21</v>
      </c>
      <c r="E6" s="8">
        <v>20080008</v>
      </c>
      <c r="F6" s="8" t="s">
        <v>35</v>
      </c>
      <c r="G6" s="8" t="s">
        <v>34</v>
      </c>
      <c r="H6" s="8" t="s">
        <v>23</v>
      </c>
      <c r="I6" s="8">
        <v>0</v>
      </c>
      <c r="J6" s="8">
        <v>20</v>
      </c>
      <c r="K6" s="10">
        <v>1270</v>
      </c>
      <c r="L6" s="8">
        <v>25400</v>
      </c>
      <c r="M6" s="8"/>
      <c r="N6" s="11"/>
      <c r="O6" s="9"/>
      <c r="P6" s="8"/>
      <c r="Q6" s="8">
        <v>25400</v>
      </c>
      <c r="R6" s="12"/>
      <c r="S6" s="8">
        <v>18</v>
      </c>
    </row>
    <row r="7" spans="1:19" x14ac:dyDescent="0.25">
      <c r="A7" s="14">
        <v>46233</v>
      </c>
      <c r="B7" s="13" t="s">
        <v>32</v>
      </c>
      <c r="C7" s="13" t="s">
        <v>20</v>
      </c>
      <c r="D7" s="13" t="s">
        <v>21</v>
      </c>
      <c r="E7" s="13">
        <v>20080039</v>
      </c>
      <c r="F7" s="13" t="s">
        <v>36</v>
      </c>
      <c r="G7" s="13" t="s">
        <v>34</v>
      </c>
      <c r="H7" s="13" t="s">
        <v>23</v>
      </c>
      <c r="I7" s="13">
        <v>0</v>
      </c>
      <c r="J7" s="13">
        <v>3</v>
      </c>
      <c r="K7" s="15">
        <v>1270</v>
      </c>
      <c r="L7" s="13">
        <v>3810</v>
      </c>
      <c r="M7" s="13"/>
      <c r="N7" s="16"/>
      <c r="O7" s="14"/>
      <c r="P7" s="13"/>
      <c r="Q7" s="13">
        <v>3810</v>
      </c>
      <c r="R7" s="13"/>
      <c r="S7" s="13">
        <v>18</v>
      </c>
    </row>
    <row r="8" spans="1:19" x14ac:dyDescent="0.25">
      <c r="A8" s="14">
        <v>46234</v>
      </c>
      <c r="B8" s="13" t="s">
        <v>37</v>
      </c>
      <c r="C8" s="13" t="s">
        <v>20</v>
      </c>
      <c r="D8" s="13" t="s">
        <v>21</v>
      </c>
      <c r="E8" s="13">
        <v>20060003</v>
      </c>
      <c r="F8" s="13" t="s">
        <v>38</v>
      </c>
      <c r="G8" s="13" t="s">
        <v>39</v>
      </c>
      <c r="H8" s="13" t="s">
        <v>23</v>
      </c>
      <c r="I8" s="13">
        <v>0</v>
      </c>
      <c r="J8" s="13">
        <v>50</v>
      </c>
      <c r="K8" s="15">
        <v>1270</v>
      </c>
      <c r="L8" s="13">
        <v>63500</v>
      </c>
      <c r="M8" s="13" t="s">
        <v>24</v>
      </c>
      <c r="N8" s="16" t="s">
        <v>29</v>
      </c>
      <c r="O8" s="13" t="s">
        <v>30</v>
      </c>
      <c r="P8" s="13">
        <v>59214</v>
      </c>
      <c r="Q8" s="13">
        <v>4286</v>
      </c>
      <c r="R8" s="13"/>
      <c r="S8" s="13">
        <v>17</v>
      </c>
    </row>
  </sheetData>
  <dataValidations count="2">
    <dataValidation type="list" allowBlank="1" sqref="C2:C8 M2:M8" xr:uid="{3E9B8676-8EAC-44B7-95C0-103D20226F2E}">
      <formula1>#REF!</formula1>
    </dataValidation>
    <dataValidation type="custom" allowBlank="1" showDropDown="1" sqref="A2:A8 O2:O8" xr:uid="{D59C137C-FDE4-4D4D-B7A1-BF7B72FF9676}">
      <formula1>OR(NOT(ISERROR(DATEVALUE(A2))), AND(ISNUMBER(A2), LEFT(CELL("format", A2))="D"))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2026-08-17T05:53:53Z</dcterms:created>
  <dcterms:modified xsi:type="dcterms:W3CDTF">2026-08-17T06:19:59Z</dcterms:modified>
</cp:coreProperties>
</file>