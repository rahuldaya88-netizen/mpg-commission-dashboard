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hul\Desktop\Rahul Backup\Farmer Payment\FYI-26-27\Jharkhand\Farmer Payment\JHFRAMERPAYMENT  17-23 Jul'26\Collection Data\"/>
    </mc:Choice>
  </mc:AlternateContent>
  <xr:revisionPtr revIDLastSave="0" documentId="13_ncr:1_{FDDBD0C2-A413-4250-9162-A7562A6D2CAF}" xr6:coauthVersionLast="47" xr6:coauthVersionMax="47" xr10:uidLastSave="{00000000-0000-0000-0000-000000000000}"/>
  <bookViews>
    <workbookView xWindow="-120" yWindow="-120" windowWidth="29040" windowHeight="15720" xr2:uid="{535C703F-722F-48B5-BED2-E6BD4BEF1E32}"/>
  </bookViews>
  <sheets>
    <sheet name="Sheet2" sheetId="2" r:id="rId1"/>
    <sheet name="Sheet1" sheetId="1" r:id="rId2"/>
  </sheets>
  <calcPr calcId="191029"/>
  <pivotCaches>
    <pivotCache cacheId="93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<sst xmlns="http://schemas.openxmlformats.org/spreadsheetml/2006/main" count="80" uniqueCount="45">
  <si>
    <t>Sales Date</t>
  </si>
  <si>
    <t>Godown</t>
  </si>
  <si>
    <t>Item Name</t>
  </si>
  <si>
    <t>UoM</t>
  </si>
  <si>
    <t>MPG Code</t>
  </si>
  <si>
    <t>MPG Name</t>
  </si>
  <si>
    <t>BMC Name</t>
  </si>
  <si>
    <t>CSP</t>
  </si>
  <si>
    <t>Challan No</t>
  </si>
  <si>
    <t>Qty</t>
  </si>
  <si>
    <t>Rate</t>
  </si>
  <si>
    <t>Total Amount</t>
  </si>
  <si>
    <t>Payment Mode</t>
  </si>
  <si>
    <t>Cycle</t>
  </si>
  <si>
    <t>Payment Date</t>
  </si>
  <si>
    <t>Payment Amount</t>
  </si>
  <si>
    <t>Balance Due</t>
  </si>
  <si>
    <t>Remarks</t>
  </si>
  <si>
    <t>Agening</t>
  </si>
  <si>
    <t>Chanho</t>
  </si>
  <si>
    <t>Gomukh Gold 50KG</t>
  </si>
  <si>
    <t>Bag</t>
  </si>
  <si>
    <t>Naudi</t>
  </si>
  <si>
    <t>Daya Society</t>
  </si>
  <si>
    <t>Farmer Payment</t>
  </si>
  <si>
    <t>27 Feb - 05 Mar &amp; 06-12 Mar 13-19 Mar 20-26 Mar, 27-31 Mar</t>
  </si>
  <si>
    <t>Ningani</t>
  </si>
  <si>
    <t>SITHIO</t>
  </si>
  <si>
    <t>CHATTI BHANDRA</t>
  </si>
  <si>
    <t>UPI</t>
  </si>
  <si>
    <t>Pali</t>
  </si>
  <si>
    <t>AGRU</t>
  </si>
  <si>
    <t>Paali</t>
  </si>
  <si>
    <t>PAKARIYO</t>
  </si>
  <si>
    <t>26-02 JULY &amp; 03-09 July</t>
  </si>
  <si>
    <t>2-Jul-2026/09-07-2026</t>
  </si>
  <si>
    <t>PAKARIYO 2</t>
  </si>
  <si>
    <t xml:space="preserve">03-09 july </t>
  </si>
  <si>
    <t xml:space="preserve">10-16 july </t>
  </si>
  <si>
    <t>Chuttu</t>
  </si>
  <si>
    <t>CHUTTU</t>
  </si>
  <si>
    <t>ORMANJHI</t>
  </si>
  <si>
    <t>Grand Total</t>
  </si>
  <si>
    <t>Sum of Balance Due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</si>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</sst>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&quot;-&quot;mmm&quot;-&quot;yyyy"/>
  </numFmts>
  <fonts count="7" x14ac:knownFonts="1">
    <font>
      <sz val="11"/>
      <color theme="1"/>
      <name val="Calibri"/>
      <family val="2"/>
      <scheme val="minor"/>
    </font>
    <font>
      <b/>
      <sz val="10"/>
      <color theme="1"/>
      <name val="Roboto"/>
    </font>
    <font>
      <sz val="10"/>
      <color rgb="FF535FC1"/>
      <name val="Roboto"/>
    </font>
    <font>
      <sz val="10"/>
      <color rgb="FFFFFFFF"/>
      <name val="Roboto"/>
    </font>
    <font>
      <sz val="10"/>
      <color theme="1"/>
      <name val="Arial"/>
      <family val="2"/>
    </font>
    <font>
      <sz val="10"/>
      <color rgb="FF434343"/>
      <name val="Roboto"/>
    </font>
    <font>
      <b/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535FC1"/>
        <bgColor rgb="FF535FC1"/>
      </patternFill>
    </fill>
    <fill>
      <patternFill patternType="solid">
        <fgColor rgb="FFF6F8F9"/>
        <bgColor rgb="FFF6F8F9"/>
      </patternFill>
    </fill>
    <fill>
      <patternFill patternType="solid">
        <fgColor rgb="FF356854"/>
        <bgColor rgb="FF356854"/>
      </patternFill>
    </fill>
    <fill>
      <patternFill patternType="solid">
        <fgColor rgb="FFFFFFFF"/>
        <bgColor rgb="FFFFFFFF"/>
      </patternFill>
    </fill>
    <fill>
      <patternFill patternType="solid">
        <fgColor rgb="FF00FF00"/>
        <bgColor rgb="FF00FF00"/>
      </patternFill>
    </fill>
    <fill>
      <patternFill patternType="solid">
        <fgColor theme="4" tint="0.79998168889431442"/>
        <bgColor theme="4" tint="0.79998168889431442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</borders>
  <cellStyleXfs count="1">
    <xf numFmtId="0" fontId="0" fillId="0" borderId="0"/>
  </cellStyleXfs>
  <cellXfs count="18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49" fontId="2" fillId="3" borderId="1" xfId="0" applyNumberFormat="1" applyFont="1" applyFill="1" applyBorder="1" applyAlignment="1">
      <alignment horizontal="right" vertical="center"/>
    </xf>
    <xf numFmtId="0" fontId="3" fillId="4" borderId="1" xfId="0" applyFont="1" applyFill="1" applyBorder="1" applyAlignment="1">
      <alignment horizontal="left" vertical="center"/>
    </xf>
    <xf numFmtId="49" fontId="3" fillId="4" borderId="1" xfId="0" applyNumberFormat="1" applyFont="1" applyFill="1" applyBorder="1" applyAlignment="1">
      <alignment horizontal="left" vertical="center"/>
    </xf>
    <xf numFmtId="0" fontId="4" fillId="5" borderId="1" xfId="0" applyFont="1" applyFill="1" applyBorder="1" applyAlignment="1">
      <alignment vertical="center"/>
    </xf>
    <xf numFmtId="164" fontId="4" fillId="5" borderId="1" xfId="0" applyNumberFormat="1" applyFont="1" applyFill="1" applyBorder="1" applyAlignment="1">
      <alignment vertical="center"/>
    </xf>
    <xf numFmtId="0" fontId="5" fillId="5" borderId="1" xfId="0" applyFont="1" applyFill="1" applyBorder="1" applyAlignment="1">
      <alignment horizontal="right" vertical="center"/>
    </xf>
    <xf numFmtId="0" fontId="5" fillId="5" borderId="1" xfId="0" applyFont="1" applyFill="1" applyBorder="1" applyAlignment="1">
      <alignment vertical="center"/>
    </xf>
    <xf numFmtId="0" fontId="4" fillId="6" borderId="1" xfId="0" applyFont="1" applyFill="1" applyBorder="1" applyAlignment="1">
      <alignment vertical="center"/>
    </xf>
    <xf numFmtId="164" fontId="4" fillId="6" borderId="1" xfId="0" applyNumberFormat="1" applyFont="1" applyFill="1" applyBorder="1" applyAlignment="1">
      <alignment vertical="center"/>
    </xf>
    <xf numFmtId="0" fontId="5" fillId="6" borderId="1" xfId="0" applyFont="1" applyFill="1" applyBorder="1" applyAlignment="1">
      <alignment horizontal="right" vertical="center"/>
    </xf>
    <xf numFmtId="0" fontId="5" fillId="6" borderId="1" xfId="0" applyFont="1" applyFill="1" applyBorder="1" applyAlignment="1">
      <alignment vertical="center"/>
    </xf>
    <xf numFmtId="0" fontId="0" fillId="0" borderId="0" xfId="0" pivotButton="1"/>
    <xf numFmtId="0" fontId="6" fillId="7" borderId="2" xfId="0" applyFont="1" applyFill="1" applyBorder="1"/>
    <xf numFmtId="0" fontId="6" fillId="7" borderId="3" xfId="0" applyFont="1" applyFill="1" applyBorder="1"/>
    <xf numFmtId="0" fontId="0" fillId="0" borderId="0" xfId="0" applyNumberFormat="1"/>
    <xf numFmtId="0" fontId="6" fillId="7" borderId="3" xfId="0" applyNumberFormat="1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ahul" refreshedDate="46231.481335069446" createdVersion="8" refreshedVersion="8" minRefreshableVersion="3" recordCount="7" xr:uid="{4305F76C-3E27-4ABC-A47B-0ADF519C8A24}">
  <cacheSource type="worksheet">
    <worksheetSource ref="A1:S8" sheet="Sheet1"/>
  </cacheSource>
  <cacheFields count="19">
    <cacheField name="Sales Date" numFmtId="164">
      <sharedItems containsSemiMixedTypes="0" containsNonDate="0" containsDate="1" containsString="0" minDate="2026-03-06T00:00:00" maxDate="2026-07-09T00:00:00"/>
    </cacheField>
    <cacheField name="Godown" numFmtId="0">
      <sharedItems/>
    </cacheField>
    <cacheField name="Item Name" numFmtId="0">
      <sharedItems/>
    </cacheField>
    <cacheField name="UoM" numFmtId="0">
      <sharedItems/>
    </cacheField>
    <cacheField name="MPG Code" numFmtId="0">
      <sharedItems containsSemiMixedTypes="0" containsString="0" containsNumber="1" containsInteger="1" minValue="20020025" maxValue="20090020" count="6">
        <n v="20090003"/>
        <n v="20080018"/>
        <n v="20020025"/>
        <n v="20090015"/>
        <n v="20090020"/>
        <n v="20060004"/>
      </sharedItems>
    </cacheField>
    <cacheField name="MPG Name" numFmtId="0">
      <sharedItems/>
    </cacheField>
    <cacheField name="BMC Name" numFmtId="0">
      <sharedItems/>
    </cacheField>
    <cacheField name="CSP" numFmtId="0">
      <sharedItems/>
    </cacheField>
    <cacheField name="Challan No" numFmtId="0">
      <sharedItems containsString="0" containsBlank="1" containsNumber="1" containsInteger="1" minValue="0" maxValue="0"/>
    </cacheField>
    <cacheField name="Qty" numFmtId="0">
      <sharedItems containsSemiMixedTypes="0" containsString="0" containsNumber="1" containsInteger="1" minValue="1" maxValue="13"/>
    </cacheField>
    <cacheField name="Rate" numFmtId="0">
      <sharedItems containsSemiMixedTypes="0" containsString="0" containsNumber="1" containsInteger="1" minValue="1250" maxValue="1270"/>
    </cacheField>
    <cacheField name="Total Amount" numFmtId="0">
      <sharedItems containsSemiMixedTypes="0" containsString="0" containsNumber="1" containsInteger="1" minValue="1270" maxValue="16510"/>
    </cacheField>
    <cacheField name="Payment Mode" numFmtId="0">
      <sharedItems containsBlank="1"/>
    </cacheField>
    <cacheField name="Cycle" numFmtId="0">
      <sharedItems containsBlank="1"/>
    </cacheField>
    <cacheField name="Payment Date" numFmtId="0">
      <sharedItems containsDate="1" containsBlank="1" containsMixedTypes="1" minDate="2026-03-05T00:00:00" maxDate="2026-07-21T00:00:00"/>
    </cacheField>
    <cacheField name="Payment Amount" numFmtId="0">
      <sharedItems containsString="0" containsBlank="1" containsNumber="1" containsInteger="1" minValue="842" maxValue="9956"/>
    </cacheField>
    <cacheField name="Balance Due" numFmtId="0">
      <sharedItems containsSemiMixedTypes="0" containsString="0" containsNumber="1" containsInteger="1" minValue="428" maxValue="16510"/>
    </cacheField>
    <cacheField name="Remarks" numFmtId="0">
      <sharedItems containsNonDate="0" containsString="0" containsBlank="1"/>
    </cacheField>
    <cacheField name="Agening" numFmtId="0">
      <sharedItems containsSemiMixedTypes="0" containsString="0" containsNumber="1" containsInteger="1" minValue="17" maxValue="14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">
  <r>
    <d v="2026-03-06T00:00:00"/>
    <s v="Chanho"/>
    <s v="Gomukh Gold 50KG"/>
    <s v="Bag"/>
    <x v="0"/>
    <s v="Naudi"/>
    <s v="Chanho"/>
    <s v="Daya Society"/>
    <m/>
    <n v="10"/>
    <n v="1250"/>
    <n v="12500"/>
    <s v="Farmer Payment"/>
    <s v="27 Feb - 05 Mar &amp; 06-12 Mar 13-19 Mar 20-26 Mar, 27-31 Mar"/>
    <d v="2026-03-05T00:00:00"/>
    <n v="9956"/>
    <n v="2544"/>
    <m/>
    <n v="141"/>
  </r>
  <r>
    <d v="2026-06-15T00:00:00"/>
    <s v="Ningani"/>
    <s v="Gomukh Gold 50KG"/>
    <s v="Bag"/>
    <x v="1"/>
    <s v="SITHIO"/>
    <s v="CHATTI BHANDRA"/>
    <s v="Daya Society"/>
    <n v="0"/>
    <n v="10"/>
    <n v="1270"/>
    <n v="12700"/>
    <s v="UPI"/>
    <m/>
    <d v="2026-07-20T00:00:00"/>
    <n v="6350"/>
    <n v="6350"/>
    <m/>
    <n v="40"/>
  </r>
  <r>
    <d v="2026-06-30T00:00:00"/>
    <s v="Pali"/>
    <s v="Gomukh Gold 50KG"/>
    <s v="Bag"/>
    <x v="2"/>
    <s v="AGRU"/>
    <s v="Paali"/>
    <s v="Daya Society"/>
    <n v="0"/>
    <n v="13"/>
    <n v="1270"/>
    <n v="16510"/>
    <m/>
    <m/>
    <m/>
    <m/>
    <n v="16510"/>
    <m/>
    <n v="25"/>
  </r>
  <r>
    <d v="2026-06-30T00:00:00"/>
    <s v="Chanho"/>
    <s v="Gomukh Gold 50KG"/>
    <s v="Bag"/>
    <x v="3"/>
    <s v="PAKARIYO"/>
    <s v="Chanho"/>
    <s v="Daya Society"/>
    <n v="0"/>
    <n v="2"/>
    <n v="1270"/>
    <n v="2540"/>
    <s v="Farmer Payment"/>
    <s v="26-02 JULY &amp; 03-09 July"/>
    <s v="2-Jul-2026/09-07-2026"/>
    <n v="1698"/>
    <n v="842"/>
    <m/>
    <n v="25"/>
  </r>
  <r>
    <d v="2026-07-08T00:00:00"/>
    <s v="Chanho"/>
    <s v="Gomukh Gold 50KG"/>
    <s v="Bag"/>
    <x v="4"/>
    <s v="PAKARIYO 2"/>
    <s v="Chanho"/>
    <s v="Daya Society"/>
    <n v="0"/>
    <n v="6"/>
    <n v="1270"/>
    <n v="7620"/>
    <s v="Farmer Payment"/>
    <s v="03-09 july "/>
    <d v="2026-07-09T00:00:00"/>
    <n v="3810"/>
    <n v="3810"/>
    <m/>
    <n v="17"/>
  </r>
  <r>
    <d v="2026-07-08T00:00:00"/>
    <s v="Chanho"/>
    <s v="Gomukh Gold 50KG"/>
    <s v="Bag"/>
    <x v="3"/>
    <s v="PAKARIYO"/>
    <s v="Chanho"/>
    <s v="Daya Society"/>
    <n v="0"/>
    <n v="1"/>
    <n v="1270"/>
    <n v="1270"/>
    <s v="Farmer Payment"/>
    <s v="10-16 july "/>
    <d v="2026-07-16T00:00:00"/>
    <n v="842"/>
    <n v="428"/>
    <m/>
    <n v="17"/>
  </r>
  <r>
    <d v="2026-07-04T00:00:00"/>
    <s v="Chuttu"/>
    <s v="Gomukh Gold 50KG"/>
    <s v="Bag"/>
    <x v="5"/>
    <s v="CHUTTU"/>
    <s v="ORMANJHI"/>
    <s v="Daya Society"/>
    <n v="0"/>
    <n v="10"/>
    <n v="1270"/>
    <n v="12700"/>
    <s v="Farmer Payment"/>
    <s v="10-16 july "/>
    <d v="2026-07-16T00:00:00"/>
    <n v="6350"/>
    <n v="6350"/>
    <m/>
    <n v="21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A83B679A-42EC-466C-9C34-908A43124D8C}" name="PivotTable5" cacheId="93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compact="0" compactData="0" gridDropZones="1" multipleFieldFilters="0">
  <location ref="A3:B11" firstHeaderRow="2" firstDataRow="2" firstDataCol="1"/>
  <pivotFields count="19">
    <pivotField compact="0" numFmtId="164" outline="0" showAll="0"/>
    <pivotField compact="0" outline="0" showAll="0"/>
    <pivotField compact="0" outline="0" showAll="0"/>
    <pivotField compact="0" outline="0" showAll="0"/>
    <pivotField axis="axisRow" compact="0" outline="0" showAll="0">
      <items count="7">
        <item x="2"/>
        <item x="5"/>
        <item x="1"/>
        <item x="0"/>
        <item x="3"/>
        <item x="4"/>
        <item t="default"/>
      </items>
    </pivotField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compact="0" outline="0" showAll="0"/>
    <pivotField dataField="1" compact="0" outline="0" showAll="0"/>
    <pivotField compact="0" outline="0" showAll="0"/>
    <pivotField compact="0" outline="0" showAll="0"/>
  </pivotFields>
  <rowFields count="1">
    <field x="4"/>
  </rowFields>
  <rowItems count="7">
    <i>
      <x/>
    </i>
    <i>
      <x v="1"/>
    </i>
    <i>
      <x v="2"/>
    </i>
    <i>
      <x v="3"/>
    </i>
    <i>
      <x v="4"/>
    </i>
    <i>
      <x v="5"/>
    </i>
    <i t="grand">
      <x/>
    </i>
  </rowItems>
  <colItems count="1">
    <i/>
  </colItems>
  <dataFields count="1">
    <dataField name="Sum of Balance Due" fld="16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691B1C-858A-4DB0-B1AF-4E01F6111147}">
  <dimension ref="A3:H11"/>
  <sheetViews>
    <sheetView tabSelected="1" workbookViewId="0">
      <selection activeCell="Q20" sqref="Q20"/>
    </sheetView>
  </sheetViews>
  <sheetFormatPr defaultRowHeight="15" x14ac:dyDescent="0.25"/>
  <cols>
    <col min="1" max="1" width="18.7109375" bestFit="1" customWidth="1"/>
    <col min="2" max="2" width="6" bestFit="1" customWidth="1"/>
    <col min="7" max="7" width="11.28515625" bestFit="1" customWidth="1"/>
    <col min="8" max="8" width="6" bestFit="1" customWidth="1"/>
  </cols>
  <sheetData>
    <row r="3" spans="1:8" x14ac:dyDescent="0.25">
      <c r="A3" s="13" t="s">
        <v>43</v>
      </c>
    </row>
    <row r="4" spans="1:8" x14ac:dyDescent="0.25">
      <c r="A4" s="13" t="s">
        <v>4</v>
      </c>
      <c r="B4" t="s">
        <v>44</v>
      </c>
      <c r="G4" s="14" t="s">
        <v>4</v>
      </c>
      <c r="H4" s="14" t="s">
        <v>44</v>
      </c>
    </row>
    <row r="5" spans="1:8" x14ac:dyDescent="0.25">
      <c r="A5">
        <v>20020025</v>
      </c>
      <c r="B5" s="16">
        <v>16510</v>
      </c>
      <c r="G5">
        <v>20020025</v>
      </c>
      <c r="H5" s="16">
        <v>16510</v>
      </c>
    </row>
    <row r="6" spans="1:8" x14ac:dyDescent="0.25">
      <c r="A6">
        <v>20060004</v>
      </c>
      <c r="B6" s="16">
        <v>6350</v>
      </c>
      <c r="G6">
        <v>20060004</v>
      </c>
      <c r="H6" s="16">
        <v>6350</v>
      </c>
    </row>
    <row r="7" spans="1:8" x14ac:dyDescent="0.25">
      <c r="A7">
        <v>20080018</v>
      </c>
      <c r="B7" s="16">
        <v>6350</v>
      </c>
      <c r="G7">
        <v>20080018</v>
      </c>
      <c r="H7" s="16">
        <v>6350</v>
      </c>
    </row>
    <row r="8" spans="1:8" x14ac:dyDescent="0.25">
      <c r="A8">
        <v>20090003</v>
      </c>
      <c r="B8" s="16">
        <v>2544</v>
      </c>
      <c r="G8">
        <v>20090003</v>
      </c>
      <c r="H8" s="16">
        <v>2544</v>
      </c>
    </row>
    <row r="9" spans="1:8" x14ac:dyDescent="0.25">
      <c r="A9">
        <v>20090015</v>
      </c>
      <c r="B9" s="16">
        <v>1270</v>
      </c>
      <c r="G9">
        <v>20090015</v>
      </c>
      <c r="H9" s="16">
        <v>1270</v>
      </c>
    </row>
    <row r="10" spans="1:8" x14ac:dyDescent="0.25">
      <c r="A10">
        <v>20090020</v>
      </c>
      <c r="B10" s="16">
        <v>3810</v>
      </c>
      <c r="G10">
        <v>20090020</v>
      </c>
      <c r="H10" s="16">
        <v>3810</v>
      </c>
    </row>
    <row r="11" spans="1:8" x14ac:dyDescent="0.25">
      <c r="A11" t="s">
        <v>42</v>
      </c>
      <c r="B11" s="16">
        <v>36834</v>
      </c>
      <c r="G11" s="15" t="s">
        <v>42</v>
      </c>
      <c r="H11" s="17">
        <v>36834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D97148-218E-43DE-BA06-57E15D050639}">
  <dimension ref="A1:S8"/>
  <sheetViews>
    <sheetView workbookViewId="0">
      <selection activeCell="Q2" sqref="Q2:Q8"/>
    </sheetView>
  </sheetViews>
  <sheetFormatPr defaultRowHeight="15" x14ac:dyDescent="0.25"/>
  <cols>
    <col min="1" max="1" width="11.28515625" bestFit="1" customWidth="1"/>
    <col min="3" max="3" width="17.28515625" bestFit="1" customWidth="1"/>
    <col min="5" max="5" width="10.140625" bestFit="1" customWidth="1"/>
    <col min="13" max="14" width="0" hidden="1" customWidth="1"/>
    <col min="15" max="15" width="19.7109375" hidden="1" customWidth="1"/>
  </cols>
  <sheetData>
    <row r="1" spans="1:19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3" t="s">
        <v>12</v>
      </c>
      <c r="N1" s="3" t="s">
        <v>13</v>
      </c>
      <c r="O1" s="3" t="s">
        <v>14</v>
      </c>
      <c r="P1" s="4" t="s">
        <v>15</v>
      </c>
      <c r="Q1" s="3" t="s">
        <v>16</v>
      </c>
      <c r="R1" s="3" t="s">
        <v>17</v>
      </c>
      <c r="S1" s="3" t="s">
        <v>18</v>
      </c>
    </row>
    <row r="2" spans="1:19" x14ac:dyDescent="0.25">
      <c r="A2" s="6">
        <v>46087</v>
      </c>
      <c r="B2" s="5" t="s">
        <v>19</v>
      </c>
      <c r="C2" s="5" t="s">
        <v>20</v>
      </c>
      <c r="D2" s="5" t="s">
        <v>21</v>
      </c>
      <c r="E2" s="5">
        <v>20090003</v>
      </c>
      <c r="F2" s="5" t="s">
        <v>22</v>
      </c>
      <c r="G2" s="5" t="s">
        <v>19</v>
      </c>
      <c r="H2" s="5" t="s">
        <v>23</v>
      </c>
      <c r="I2" s="5"/>
      <c r="J2" s="5">
        <v>10</v>
      </c>
      <c r="K2" s="7">
        <v>1250</v>
      </c>
      <c r="L2" s="5">
        <v>12500</v>
      </c>
      <c r="M2" s="5" t="s">
        <v>24</v>
      </c>
      <c r="N2" s="5" t="s">
        <v>25</v>
      </c>
      <c r="O2" s="6">
        <v>46086</v>
      </c>
      <c r="P2" s="5">
        <v>9956</v>
      </c>
      <c r="Q2" s="5">
        <v>2544</v>
      </c>
      <c r="R2" s="5"/>
      <c r="S2" s="5">
        <v>141</v>
      </c>
    </row>
    <row r="3" spans="1:19" x14ac:dyDescent="0.25">
      <c r="A3" s="6">
        <v>46188</v>
      </c>
      <c r="B3" s="5" t="s">
        <v>26</v>
      </c>
      <c r="C3" s="5" t="s">
        <v>20</v>
      </c>
      <c r="D3" s="5" t="s">
        <v>21</v>
      </c>
      <c r="E3" s="5">
        <v>20080018</v>
      </c>
      <c r="F3" s="5" t="s">
        <v>27</v>
      </c>
      <c r="G3" s="5" t="s">
        <v>28</v>
      </c>
      <c r="H3" s="5" t="s">
        <v>23</v>
      </c>
      <c r="I3" s="5">
        <v>0</v>
      </c>
      <c r="J3" s="5">
        <v>10</v>
      </c>
      <c r="K3" s="7">
        <v>1270</v>
      </c>
      <c r="L3" s="5">
        <v>12700</v>
      </c>
      <c r="M3" s="5" t="s">
        <v>29</v>
      </c>
      <c r="N3" s="8"/>
      <c r="O3" s="6">
        <v>46223</v>
      </c>
      <c r="P3" s="5">
        <v>6350</v>
      </c>
      <c r="Q3" s="5">
        <v>6350</v>
      </c>
      <c r="R3" s="5"/>
      <c r="S3" s="5">
        <v>40</v>
      </c>
    </row>
    <row r="4" spans="1:19" x14ac:dyDescent="0.25">
      <c r="A4" s="6">
        <v>46203</v>
      </c>
      <c r="B4" s="5" t="s">
        <v>30</v>
      </c>
      <c r="C4" s="5" t="s">
        <v>20</v>
      </c>
      <c r="D4" s="5" t="s">
        <v>21</v>
      </c>
      <c r="E4" s="5">
        <v>20020025</v>
      </c>
      <c r="F4" s="5" t="s">
        <v>31</v>
      </c>
      <c r="G4" s="5" t="s">
        <v>32</v>
      </c>
      <c r="H4" s="5" t="s">
        <v>23</v>
      </c>
      <c r="I4" s="5">
        <v>0</v>
      </c>
      <c r="J4" s="5">
        <v>13</v>
      </c>
      <c r="K4" s="7">
        <v>1270</v>
      </c>
      <c r="L4" s="5">
        <v>16510</v>
      </c>
      <c r="M4" s="5"/>
      <c r="N4" s="8"/>
      <c r="O4" s="6"/>
      <c r="P4" s="5"/>
      <c r="Q4" s="5">
        <v>16510</v>
      </c>
      <c r="R4" s="5"/>
      <c r="S4" s="5">
        <v>25</v>
      </c>
    </row>
    <row r="5" spans="1:19" x14ac:dyDescent="0.25">
      <c r="A5" s="6">
        <v>46203</v>
      </c>
      <c r="B5" s="5" t="s">
        <v>19</v>
      </c>
      <c r="C5" s="5" t="s">
        <v>20</v>
      </c>
      <c r="D5" s="5" t="s">
        <v>21</v>
      </c>
      <c r="E5" s="5">
        <v>20090015</v>
      </c>
      <c r="F5" s="5" t="s">
        <v>33</v>
      </c>
      <c r="G5" s="5" t="s">
        <v>19</v>
      </c>
      <c r="H5" s="5" t="s">
        <v>23</v>
      </c>
      <c r="I5" s="5">
        <v>0</v>
      </c>
      <c r="J5" s="5">
        <v>2</v>
      </c>
      <c r="K5" s="7">
        <v>1270</v>
      </c>
      <c r="L5" s="5">
        <v>2540</v>
      </c>
      <c r="M5" s="5" t="s">
        <v>24</v>
      </c>
      <c r="N5" s="8" t="s">
        <v>34</v>
      </c>
      <c r="O5" s="5" t="s">
        <v>35</v>
      </c>
      <c r="P5" s="5">
        <v>1698</v>
      </c>
      <c r="Q5" s="5">
        <v>842</v>
      </c>
      <c r="R5" s="5"/>
      <c r="S5" s="5">
        <v>25</v>
      </c>
    </row>
    <row r="6" spans="1:19" x14ac:dyDescent="0.25">
      <c r="A6" s="6">
        <v>46211</v>
      </c>
      <c r="B6" s="5" t="s">
        <v>19</v>
      </c>
      <c r="C6" s="5" t="s">
        <v>20</v>
      </c>
      <c r="D6" s="5" t="s">
        <v>21</v>
      </c>
      <c r="E6" s="5">
        <v>20090020</v>
      </c>
      <c r="F6" s="5" t="s">
        <v>36</v>
      </c>
      <c r="G6" s="5" t="s">
        <v>19</v>
      </c>
      <c r="H6" s="5" t="s">
        <v>23</v>
      </c>
      <c r="I6" s="5">
        <v>0</v>
      </c>
      <c r="J6" s="5">
        <v>6</v>
      </c>
      <c r="K6" s="7">
        <v>1270</v>
      </c>
      <c r="L6" s="5">
        <v>7620</v>
      </c>
      <c r="M6" s="5" t="s">
        <v>24</v>
      </c>
      <c r="N6" s="8" t="s">
        <v>37</v>
      </c>
      <c r="O6" s="6">
        <v>46212</v>
      </c>
      <c r="P6" s="5">
        <v>3810</v>
      </c>
      <c r="Q6" s="5">
        <v>3810</v>
      </c>
      <c r="R6" s="5"/>
      <c r="S6" s="5">
        <v>17</v>
      </c>
    </row>
    <row r="7" spans="1:19" x14ac:dyDescent="0.25">
      <c r="A7" s="6">
        <v>46211</v>
      </c>
      <c r="B7" s="5" t="s">
        <v>19</v>
      </c>
      <c r="C7" s="5" t="s">
        <v>20</v>
      </c>
      <c r="D7" s="5" t="s">
        <v>21</v>
      </c>
      <c r="E7" s="5">
        <v>20090015</v>
      </c>
      <c r="F7" s="5" t="s">
        <v>33</v>
      </c>
      <c r="G7" s="5" t="s">
        <v>19</v>
      </c>
      <c r="H7" s="5" t="s">
        <v>23</v>
      </c>
      <c r="I7" s="5">
        <v>0</v>
      </c>
      <c r="J7" s="5">
        <v>1</v>
      </c>
      <c r="K7" s="7">
        <v>1270</v>
      </c>
      <c r="L7" s="5">
        <v>1270</v>
      </c>
      <c r="M7" s="5" t="s">
        <v>24</v>
      </c>
      <c r="N7" s="8" t="s">
        <v>38</v>
      </c>
      <c r="O7" s="6">
        <v>46219</v>
      </c>
      <c r="P7" s="5">
        <v>842</v>
      </c>
      <c r="Q7" s="5">
        <v>428</v>
      </c>
      <c r="R7" s="5"/>
      <c r="S7" s="5">
        <v>17</v>
      </c>
    </row>
    <row r="8" spans="1:19" x14ac:dyDescent="0.25">
      <c r="A8" s="10">
        <v>46207</v>
      </c>
      <c r="B8" s="9" t="s">
        <v>39</v>
      </c>
      <c r="C8" s="9" t="s">
        <v>20</v>
      </c>
      <c r="D8" s="9" t="s">
        <v>21</v>
      </c>
      <c r="E8" s="9">
        <v>20060004</v>
      </c>
      <c r="F8" s="9" t="s">
        <v>40</v>
      </c>
      <c r="G8" s="9" t="s">
        <v>41</v>
      </c>
      <c r="H8" s="9" t="s">
        <v>23</v>
      </c>
      <c r="I8" s="9">
        <v>0</v>
      </c>
      <c r="J8" s="9">
        <v>10</v>
      </c>
      <c r="K8" s="11">
        <v>1270</v>
      </c>
      <c r="L8" s="9">
        <v>12700</v>
      </c>
      <c r="M8" s="9" t="s">
        <v>24</v>
      </c>
      <c r="N8" s="12" t="s">
        <v>38</v>
      </c>
      <c r="O8" s="10">
        <v>46219</v>
      </c>
      <c r="P8" s="9">
        <v>6350</v>
      </c>
      <c r="Q8" s="9">
        <v>6350</v>
      </c>
      <c r="R8" s="9"/>
      <c r="S8" s="9">
        <v>21</v>
      </c>
    </row>
  </sheetData>
  <dataValidations count="2">
    <dataValidation type="list" allowBlank="1" sqref="C2:C8 M2:M8" xr:uid="{8D50FAE6-EDF0-426C-A49D-92D0275BBBF3}">
      <formula1>#REF!</formula1>
    </dataValidation>
    <dataValidation type="custom" allowBlank="1" showDropDown="1" sqref="A2:A8 O2:O8" xr:uid="{0E320E15-328B-4E8D-9943-CB9B4FF016C6}">
      <formula1>OR(NOT(ISERROR(DATEVALUE(A2))), AND(ISNUMBER(A2), LEFT(CELL("format", A2))="D"))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Rupam Kumari</dc:creator>
  <cp:lastModifiedBy>RAHUL PANDIT</cp:lastModifiedBy>
  <dcterms:created xsi:type="dcterms:W3CDTF">2026-07-25T08:49:03Z</dcterms:created>
  <dcterms:modified xsi:type="dcterms:W3CDTF">2026-07-28T06:07:20Z</dcterms:modified>
</cp:coreProperties>
</file>