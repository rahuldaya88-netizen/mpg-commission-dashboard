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Collection Data\"/>
    </mc:Choice>
  </mc:AlternateContent>
  <xr:revisionPtr revIDLastSave="0" documentId="13_ncr:1_{04141207-FF8B-473E-909A-1F92E133E7E8}" xr6:coauthVersionLast="47" xr6:coauthVersionMax="47" xr10:uidLastSave="{00000000-0000-0000-0000-000000000000}"/>
  <bookViews>
    <workbookView xWindow="-120" yWindow="-120" windowWidth="29040" windowHeight="15720" xr2:uid="{32DC8B28-52BF-4CB9-8572-669F4633D395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1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6" i="2" l="1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S20" i="1"/>
  <c r="G15" i="1" l="1"/>
  <c r="G16" i="1"/>
  <c r="G19" i="1" l="1"/>
  <c r="G18" i="1" l="1"/>
  <c r="M22" i="2" l="1"/>
  <c r="G17" i="1"/>
  <c r="G10" i="1"/>
  <c r="G11" i="1"/>
  <c r="G12" i="1"/>
  <c r="G8" i="1"/>
  <c r="G3" i="1"/>
  <c r="G4" i="1"/>
  <c r="G2" i="1"/>
  <c r="G14" i="1"/>
  <c r="G13" i="1"/>
  <c r="G7" i="1"/>
  <c r="G6" i="1"/>
  <c r="G5" i="1"/>
  <c r="G9" i="1"/>
</calcChain>
</file>

<file path=xl/sharedStrings.xml><?xml version="1.0" encoding="utf-8"?>
<sst xmlns="http://schemas.openxmlformats.org/spreadsheetml/2006/main" count="228" uniqueCount="77">
  <si>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</si>
  <si>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</si>
  <si>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</si>
  <si>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</si>
  <si>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</si>
  <si>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</si>
  <si>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</si>
  <si>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</si>
  <si>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</si>
  <si>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</si>
  <si>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</si>
  <si>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</si>
  <si>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</si>
  <si>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</si>
  <si>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</si>
  <si>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</si>
  <si>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</si>
  <si>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</si>
  <si>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</si>
  <si>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</si>
  <si>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</si>
  <si>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200600030002</t>
  </si>
  <si>
    <t>DUMARDAGA</t>
  </si>
  <si>
    <t>0002</t>
  </si>
  <si>
    <t>ORMANJHI</t>
  </si>
  <si>
    <t>Daya Society</t>
  </si>
  <si>
    <t>CHUTTU</t>
  </si>
  <si>
    <t>200900220002</t>
  </si>
  <si>
    <t>KATAIYA 2</t>
  </si>
  <si>
    <t>Chanho</t>
  </si>
  <si>
    <t>PAKARIYO</t>
  </si>
  <si>
    <t>200900150022</t>
  </si>
  <si>
    <t>0022</t>
  </si>
  <si>
    <t>200100540012</t>
  </si>
  <si>
    <t>NARKOPI</t>
  </si>
  <si>
    <t>0012</t>
  </si>
  <si>
    <t>200900170003</t>
  </si>
  <si>
    <t>NAWATAND</t>
  </si>
  <si>
    <t>0003</t>
  </si>
  <si>
    <t>200900250002</t>
  </si>
  <si>
    <t>KULLU</t>
  </si>
  <si>
    <t>Itki</t>
  </si>
  <si>
    <t>Erchoro</t>
  </si>
  <si>
    <t>200100080035</t>
  </si>
  <si>
    <t>0035</t>
  </si>
  <si>
    <t>Vikash</t>
  </si>
  <si>
    <t>200200030002</t>
  </si>
  <si>
    <t>Bijuliya</t>
  </si>
  <si>
    <t>Paali</t>
  </si>
  <si>
    <t>TIKO TOLI</t>
  </si>
  <si>
    <t>0005</t>
  </si>
  <si>
    <t>200200200023</t>
  </si>
  <si>
    <t>0023</t>
  </si>
  <si>
    <t>Amar sahu</t>
  </si>
  <si>
    <t>200900080005</t>
  </si>
  <si>
    <t>GANESHPUR</t>
  </si>
  <si>
    <t>200900200002</t>
  </si>
  <si>
    <t>PAKARIYO 2</t>
  </si>
  <si>
    <t>200900200005</t>
  </si>
  <si>
    <t>CHOREYA</t>
  </si>
  <si>
    <t>0021</t>
  </si>
  <si>
    <t>DUMRI</t>
  </si>
  <si>
    <t>200600040002</t>
  </si>
  <si>
    <t>UCHARI</t>
  </si>
  <si>
    <t>200900040021</t>
  </si>
  <si>
    <t>200400010003</t>
  </si>
  <si>
    <t>200500030022</t>
  </si>
  <si>
    <t>17-07-2026 to 23-07-2026</t>
  </si>
  <si>
    <t>200200200022</t>
  </si>
  <si>
    <t>Type</t>
  </si>
  <si>
    <t>Grand Total</t>
  </si>
  <si>
    <t>Sum of Final Amount</t>
  </si>
  <si>
    <t>Total</t>
  </si>
  <si>
    <t>Deduction</t>
  </si>
  <si>
    <t>OS</t>
  </si>
  <si>
    <t>Direct</t>
  </si>
  <si>
    <t>Indirect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</si>
</sst>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0" xfId="0" applyFill="1"/>
    <xf numFmtId="0" fontId="0" fillId="0" borderId="9" xfId="0" applyBorder="1"/>
    <xf numFmtId="0" fontId="0" fillId="0" borderId="7" xfId="0" applyBorder="1"/>
    <xf numFmtId="0" fontId="0" fillId="0" borderId="0" xfId="0" pivotButton="1"/>
    <xf numFmtId="0" fontId="4" fillId="5" borderId="10" xfId="0" applyFont="1" applyFill="1" applyBorder="1"/>
    <xf numFmtId="0" fontId="4" fillId="5" borderId="11" xfId="0" applyFont="1" applyFill="1" applyBorder="1"/>
    <xf numFmtId="0" fontId="4" fillId="0" borderId="10" xfId="0" applyFont="1" applyBorder="1"/>
    <xf numFmtId="0" fontId="4" fillId="0" borderId="0" xfId="0" applyFont="1"/>
    <xf numFmtId="0" fontId="0" fillId="0" borderId="8" xfId="0" applyBorder="1"/>
    <xf numFmtId="0" fontId="0" fillId="0" borderId="1" xfId="0" quotePrefix="1" applyBorder="1" applyAlignment="1">
      <alignment horizontal="center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B5DE7453-5D5A-480A-9AD3-FD4C866E0A95}">
      <tableStyleElement type="wholeTable" size="0" dxfId="49"/>
      <tableStyleElement type="headerRow" dxfId="48"/>
      <tableStyleElement type="firstRowStripe" dxfId="47"/>
      <tableStyleElement type="secondRowStripe" dxfId="4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7.%20JH%20Farmer%20Payment-17-23%20Jun.xlsx" TargetMode="External"/><Relationship Id="rId2" Type="http://schemas.openxmlformats.org/officeDocument/2006/relationships/externalLinkPath" Target="file:///C:\Users\rahul\Desktop\Rahul%20Backup\Farmer%20Payment\FYI-26-27\Jharkhand\Farmer%20Payment\JHFRAMERPAYMENT%20%2017-23%20Jul'26\17.%20JH%20Farmer%20Payment-17-23%20Jun.xlsx" TargetMode="External"/><Relationship Id="rId1" Type="http://schemas.openxmlformats.org/officeDocument/2006/relationships/externalLinkPath" Target="/Users/rahul/Desktop/Rahul%20Backup/Farmer%20Payment/FYI-26-27/Jharkhand/Farmer%20Payment/JHFRAMERPAYMENT%20%2017-23%20Jul'26/17.%20JH%20Farmer%20Payment-17-23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20010002</v>
          </cell>
          <cell r="C5" t="str">
            <v>Jamtoli</v>
          </cell>
          <cell r="D5" t="str">
            <v>MPG</v>
          </cell>
          <cell r="E5" t="str">
            <v>Indirect</v>
          </cell>
        </row>
        <row r="6">
          <cell r="B6">
            <v>20010003</v>
          </cell>
          <cell r="C6" t="str">
            <v>Bero</v>
          </cell>
          <cell r="D6" t="str">
            <v>MPG</v>
          </cell>
          <cell r="E6" t="str">
            <v>Direct</v>
          </cell>
        </row>
        <row r="7">
          <cell r="B7">
            <v>20010005</v>
          </cell>
          <cell r="C7" t="str">
            <v>Basila</v>
          </cell>
          <cell r="D7" t="str">
            <v>MPG</v>
          </cell>
          <cell r="E7" t="str">
            <v>Direct</v>
          </cell>
        </row>
        <row r="8">
          <cell r="B8">
            <v>20010008</v>
          </cell>
          <cell r="C8" t="str">
            <v>Erchoro</v>
          </cell>
          <cell r="D8" t="str">
            <v>MPG</v>
          </cell>
          <cell r="E8" t="str">
            <v>Direct</v>
          </cell>
        </row>
        <row r="9">
          <cell r="B9">
            <v>20010009</v>
          </cell>
          <cell r="C9" t="str">
            <v>Makunda</v>
          </cell>
          <cell r="D9" t="str">
            <v>MPG</v>
          </cell>
          <cell r="E9" t="str">
            <v>Direct</v>
          </cell>
        </row>
        <row r="10">
          <cell r="B10">
            <v>20010012</v>
          </cell>
          <cell r="C10" t="str">
            <v>NAGRI</v>
          </cell>
          <cell r="D10" t="str">
            <v>VLC</v>
          </cell>
          <cell r="E10" t="str">
            <v>Indirect</v>
          </cell>
        </row>
        <row r="11">
          <cell r="B11">
            <v>20010015</v>
          </cell>
          <cell r="C11" t="str">
            <v>BOREYA</v>
          </cell>
          <cell r="D11" t="str">
            <v>MPG</v>
          </cell>
          <cell r="E11" t="str">
            <v>Direct</v>
          </cell>
        </row>
        <row r="12">
          <cell r="B12">
            <v>20010017</v>
          </cell>
          <cell r="C12" t="str">
            <v>DIGHIYA</v>
          </cell>
          <cell r="D12" t="str">
            <v>MPG</v>
          </cell>
          <cell r="E12" t="str">
            <v>Direct</v>
          </cell>
        </row>
        <row r="13">
          <cell r="B13">
            <v>20010023</v>
          </cell>
          <cell r="C13" t="str">
            <v>KATARPA</v>
          </cell>
          <cell r="D13" t="str">
            <v>MPG</v>
          </cell>
          <cell r="E13" t="str">
            <v>Direct</v>
          </cell>
        </row>
        <row r="14">
          <cell r="B14">
            <v>20010027</v>
          </cell>
          <cell r="C14" t="str">
            <v>MURTO</v>
          </cell>
          <cell r="D14" t="str">
            <v>MPG</v>
          </cell>
          <cell r="E14" t="str">
            <v>Direct</v>
          </cell>
        </row>
        <row r="15">
          <cell r="B15">
            <v>20010033</v>
          </cell>
          <cell r="C15" t="str">
            <v>KHATRIKHATANGA</v>
          </cell>
          <cell r="D15" t="str">
            <v>MPG</v>
          </cell>
          <cell r="E15" t="str">
            <v>Direct</v>
          </cell>
        </row>
        <row r="16">
          <cell r="B16">
            <v>20010034</v>
          </cell>
          <cell r="C16" t="str">
            <v>GARGAON</v>
          </cell>
          <cell r="D16" t="str">
            <v>MPG</v>
          </cell>
          <cell r="E16" t="str">
            <v>Indirect</v>
          </cell>
        </row>
        <row r="17">
          <cell r="B17">
            <v>20010036</v>
          </cell>
          <cell r="C17" t="str">
            <v>GHAGHRA</v>
          </cell>
          <cell r="D17" t="str">
            <v>MPG</v>
          </cell>
          <cell r="E17" t="str">
            <v>Direct</v>
          </cell>
        </row>
        <row r="18">
          <cell r="B18">
            <v>20010037</v>
          </cell>
          <cell r="C18" t="str">
            <v>CHACHGURA</v>
          </cell>
          <cell r="D18" t="str">
            <v>MPG</v>
          </cell>
          <cell r="E18" t="str">
            <v>Indirect</v>
          </cell>
        </row>
        <row r="19">
          <cell r="B19">
            <v>20010038</v>
          </cell>
          <cell r="C19" t="str">
            <v>TIKRA TOLI</v>
          </cell>
          <cell r="D19" t="str">
            <v>MPG</v>
          </cell>
          <cell r="E19" t="str">
            <v>Direct</v>
          </cell>
        </row>
        <row r="20">
          <cell r="B20">
            <v>20010040</v>
          </cell>
          <cell r="C20" t="str">
            <v>Gargaon2</v>
          </cell>
          <cell r="D20" t="str">
            <v>MPG</v>
          </cell>
          <cell r="E20" t="str">
            <v>Direct</v>
          </cell>
        </row>
        <row r="21">
          <cell r="B21">
            <v>20010041</v>
          </cell>
          <cell r="C21" t="str">
            <v>TERO</v>
          </cell>
          <cell r="D21" t="str">
            <v>MPG</v>
          </cell>
          <cell r="E21" t="str">
            <v>Direct</v>
          </cell>
        </row>
        <row r="22">
          <cell r="B22">
            <v>20010042</v>
          </cell>
          <cell r="C22" t="str">
            <v>RONHE</v>
          </cell>
          <cell r="D22" t="str">
            <v>MPG</v>
          </cell>
          <cell r="E22" t="str">
            <v>Direct</v>
          </cell>
        </row>
        <row r="23">
          <cell r="B23">
            <v>20010043</v>
          </cell>
          <cell r="C23" t="str">
            <v>DARKHANDREY</v>
          </cell>
          <cell r="D23" t="str">
            <v>MPG</v>
          </cell>
          <cell r="E23" t="str">
            <v>Direct</v>
          </cell>
        </row>
        <row r="24">
          <cell r="B24">
            <v>20010050</v>
          </cell>
          <cell r="C24" t="str">
            <v>SARNA TOLI</v>
          </cell>
          <cell r="D24" t="str">
            <v>VLC</v>
          </cell>
          <cell r="E24" t="str">
            <v>Direct</v>
          </cell>
        </row>
        <row r="25">
          <cell r="B25">
            <v>20010052</v>
          </cell>
          <cell r="C25" t="str">
            <v>Kumbatoli</v>
          </cell>
          <cell r="D25" t="str">
            <v>MPG</v>
          </cell>
          <cell r="E25" t="str">
            <v>Direct</v>
          </cell>
        </row>
        <row r="26">
          <cell r="B26">
            <v>20010054</v>
          </cell>
          <cell r="C26" t="str">
            <v>NARKOPI</v>
          </cell>
          <cell r="D26" t="str">
            <v>MPG</v>
          </cell>
          <cell r="E26" t="str">
            <v>Direct</v>
          </cell>
        </row>
        <row r="27">
          <cell r="B27">
            <v>20010055</v>
          </cell>
          <cell r="C27" t="str">
            <v>MASU</v>
          </cell>
          <cell r="D27" t="str">
            <v>MPG</v>
          </cell>
          <cell r="E27" t="str">
            <v>Direct</v>
          </cell>
        </row>
        <row r="28">
          <cell r="B28">
            <v>20010057</v>
          </cell>
          <cell r="C28" t="str">
            <v>PANDEPARA</v>
          </cell>
          <cell r="D28" t="str">
            <v>VLC</v>
          </cell>
          <cell r="E28" t="str">
            <v>Indirect</v>
          </cell>
        </row>
        <row r="29">
          <cell r="B29">
            <v>20010059</v>
          </cell>
          <cell r="C29" t="str">
            <v>KARANJI 2</v>
          </cell>
          <cell r="D29" t="str">
            <v>MPG</v>
          </cell>
          <cell r="E29" t="str">
            <v>Direct</v>
          </cell>
        </row>
        <row r="30">
          <cell r="B30">
            <v>20010060</v>
          </cell>
          <cell r="C30" t="str">
            <v>ITKI 2</v>
          </cell>
          <cell r="D30" t="str">
            <v>VLC</v>
          </cell>
          <cell r="E30" t="str">
            <v>Indirect</v>
          </cell>
        </row>
        <row r="31">
          <cell r="B31">
            <v>20010061</v>
          </cell>
          <cell r="C31" t="str">
            <v>SEMRA</v>
          </cell>
          <cell r="D31" t="str">
            <v>MPG</v>
          </cell>
          <cell r="E31" t="str">
            <v>Direct</v>
          </cell>
        </row>
        <row r="32">
          <cell r="B32">
            <v>20010062</v>
          </cell>
          <cell r="C32" t="str">
            <v>PISKA</v>
          </cell>
          <cell r="D32" t="str">
            <v>MPG</v>
          </cell>
          <cell r="E32" t="str">
            <v>Direct</v>
          </cell>
        </row>
        <row r="33">
          <cell r="B33">
            <v>20020001</v>
          </cell>
          <cell r="C33" t="str">
            <v>Paali</v>
          </cell>
          <cell r="D33" t="str">
            <v>RMC</v>
          </cell>
          <cell r="E33" t="str">
            <v>Direct</v>
          </cell>
        </row>
        <row r="34">
          <cell r="B34">
            <v>20020002</v>
          </cell>
          <cell r="C34" t="str">
            <v>Jari</v>
          </cell>
          <cell r="D34" t="str">
            <v>MPG</v>
          </cell>
          <cell r="E34" t="str">
            <v>Direct</v>
          </cell>
        </row>
        <row r="35">
          <cell r="B35">
            <v>20020003</v>
          </cell>
          <cell r="C35" t="str">
            <v>Bijuliya</v>
          </cell>
          <cell r="D35" t="str">
            <v>MPG</v>
          </cell>
          <cell r="E35" t="str">
            <v>Direct</v>
          </cell>
        </row>
        <row r="36">
          <cell r="B36">
            <v>20020004</v>
          </cell>
          <cell r="C36" t="str">
            <v>Pandra</v>
          </cell>
          <cell r="D36" t="str">
            <v>MPG</v>
          </cell>
          <cell r="E36" t="str">
            <v>Direct</v>
          </cell>
        </row>
        <row r="37">
          <cell r="B37">
            <v>20020005</v>
          </cell>
          <cell r="C37" t="str">
            <v>BASKI</v>
          </cell>
          <cell r="D37" t="str">
            <v>MPG</v>
          </cell>
          <cell r="E37" t="str">
            <v>Direct</v>
          </cell>
        </row>
        <row r="38">
          <cell r="B38">
            <v>20020006</v>
          </cell>
          <cell r="C38" t="str">
            <v>RANIKHATANGA</v>
          </cell>
          <cell r="D38" t="str">
            <v>MPG</v>
          </cell>
          <cell r="E38" t="str">
            <v>Direct</v>
          </cell>
        </row>
        <row r="39">
          <cell r="B39">
            <v>20020007</v>
          </cell>
          <cell r="C39" t="str">
            <v>SURSA</v>
          </cell>
          <cell r="D39" t="str">
            <v>MPG</v>
          </cell>
          <cell r="E39" t="str">
            <v>Direct</v>
          </cell>
        </row>
        <row r="40">
          <cell r="B40">
            <v>20020011</v>
          </cell>
          <cell r="C40" t="str">
            <v>DHONTHA TOLI</v>
          </cell>
          <cell r="D40" t="str">
            <v>MPG</v>
          </cell>
          <cell r="E40" t="str">
            <v>Direct</v>
          </cell>
        </row>
        <row r="41">
          <cell r="B41">
            <v>20020013</v>
          </cell>
          <cell r="C41" t="str">
            <v>BAJPUR</v>
          </cell>
          <cell r="D41" t="str">
            <v>VLC</v>
          </cell>
          <cell r="E41" t="str">
            <v>Indirect</v>
          </cell>
        </row>
        <row r="42">
          <cell r="B42">
            <v>20020014</v>
          </cell>
          <cell r="C42" t="str">
            <v>BARGARI</v>
          </cell>
          <cell r="D42" t="str">
            <v>MPG</v>
          </cell>
          <cell r="E42" t="str">
            <v>Direct</v>
          </cell>
        </row>
        <row r="43">
          <cell r="B43">
            <v>20020015</v>
          </cell>
          <cell r="C43" t="str">
            <v>PATRATOLI</v>
          </cell>
          <cell r="D43" t="str">
            <v>MPG</v>
          </cell>
          <cell r="E43" t="str">
            <v>Direct</v>
          </cell>
        </row>
        <row r="44">
          <cell r="B44">
            <v>20020016</v>
          </cell>
          <cell r="C44" t="str">
            <v>BANAPIRI</v>
          </cell>
          <cell r="D44" t="str">
            <v>MPG</v>
          </cell>
          <cell r="E44" t="str">
            <v>Indirect</v>
          </cell>
        </row>
        <row r="45">
          <cell r="B45">
            <v>20020020</v>
          </cell>
          <cell r="C45" t="str">
            <v>TIKO TOLI</v>
          </cell>
          <cell r="D45" t="str">
            <v>MPG</v>
          </cell>
          <cell r="E45" t="str">
            <v>Direct</v>
          </cell>
        </row>
        <row r="46">
          <cell r="B46">
            <v>20020021</v>
          </cell>
          <cell r="C46" t="str">
            <v>PUNGI</v>
          </cell>
          <cell r="D46" t="str">
            <v>MPG</v>
          </cell>
          <cell r="E46" t="str">
            <v>Direct</v>
          </cell>
        </row>
        <row r="47">
          <cell r="B47">
            <v>20020023</v>
          </cell>
          <cell r="C47" t="str">
            <v>BARTOLI</v>
          </cell>
          <cell r="D47" t="str">
            <v>MPG</v>
          </cell>
          <cell r="E47" t="str">
            <v>Direct</v>
          </cell>
        </row>
        <row r="48">
          <cell r="B48">
            <v>20020025</v>
          </cell>
          <cell r="C48" t="str">
            <v>AGRU</v>
          </cell>
          <cell r="D48" t="str">
            <v>VLC</v>
          </cell>
          <cell r="E48" t="str">
            <v>Direct</v>
          </cell>
        </row>
        <row r="49">
          <cell r="B49">
            <v>20020026</v>
          </cell>
          <cell r="C49" t="str">
            <v>TIGRA</v>
          </cell>
          <cell r="D49" t="str">
            <v>MPG</v>
          </cell>
          <cell r="E49" t="str">
            <v>Direct</v>
          </cell>
        </row>
        <row r="50">
          <cell r="B50">
            <v>20020027</v>
          </cell>
          <cell r="C50" t="str">
            <v>GARRI</v>
          </cell>
          <cell r="D50" t="str">
            <v>VLC</v>
          </cell>
          <cell r="E50" t="str">
            <v>Direct</v>
          </cell>
        </row>
        <row r="51">
          <cell r="B51">
            <v>20020028</v>
          </cell>
          <cell r="C51" t="str">
            <v xml:space="preserve">HISRI </v>
          </cell>
          <cell r="D51" t="str">
            <v>VLC</v>
          </cell>
          <cell r="E51" t="str">
            <v>Direct</v>
          </cell>
        </row>
        <row r="52">
          <cell r="B52">
            <v>20020029</v>
          </cell>
          <cell r="C52" t="str">
            <v>MURMA</v>
          </cell>
          <cell r="D52" t="str">
            <v>VLC</v>
          </cell>
          <cell r="E52" t="str">
            <v>Direct</v>
          </cell>
        </row>
        <row r="53">
          <cell r="B53">
            <v>20020030</v>
          </cell>
          <cell r="C53" t="str">
            <v>NAYASARIYA</v>
          </cell>
          <cell r="D53" t="str">
            <v>VLC</v>
          </cell>
          <cell r="E53" t="str">
            <v>Indirect</v>
          </cell>
        </row>
        <row r="54">
          <cell r="B54">
            <v>20030001</v>
          </cell>
          <cell r="C54" t="str">
            <v>Hisri Thakurgaon</v>
          </cell>
          <cell r="D54" t="str">
            <v>RMC</v>
          </cell>
          <cell r="E54" t="str">
            <v>Direct</v>
          </cell>
        </row>
        <row r="55">
          <cell r="B55">
            <v>20030002</v>
          </cell>
          <cell r="C55" t="str">
            <v>UMEDANDA</v>
          </cell>
          <cell r="D55" t="str">
            <v>MPG</v>
          </cell>
          <cell r="E55" t="str">
            <v>Direct</v>
          </cell>
        </row>
        <row r="56">
          <cell r="B56">
            <v>20030005</v>
          </cell>
          <cell r="C56" t="str">
            <v>THAKURGAON</v>
          </cell>
          <cell r="D56" t="str">
            <v>VLC</v>
          </cell>
          <cell r="E56" t="str">
            <v>Indirect</v>
          </cell>
        </row>
        <row r="57">
          <cell r="B57">
            <v>20030009</v>
          </cell>
          <cell r="C57" t="str">
            <v>SURID</v>
          </cell>
          <cell r="D57" t="str">
            <v>MPG</v>
          </cell>
          <cell r="E57" t="str">
            <v>Direct</v>
          </cell>
        </row>
        <row r="58">
          <cell r="B58">
            <v>20030012</v>
          </cell>
          <cell r="C58" t="str">
            <v>URUGUTU</v>
          </cell>
          <cell r="D58" t="str">
            <v>VLC</v>
          </cell>
          <cell r="E58" t="str">
            <v>Indirect</v>
          </cell>
        </row>
        <row r="59">
          <cell r="B59">
            <v>20040001</v>
          </cell>
          <cell r="C59" t="str">
            <v>CHOREYA</v>
          </cell>
          <cell r="D59" t="str">
            <v>RMC</v>
          </cell>
          <cell r="E59" t="str">
            <v>Direct</v>
          </cell>
        </row>
        <row r="60">
          <cell r="B60">
            <v>20040006</v>
          </cell>
          <cell r="C60" t="str">
            <v>KADAM TOLI</v>
          </cell>
          <cell r="D60" t="str">
            <v>MPG</v>
          </cell>
          <cell r="E60" t="str">
            <v>Direct</v>
          </cell>
        </row>
        <row r="61">
          <cell r="B61">
            <v>20040007</v>
          </cell>
          <cell r="C61" t="str">
            <v>MADHUKAM</v>
          </cell>
          <cell r="D61" t="str">
            <v>MPG</v>
          </cell>
          <cell r="E61" t="str">
            <v>Direct</v>
          </cell>
        </row>
        <row r="62">
          <cell r="B62">
            <v>20050001</v>
          </cell>
          <cell r="C62" t="str">
            <v>Baski 2</v>
          </cell>
          <cell r="D62" t="str">
            <v>RMC</v>
          </cell>
          <cell r="E62" t="str">
            <v>Direct</v>
          </cell>
        </row>
        <row r="63">
          <cell r="B63">
            <v>20050002</v>
          </cell>
          <cell r="C63" t="str">
            <v>KANBHITHA</v>
          </cell>
          <cell r="D63" t="str">
            <v>MPG</v>
          </cell>
          <cell r="E63" t="str">
            <v>Direct</v>
          </cell>
        </row>
        <row r="64">
          <cell r="B64">
            <v>20050003</v>
          </cell>
          <cell r="C64" t="str">
            <v>UCHARI</v>
          </cell>
          <cell r="D64" t="str">
            <v>MPG</v>
          </cell>
          <cell r="E64" t="str">
            <v>Direct</v>
          </cell>
        </row>
        <row r="65">
          <cell r="B65">
            <v>20060001</v>
          </cell>
          <cell r="C65" t="str">
            <v>ORMANJHI</v>
          </cell>
          <cell r="D65" t="str">
            <v>RMC</v>
          </cell>
          <cell r="E65" t="str">
            <v>Direct</v>
          </cell>
        </row>
        <row r="66">
          <cell r="B66">
            <v>20060002</v>
          </cell>
          <cell r="C66" t="str">
            <v>MANDRO</v>
          </cell>
          <cell r="D66" t="str">
            <v>MPG</v>
          </cell>
          <cell r="E66" t="str">
            <v>Direct</v>
          </cell>
        </row>
        <row r="67">
          <cell r="B67">
            <v>20060003</v>
          </cell>
          <cell r="C67" t="str">
            <v>DUMARDAGA</v>
          </cell>
          <cell r="D67" t="str">
            <v>MPG</v>
          </cell>
          <cell r="E67" t="str">
            <v>Direct</v>
          </cell>
        </row>
        <row r="68">
          <cell r="B68">
            <v>20060004</v>
          </cell>
          <cell r="C68" t="str">
            <v>CHUTTU</v>
          </cell>
          <cell r="D68" t="str">
            <v>MPG</v>
          </cell>
          <cell r="E68" t="str">
            <v>Direct</v>
          </cell>
        </row>
        <row r="69">
          <cell r="B69">
            <v>20060005</v>
          </cell>
          <cell r="C69" t="str">
            <v>JIRABAR</v>
          </cell>
          <cell r="D69" t="str">
            <v>MPG</v>
          </cell>
          <cell r="E69" t="str">
            <v>Direct</v>
          </cell>
        </row>
        <row r="70">
          <cell r="B70">
            <v>20060007</v>
          </cell>
          <cell r="C70" t="str">
            <v>HOCHAR</v>
          </cell>
          <cell r="D70" t="str">
            <v>MPG</v>
          </cell>
          <cell r="E70" t="str">
            <v>Direct</v>
          </cell>
        </row>
        <row r="71">
          <cell r="B71">
            <v>20060008</v>
          </cell>
          <cell r="C71" t="str">
            <v>ADELHATU</v>
          </cell>
          <cell r="D71" t="str">
            <v>MPG</v>
          </cell>
          <cell r="E71" t="str">
            <v>Direct</v>
          </cell>
        </row>
        <row r="72">
          <cell r="B72">
            <v>20060009</v>
          </cell>
          <cell r="C72" t="str">
            <v>KUCHU</v>
          </cell>
          <cell r="D72" t="str">
            <v>MPG</v>
          </cell>
          <cell r="E72" t="str">
            <v>Direct</v>
          </cell>
        </row>
        <row r="73">
          <cell r="B73">
            <v>20060013</v>
          </cell>
          <cell r="C73" t="str">
            <v>CHATAKPUR</v>
          </cell>
          <cell r="D73" t="str">
            <v>VLC</v>
          </cell>
          <cell r="E73" t="str">
            <v>Indirect</v>
          </cell>
        </row>
        <row r="74">
          <cell r="B74">
            <v>20060017</v>
          </cell>
          <cell r="C74" t="str">
            <v>KUKUI</v>
          </cell>
          <cell r="D74" t="str">
            <v>MPG</v>
          </cell>
          <cell r="E74" t="str">
            <v>Direct</v>
          </cell>
        </row>
        <row r="75">
          <cell r="B75">
            <v>20060018</v>
          </cell>
          <cell r="C75" t="str">
            <v>PANCHOLI</v>
          </cell>
          <cell r="D75" t="str">
            <v>MPG</v>
          </cell>
          <cell r="E75" t="str">
            <v>Direct</v>
          </cell>
        </row>
        <row r="76">
          <cell r="B76">
            <v>20060019</v>
          </cell>
          <cell r="C76" t="str">
            <v>HOCHAR 2</v>
          </cell>
          <cell r="D76" t="str">
            <v>MPG</v>
          </cell>
          <cell r="E76" t="str">
            <v>Direct</v>
          </cell>
        </row>
        <row r="77">
          <cell r="B77">
            <v>20060022</v>
          </cell>
          <cell r="C77" t="str">
            <v>MAHESHPUR</v>
          </cell>
          <cell r="D77" t="str">
            <v>MPG</v>
          </cell>
          <cell r="E77" t="str">
            <v>Direct</v>
          </cell>
        </row>
        <row r="78">
          <cell r="B78">
            <v>20060027</v>
          </cell>
          <cell r="C78" t="str">
            <v>BOREYA.</v>
          </cell>
          <cell r="D78" t="str">
            <v>MPG</v>
          </cell>
          <cell r="E78" t="str">
            <v>Direct</v>
          </cell>
        </row>
        <row r="79">
          <cell r="B79">
            <v>20060028</v>
          </cell>
          <cell r="C79" t="str">
            <v>SANTI</v>
          </cell>
          <cell r="D79" t="str">
            <v>VLC</v>
          </cell>
          <cell r="E79" t="str">
            <v>Indirect</v>
          </cell>
        </row>
        <row r="80">
          <cell r="B80">
            <v>20070001</v>
          </cell>
          <cell r="C80" t="str">
            <v>PIRAGUTU</v>
          </cell>
          <cell r="D80" t="str">
            <v>RMC</v>
          </cell>
          <cell r="E80" t="str">
            <v>Direct</v>
          </cell>
        </row>
        <row r="81">
          <cell r="B81">
            <v>20070002</v>
          </cell>
          <cell r="C81" t="str">
            <v>SARAM</v>
          </cell>
          <cell r="D81" t="str">
            <v>MPG</v>
          </cell>
          <cell r="E81" t="str">
            <v>Direct</v>
          </cell>
        </row>
        <row r="82">
          <cell r="B82">
            <v>20070003</v>
          </cell>
          <cell r="C82" t="str">
            <v>MURUPIRI</v>
          </cell>
          <cell r="D82" t="str">
            <v>MPG</v>
          </cell>
          <cell r="E82" t="str">
            <v>Direct</v>
          </cell>
        </row>
        <row r="83">
          <cell r="B83">
            <v>20070004</v>
          </cell>
          <cell r="C83" t="str">
            <v>KEDAL</v>
          </cell>
          <cell r="D83" t="str">
            <v>MPG</v>
          </cell>
          <cell r="E83" t="str">
            <v>Direct</v>
          </cell>
        </row>
        <row r="84">
          <cell r="B84">
            <v>20070006</v>
          </cell>
          <cell r="C84" t="str">
            <v>SAHEDA</v>
          </cell>
          <cell r="D84" t="str">
            <v>MPG</v>
          </cell>
          <cell r="E84" t="str">
            <v>Direct</v>
          </cell>
        </row>
        <row r="85">
          <cell r="B85">
            <v>20070007</v>
          </cell>
          <cell r="C85" t="str">
            <v>NABATOLI</v>
          </cell>
          <cell r="D85" t="str">
            <v>MPG</v>
          </cell>
          <cell r="E85" t="str">
            <v>Direct</v>
          </cell>
        </row>
        <row r="86">
          <cell r="B86">
            <v>20070009</v>
          </cell>
          <cell r="C86" t="str">
            <v>KARAMBA</v>
          </cell>
          <cell r="D86" t="str">
            <v>MPG</v>
          </cell>
          <cell r="E86" t="str">
            <v>Direct</v>
          </cell>
        </row>
        <row r="87">
          <cell r="B87">
            <v>20070010</v>
          </cell>
          <cell r="C87" t="str">
            <v>KURALU</v>
          </cell>
          <cell r="D87" t="str">
            <v>MPG</v>
          </cell>
          <cell r="E87" t="str">
            <v>Direct</v>
          </cell>
        </row>
        <row r="88">
          <cell r="B88">
            <v>20070016</v>
          </cell>
          <cell r="C88" t="str">
            <v>MAYAPUR</v>
          </cell>
          <cell r="D88" t="str">
            <v>MPG</v>
          </cell>
          <cell r="E88" t="str">
            <v>Direct</v>
          </cell>
        </row>
        <row r="89">
          <cell r="B89">
            <v>20070018</v>
          </cell>
          <cell r="C89" t="str">
            <v>MAKKA</v>
          </cell>
          <cell r="D89" t="str">
            <v>MPG</v>
          </cell>
          <cell r="E89" t="str">
            <v>Direct</v>
          </cell>
        </row>
        <row r="90">
          <cell r="B90">
            <v>20070019</v>
          </cell>
          <cell r="C90" t="str">
            <v>CHORA</v>
          </cell>
          <cell r="D90" t="str">
            <v>MPG</v>
          </cell>
          <cell r="E90" t="str">
            <v>Direct</v>
          </cell>
        </row>
        <row r="91">
          <cell r="B91">
            <v>20070020</v>
          </cell>
          <cell r="C91" t="str">
            <v>ULATU</v>
          </cell>
          <cell r="D91" t="str">
            <v>MPG</v>
          </cell>
          <cell r="E91" t="str">
            <v>Direct</v>
          </cell>
        </row>
        <row r="92">
          <cell r="B92">
            <v>20070021</v>
          </cell>
          <cell r="C92" t="str">
            <v>USKU</v>
          </cell>
          <cell r="D92" t="str">
            <v>MPG</v>
          </cell>
          <cell r="E92" t="str">
            <v>Indirect</v>
          </cell>
        </row>
        <row r="93">
          <cell r="B93">
            <v>20070023</v>
          </cell>
          <cell r="C93" t="str">
            <v>ICHAPIRI</v>
          </cell>
          <cell r="D93" t="str">
            <v>MPG</v>
          </cell>
          <cell r="E93" t="str">
            <v>Direct</v>
          </cell>
        </row>
        <row r="94">
          <cell r="B94">
            <v>20070024</v>
          </cell>
          <cell r="C94" t="str">
            <v>MURPA</v>
          </cell>
          <cell r="D94" t="str">
            <v>MPG</v>
          </cell>
          <cell r="E94" t="str">
            <v>Direct</v>
          </cell>
        </row>
        <row r="95">
          <cell r="B95">
            <v>20070025</v>
          </cell>
          <cell r="C95" t="str">
            <v>SUBHASH NAGAR</v>
          </cell>
          <cell r="D95" t="str">
            <v>MPG</v>
          </cell>
          <cell r="E95" t="str">
            <v>Direct</v>
          </cell>
        </row>
        <row r="96">
          <cell r="B96">
            <v>20070026</v>
          </cell>
          <cell r="C96" t="str">
            <v>NINDRA</v>
          </cell>
          <cell r="D96" t="str">
            <v>MPG</v>
          </cell>
          <cell r="E96" t="str">
            <v>Direct</v>
          </cell>
        </row>
        <row r="97">
          <cell r="B97">
            <v>20070027</v>
          </cell>
          <cell r="C97" t="str">
            <v>BELGARA</v>
          </cell>
          <cell r="D97" t="str">
            <v>VLC</v>
          </cell>
          <cell r="E97" t="str">
            <v>Indirect</v>
          </cell>
        </row>
        <row r="98">
          <cell r="B98">
            <v>20080001</v>
          </cell>
          <cell r="C98" t="str">
            <v>CHATTI BHANDRA</v>
          </cell>
          <cell r="D98" t="str">
            <v>RMC</v>
          </cell>
          <cell r="E98" t="str">
            <v>Direct</v>
          </cell>
        </row>
        <row r="99">
          <cell r="B99">
            <v>20080002</v>
          </cell>
          <cell r="C99" t="str">
            <v>BHITTA</v>
          </cell>
          <cell r="D99" t="str">
            <v>MPG</v>
          </cell>
          <cell r="E99" t="str">
            <v>Direct</v>
          </cell>
        </row>
        <row r="100">
          <cell r="B100">
            <v>20080004</v>
          </cell>
          <cell r="C100" t="str">
            <v>Guri</v>
          </cell>
          <cell r="D100" t="str">
            <v>MPG</v>
          </cell>
          <cell r="E100" t="str">
            <v>Direct</v>
          </cell>
        </row>
        <row r="101">
          <cell r="B101">
            <v>20080006</v>
          </cell>
          <cell r="C101" t="str">
            <v>Chitri Ambatoli</v>
          </cell>
          <cell r="D101" t="str">
            <v>MPG</v>
          </cell>
          <cell r="E101" t="str">
            <v>Direct</v>
          </cell>
        </row>
        <row r="102">
          <cell r="B102">
            <v>20080007</v>
          </cell>
          <cell r="C102" t="str">
            <v>Rampur</v>
          </cell>
          <cell r="D102" t="str">
            <v>MPG</v>
          </cell>
          <cell r="E102" t="str">
            <v>Direct</v>
          </cell>
        </row>
        <row r="103">
          <cell r="B103">
            <v>20080008</v>
          </cell>
          <cell r="C103" t="str">
            <v>Ningni</v>
          </cell>
          <cell r="D103" t="str">
            <v>MPG</v>
          </cell>
          <cell r="E103" t="str">
            <v>Direct</v>
          </cell>
        </row>
        <row r="104">
          <cell r="B104">
            <v>20080009</v>
          </cell>
          <cell r="C104" t="str">
            <v>MASHMANO</v>
          </cell>
          <cell r="D104" t="str">
            <v>MPG</v>
          </cell>
          <cell r="E104" t="str">
            <v>Direct</v>
          </cell>
        </row>
        <row r="105">
          <cell r="B105">
            <v>20080010</v>
          </cell>
          <cell r="C105" t="str">
            <v>PAHARKESA</v>
          </cell>
          <cell r="D105" t="str">
            <v>MPG</v>
          </cell>
          <cell r="E105" t="str">
            <v>Direct</v>
          </cell>
        </row>
        <row r="106">
          <cell r="B106">
            <v>20080014</v>
          </cell>
          <cell r="C106" t="str">
            <v>BHUJANIYA</v>
          </cell>
          <cell r="D106" t="str">
            <v>MPG</v>
          </cell>
          <cell r="E106" t="str">
            <v>Indirect</v>
          </cell>
        </row>
        <row r="107">
          <cell r="B107">
            <v>20080018</v>
          </cell>
          <cell r="C107" t="str">
            <v>SITHIO</v>
          </cell>
          <cell r="D107" t="str">
            <v>VLC</v>
          </cell>
          <cell r="E107" t="str">
            <v>Indirect</v>
          </cell>
        </row>
        <row r="108">
          <cell r="B108">
            <v>20080025</v>
          </cell>
          <cell r="C108" t="str">
            <v>DAARU</v>
          </cell>
          <cell r="D108" t="str">
            <v>MPG</v>
          </cell>
          <cell r="E108" t="str">
            <v>Indirect</v>
          </cell>
        </row>
        <row r="109">
          <cell r="B109">
            <v>20080026</v>
          </cell>
          <cell r="C109" t="str">
            <v>CHHARDA</v>
          </cell>
          <cell r="D109" t="str">
            <v>MPG</v>
          </cell>
          <cell r="E109" t="str">
            <v>Direct</v>
          </cell>
        </row>
        <row r="110">
          <cell r="B110">
            <v>20080027</v>
          </cell>
          <cell r="C110" t="str">
            <v>NADI NAGRA 2</v>
          </cell>
          <cell r="D110" t="str">
            <v>MPG</v>
          </cell>
          <cell r="E110" t="str">
            <v>Direct</v>
          </cell>
        </row>
        <row r="111">
          <cell r="B111">
            <v>20080028</v>
          </cell>
          <cell r="C111" t="str">
            <v>BASRI NAGRA</v>
          </cell>
          <cell r="D111" t="str">
            <v>MPG</v>
          </cell>
          <cell r="E111" t="str">
            <v>Direct</v>
          </cell>
        </row>
        <row r="112">
          <cell r="B112">
            <v>20080030</v>
          </cell>
          <cell r="C112" t="str">
            <v>SORANDA</v>
          </cell>
          <cell r="D112" t="str">
            <v>MPG</v>
          </cell>
          <cell r="E112" t="str">
            <v>Direct</v>
          </cell>
        </row>
        <row r="113">
          <cell r="B113">
            <v>20080034</v>
          </cell>
          <cell r="C113" t="str">
            <v>ITTA BARHI CHOWK</v>
          </cell>
          <cell r="D113" t="str">
            <v>MPG</v>
          </cell>
          <cell r="E113" t="str">
            <v>Indirect</v>
          </cell>
        </row>
        <row r="114">
          <cell r="B114">
            <v>20080035</v>
          </cell>
          <cell r="C114" t="str">
            <v>KUNDO</v>
          </cell>
          <cell r="D114" t="str">
            <v>VLC</v>
          </cell>
          <cell r="E114" t="str">
            <v>Indirect</v>
          </cell>
        </row>
        <row r="115">
          <cell r="B115">
            <v>20080036</v>
          </cell>
          <cell r="C115" t="str">
            <v>MUNDO 2</v>
          </cell>
          <cell r="D115" t="str">
            <v>VLC</v>
          </cell>
          <cell r="E115" t="str">
            <v>Indirect</v>
          </cell>
        </row>
        <row r="116">
          <cell r="B116">
            <v>20080039</v>
          </cell>
          <cell r="C116" t="str">
            <v>LONGA</v>
          </cell>
          <cell r="D116" t="str">
            <v>MPG</v>
          </cell>
          <cell r="E116" t="str">
            <v>Direct</v>
          </cell>
        </row>
        <row r="117">
          <cell r="B117">
            <v>20080041</v>
          </cell>
          <cell r="C117" t="str">
            <v>KACHMACHI</v>
          </cell>
          <cell r="D117" t="str">
            <v>MPG</v>
          </cell>
          <cell r="E117" t="str">
            <v>Direct</v>
          </cell>
        </row>
        <row r="118">
          <cell r="B118">
            <v>20080043</v>
          </cell>
          <cell r="C118" t="str">
            <v>JATARGARI</v>
          </cell>
          <cell r="D118" t="str">
            <v>MPG</v>
          </cell>
          <cell r="E118" t="str">
            <v>Direct</v>
          </cell>
        </row>
        <row r="119">
          <cell r="B119">
            <v>20080046</v>
          </cell>
          <cell r="C119" t="str">
            <v>KUNDO AMBATOLI</v>
          </cell>
          <cell r="D119" t="str">
            <v>MPG</v>
          </cell>
          <cell r="E119" t="str">
            <v>Indirect</v>
          </cell>
        </row>
        <row r="120">
          <cell r="B120">
            <v>20080047</v>
          </cell>
          <cell r="C120" t="str">
            <v>PAHARKESHA 2</v>
          </cell>
          <cell r="D120" t="str">
            <v>VLC</v>
          </cell>
          <cell r="E120" t="str">
            <v>Indirect</v>
          </cell>
        </row>
        <row r="121">
          <cell r="B121">
            <v>20080050</v>
          </cell>
          <cell r="C121" t="str">
            <v>KACHMACHI 2</v>
          </cell>
          <cell r="D121" t="str">
            <v>MPG</v>
          </cell>
          <cell r="E121" t="str">
            <v>Direct</v>
          </cell>
        </row>
        <row r="122">
          <cell r="B122">
            <v>20090001</v>
          </cell>
          <cell r="C122" t="str">
            <v>Chanho</v>
          </cell>
          <cell r="D122" t="str">
            <v>RMC</v>
          </cell>
          <cell r="E122" t="str">
            <v>Direct</v>
          </cell>
        </row>
        <row r="123">
          <cell r="B123">
            <v>20090004</v>
          </cell>
          <cell r="C123" t="str">
            <v>DUMRI</v>
          </cell>
          <cell r="D123" t="str">
            <v>MPG</v>
          </cell>
          <cell r="E123" t="str">
            <v>Direct</v>
          </cell>
        </row>
        <row r="124">
          <cell r="B124">
            <v>20090006</v>
          </cell>
          <cell r="C124" t="str">
            <v>KATAIYA</v>
          </cell>
          <cell r="D124" t="str">
            <v>VLC</v>
          </cell>
          <cell r="E124" t="str">
            <v>Indirect</v>
          </cell>
        </row>
        <row r="125">
          <cell r="B125">
            <v>20090008</v>
          </cell>
          <cell r="C125" t="str">
            <v>GANESHPUR</v>
          </cell>
          <cell r="D125" t="str">
            <v>MPG</v>
          </cell>
          <cell r="E125" t="str">
            <v>Direct</v>
          </cell>
        </row>
        <row r="126">
          <cell r="B126">
            <v>20090010</v>
          </cell>
          <cell r="C126" t="str">
            <v>CHATWAL</v>
          </cell>
          <cell r="D126" t="str">
            <v>VLC</v>
          </cell>
          <cell r="E126" t="str">
            <v>Indirect</v>
          </cell>
        </row>
        <row r="127">
          <cell r="B127">
            <v>20090012</v>
          </cell>
          <cell r="C127" t="str">
            <v>LUNDRI 2</v>
          </cell>
          <cell r="D127" t="str">
            <v>MPG</v>
          </cell>
          <cell r="E127" t="str">
            <v>Direct</v>
          </cell>
        </row>
        <row r="128">
          <cell r="B128">
            <v>20090013</v>
          </cell>
          <cell r="C128" t="str">
            <v>LUNDRI 1</v>
          </cell>
          <cell r="D128" t="str">
            <v>MPG</v>
          </cell>
          <cell r="E128" t="str">
            <v>Direct</v>
          </cell>
        </row>
        <row r="129">
          <cell r="B129">
            <v>20090014</v>
          </cell>
          <cell r="C129" t="str">
            <v>HUTAR</v>
          </cell>
          <cell r="D129" t="str">
            <v>MPG</v>
          </cell>
          <cell r="E129" t="str">
            <v>Direct</v>
          </cell>
        </row>
        <row r="130">
          <cell r="B130">
            <v>20090015</v>
          </cell>
          <cell r="C130" t="str">
            <v>PAKARIYO</v>
          </cell>
          <cell r="D130" t="str">
            <v>MPG</v>
          </cell>
          <cell r="E130" t="str">
            <v>Direct</v>
          </cell>
        </row>
        <row r="131">
          <cell r="B131">
            <v>20090017</v>
          </cell>
          <cell r="C131" t="str">
            <v>NAWATAND</v>
          </cell>
          <cell r="D131" t="str">
            <v>MPG</v>
          </cell>
          <cell r="E131" t="str">
            <v>Direct</v>
          </cell>
        </row>
        <row r="132">
          <cell r="B132">
            <v>20090020</v>
          </cell>
          <cell r="C132" t="str">
            <v>PAKARIYO 2</v>
          </cell>
          <cell r="D132" t="str">
            <v>MPG</v>
          </cell>
          <cell r="E132" t="str">
            <v>Direct</v>
          </cell>
        </row>
        <row r="133">
          <cell r="B133">
            <v>20090022</v>
          </cell>
          <cell r="C133" t="str">
            <v>KATAIYA 2</v>
          </cell>
          <cell r="D133" t="str">
            <v>MPG</v>
          </cell>
          <cell r="E133" t="str">
            <v>Indirect</v>
          </cell>
        </row>
        <row r="134">
          <cell r="B134">
            <v>20090023</v>
          </cell>
          <cell r="C134" t="str">
            <v>KOKAR</v>
          </cell>
          <cell r="D134" t="str">
            <v>MPG</v>
          </cell>
          <cell r="E134" t="str">
            <v>Direct</v>
          </cell>
        </row>
        <row r="135">
          <cell r="B135">
            <v>20090025</v>
          </cell>
          <cell r="C135" t="str">
            <v>KULLU</v>
          </cell>
          <cell r="D135" t="str">
            <v>VLC</v>
          </cell>
          <cell r="E135" t="str">
            <v>Indirect</v>
          </cell>
        </row>
        <row r="136">
          <cell r="B136">
            <v>20090028</v>
          </cell>
          <cell r="C136" t="str">
            <v>FULDIH 2</v>
          </cell>
          <cell r="D136" t="str">
            <v>VLC</v>
          </cell>
          <cell r="E136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1.467086342593" createdVersion="8" refreshedVersion="8" minRefreshableVersion="3" recordCount="18" xr:uid="{4178B3C3-D0B1-413A-818E-ECD363761F28}">
  <cacheSource type="worksheet">
    <worksheetSource name="Table7"/>
  </cacheSource>
  <cacheFields count="20">
    <cacheField name="Timestamp" numFmtId="164">
      <sharedItems containsSemiMixedTypes="0" containsNonDate="0" containsDate="1" containsString="0" minDate="2026-07-24T21:21:48" maxDate="2026-07-25T13:51:27"/>
    </cacheField>
    <cacheField name="User Name" numFmtId="0">
      <sharedItems/>
    </cacheField>
    <cacheField name="Order Date" numFmtId="165">
      <sharedItems containsSemiMixedTypes="0" containsNonDate="0" containsDate="1" containsString="0" minDate="2026-07-24T00:00:00" maxDate="2026-07-26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Type" numFmtId="0">
      <sharedItems/>
    </cacheField>
    <cacheField name="MPG Code" numFmtId="0">
      <sharedItems containsSemiMixedTypes="0" containsString="0" containsNumber="1" containsInteger="1" minValue="20010008" maxValue="20090025" count="15">
        <n v="20050003"/>
        <n v="20020020"/>
        <n v="20020003"/>
        <n v="20060003"/>
        <n v="20060004"/>
        <n v="20010008"/>
        <n v="20090015"/>
        <n v="20090020"/>
        <n v="20040001"/>
        <n v="20090017"/>
        <n v="20010054"/>
        <n v="20090008"/>
        <n v="20090004"/>
        <n v="20090022"/>
        <n v="20090025"/>
      </sharedItems>
    </cacheField>
    <cacheField name="MPG Name" numFmtId="0">
      <sharedItems/>
    </cacheField>
    <cacheField name="Farmer code" numFmtId="0">
      <sharedItems count="8">
        <s v="0022"/>
        <s v="0023"/>
        <s v="0002"/>
        <s v="0035"/>
        <s v="0005"/>
        <s v="0003"/>
        <s v="0012"/>
        <s v="0021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10"/>
    </cacheField>
    <cacheField name="Rate" numFmtId="0">
      <sharedItems containsSemiMixedTypes="0" containsString="0" containsNumber="1" containsInteger="1" minValue="1270" maxValue="1270"/>
    </cacheField>
    <cacheField name="Total Amount" numFmtId="0">
      <sharedItems containsSemiMixedTypes="0" containsString="0" containsNumber="1" containsInteger="1" minValue="0" maxValue="12700"/>
    </cacheField>
    <cacheField name="Other Due Amt" numFmtId="0">
      <sharedItems containsSemiMixedTypes="0" containsString="0" containsNumber="1" containsInteger="1" minValue="0" maxValue="19250"/>
    </cacheField>
    <cacheField name="Total Amount (Proposed)" numFmtId="0">
      <sharedItems containsSemiMixedTypes="0" containsString="0" containsNumber="1" containsInteger="1" minValue="635" maxValue="19250"/>
    </cacheField>
    <cacheField name="Final Qty" numFmtId="0">
      <sharedItems containsSemiMixedTypes="0" containsString="0" containsNumber="1" containsInteger="1" minValue="0" maxValue="10"/>
    </cacheField>
    <cacheField name="Final Amount" numFmtId="0">
      <sharedItems containsSemiMixedTypes="0" containsString="0" containsNumber="1" containsInteger="1" minValue="635" maxValue="1925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d v="2026-07-24T21:21:48"/>
    <s v="Vikash"/>
    <d v="2026-07-24T00:00:00"/>
    <s v="17-07-2026 to 23-07-2026"/>
    <s v="Gomukh Gold 50KG"/>
    <s v="200500030022"/>
    <s v="Direct"/>
    <x v="0"/>
    <s v="UCHARI"/>
    <x v="0"/>
    <s v="Paali"/>
    <s v="Daya Society"/>
    <n v="2"/>
    <n v="1270"/>
    <n v="2540"/>
    <n v="0"/>
    <n v="2540"/>
    <n v="2"/>
    <n v="2540"/>
    <m/>
  </r>
  <r>
    <d v="2026-07-24T21:22:23"/>
    <s v="Vikash"/>
    <d v="2026-07-24T00:00:00"/>
    <s v="17-07-2026 to 23-07-2026"/>
    <s v="Gomukh Gold 50KG"/>
    <s v="200200200023"/>
    <s v="Direct"/>
    <x v="1"/>
    <s v="TIKO TOLI"/>
    <x v="1"/>
    <s v="Paali"/>
    <s v="Daya Society"/>
    <n v="2"/>
    <n v="1270"/>
    <n v="2540"/>
    <n v="0"/>
    <n v="2540"/>
    <n v="2"/>
    <n v="2540"/>
    <m/>
  </r>
  <r>
    <d v="2026-07-24T21:22:47"/>
    <s v="Vikash"/>
    <d v="2026-07-24T00:00:00"/>
    <s v="17-07-2026 to 23-07-2026"/>
    <s v="Gomukh Gold 50KG"/>
    <s v="200200200022"/>
    <s v="Direct"/>
    <x v="1"/>
    <s v="TIKO TOLI"/>
    <x v="0"/>
    <s v="Paali"/>
    <s v="Daya Society"/>
    <n v="1"/>
    <n v="1270"/>
    <n v="1270"/>
    <n v="0"/>
    <n v="1270"/>
    <n v="1"/>
    <n v="1270"/>
    <m/>
  </r>
  <r>
    <d v="2026-07-24T21:23:50"/>
    <s v="Vikash"/>
    <d v="2026-07-24T00:00:00"/>
    <s v="17-07-2026 to 23-07-2026"/>
    <s v="Gomukh Gold 50KG"/>
    <s v="200200030002"/>
    <s v="Direct"/>
    <x v="2"/>
    <s v="Bijuliya"/>
    <x v="2"/>
    <s v="Paali"/>
    <s v="Daya Society"/>
    <n v="10"/>
    <n v="1270"/>
    <n v="12700"/>
    <n v="0"/>
    <n v="12700"/>
    <n v="10"/>
    <n v="12700"/>
    <m/>
  </r>
  <r>
    <d v="2026-07-25T13:20:50"/>
    <s v="Satendra kumar"/>
    <d v="2026-07-25T00:00:00"/>
    <s v="17-07-2026 to 23-07-2026"/>
    <s v="Gomukh Gold 50KG"/>
    <s v="200600030002"/>
    <s v="Direct"/>
    <x v="3"/>
    <s v="DUMARDAGA"/>
    <x v="2"/>
    <s v="ORMANJHI"/>
    <s v="Daya Society"/>
    <n v="0"/>
    <n v="1270"/>
    <n v="0"/>
    <n v="19250"/>
    <n v="19250"/>
    <n v="0"/>
    <n v="19250"/>
    <m/>
  </r>
  <r>
    <d v="2026-07-25T13:21:28"/>
    <s v="Satendra kumar"/>
    <d v="2026-07-25T00:00:00"/>
    <s v="17-07-2026 to 23-07-2026"/>
    <s v="Gomukh Gold 50KG"/>
    <s v="200600040002"/>
    <s v="Direct"/>
    <x v="4"/>
    <s v="CHUTTU"/>
    <x v="2"/>
    <s v="ORMANJHI"/>
    <s v="Daya Society"/>
    <n v="5"/>
    <n v="1270"/>
    <n v="6350"/>
    <n v="0"/>
    <n v="6350"/>
    <n v="5"/>
    <n v="6350"/>
    <m/>
  </r>
  <r>
    <d v="2026-07-25T13:22:24"/>
    <s v="Satendra kumar"/>
    <d v="2026-07-25T00:00:00"/>
    <s v="17-07-2026 to 23-07-2026"/>
    <s v="Gomukh Gold 50KG"/>
    <s v="200100080035"/>
    <s v="Direct"/>
    <x v="5"/>
    <s v="Erchoro"/>
    <x v="3"/>
    <s v="Itki"/>
    <s v="Daya Society"/>
    <n v="0"/>
    <n v="1270"/>
    <n v="0"/>
    <n v="1537"/>
    <n v="1537"/>
    <n v="0"/>
    <n v="1537"/>
    <m/>
  </r>
  <r>
    <d v="2026-07-25T13:34:50"/>
    <s v="Amar sahu"/>
    <d v="2026-07-25T00:00:00"/>
    <s v="17-07-2026 to 23-07-2026"/>
    <s v="Gomukh Gold 50KG"/>
    <s v="200900150022"/>
    <s v="Direct"/>
    <x v="6"/>
    <s v="PAKARIYO"/>
    <x v="0"/>
    <s v="Chanho"/>
    <s v="Daya Society"/>
    <n v="1"/>
    <n v="1270"/>
    <n v="1270"/>
    <n v="0"/>
    <n v="1270"/>
    <n v="1"/>
    <n v="1270"/>
    <m/>
  </r>
  <r>
    <d v="2026-07-25T13:35:20"/>
    <s v="Amar sahu"/>
    <d v="2026-07-25T00:00:00"/>
    <s v="17-07-2026 to 23-07-2026"/>
    <s v="Gomukh Gold 50KG"/>
    <s v="200900200002"/>
    <s v="Direct"/>
    <x v="7"/>
    <s v="PAKARIYO 2"/>
    <x v="2"/>
    <s v="Chanho"/>
    <s v="Daya Society"/>
    <n v="2"/>
    <n v="1270"/>
    <n v="2540"/>
    <n v="0"/>
    <n v="2540"/>
    <n v="2"/>
    <n v="2540"/>
    <m/>
  </r>
  <r>
    <d v="2026-07-25T13:35:36"/>
    <s v="Amar sahu"/>
    <d v="2026-07-25T00:00:00"/>
    <s v="17-07-2026 to 23-07-2026"/>
    <s v="Gomukh Gold 50KG"/>
    <s v="200900200005"/>
    <s v="Direct"/>
    <x v="7"/>
    <s v="PAKARIYO 2"/>
    <x v="4"/>
    <s v="Chanho"/>
    <s v="Daya Society"/>
    <n v="1"/>
    <n v="1270"/>
    <n v="1270"/>
    <n v="0"/>
    <n v="1270"/>
    <n v="1"/>
    <n v="1270"/>
    <m/>
  </r>
  <r>
    <d v="2026-07-25T13:36:51"/>
    <s v="Amar sahu"/>
    <d v="2026-07-25T00:00:00"/>
    <s v="17-07-2026 to 23-07-2026"/>
    <s v="Gomukh Gold 50KG"/>
    <s v="200400010003"/>
    <s v="Direct"/>
    <x v="8"/>
    <s v="CHOREYA"/>
    <x v="5"/>
    <s v="CHOREYA"/>
    <s v="Daya Society"/>
    <n v="3"/>
    <n v="1270"/>
    <n v="3810"/>
    <n v="0"/>
    <n v="3810"/>
    <n v="3"/>
    <n v="3810"/>
    <m/>
  </r>
  <r>
    <d v="2026-07-25T13:37:20"/>
    <s v="Amar sahu"/>
    <d v="2026-07-25T00:00:00"/>
    <s v="17-07-2026 to 23-07-2026"/>
    <s v="Gomukh Gold 50KG"/>
    <s v="200900170003"/>
    <s v="Direct"/>
    <x v="9"/>
    <s v="NAWATAND"/>
    <x v="5"/>
    <s v="Chanho"/>
    <s v="Daya Society"/>
    <n v="2"/>
    <n v="1270"/>
    <n v="2540"/>
    <n v="0"/>
    <n v="2540"/>
    <n v="2"/>
    <n v="2540"/>
    <m/>
  </r>
  <r>
    <d v="2026-07-25T13:37:42"/>
    <s v="Amar sahu"/>
    <d v="2026-07-25T00:00:00"/>
    <s v="17-07-2026 to 23-07-2026"/>
    <s v="Gomukh Gold 50KG"/>
    <s v="200100540012"/>
    <s v="Direct"/>
    <x v="10"/>
    <s v="NARKOPI"/>
    <x v="6"/>
    <s v="Chanho"/>
    <s v="Daya Society"/>
    <n v="1"/>
    <n v="1270"/>
    <n v="1270"/>
    <n v="0"/>
    <n v="1270"/>
    <n v="1"/>
    <n v="1270"/>
    <m/>
  </r>
  <r>
    <d v="2026-07-25T13:38:06"/>
    <s v="Amar sahu"/>
    <d v="2026-07-25T00:00:00"/>
    <s v="17-07-2026 to 23-07-2026"/>
    <s v="Gomukh Gold 50KG"/>
    <s v="200900080005"/>
    <s v="Direct"/>
    <x v="11"/>
    <s v="GANESHPUR"/>
    <x v="4"/>
    <s v="Chanho"/>
    <s v="Daya Society"/>
    <n v="0"/>
    <n v="1270"/>
    <n v="0"/>
    <n v="635"/>
    <n v="635"/>
    <n v="0"/>
    <n v="635"/>
    <m/>
  </r>
  <r>
    <d v="2026-07-25T13:38:59"/>
    <s v="Amar sahu"/>
    <d v="2026-07-25T00:00:00"/>
    <s v="17-07-2026 to 23-07-2026"/>
    <s v="Gomukh Gold 50KG"/>
    <s v="200900040021"/>
    <s v="Direct"/>
    <x v="12"/>
    <s v="DUMRI"/>
    <x v="7"/>
    <s v="Chanho"/>
    <s v="Daya Society"/>
    <n v="0"/>
    <n v="1270"/>
    <n v="0"/>
    <n v="635"/>
    <n v="635"/>
    <n v="0"/>
    <n v="635"/>
    <m/>
  </r>
  <r>
    <d v="2026-07-25T13:51:27"/>
    <s v="Amar sahu"/>
    <d v="2026-07-25T00:00:00"/>
    <s v="17-07-2026 to 23-07-2026"/>
    <s v="Gomukh Gold 50KG"/>
    <s v="200900200005"/>
    <s v="Direct"/>
    <x v="7"/>
    <s v="PAKARIYO 2"/>
    <x v="4"/>
    <s v="Chanho"/>
    <s v="Daya Society"/>
    <n v="1"/>
    <n v="1270"/>
    <n v="1270"/>
    <n v="0"/>
    <n v="1270"/>
    <n v="1"/>
    <n v="1270"/>
    <m/>
  </r>
  <r>
    <d v="2026-07-25T13:36:10"/>
    <s v="Amar sahu"/>
    <d v="2026-07-25T00:00:00"/>
    <s v="17-07-2026 to 23-07-2026"/>
    <s v="Gomukh Gold 50KG"/>
    <s v="200900220002"/>
    <s v="Indirect"/>
    <x v="13"/>
    <s v="KATAIYA 2"/>
    <x v="2"/>
    <s v="Chanho"/>
    <s v="Daya Society"/>
    <n v="1"/>
    <n v="1270"/>
    <n v="1270"/>
    <n v="0"/>
    <n v="1270"/>
    <n v="1"/>
    <n v="1270"/>
    <m/>
  </r>
  <r>
    <d v="2026-07-25T13:39:26"/>
    <s v="Amar sahu"/>
    <d v="2026-07-25T00:00:00"/>
    <s v="17-07-2026 to 23-07-2026"/>
    <s v="Gomukh Gold 50KG"/>
    <s v="200900250002"/>
    <s v="Indirect"/>
    <x v="14"/>
    <s v="KULLU"/>
    <x v="2"/>
    <s v="Chanho"/>
    <s v="Daya Society"/>
    <n v="1"/>
    <n v="1270"/>
    <n v="1270"/>
    <n v="0"/>
    <n v="1270"/>
    <n v="1"/>
    <n v="12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AF57B-52E4-4953-9164-C766545815FB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2" firstHeaderRow="2" firstDataRow="2" firstDataCol="2"/>
  <pivotFields count="20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5"/>
        <item x="10"/>
        <item x="2"/>
        <item x="1"/>
        <item x="8"/>
        <item x="0"/>
        <item x="3"/>
        <item x="4"/>
        <item x="12"/>
        <item x="11"/>
        <item x="6"/>
        <item x="9"/>
        <item x="7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9">
        <item x="2"/>
        <item x="5"/>
        <item x="4"/>
        <item x="6"/>
        <item x="7"/>
        <item x="0"/>
        <item x="1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7"/>
    <field x="9"/>
  </rowFields>
  <rowItems count="18">
    <i>
      <x/>
      <x v="7"/>
    </i>
    <i>
      <x v="1"/>
      <x v="3"/>
    </i>
    <i>
      <x v="2"/>
      <x/>
    </i>
    <i>
      <x v="3"/>
      <x v="5"/>
    </i>
    <i r="1">
      <x v="6"/>
    </i>
    <i>
      <x v="4"/>
      <x v="1"/>
    </i>
    <i>
      <x v="5"/>
      <x v="5"/>
    </i>
    <i>
      <x v="6"/>
      <x/>
    </i>
    <i>
      <x v="7"/>
      <x/>
    </i>
    <i>
      <x v="8"/>
      <x v="4"/>
    </i>
    <i>
      <x v="9"/>
      <x v="2"/>
    </i>
    <i>
      <x v="10"/>
      <x v="5"/>
    </i>
    <i>
      <x v="11"/>
      <x v="1"/>
    </i>
    <i>
      <x v="12"/>
      <x/>
    </i>
    <i r="1">
      <x v="2"/>
    </i>
    <i>
      <x v="13"/>
      <x/>
    </i>
    <i>
      <x v="14"/>
      <x/>
    </i>
    <i t="grand">
      <x/>
    </i>
  </rowItems>
  <colItems count="1">
    <i/>
  </colItems>
  <dataFields count="1">
    <dataField name="Sum of Final Amount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F00B5-62F3-4FA4-86A3-9D73353DB6E9}" name="Table7" displayName="Table7" ref="A1:T20" totalsRowCount="1" headerRowDxfId="45" totalsRowDxfId="42" headerRowBorderDxfId="44" tableBorderDxfId="43">
  <autoFilter ref="A1:T19" xr:uid="{1F6F00B5-62F3-4FA4-86A3-9D73353DB6E9}"/>
  <sortState xmlns:xlrd2="http://schemas.microsoft.com/office/spreadsheetml/2017/richdata2" ref="A2:T19">
    <sortCondition ref="G1:G19"/>
  </sortState>
  <tableColumns count="20">
    <tableColumn id="1" xr3:uid="{C6B827BB-AD67-45DD-8049-A1579712CFF6}" name="Timestamp" dataDxfId="41" totalsRowDxfId="40"/>
    <tableColumn id="2" xr3:uid="{29821F87-36F3-4C88-AB70-E9EB3A9C6009}" name="User Name" dataDxfId="39" totalsRowDxfId="38"/>
    <tableColumn id="3" xr3:uid="{7D6D71D2-1835-4523-BE58-AE5F0197E4B6}" name="Order Date" dataDxfId="37" totalsRowDxfId="36"/>
    <tableColumn id="4" xr3:uid="{698A551D-1F21-404D-8EEE-215C2D897A3C}" name="Deduction Cycle" dataDxfId="35" totalsRowDxfId="34"/>
    <tableColumn id="5" xr3:uid="{F658251A-3DA3-4022-A74C-66A698792689}" name="Item Name" dataDxfId="33" totalsRowDxfId="32"/>
    <tableColumn id="6" xr3:uid="{A3D298F4-1867-486F-BBBA-127D3D143B98}" name="ID" dataDxfId="31" totalsRowDxfId="30"/>
    <tableColumn id="20" xr3:uid="{3CDA86EC-CD71-4A1C-9519-316C27361897}" name="Type" dataDxfId="29" totalsRowDxfId="28">
      <calculatedColumnFormula>VLOOKUP(Table7[[#This Row],[MPG Code]],'[1]MPG Payment'!$B$3:$E$136,4,0)</calculatedColumnFormula>
    </tableColumn>
    <tableColumn id="7" xr3:uid="{C7960E39-04F1-461C-96A9-6BC3A32DB1A1}" name="MPG Code" dataDxfId="27" totalsRowDxfId="26"/>
    <tableColumn id="8" xr3:uid="{8D6320BD-5F13-4EF1-99A7-D46AE61D06D1}" name="MPG Name" dataDxfId="25" totalsRowDxfId="24"/>
    <tableColumn id="9" xr3:uid="{1B518B99-8C62-4456-B75A-3B2CF61010D7}" name="Farmer code" dataDxfId="23" totalsRowDxfId="22"/>
    <tableColumn id="10" xr3:uid="{FB43CCD3-9318-48EE-A82B-ABFD4F4A6F9A}" name="BMC Name" dataDxfId="21" totalsRowDxfId="20"/>
    <tableColumn id="11" xr3:uid="{BFFCE4E2-CD79-491D-B2AC-71B227AD462A}" name="CSP" dataDxfId="19" totalsRowDxfId="18"/>
    <tableColumn id="12" xr3:uid="{8D2F2C29-0621-4FA1-9DAD-D2AD7E4AB857}" name="Qty" dataDxfId="17" totalsRowDxfId="16"/>
    <tableColumn id="13" xr3:uid="{7D025D95-C58E-4F8B-B462-C599B782B7FC}" name="Rate" dataDxfId="15" totalsRowDxfId="14"/>
    <tableColumn id="14" xr3:uid="{3FBBC27C-D3F5-4D43-9C86-54DE242E5AF1}" name="Total Amount" dataDxfId="13" totalsRowDxfId="12"/>
    <tableColumn id="15" xr3:uid="{D0D1F60A-6C16-4F30-922C-1B0ED6BD6EA4}" name="Other Due Amt" dataDxfId="11" totalsRowDxfId="10"/>
    <tableColumn id="16" xr3:uid="{0D4A4BE8-54C1-43FA-A3AB-F9A62F3E9E59}" name="Total Amount (Proposed)" dataDxfId="9" totalsRowDxfId="8"/>
    <tableColumn id="17" xr3:uid="{05B6616E-9E23-48A4-8D08-272AB1156C1C}" name="Final Qty" dataDxfId="7" totalsRowDxfId="6"/>
    <tableColumn id="18" xr3:uid="{F43BA86F-FB14-4861-B10A-92142AEEFAEB}" name="Final Amount" totalsRowFunction="sum" dataDxfId="5" totalsRowDxfId="4"/>
    <tableColumn id="19" xr3:uid="{1702009D-2895-4FC5-B52D-68CA464A31A8}" name="Milk Amonnt" dataDxfId="3" totalsRowDxfId="2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A09D-B003-42D9-BD92-CE05D899E99E}">
  <dimension ref="A3:M26"/>
  <sheetViews>
    <sheetView tabSelected="1" workbookViewId="0">
      <selection activeCell="V13" sqref="V13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6" bestFit="1" customWidth="1"/>
    <col min="8" max="8" width="13.140625" bestFit="1" customWidth="1"/>
    <col min="9" max="9" width="10.42578125" bestFit="1" customWidth="1"/>
    <col min="10" max="10" width="12" bestFit="1" customWidth="1"/>
    <col min="11" max="11" width="12" customWidth="1"/>
  </cols>
  <sheetData>
    <row r="3" spans="1:13" x14ac:dyDescent="0.25">
      <c r="A3" s="23" t="s">
        <v>71</v>
      </c>
    </row>
    <row r="4" spans="1:13" x14ac:dyDescent="0.25">
      <c r="A4" s="23" t="s">
        <v>6</v>
      </c>
      <c r="B4" s="23" t="s">
        <v>8</v>
      </c>
      <c r="C4" t="s">
        <v>72</v>
      </c>
      <c r="H4" s="24" t="s">
        <v>5</v>
      </c>
      <c r="I4" s="24" t="s">
        <v>6</v>
      </c>
      <c r="J4" s="24" t="s">
        <v>8</v>
      </c>
      <c r="K4" s="24" t="s">
        <v>69</v>
      </c>
      <c r="L4" s="24" t="s">
        <v>72</v>
      </c>
      <c r="M4" s="24" t="s">
        <v>73</v>
      </c>
    </row>
    <row r="5" spans="1:13" x14ac:dyDescent="0.25">
      <c r="A5">
        <v>20010008</v>
      </c>
      <c r="B5" t="s">
        <v>44</v>
      </c>
      <c r="C5">
        <v>1537</v>
      </c>
      <c r="H5" t="str">
        <f>CONCATENATE(I5,J5)</f>
        <v>200100080035</v>
      </c>
      <c r="I5" s="26">
        <v>20010008</v>
      </c>
      <c r="J5" t="s">
        <v>44</v>
      </c>
      <c r="K5" t="s">
        <v>75</v>
      </c>
      <c r="L5">
        <v>1537</v>
      </c>
      <c r="M5">
        <v>1537</v>
      </c>
    </row>
    <row r="6" spans="1:13" x14ac:dyDescent="0.25">
      <c r="A6">
        <v>20010054</v>
      </c>
      <c r="B6" t="s">
        <v>35</v>
      </c>
      <c r="C6">
        <v>1270</v>
      </c>
      <c r="H6" t="str">
        <f t="shared" ref="H6:H21" si="0">CONCATENATE(I6,J6)</f>
        <v>200100540012</v>
      </c>
      <c r="I6" s="26">
        <v>20010054</v>
      </c>
      <c r="J6" t="s">
        <v>35</v>
      </c>
      <c r="K6" t="s">
        <v>75</v>
      </c>
      <c r="L6">
        <v>1270</v>
      </c>
      <c r="M6">
        <v>1270</v>
      </c>
    </row>
    <row r="7" spans="1:13" x14ac:dyDescent="0.25">
      <c r="A7">
        <v>20020003</v>
      </c>
      <c r="B7" t="s">
        <v>23</v>
      </c>
      <c r="C7">
        <v>12700</v>
      </c>
      <c r="H7" t="str">
        <f t="shared" si="0"/>
        <v>200200030002</v>
      </c>
      <c r="I7" s="26">
        <v>20020003</v>
      </c>
      <c r="J7" t="s">
        <v>23</v>
      </c>
      <c r="K7" t="s">
        <v>75</v>
      </c>
      <c r="L7">
        <v>12700</v>
      </c>
      <c r="M7">
        <v>12700</v>
      </c>
    </row>
    <row r="8" spans="1:13" x14ac:dyDescent="0.25">
      <c r="A8">
        <v>20020020</v>
      </c>
      <c r="B8" t="s">
        <v>32</v>
      </c>
      <c r="C8">
        <v>1270</v>
      </c>
      <c r="H8" t="str">
        <f t="shared" si="0"/>
        <v>200200200022</v>
      </c>
      <c r="I8" s="27">
        <v>20020020</v>
      </c>
      <c r="J8" t="s">
        <v>32</v>
      </c>
      <c r="K8" t="s">
        <v>75</v>
      </c>
      <c r="L8">
        <v>1270</v>
      </c>
      <c r="M8">
        <v>1270</v>
      </c>
    </row>
    <row r="9" spans="1:13" x14ac:dyDescent="0.25">
      <c r="A9">
        <v>20020020</v>
      </c>
      <c r="B9" t="s">
        <v>52</v>
      </c>
      <c r="C9">
        <v>2540</v>
      </c>
      <c r="H9" t="str">
        <f t="shared" si="0"/>
        <v>200200200023</v>
      </c>
      <c r="I9" s="26">
        <v>20020020</v>
      </c>
      <c r="J9" t="s">
        <v>52</v>
      </c>
      <c r="K9" t="s">
        <v>75</v>
      </c>
      <c r="L9">
        <v>2540</v>
      </c>
      <c r="M9">
        <v>2540</v>
      </c>
    </row>
    <row r="10" spans="1:13" x14ac:dyDescent="0.25">
      <c r="A10">
        <v>20040001</v>
      </c>
      <c r="B10" t="s">
        <v>38</v>
      </c>
      <c r="C10">
        <v>3810</v>
      </c>
      <c r="H10" t="str">
        <f t="shared" si="0"/>
        <v>200400010003</v>
      </c>
      <c r="I10" s="26">
        <v>20040001</v>
      </c>
      <c r="J10" t="s">
        <v>38</v>
      </c>
      <c r="K10" t="s">
        <v>75</v>
      </c>
      <c r="L10">
        <v>3810</v>
      </c>
      <c r="M10">
        <v>3810</v>
      </c>
    </row>
    <row r="11" spans="1:13" x14ac:dyDescent="0.25">
      <c r="A11">
        <v>20050003</v>
      </c>
      <c r="B11" t="s">
        <v>32</v>
      </c>
      <c r="C11">
        <v>2540</v>
      </c>
      <c r="H11" t="str">
        <f t="shared" si="0"/>
        <v>200500030022</v>
      </c>
      <c r="I11" s="26">
        <v>20050003</v>
      </c>
      <c r="J11" t="s">
        <v>32</v>
      </c>
      <c r="K11" t="s">
        <v>75</v>
      </c>
      <c r="L11">
        <v>2540</v>
      </c>
      <c r="M11">
        <v>0</v>
      </c>
    </row>
    <row r="12" spans="1:13" x14ac:dyDescent="0.25">
      <c r="A12">
        <v>20060003</v>
      </c>
      <c r="B12" t="s">
        <v>23</v>
      </c>
      <c r="C12">
        <v>19250</v>
      </c>
      <c r="H12" t="str">
        <f t="shared" si="0"/>
        <v>200600030002</v>
      </c>
      <c r="I12" s="26">
        <v>20060003</v>
      </c>
      <c r="J12" t="s">
        <v>23</v>
      </c>
      <c r="K12" t="s">
        <v>75</v>
      </c>
      <c r="L12">
        <v>19250</v>
      </c>
      <c r="M12">
        <v>19250</v>
      </c>
    </row>
    <row r="13" spans="1:13" x14ac:dyDescent="0.25">
      <c r="A13">
        <v>20060004</v>
      </c>
      <c r="B13" t="s">
        <v>23</v>
      </c>
      <c r="C13">
        <v>6350</v>
      </c>
      <c r="H13" t="str">
        <f t="shared" si="0"/>
        <v>200600040002</v>
      </c>
      <c r="I13" s="26">
        <v>20060004</v>
      </c>
      <c r="J13" t="s">
        <v>23</v>
      </c>
      <c r="K13" t="s">
        <v>75</v>
      </c>
      <c r="L13">
        <v>6350</v>
      </c>
      <c r="M13">
        <v>6350</v>
      </c>
    </row>
    <row r="14" spans="1:13" x14ac:dyDescent="0.25">
      <c r="A14">
        <v>20090004</v>
      </c>
      <c r="B14" t="s">
        <v>60</v>
      </c>
      <c r="C14">
        <v>635</v>
      </c>
      <c r="H14" t="str">
        <f t="shared" si="0"/>
        <v>200900040021</v>
      </c>
      <c r="I14" s="26">
        <v>20090004</v>
      </c>
      <c r="J14" t="s">
        <v>60</v>
      </c>
      <c r="K14" t="s">
        <v>75</v>
      </c>
      <c r="L14">
        <v>635</v>
      </c>
      <c r="M14">
        <v>635</v>
      </c>
    </row>
    <row r="15" spans="1:13" x14ac:dyDescent="0.25">
      <c r="A15">
        <v>20090008</v>
      </c>
      <c r="B15" t="s">
        <v>50</v>
      </c>
      <c r="C15">
        <v>635</v>
      </c>
      <c r="H15" t="str">
        <f t="shared" si="0"/>
        <v>200900080005</v>
      </c>
      <c r="I15" s="26">
        <v>20090008</v>
      </c>
      <c r="J15" t="s">
        <v>50</v>
      </c>
      <c r="K15" t="s">
        <v>75</v>
      </c>
      <c r="L15">
        <v>635</v>
      </c>
      <c r="M15">
        <v>635</v>
      </c>
    </row>
    <row r="16" spans="1:13" x14ac:dyDescent="0.25">
      <c r="A16">
        <v>20090015</v>
      </c>
      <c r="B16" t="s">
        <v>32</v>
      </c>
      <c r="C16">
        <v>1270</v>
      </c>
      <c r="H16" t="str">
        <f t="shared" si="0"/>
        <v>200900150022</v>
      </c>
      <c r="I16" s="26">
        <v>20090015</v>
      </c>
      <c r="J16" t="s">
        <v>32</v>
      </c>
      <c r="K16" t="s">
        <v>75</v>
      </c>
      <c r="L16">
        <v>1270</v>
      </c>
      <c r="M16">
        <v>647</v>
      </c>
    </row>
    <row r="17" spans="1:13" x14ac:dyDescent="0.25">
      <c r="A17">
        <v>20090017</v>
      </c>
      <c r="B17" t="s">
        <v>38</v>
      </c>
      <c r="C17">
        <v>2540</v>
      </c>
      <c r="H17" t="str">
        <f t="shared" si="0"/>
        <v>200900170003</v>
      </c>
      <c r="I17" s="26">
        <v>20090017</v>
      </c>
      <c r="J17" t="s">
        <v>38</v>
      </c>
      <c r="K17" t="s">
        <v>75</v>
      </c>
      <c r="L17">
        <v>2540</v>
      </c>
      <c r="M17">
        <v>2540</v>
      </c>
    </row>
    <row r="18" spans="1:13" x14ac:dyDescent="0.25">
      <c r="A18">
        <v>20090020</v>
      </c>
      <c r="B18" t="s">
        <v>23</v>
      </c>
      <c r="C18">
        <v>2540</v>
      </c>
      <c r="H18" t="str">
        <f t="shared" si="0"/>
        <v>200900200002</v>
      </c>
      <c r="I18" s="27">
        <v>20090020</v>
      </c>
      <c r="J18" t="s">
        <v>23</v>
      </c>
      <c r="K18" t="s">
        <v>75</v>
      </c>
      <c r="L18">
        <v>2540</v>
      </c>
      <c r="M18">
        <v>2540</v>
      </c>
    </row>
    <row r="19" spans="1:13" x14ac:dyDescent="0.25">
      <c r="A19">
        <v>20090020</v>
      </c>
      <c r="B19" t="s">
        <v>50</v>
      </c>
      <c r="C19">
        <v>2540</v>
      </c>
      <c r="H19" t="str">
        <f t="shared" si="0"/>
        <v>200900200005</v>
      </c>
      <c r="I19" s="26">
        <v>20090020</v>
      </c>
      <c r="J19" t="s">
        <v>50</v>
      </c>
      <c r="K19" t="s">
        <v>75</v>
      </c>
      <c r="L19">
        <v>2540</v>
      </c>
      <c r="M19">
        <v>2540</v>
      </c>
    </row>
    <row r="20" spans="1:13" x14ac:dyDescent="0.25">
      <c r="A20">
        <v>20090022</v>
      </c>
      <c r="B20" t="s">
        <v>23</v>
      </c>
      <c r="C20">
        <v>1270</v>
      </c>
      <c r="H20" t="str">
        <f t="shared" si="0"/>
        <v>200900220002</v>
      </c>
      <c r="I20" s="26">
        <v>20090022</v>
      </c>
      <c r="J20" t="s">
        <v>23</v>
      </c>
      <c r="K20" t="s">
        <v>76</v>
      </c>
      <c r="L20">
        <v>1270</v>
      </c>
      <c r="M20">
        <v>1270</v>
      </c>
    </row>
    <row r="21" spans="1:13" x14ac:dyDescent="0.25">
      <c r="A21">
        <v>20090025</v>
      </c>
      <c r="B21" t="s">
        <v>23</v>
      </c>
      <c r="C21">
        <v>1270</v>
      </c>
      <c r="H21" t="str">
        <f t="shared" si="0"/>
        <v>200900250002</v>
      </c>
      <c r="I21" s="26">
        <v>20090025</v>
      </c>
      <c r="J21" t="s">
        <v>23</v>
      </c>
      <c r="K21" t="s">
        <v>76</v>
      </c>
      <c r="L21">
        <v>1270</v>
      </c>
      <c r="M21">
        <v>1270</v>
      </c>
    </row>
    <row r="22" spans="1:13" x14ac:dyDescent="0.25">
      <c r="A22" t="s">
        <v>70</v>
      </c>
      <c r="C22">
        <v>63967</v>
      </c>
      <c r="H22" s="25" t="s">
        <v>70</v>
      </c>
      <c r="I22" s="25"/>
      <c r="J22" s="25"/>
      <c r="K22" s="25"/>
      <c r="L22" s="25">
        <v>63967</v>
      </c>
      <c r="M22" s="25">
        <f>SUM(M5:M21)</f>
        <v>60804</v>
      </c>
    </row>
    <row r="24" spans="1:13" x14ac:dyDescent="0.25">
      <c r="H24" t="s">
        <v>74</v>
      </c>
      <c r="I24" s="29">
        <v>20090015</v>
      </c>
      <c r="M24">
        <v>623</v>
      </c>
    </row>
    <row r="26" spans="1:13" x14ac:dyDescent="0.25">
      <c r="M26">
        <f>M22+M24</f>
        <v>61427</v>
      </c>
    </row>
  </sheetData>
  <conditionalFormatting sqref="I24">
    <cfRule type="duplicateValues" dxfId="1" priority="1"/>
  </conditionalFormatting>
  <conditionalFormatting sqref="I24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5752D-BB7A-4630-894F-B3DEFF33E994}">
  <dimension ref="A1:T20"/>
  <sheetViews>
    <sheetView workbookViewId="0">
      <selection activeCell="S20" sqref="S20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4.42578125" customWidth="1"/>
    <col min="8" max="8" width="10.140625" bestFit="1" customWidth="1"/>
    <col min="9" max="9" width="15.42578125" bestFit="1" customWidth="1"/>
    <col min="11" max="11" width="15.42578125" bestFit="1" customWidth="1"/>
    <col min="12" max="12" width="11.7109375" bestFit="1" customWidth="1"/>
  </cols>
  <sheetData>
    <row r="1" spans="1:20" s="20" customForma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69</v>
      </c>
      <c r="H1" s="18" t="s">
        <v>6</v>
      </c>
      <c r="I1" s="18" t="s">
        <v>7</v>
      </c>
      <c r="J1" s="18" t="s">
        <v>8</v>
      </c>
      <c r="K1" s="18" t="s">
        <v>9</v>
      </c>
      <c r="L1" s="18" t="s">
        <v>10</v>
      </c>
      <c r="M1" s="18" t="s">
        <v>11</v>
      </c>
      <c r="N1" s="18" t="s">
        <v>12</v>
      </c>
      <c r="O1" s="18" t="s">
        <v>13</v>
      </c>
      <c r="P1" s="18" t="s">
        <v>14</v>
      </c>
      <c r="Q1" s="18" t="s">
        <v>15</v>
      </c>
      <c r="R1" s="18" t="s">
        <v>16</v>
      </c>
      <c r="S1" s="18" t="s">
        <v>17</v>
      </c>
      <c r="T1" s="19" t="s">
        <v>18</v>
      </c>
    </row>
    <row r="2" spans="1:20" x14ac:dyDescent="0.25">
      <c r="A2" s="1">
        <v>46227.890143969911</v>
      </c>
      <c r="B2" s="2" t="s">
        <v>45</v>
      </c>
      <c r="C2" s="3">
        <v>46227</v>
      </c>
      <c r="D2" s="8" t="s">
        <v>67</v>
      </c>
      <c r="E2" s="2" t="s">
        <v>20</v>
      </c>
      <c r="F2" s="4" t="s">
        <v>66</v>
      </c>
      <c r="G2" t="str">
        <f>VLOOKUP(Table7[[#This Row],[MPG Code]],'[1]MPG Payment'!$B$3:$E$136,4,0)</f>
        <v>Direct</v>
      </c>
      <c r="H2" s="5">
        <v>20050003</v>
      </c>
      <c r="I2" s="2" t="s">
        <v>63</v>
      </c>
      <c r="J2" s="6" t="s">
        <v>32</v>
      </c>
      <c r="K2" s="2" t="s">
        <v>48</v>
      </c>
      <c r="L2" s="2" t="s">
        <v>25</v>
      </c>
      <c r="M2" s="5">
        <v>2</v>
      </c>
      <c r="N2" s="5">
        <v>1270</v>
      </c>
      <c r="O2" s="5">
        <v>2540</v>
      </c>
      <c r="P2" s="5">
        <v>0</v>
      </c>
      <c r="Q2" s="5">
        <v>2540</v>
      </c>
      <c r="R2" s="5">
        <v>2</v>
      </c>
      <c r="S2" s="5">
        <v>2540</v>
      </c>
      <c r="T2" s="7"/>
    </row>
    <row r="3" spans="1:20" x14ac:dyDescent="0.25">
      <c r="A3" s="1">
        <v>46227.890549421296</v>
      </c>
      <c r="B3" s="2" t="s">
        <v>45</v>
      </c>
      <c r="C3" s="3">
        <v>46227</v>
      </c>
      <c r="D3" s="8" t="s">
        <v>67</v>
      </c>
      <c r="E3" s="2" t="s">
        <v>20</v>
      </c>
      <c r="F3" s="4" t="s">
        <v>51</v>
      </c>
      <c r="G3" t="str">
        <f>VLOOKUP(Table7[[#This Row],[MPG Code]],'[1]MPG Payment'!$B$3:$E$136,4,0)</f>
        <v>Direct</v>
      </c>
      <c r="H3" s="5">
        <v>20020020</v>
      </c>
      <c r="I3" s="2" t="s">
        <v>49</v>
      </c>
      <c r="J3" s="6" t="s">
        <v>52</v>
      </c>
      <c r="K3" s="2" t="s">
        <v>48</v>
      </c>
      <c r="L3" s="2" t="s">
        <v>25</v>
      </c>
      <c r="M3" s="5">
        <v>2</v>
      </c>
      <c r="N3" s="5">
        <v>1270</v>
      </c>
      <c r="O3" s="5">
        <v>2540</v>
      </c>
      <c r="P3" s="5">
        <v>0</v>
      </c>
      <c r="Q3" s="5">
        <v>2540</v>
      </c>
      <c r="R3" s="5">
        <v>2</v>
      </c>
      <c r="S3" s="5">
        <v>2540</v>
      </c>
      <c r="T3" s="7"/>
    </row>
    <row r="4" spans="1:20" x14ac:dyDescent="0.25">
      <c r="A4" s="1">
        <v>46227.890821412038</v>
      </c>
      <c r="B4" s="2" t="s">
        <v>45</v>
      </c>
      <c r="C4" s="3">
        <v>46227</v>
      </c>
      <c r="D4" s="8" t="s">
        <v>67</v>
      </c>
      <c r="E4" s="2" t="s">
        <v>20</v>
      </c>
      <c r="F4" s="4" t="s">
        <v>68</v>
      </c>
      <c r="G4" t="str">
        <f>VLOOKUP(Table7[[#This Row],[MPG Code]],'[1]MPG Payment'!$B$3:$E$136,4,0)</f>
        <v>Direct</v>
      </c>
      <c r="H4" s="5">
        <v>20020020</v>
      </c>
      <c r="I4" s="2" t="s">
        <v>49</v>
      </c>
      <c r="J4" s="6" t="s">
        <v>32</v>
      </c>
      <c r="K4" s="2" t="s">
        <v>48</v>
      </c>
      <c r="L4" s="2" t="s">
        <v>25</v>
      </c>
      <c r="M4" s="5">
        <v>1</v>
      </c>
      <c r="N4" s="5">
        <v>1270</v>
      </c>
      <c r="O4" s="5">
        <v>1270</v>
      </c>
      <c r="P4" s="5">
        <v>0</v>
      </c>
      <c r="Q4" s="5">
        <v>1270</v>
      </c>
      <c r="R4" s="5">
        <v>1</v>
      </c>
      <c r="S4" s="5">
        <v>1270</v>
      </c>
      <c r="T4" s="7"/>
    </row>
    <row r="5" spans="1:20" x14ac:dyDescent="0.25">
      <c r="A5" s="1">
        <v>46227.891553402776</v>
      </c>
      <c r="B5" s="2" t="s">
        <v>45</v>
      </c>
      <c r="C5" s="3">
        <v>46227</v>
      </c>
      <c r="D5" s="8" t="s">
        <v>67</v>
      </c>
      <c r="E5" s="2" t="s">
        <v>20</v>
      </c>
      <c r="F5" s="4" t="s">
        <v>46</v>
      </c>
      <c r="G5" t="str">
        <f>VLOOKUP(Table7[[#This Row],[MPG Code]],'[1]MPG Payment'!$B$3:$E$136,4,0)</f>
        <v>Direct</v>
      </c>
      <c r="H5" s="5">
        <v>20020003</v>
      </c>
      <c r="I5" s="2" t="s">
        <v>47</v>
      </c>
      <c r="J5" s="6" t="s">
        <v>23</v>
      </c>
      <c r="K5" s="2" t="s">
        <v>48</v>
      </c>
      <c r="L5" s="2" t="s">
        <v>25</v>
      </c>
      <c r="M5" s="5">
        <v>10</v>
      </c>
      <c r="N5" s="5">
        <v>1270</v>
      </c>
      <c r="O5" s="5">
        <v>12700</v>
      </c>
      <c r="P5" s="5">
        <v>0</v>
      </c>
      <c r="Q5" s="5">
        <v>12700</v>
      </c>
      <c r="R5" s="5">
        <v>10</v>
      </c>
      <c r="S5" s="5">
        <v>12700</v>
      </c>
      <c r="T5" s="7"/>
    </row>
    <row r="6" spans="1:20" x14ac:dyDescent="0.25">
      <c r="A6" s="1">
        <v>46228.556136377316</v>
      </c>
      <c r="B6" s="2" t="s">
        <v>19</v>
      </c>
      <c r="C6" s="3">
        <v>46228</v>
      </c>
      <c r="D6" s="8" t="s">
        <v>67</v>
      </c>
      <c r="E6" s="2" t="s">
        <v>20</v>
      </c>
      <c r="F6" s="4" t="s">
        <v>21</v>
      </c>
      <c r="G6" t="str">
        <f>VLOOKUP(Table7[[#This Row],[MPG Code]],'[1]MPG Payment'!$B$3:$E$136,4,0)</f>
        <v>Direct</v>
      </c>
      <c r="H6" s="5">
        <v>20060003</v>
      </c>
      <c r="I6" s="2" t="s">
        <v>22</v>
      </c>
      <c r="J6" s="6" t="s">
        <v>23</v>
      </c>
      <c r="K6" s="2" t="s">
        <v>24</v>
      </c>
      <c r="L6" s="2" t="s">
        <v>25</v>
      </c>
      <c r="M6" s="5">
        <v>0</v>
      </c>
      <c r="N6" s="5">
        <v>1270</v>
      </c>
      <c r="O6" s="5">
        <v>0</v>
      </c>
      <c r="P6" s="5">
        <v>19250</v>
      </c>
      <c r="Q6" s="5">
        <v>19250</v>
      </c>
      <c r="R6" s="5">
        <v>0</v>
      </c>
      <c r="S6" s="5">
        <v>19250</v>
      </c>
      <c r="T6" s="7"/>
    </row>
    <row r="7" spans="1:20" x14ac:dyDescent="0.25">
      <c r="A7" s="1">
        <v>46228.556569618057</v>
      </c>
      <c r="B7" s="2" t="s">
        <v>19</v>
      </c>
      <c r="C7" s="3">
        <v>46228</v>
      </c>
      <c r="D7" s="8" t="s">
        <v>67</v>
      </c>
      <c r="E7" s="2" t="s">
        <v>20</v>
      </c>
      <c r="F7" s="4" t="s">
        <v>62</v>
      </c>
      <c r="G7" t="str">
        <f>VLOOKUP(Table7[[#This Row],[MPG Code]],'[1]MPG Payment'!$B$3:$E$136,4,0)</f>
        <v>Direct</v>
      </c>
      <c r="H7" s="5">
        <v>20060004</v>
      </c>
      <c r="I7" s="2" t="s">
        <v>26</v>
      </c>
      <c r="J7" s="6" t="s">
        <v>23</v>
      </c>
      <c r="K7" s="2" t="s">
        <v>24</v>
      </c>
      <c r="L7" s="2" t="s">
        <v>25</v>
      </c>
      <c r="M7" s="5">
        <v>5</v>
      </c>
      <c r="N7" s="5">
        <v>1270</v>
      </c>
      <c r="O7" s="5">
        <v>6350</v>
      </c>
      <c r="P7" s="5">
        <v>0</v>
      </c>
      <c r="Q7" s="5">
        <v>6350</v>
      </c>
      <c r="R7" s="5">
        <v>5</v>
      </c>
      <c r="S7" s="5">
        <v>6350</v>
      </c>
      <c r="T7" s="7"/>
    </row>
    <row r="8" spans="1:20" x14ac:dyDescent="0.25">
      <c r="A8" s="1">
        <v>46228.557216898145</v>
      </c>
      <c r="B8" s="2" t="s">
        <v>19</v>
      </c>
      <c r="C8" s="3">
        <v>46228</v>
      </c>
      <c r="D8" s="8" t="s">
        <v>67</v>
      </c>
      <c r="E8" s="2" t="s">
        <v>20</v>
      </c>
      <c r="F8" s="4" t="s">
        <v>43</v>
      </c>
      <c r="G8" t="str">
        <f>VLOOKUP(Table7[[#This Row],[MPG Code]],'[1]MPG Payment'!$B$3:$E$136,4,0)</f>
        <v>Direct</v>
      </c>
      <c r="H8" s="5">
        <v>20010008</v>
      </c>
      <c r="I8" s="2" t="s">
        <v>42</v>
      </c>
      <c r="J8" s="6" t="s">
        <v>44</v>
      </c>
      <c r="K8" s="2" t="s">
        <v>41</v>
      </c>
      <c r="L8" s="2" t="s">
        <v>25</v>
      </c>
      <c r="M8" s="5">
        <v>0</v>
      </c>
      <c r="N8" s="5">
        <v>1270</v>
      </c>
      <c r="O8" s="5">
        <v>0</v>
      </c>
      <c r="P8" s="5">
        <v>1537</v>
      </c>
      <c r="Q8" s="5">
        <v>1537</v>
      </c>
      <c r="R8" s="5">
        <v>0</v>
      </c>
      <c r="S8" s="5">
        <v>1537</v>
      </c>
      <c r="T8" s="7"/>
    </row>
    <row r="9" spans="1:20" x14ac:dyDescent="0.25">
      <c r="A9" s="1">
        <v>46228.565856099536</v>
      </c>
      <c r="B9" s="2" t="s">
        <v>53</v>
      </c>
      <c r="C9" s="3">
        <v>46228</v>
      </c>
      <c r="D9" s="8" t="s">
        <v>67</v>
      </c>
      <c r="E9" s="2" t="s">
        <v>20</v>
      </c>
      <c r="F9" s="4" t="s">
        <v>31</v>
      </c>
      <c r="G9" t="str">
        <f>VLOOKUP(Table7[[#This Row],[MPG Code]],'[1]MPG Payment'!$B$3:$E$136,4,0)</f>
        <v>Direct</v>
      </c>
      <c r="H9" s="5">
        <v>20090015</v>
      </c>
      <c r="I9" s="2" t="s">
        <v>30</v>
      </c>
      <c r="J9" s="6" t="s">
        <v>32</v>
      </c>
      <c r="K9" s="2" t="s">
        <v>29</v>
      </c>
      <c r="L9" s="2" t="s">
        <v>25</v>
      </c>
      <c r="M9" s="5">
        <v>1</v>
      </c>
      <c r="N9" s="5">
        <v>1270</v>
      </c>
      <c r="O9" s="5">
        <v>1270</v>
      </c>
      <c r="P9" s="5">
        <v>0</v>
      </c>
      <c r="Q9" s="5">
        <v>1270</v>
      </c>
      <c r="R9" s="5">
        <v>1</v>
      </c>
      <c r="S9" s="5">
        <v>1270</v>
      </c>
      <c r="T9" s="7"/>
    </row>
    <row r="10" spans="1:20" x14ac:dyDescent="0.25">
      <c r="A10" s="1">
        <v>46228.566202488422</v>
      </c>
      <c r="B10" s="2" t="s">
        <v>53</v>
      </c>
      <c r="C10" s="3">
        <v>46228</v>
      </c>
      <c r="D10" s="8" t="s">
        <v>67</v>
      </c>
      <c r="E10" s="2" t="s">
        <v>20</v>
      </c>
      <c r="F10" s="4" t="s">
        <v>56</v>
      </c>
      <c r="G10" t="str">
        <f>VLOOKUP(Table7[[#This Row],[MPG Code]],'[1]MPG Payment'!$B$3:$E$136,4,0)</f>
        <v>Direct</v>
      </c>
      <c r="H10" s="5">
        <v>20090020</v>
      </c>
      <c r="I10" s="2" t="s">
        <v>57</v>
      </c>
      <c r="J10" s="6" t="s">
        <v>23</v>
      </c>
      <c r="K10" s="2" t="s">
        <v>29</v>
      </c>
      <c r="L10" s="2" t="s">
        <v>25</v>
      </c>
      <c r="M10" s="5">
        <v>2</v>
      </c>
      <c r="N10" s="5">
        <v>1270</v>
      </c>
      <c r="O10" s="5">
        <v>2540</v>
      </c>
      <c r="P10" s="5">
        <v>0</v>
      </c>
      <c r="Q10" s="5">
        <v>2540</v>
      </c>
      <c r="R10" s="5">
        <v>2</v>
      </c>
      <c r="S10" s="5">
        <v>2540</v>
      </c>
      <c r="T10" s="7"/>
    </row>
    <row r="11" spans="1:20" x14ac:dyDescent="0.25">
      <c r="A11" s="1">
        <v>46228.566392731482</v>
      </c>
      <c r="B11" s="2" t="s">
        <v>53</v>
      </c>
      <c r="C11" s="3">
        <v>46228</v>
      </c>
      <c r="D11" s="8" t="s">
        <v>67</v>
      </c>
      <c r="E11" s="2" t="s">
        <v>20</v>
      </c>
      <c r="F11" s="4" t="s">
        <v>58</v>
      </c>
      <c r="G11" t="str">
        <f>VLOOKUP(Table7[[#This Row],[MPG Code]],'[1]MPG Payment'!$B$3:$E$136,4,0)</f>
        <v>Direct</v>
      </c>
      <c r="H11" s="5">
        <v>20090020</v>
      </c>
      <c r="I11" s="2" t="s">
        <v>57</v>
      </c>
      <c r="J11" s="6" t="s">
        <v>50</v>
      </c>
      <c r="K11" s="2" t="s">
        <v>29</v>
      </c>
      <c r="L11" s="2" t="s">
        <v>25</v>
      </c>
      <c r="M11" s="5">
        <v>1</v>
      </c>
      <c r="N11" s="5">
        <v>1270</v>
      </c>
      <c r="O11" s="5">
        <v>1270</v>
      </c>
      <c r="P11" s="5">
        <v>0</v>
      </c>
      <c r="Q11" s="5">
        <v>1270</v>
      </c>
      <c r="R11" s="5">
        <v>1</v>
      </c>
      <c r="S11" s="5">
        <v>1270</v>
      </c>
      <c r="T11" s="7"/>
    </row>
    <row r="12" spans="1:20" x14ac:dyDescent="0.25">
      <c r="A12" s="1">
        <v>46228.567259872681</v>
      </c>
      <c r="B12" s="2" t="s">
        <v>53</v>
      </c>
      <c r="C12" s="3">
        <v>46228</v>
      </c>
      <c r="D12" s="8" t="s">
        <v>67</v>
      </c>
      <c r="E12" s="2" t="s">
        <v>20</v>
      </c>
      <c r="F12" s="4" t="s">
        <v>65</v>
      </c>
      <c r="G12" t="str">
        <f>VLOOKUP(Table7[[#This Row],[MPG Code]],'[1]MPG Payment'!$B$3:$E$136,4,0)</f>
        <v>Direct</v>
      </c>
      <c r="H12" s="5">
        <v>20040001</v>
      </c>
      <c r="I12" s="2" t="s">
        <v>59</v>
      </c>
      <c r="J12" s="6" t="s">
        <v>38</v>
      </c>
      <c r="K12" s="2" t="s">
        <v>59</v>
      </c>
      <c r="L12" s="2" t="s">
        <v>25</v>
      </c>
      <c r="M12" s="5">
        <v>3</v>
      </c>
      <c r="N12" s="5">
        <v>1270</v>
      </c>
      <c r="O12" s="5">
        <v>3810</v>
      </c>
      <c r="P12" s="5">
        <v>0</v>
      </c>
      <c r="Q12" s="5">
        <v>3810</v>
      </c>
      <c r="R12" s="5">
        <v>3</v>
      </c>
      <c r="S12" s="5">
        <v>3810</v>
      </c>
      <c r="T12" s="7"/>
    </row>
    <row r="13" spans="1:20" x14ac:dyDescent="0.25">
      <c r="A13" s="1">
        <v>46228.567592094907</v>
      </c>
      <c r="B13" s="2" t="s">
        <v>53</v>
      </c>
      <c r="C13" s="3">
        <v>46228</v>
      </c>
      <c r="D13" s="8" t="s">
        <v>67</v>
      </c>
      <c r="E13" s="2" t="s">
        <v>20</v>
      </c>
      <c r="F13" s="4" t="s">
        <v>36</v>
      </c>
      <c r="G13" t="str">
        <f>VLOOKUP(Table7[[#This Row],[MPG Code]],'[1]MPG Payment'!$B$3:$E$136,4,0)</f>
        <v>Direct</v>
      </c>
      <c r="H13" s="5">
        <v>20090017</v>
      </c>
      <c r="I13" s="2" t="s">
        <v>37</v>
      </c>
      <c r="J13" s="6" t="s">
        <v>38</v>
      </c>
      <c r="K13" s="2" t="s">
        <v>29</v>
      </c>
      <c r="L13" s="2" t="s">
        <v>25</v>
      </c>
      <c r="M13" s="5">
        <v>2</v>
      </c>
      <c r="N13" s="5">
        <v>1270</v>
      </c>
      <c r="O13" s="5">
        <v>2540</v>
      </c>
      <c r="P13" s="5">
        <v>0</v>
      </c>
      <c r="Q13" s="5">
        <v>2540</v>
      </c>
      <c r="R13" s="5">
        <v>2</v>
      </c>
      <c r="S13" s="5">
        <v>2540</v>
      </c>
      <c r="T13" s="7"/>
    </row>
    <row r="14" spans="1:20" x14ac:dyDescent="0.25">
      <c r="A14" s="1">
        <v>46228.567851053245</v>
      </c>
      <c r="B14" s="2" t="s">
        <v>53</v>
      </c>
      <c r="C14" s="3">
        <v>46228</v>
      </c>
      <c r="D14" s="8" t="s">
        <v>67</v>
      </c>
      <c r="E14" s="2" t="s">
        <v>20</v>
      </c>
      <c r="F14" s="4" t="s">
        <v>33</v>
      </c>
      <c r="G14" t="str">
        <f>VLOOKUP(Table7[[#This Row],[MPG Code]],'[1]MPG Payment'!$B$3:$E$136,4,0)</f>
        <v>Direct</v>
      </c>
      <c r="H14" s="5">
        <v>20010054</v>
      </c>
      <c r="I14" s="2" t="s">
        <v>34</v>
      </c>
      <c r="J14" s="6" t="s">
        <v>35</v>
      </c>
      <c r="K14" s="2" t="s">
        <v>29</v>
      </c>
      <c r="L14" s="2" t="s">
        <v>25</v>
      </c>
      <c r="M14" s="5">
        <v>1</v>
      </c>
      <c r="N14" s="5">
        <v>1270</v>
      </c>
      <c r="O14" s="5">
        <v>1270</v>
      </c>
      <c r="P14" s="5">
        <v>0</v>
      </c>
      <c r="Q14" s="5">
        <v>1270</v>
      </c>
      <c r="R14" s="5">
        <v>1</v>
      </c>
      <c r="S14" s="5">
        <v>1270</v>
      </c>
      <c r="T14" s="7"/>
    </row>
    <row r="15" spans="1:20" x14ac:dyDescent="0.25">
      <c r="A15" s="1">
        <v>46228.5681219213</v>
      </c>
      <c r="B15" s="2" t="s">
        <v>53</v>
      </c>
      <c r="C15" s="3">
        <v>46228</v>
      </c>
      <c r="D15" s="8" t="s">
        <v>67</v>
      </c>
      <c r="E15" s="2" t="s">
        <v>20</v>
      </c>
      <c r="F15" s="4" t="s">
        <v>54</v>
      </c>
      <c r="G15" t="str">
        <f>VLOOKUP(Table7[[#This Row],[MPG Code]],'[1]MPG Payment'!$B$3:$E$136,4,0)</f>
        <v>Direct</v>
      </c>
      <c r="H15" s="5">
        <v>20090008</v>
      </c>
      <c r="I15" s="2" t="s">
        <v>55</v>
      </c>
      <c r="J15" s="6" t="s">
        <v>50</v>
      </c>
      <c r="K15" s="2" t="s">
        <v>29</v>
      </c>
      <c r="L15" s="2" t="s">
        <v>25</v>
      </c>
      <c r="M15" s="5">
        <v>0</v>
      </c>
      <c r="N15" s="5">
        <v>1270</v>
      </c>
      <c r="O15" s="5">
        <v>0</v>
      </c>
      <c r="P15" s="5">
        <v>635</v>
      </c>
      <c r="Q15" s="5">
        <v>635</v>
      </c>
      <c r="R15" s="5">
        <v>0</v>
      </c>
      <c r="S15" s="5">
        <v>635</v>
      </c>
      <c r="T15" s="7"/>
    </row>
    <row r="16" spans="1:20" x14ac:dyDescent="0.25">
      <c r="A16" s="1">
        <v>46228.568738206013</v>
      </c>
      <c r="B16" s="2" t="s">
        <v>53</v>
      </c>
      <c r="C16" s="3">
        <v>46228</v>
      </c>
      <c r="D16" s="8" t="s">
        <v>67</v>
      </c>
      <c r="E16" s="2" t="s">
        <v>20</v>
      </c>
      <c r="F16" s="4" t="s">
        <v>64</v>
      </c>
      <c r="G16" t="str">
        <f>VLOOKUP(Table7[[#This Row],[MPG Code]],'[1]MPG Payment'!$B$3:$E$136,4,0)</f>
        <v>Direct</v>
      </c>
      <c r="H16" s="5">
        <v>20090004</v>
      </c>
      <c r="I16" s="2" t="s">
        <v>61</v>
      </c>
      <c r="J16" s="6" t="s">
        <v>60</v>
      </c>
      <c r="K16" s="2" t="s">
        <v>29</v>
      </c>
      <c r="L16" s="2" t="s">
        <v>25</v>
      </c>
      <c r="M16" s="5">
        <v>0</v>
      </c>
      <c r="N16" s="5">
        <v>1270</v>
      </c>
      <c r="O16" s="5">
        <v>0</v>
      </c>
      <c r="P16" s="5">
        <v>635</v>
      </c>
      <c r="Q16" s="5">
        <v>635</v>
      </c>
      <c r="R16" s="5">
        <v>0</v>
      </c>
      <c r="S16" s="5">
        <v>635</v>
      </c>
      <c r="T16" s="7"/>
    </row>
    <row r="17" spans="1:20" x14ac:dyDescent="0.25">
      <c r="A17" s="1">
        <v>46228.577390474537</v>
      </c>
      <c r="B17" s="2" t="s">
        <v>53</v>
      </c>
      <c r="C17" s="3">
        <v>46228</v>
      </c>
      <c r="D17" s="8" t="s">
        <v>67</v>
      </c>
      <c r="E17" s="2" t="s">
        <v>20</v>
      </c>
      <c r="F17" s="4" t="s">
        <v>58</v>
      </c>
      <c r="G17" t="str">
        <f>VLOOKUP(Table7[[#This Row],[MPG Code]],'[1]MPG Payment'!$B$3:$E$136,4,0)</f>
        <v>Direct</v>
      </c>
      <c r="H17" s="5">
        <v>20090020</v>
      </c>
      <c r="I17" s="2" t="s">
        <v>57</v>
      </c>
      <c r="J17" s="6" t="s">
        <v>50</v>
      </c>
      <c r="K17" s="2" t="s">
        <v>29</v>
      </c>
      <c r="L17" s="2" t="s">
        <v>25</v>
      </c>
      <c r="M17" s="5">
        <v>1</v>
      </c>
      <c r="N17" s="5">
        <v>1270</v>
      </c>
      <c r="O17" s="5">
        <v>1270</v>
      </c>
      <c r="P17" s="5">
        <v>0</v>
      </c>
      <c r="Q17" s="5">
        <v>1270</v>
      </c>
      <c r="R17" s="5">
        <v>1</v>
      </c>
      <c r="S17" s="5">
        <v>1270</v>
      </c>
      <c r="T17" s="7"/>
    </row>
    <row r="18" spans="1:20" x14ac:dyDescent="0.25">
      <c r="A18" s="1">
        <v>46228.566783622686</v>
      </c>
      <c r="B18" s="2" t="s">
        <v>53</v>
      </c>
      <c r="C18" s="3">
        <v>46228</v>
      </c>
      <c r="D18" s="8" t="s">
        <v>67</v>
      </c>
      <c r="E18" s="2" t="s">
        <v>20</v>
      </c>
      <c r="F18" s="4" t="s">
        <v>27</v>
      </c>
      <c r="G18" t="str">
        <f>VLOOKUP(Table7[[#This Row],[MPG Code]],'[1]MPG Payment'!$B$3:$E$136,4,0)</f>
        <v>Indirect</v>
      </c>
      <c r="H18" s="5">
        <v>20090022</v>
      </c>
      <c r="I18" s="2" t="s">
        <v>28</v>
      </c>
      <c r="J18" s="6" t="s">
        <v>23</v>
      </c>
      <c r="K18" s="2" t="s">
        <v>29</v>
      </c>
      <c r="L18" s="2" t="s">
        <v>25</v>
      </c>
      <c r="M18" s="5">
        <v>1</v>
      </c>
      <c r="N18" s="5">
        <v>1270</v>
      </c>
      <c r="O18" s="5">
        <v>1270</v>
      </c>
      <c r="P18" s="5">
        <v>0</v>
      </c>
      <c r="Q18" s="5">
        <v>1270</v>
      </c>
      <c r="R18" s="5">
        <v>1</v>
      </c>
      <c r="S18" s="5">
        <v>1270</v>
      </c>
      <c r="T18" s="7"/>
    </row>
    <row r="19" spans="1:20" x14ac:dyDescent="0.25">
      <c r="A19" s="9">
        <v>46228.569054525462</v>
      </c>
      <c r="B19" s="10" t="s">
        <v>53</v>
      </c>
      <c r="C19" s="11">
        <v>46228</v>
      </c>
      <c r="D19" s="12" t="s">
        <v>67</v>
      </c>
      <c r="E19" s="10" t="s">
        <v>20</v>
      </c>
      <c r="F19" s="13" t="s">
        <v>39</v>
      </c>
      <c r="G19" t="str">
        <f>VLOOKUP(Table7[[#This Row],[MPG Code]],'[1]MPG Payment'!$B$3:$E$136,4,0)</f>
        <v>Indirect</v>
      </c>
      <c r="H19" s="14">
        <v>20090025</v>
      </c>
      <c r="I19" s="10" t="s">
        <v>40</v>
      </c>
      <c r="J19" s="15" t="s">
        <v>23</v>
      </c>
      <c r="K19" s="10" t="s">
        <v>29</v>
      </c>
      <c r="L19" s="10" t="s">
        <v>25</v>
      </c>
      <c r="M19" s="14">
        <v>1</v>
      </c>
      <c r="N19" s="14">
        <v>1270</v>
      </c>
      <c r="O19" s="14">
        <v>1270</v>
      </c>
      <c r="P19" s="14">
        <v>0</v>
      </c>
      <c r="Q19" s="14">
        <v>1270</v>
      </c>
      <c r="R19" s="14">
        <v>1</v>
      </c>
      <c r="S19" s="14">
        <v>1270</v>
      </c>
      <c r="T19" s="16"/>
    </row>
    <row r="20" spans="1:20" x14ac:dyDescent="0.25">
      <c r="A20" s="22"/>
      <c r="B20" s="28"/>
      <c r="C20" s="28"/>
      <c r="D20" s="28"/>
      <c r="E20" s="28"/>
      <c r="F20" s="28"/>
      <c r="G20" s="10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>
        <f>SUBTOTAL(109,Table7[Final Amount])</f>
        <v>63967</v>
      </c>
      <c r="T20" s="21"/>
    </row>
  </sheetData>
  <dataValidations count="2">
    <dataValidation type="list" allowBlank="1" sqref="E2:E19" xr:uid="{C67DE259-D734-4FCC-BFA8-AD3465AAC842}">
      <formula1>#REF!</formula1>
    </dataValidation>
    <dataValidation allowBlank="1" showDropDown="1" sqref="F2:F19" xr:uid="{C73C6FA7-ACF1-4C8C-8884-897CCD2F7DAC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2026-07-25T08:28:31Z</dcterms:created>
  <dcterms:modified xsi:type="dcterms:W3CDTF">2026-07-31T11:36:07Z</dcterms:modified>
</cp:coreProperties>
</file>