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hul\Desktop\Rahul Backup\Farmer Payment\FYI-26-27\Jharkhand\Farmer Payment\JHFRAMERPAYMENT  17-23 Jul'26\"/>
    </mc:Choice>
  </mc:AlternateContent>
  <xr:revisionPtr revIDLastSave="0" documentId="8_{A30473DE-A520-43C8-8BA1-1D55CA1E3AC6}" xr6:coauthVersionLast="47" xr6:coauthVersionMax="47" xr10:uidLastSave="{00000000-0000-0000-0000-000000000000}"/>
  <bookViews>
    <workbookView xWindow="-120" yWindow="-120" windowWidth="29040" windowHeight="15720" xr2:uid="{A251F5AF-C059-4A36-83E0-771783D53BF5}"/>
  </bookViews>
  <sheets>
    <sheet name="MPG" sheetId="1" r:id="rId1"/>
    <sheet name="Farmer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48" i="2" l="1"/>
</calcChain>
</file>

<file path=xl/sharedStrings.xml><?xml version="1.0" encoding="utf-8"?>
<sst xmlns="http://schemas.openxmlformats.org/spreadsheetml/2006/main" count="590" uniqueCount="250">
  <si>
    <t xml:space="preserve">BMC Code </t>
  </si>
  <si>
    <t xml:space="preserve">Code </t>
  </si>
  <si>
    <t xml:space="preserve">MPG NAME </t>
  </si>
  <si>
    <t>Type</t>
  </si>
  <si>
    <t>Farmer Payment</t>
  </si>
  <si>
    <t>BMC Volume</t>
  </si>
  <si>
    <t>BMC Amount</t>
  </si>
  <si>
    <t>TS Loss</t>
  </si>
  <si>
    <t>Deduction for excess payment</t>
  </si>
  <si>
    <t>CF Deduction</t>
  </si>
  <si>
    <t>Vet Deduction</t>
  </si>
  <si>
    <t>Payment to Farmer A/c</t>
  </si>
  <si>
    <t>Unreg. Farmer payment</t>
  </si>
  <si>
    <t>Payment to MPGs A/c</t>
  </si>
  <si>
    <t>Stop Payment</t>
  </si>
  <si>
    <t>Cycle</t>
  </si>
  <si>
    <t>Remarks</t>
  </si>
  <si>
    <t>CF OS</t>
  </si>
  <si>
    <t>Deduction</t>
  </si>
  <si>
    <t>Balance</t>
  </si>
  <si>
    <t>CF OS Aging in Days</t>
  </si>
  <si>
    <t>BMC Code :2006</t>
  </si>
  <si>
    <t>CHUTTU</t>
  </si>
  <si>
    <t>MPG</t>
  </si>
  <si>
    <t>Direct</t>
  </si>
  <si>
    <t>Release1</t>
  </si>
  <si>
    <t>17. 17-23 Jun</t>
  </si>
  <si>
    <t>CF OS &gt;15 Day's</t>
  </si>
  <si>
    <t>BMC Code :2009</t>
  </si>
  <si>
    <t>PAKARIYO</t>
  </si>
  <si>
    <t>PAKARIYO 2</t>
  </si>
  <si>
    <t>Total:</t>
  </si>
  <si>
    <t>ID</t>
  </si>
  <si>
    <t>BMC Area</t>
  </si>
  <si>
    <t>MPG Name</t>
  </si>
  <si>
    <t>Code</t>
  </si>
  <si>
    <t>Farmers Code</t>
  </si>
  <si>
    <t>No of Shift</t>
  </si>
  <si>
    <t>Vol_L</t>
  </si>
  <si>
    <t>Amount</t>
  </si>
  <si>
    <t>Milk Short</t>
  </si>
  <si>
    <t>Net Amount</t>
  </si>
  <si>
    <t>Category</t>
  </si>
  <si>
    <t>Farmers Account Name</t>
  </si>
  <si>
    <t>Accont no</t>
  </si>
  <si>
    <t>IFSC code</t>
  </si>
  <si>
    <t>Bank Name</t>
  </si>
  <si>
    <t>Date of Enrollment</t>
  </si>
  <si>
    <t>Count</t>
  </si>
  <si>
    <t>Account Details</t>
  </si>
  <si>
    <t>200600040002</t>
  </si>
  <si>
    <t>0002</t>
  </si>
  <si>
    <t>SHEETAL KUMAR MAHTO</t>
  </si>
  <si>
    <t>078301000015868</t>
  </si>
  <si>
    <t>IOBA0000783</t>
  </si>
  <si>
    <t>INDIAN OVERSEAS BANK</t>
  </si>
  <si>
    <t>Available</t>
  </si>
  <si>
    <t>17.17-23 Jun</t>
  </si>
  <si>
    <t>200600040005</t>
  </si>
  <si>
    <t>0005</t>
  </si>
  <si>
    <t>PRIYANKA KUMARI</t>
  </si>
  <si>
    <t>43356136379</t>
  </si>
  <si>
    <t>SBIN0015933</t>
  </si>
  <si>
    <t>STATE BANK OF INDIA</t>
  </si>
  <si>
    <t>200600040006</t>
  </si>
  <si>
    <t>0006</t>
  </si>
  <si>
    <t>ARMAN ANSARI</t>
  </si>
  <si>
    <t>078301000085273</t>
  </si>
  <si>
    <t>200600040010</t>
  </si>
  <si>
    <t>0010</t>
  </si>
  <si>
    <t>NUSRAT JAHAN</t>
  </si>
  <si>
    <t>078301000028490</t>
  </si>
  <si>
    <t>200600040015</t>
  </si>
  <si>
    <t>0015</t>
  </si>
  <si>
    <t>GYAN RANJAN MAHTO</t>
  </si>
  <si>
    <t>1526010035954</t>
  </si>
  <si>
    <t>PUNB0152620</t>
  </si>
  <si>
    <t xml:space="preserve">PUNJAB NATIONAL BANK </t>
  </si>
  <si>
    <t>200600040017</t>
  </si>
  <si>
    <t>0017</t>
  </si>
  <si>
    <t>ABHISHEK MAHTO</t>
  </si>
  <si>
    <t>590318210001003</t>
  </si>
  <si>
    <t>BKID0005903</t>
  </si>
  <si>
    <t>200600040020</t>
  </si>
  <si>
    <t>0020</t>
  </si>
  <si>
    <t>AJEET KUMAR MAHTO</t>
  </si>
  <si>
    <t>32963977675</t>
  </si>
  <si>
    <t>200600040021</t>
  </si>
  <si>
    <t>0021</t>
  </si>
  <si>
    <t>KUSHESHWAR MAHTO</t>
  </si>
  <si>
    <t>078301000014584</t>
  </si>
  <si>
    <t>200600040022</t>
  </si>
  <si>
    <t>0022</t>
  </si>
  <si>
    <t>GAFAR ANSARI</t>
  </si>
  <si>
    <t>078301000020889</t>
  </si>
  <si>
    <t>200600040023</t>
  </si>
  <si>
    <t>0023</t>
  </si>
  <si>
    <t>LAXMI DEVI</t>
  </si>
  <si>
    <t>590310110004672</t>
  </si>
  <si>
    <t>BANK OF INDIA</t>
  </si>
  <si>
    <t>200600040025</t>
  </si>
  <si>
    <t>0025</t>
  </si>
  <si>
    <t>BABULAL MAHTO</t>
  </si>
  <si>
    <t>078301000008989</t>
  </si>
  <si>
    <t>200600040027</t>
  </si>
  <si>
    <t>0027</t>
  </si>
  <si>
    <t>ARUN KUMAR MAHTO</t>
  </si>
  <si>
    <t>078301000021585</t>
  </si>
  <si>
    <t>200600040029</t>
  </si>
  <si>
    <t>0029</t>
  </si>
  <si>
    <t>SITARAM MAHTO</t>
  </si>
  <si>
    <t>078301000084592</t>
  </si>
  <si>
    <t>200600040031</t>
  </si>
  <si>
    <t>0031</t>
  </si>
  <si>
    <t>AGAM LAL MAHTO</t>
  </si>
  <si>
    <t>078301000073230</t>
  </si>
  <si>
    <t>200600040037</t>
  </si>
  <si>
    <t>0037</t>
  </si>
  <si>
    <t>RAM NARAYAN MAHTO</t>
  </si>
  <si>
    <t>01670100019296</t>
  </si>
  <si>
    <t>UCBA0000167</t>
  </si>
  <si>
    <t xml:space="preserve">UCO BANK </t>
  </si>
  <si>
    <t>200600040041</t>
  </si>
  <si>
    <t>0041</t>
  </si>
  <si>
    <t>PANNA LAL MAHTO</t>
  </si>
  <si>
    <t>078301000008987</t>
  </si>
  <si>
    <t>200600040044</t>
  </si>
  <si>
    <t>0044</t>
  </si>
  <si>
    <t>PRITI KUMARI</t>
  </si>
  <si>
    <t>41691331382</t>
  </si>
  <si>
    <t>SBIN0002908</t>
  </si>
  <si>
    <t>200600040048</t>
  </si>
  <si>
    <t>0048</t>
  </si>
  <si>
    <t>YUVRAJ KUMAR MAHTO</t>
  </si>
  <si>
    <t>078301000026254</t>
  </si>
  <si>
    <t>200600040052</t>
  </si>
  <si>
    <t>0052</t>
  </si>
  <si>
    <t>BALESH MAHTO</t>
  </si>
  <si>
    <t>38591202671</t>
  </si>
  <si>
    <t>200600040055</t>
  </si>
  <si>
    <t>0055</t>
  </si>
  <si>
    <t>JHALO DEVI</t>
  </si>
  <si>
    <t>078301000081796</t>
  </si>
  <si>
    <t>200600040056</t>
  </si>
  <si>
    <t>0056</t>
  </si>
  <si>
    <t>DASHMI DEVI</t>
  </si>
  <si>
    <t>078301000008968</t>
  </si>
  <si>
    <t>200600040058</t>
  </si>
  <si>
    <t>0058</t>
  </si>
  <si>
    <t>SIDDIK ANSARI</t>
  </si>
  <si>
    <t>346801000015373</t>
  </si>
  <si>
    <t>IOBA0003468</t>
  </si>
  <si>
    <t>200600040059</t>
  </si>
  <si>
    <t>0059</t>
  </si>
  <si>
    <t>MANINATH MAHTO</t>
  </si>
  <si>
    <t>078301000004146</t>
  </si>
  <si>
    <t>200600040068</t>
  </si>
  <si>
    <t>0068</t>
  </si>
  <si>
    <t>IRSHAD ANSARI</t>
  </si>
  <si>
    <t>078301000031409</t>
  </si>
  <si>
    <t>200600040072</t>
  </si>
  <si>
    <t>0072</t>
  </si>
  <si>
    <t>ABHISHEK KUMAR</t>
  </si>
  <si>
    <t>315201000003786</t>
  </si>
  <si>
    <t>IOBA0003152</t>
  </si>
  <si>
    <t>200600040073</t>
  </si>
  <si>
    <t>0073</t>
  </si>
  <si>
    <t>PANCHU RAM MAHTO</t>
  </si>
  <si>
    <t>346801000006305</t>
  </si>
  <si>
    <t>200600040082</t>
  </si>
  <si>
    <t>0082</t>
  </si>
  <si>
    <t>NIKITA MUNDA</t>
  </si>
  <si>
    <t>078301000076190</t>
  </si>
  <si>
    <t>200600040085</t>
  </si>
  <si>
    <t>0085</t>
  </si>
  <si>
    <t>KOLAMANI DEVI</t>
  </si>
  <si>
    <t>38212885334</t>
  </si>
  <si>
    <t>SBIN0018056</t>
  </si>
  <si>
    <t>200600040088</t>
  </si>
  <si>
    <t>0088</t>
  </si>
  <si>
    <t>JAYRAM KUMAR MAHTO</t>
  </si>
  <si>
    <t>490710110004944</t>
  </si>
  <si>
    <t>BKID0004907</t>
  </si>
  <si>
    <t>200600040091</t>
  </si>
  <si>
    <t>0091</t>
  </si>
  <si>
    <t>MUNNI DEVI</t>
  </si>
  <si>
    <t>7766000100012640</t>
  </si>
  <si>
    <t>PUNB0776600</t>
  </si>
  <si>
    <t>200600040092</t>
  </si>
  <si>
    <t>0092</t>
  </si>
  <si>
    <t>JAIGOVIND MAHTO</t>
  </si>
  <si>
    <t>078301000015943</t>
  </si>
  <si>
    <t>200600040093</t>
  </si>
  <si>
    <t>0093</t>
  </si>
  <si>
    <t>TINKU KUMAR</t>
  </si>
  <si>
    <t>078301000025873</t>
  </si>
  <si>
    <t>200600040094</t>
  </si>
  <si>
    <t>0094</t>
  </si>
  <si>
    <t>VIVEKANDAND RAY</t>
  </si>
  <si>
    <t>22990100018031</t>
  </si>
  <si>
    <t>FDRL0002299</t>
  </si>
  <si>
    <t>200900150002</t>
  </si>
  <si>
    <t>ELYASH ANSARI</t>
  </si>
  <si>
    <t>0746010415040</t>
  </si>
  <si>
    <t>PUNB0074620</t>
  </si>
  <si>
    <t>200900150010</t>
  </si>
  <si>
    <t>RUHI KHATOON</t>
  </si>
  <si>
    <t>0746010110855</t>
  </si>
  <si>
    <t>200900150014</t>
  </si>
  <si>
    <t>0014</t>
  </si>
  <si>
    <t>KURBAN ANSARI</t>
  </si>
  <si>
    <t>490310110001598</t>
  </si>
  <si>
    <t>BKID0004903</t>
  </si>
  <si>
    <t>200900150016</t>
  </si>
  <si>
    <t>0016</t>
  </si>
  <si>
    <t>RAKIBA KHATOON</t>
  </si>
  <si>
    <t>0746010420082</t>
  </si>
  <si>
    <t>200900150017</t>
  </si>
  <si>
    <t>MIYAJAN ANSARI</t>
  </si>
  <si>
    <t>0746201700000504</t>
  </si>
  <si>
    <t>200900150022</t>
  </si>
  <si>
    <t>SAHIBA KHATOON</t>
  </si>
  <si>
    <t>0746010675550</t>
  </si>
  <si>
    <t>200900150031</t>
  </si>
  <si>
    <t>SAHJADI KHATOON</t>
  </si>
  <si>
    <t>0746010626705</t>
  </si>
  <si>
    <t>200900150032</t>
  </si>
  <si>
    <t>0032</t>
  </si>
  <si>
    <t>RUKSAR KHATUN</t>
  </si>
  <si>
    <t>0746010418843</t>
  </si>
  <si>
    <t>200900150033</t>
  </si>
  <si>
    <t>0033</t>
  </si>
  <si>
    <t>AMIT KUMAR MAHLI</t>
  </si>
  <si>
    <t>0746201700018682</t>
  </si>
  <si>
    <t>200900150035</t>
  </si>
  <si>
    <t>0035</t>
  </si>
  <si>
    <t>NOORJAHAN KHATOON</t>
  </si>
  <si>
    <t>0746010752800</t>
  </si>
  <si>
    <t>200900150037</t>
  </si>
  <si>
    <t>MANIR ANSARI</t>
  </si>
  <si>
    <t>0746010420112</t>
  </si>
  <si>
    <t>200900200002</t>
  </si>
  <si>
    <t>ISRAT JAHAN</t>
  </si>
  <si>
    <t>50100686211904</t>
  </si>
  <si>
    <t>HDFC0001470</t>
  </si>
  <si>
    <t>200900200005</t>
  </si>
  <si>
    <t>NIKHAT PARWEEN</t>
  </si>
  <si>
    <t>84055903593</t>
  </si>
  <si>
    <t>SBIN0RRVCGB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</si>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</sst>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 * #,##0.00_ ;_ * \-#,##0.00_ ;_ * &quot;-&quot;??_ ;_ @_ "/>
    <numFmt numFmtId="164" formatCode="_ * #,##0_ ;_ * \-#,##0_ ;_ * &quot;-&quot;??_ ;_ @_ "/>
    <numFmt numFmtId="165" formatCode="_ * #,##0.0_ ;_ * \-#,##0.0_ ;_ * &quot;-&quot;??_ ;_ @_ "/>
  </numFmts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10"/>
      <color rgb="FFFF0000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7" tint="0.599963377788628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 tint="-9.9948118533890809E-2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7030A0"/>
        <bgColor indexed="64"/>
      </patternFill>
    </fill>
  </fills>
  <borders count="18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 style="thin">
        <color theme="4"/>
      </left>
      <right/>
      <top style="double">
        <color theme="4"/>
      </top>
      <bottom style="thin">
        <color theme="4"/>
      </bottom>
      <diagonal/>
    </border>
    <border>
      <left/>
      <right/>
      <top style="double">
        <color theme="4"/>
      </top>
      <bottom style="thin">
        <color theme="4"/>
      </bottom>
      <diagonal/>
    </border>
    <border>
      <left/>
      <right style="thin">
        <color theme="4"/>
      </right>
      <top style="double">
        <color theme="4"/>
      </top>
      <bottom style="thin">
        <color theme="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</cellStyleXfs>
  <cellXfs count="57">
    <xf numFmtId="0" fontId="0" fillId="0" borderId="0" xfId="0"/>
    <xf numFmtId="43" fontId="4" fillId="2" borderId="1" xfId="2" applyFont="1" applyFill="1" applyBorder="1" applyAlignment="1">
      <alignment horizontal="center" vertical="center" wrapText="1"/>
    </xf>
    <xf numFmtId="43" fontId="4" fillId="2" borderId="2" xfId="2" applyFont="1" applyFill="1" applyBorder="1" applyAlignment="1">
      <alignment horizontal="center" vertical="center" wrapText="1"/>
    </xf>
    <xf numFmtId="43" fontId="4" fillId="2" borderId="2" xfId="2" applyFont="1" applyFill="1" applyBorder="1" applyAlignment="1">
      <alignment horizontal="left" vertical="center" wrapText="1"/>
    </xf>
    <xf numFmtId="43" fontId="4" fillId="3" borderId="2" xfId="2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5" borderId="2" xfId="0" applyFont="1" applyFill="1" applyBorder="1" applyAlignment="1">
      <alignment horizontal="center" vertical="center" wrapText="1"/>
    </xf>
    <xf numFmtId="0" fontId="5" fillId="6" borderId="2" xfId="0" applyFont="1" applyFill="1" applyBorder="1" applyAlignment="1">
      <alignment horizontal="center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6" fillId="0" borderId="0" xfId="0" applyFont="1"/>
    <xf numFmtId="0" fontId="6" fillId="0" borderId="4" xfId="0" applyFont="1" applyBorder="1"/>
    <xf numFmtId="0" fontId="6" fillId="0" borderId="5" xfId="0" quotePrefix="1" applyFont="1" applyBorder="1" applyAlignment="1">
      <alignment horizontal="center"/>
    </xf>
    <xf numFmtId="0" fontId="6" fillId="0" borderId="5" xfId="0" applyFont="1" applyBorder="1" applyAlignment="1">
      <alignment horizontal="left" vertical="center"/>
    </xf>
    <xf numFmtId="0" fontId="6" fillId="0" borderId="6" xfId="0" applyFont="1" applyBorder="1" applyAlignment="1">
      <alignment horizontal="center"/>
    </xf>
    <xf numFmtId="0" fontId="6" fillId="0" borderId="6" xfId="0" applyFont="1" applyBorder="1"/>
    <xf numFmtId="1" fontId="6" fillId="0" borderId="5" xfId="0" applyNumberFormat="1" applyFont="1" applyBorder="1" applyAlignment="1">
      <alignment horizontal="center"/>
    </xf>
    <xf numFmtId="164" fontId="6" fillId="4" borderId="6" xfId="2" applyNumberFormat="1" applyFont="1" applyFill="1" applyBorder="1" applyAlignment="1">
      <alignment horizontal="center" vertical="center"/>
    </xf>
    <xf numFmtId="164" fontId="6" fillId="0" borderId="6" xfId="0" applyNumberFormat="1" applyFont="1" applyBorder="1"/>
    <xf numFmtId="43" fontId="6" fillId="0" borderId="6" xfId="0" applyNumberFormat="1" applyFont="1" applyBorder="1"/>
    <xf numFmtId="43" fontId="6" fillId="0" borderId="6" xfId="1" applyFont="1" applyBorder="1" applyAlignment="1">
      <alignment horizontal="center"/>
    </xf>
    <xf numFmtId="43" fontId="6" fillId="0" borderId="7" xfId="1" applyFont="1" applyBorder="1" applyAlignment="1">
      <alignment horizontal="center"/>
    </xf>
    <xf numFmtId="0" fontId="4" fillId="7" borderId="8" xfId="0" applyFont="1" applyFill="1" applyBorder="1"/>
    <xf numFmtId="0" fontId="4" fillId="7" borderId="9" xfId="0" applyFont="1" applyFill="1" applyBorder="1" applyAlignment="1">
      <alignment horizontal="center"/>
    </xf>
    <xf numFmtId="0" fontId="4" fillId="7" borderId="10" xfId="0" applyFont="1" applyFill="1" applyBorder="1" applyAlignment="1">
      <alignment horizontal="left"/>
    </xf>
    <xf numFmtId="0" fontId="4" fillId="7" borderId="11" xfId="0" applyFont="1" applyFill="1" applyBorder="1" applyAlignment="1">
      <alignment horizontal="center"/>
    </xf>
    <xf numFmtId="1" fontId="4" fillId="7" borderId="11" xfId="0" applyNumberFormat="1" applyFont="1" applyFill="1" applyBorder="1" applyAlignment="1">
      <alignment horizontal="center"/>
    </xf>
    <xf numFmtId="164" fontId="4" fillId="7" borderId="11" xfId="2" applyNumberFormat="1" applyFont="1" applyFill="1" applyBorder="1" applyAlignment="1">
      <alignment horizontal="center" vertical="center"/>
    </xf>
    <xf numFmtId="43" fontId="4" fillId="7" borderId="12" xfId="1" applyFont="1" applyFill="1" applyBorder="1" applyAlignment="1">
      <alignment horizontal="center"/>
    </xf>
    <xf numFmtId="43" fontId="4" fillId="7" borderId="11" xfId="1" applyFont="1" applyFill="1" applyBorder="1" applyAlignment="1">
      <alignment horizontal="center"/>
    </xf>
    <xf numFmtId="0" fontId="2" fillId="8" borderId="1" xfId="3" applyFont="1" applyFill="1" applyBorder="1" applyAlignment="1">
      <alignment horizontal="center" vertical="center" wrapText="1"/>
    </xf>
    <xf numFmtId="0" fontId="2" fillId="8" borderId="2" xfId="3" applyFont="1" applyFill="1" applyBorder="1" applyAlignment="1">
      <alignment horizontal="center" vertical="center" wrapText="1"/>
    </xf>
    <xf numFmtId="0" fontId="2" fillId="9" borderId="2" xfId="3" applyFont="1" applyFill="1" applyBorder="1" applyAlignment="1">
      <alignment horizontal="center" vertical="center" wrapText="1"/>
    </xf>
    <xf numFmtId="49" fontId="2" fillId="9" borderId="2" xfId="3" applyNumberFormat="1" applyFont="1" applyFill="1" applyBorder="1" applyAlignment="1">
      <alignment horizontal="center" vertical="center" wrapText="1"/>
    </xf>
    <xf numFmtId="49" fontId="2" fillId="8" borderId="2" xfId="3" applyNumberFormat="1" applyFont="1" applyFill="1" applyBorder="1" applyAlignment="1">
      <alignment horizontal="center" vertical="center" wrapText="1"/>
    </xf>
    <xf numFmtId="0" fontId="2" fillId="8" borderId="2" xfId="3" applyFont="1" applyFill="1" applyBorder="1" applyAlignment="1">
      <alignment horizontal="left" vertical="center" wrapText="1"/>
    </xf>
    <xf numFmtId="0" fontId="2" fillId="10" borderId="2" xfId="3" applyFont="1" applyFill="1" applyBorder="1" applyAlignment="1">
      <alignment horizontal="center" vertical="center" wrapText="1"/>
    </xf>
    <xf numFmtId="14" fontId="2" fillId="10" borderId="2" xfId="3" applyNumberFormat="1" applyFont="1" applyFill="1" applyBorder="1" applyAlignment="1">
      <alignment horizontal="center" vertical="center" wrapText="1"/>
    </xf>
    <xf numFmtId="0" fontId="0" fillId="0" borderId="13" xfId="0" applyBorder="1"/>
    <xf numFmtId="0" fontId="0" fillId="0" borderId="14" xfId="0" applyBorder="1" applyAlignment="1">
      <alignment horizontal="center"/>
    </xf>
    <xf numFmtId="0" fontId="0" fillId="0" borderId="14" xfId="0" applyBorder="1"/>
    <xf numFmtId="0" fontId="0" fillId="0" borderId="14" xfId="0" quotePrefix="1" applyBorder="1" applyAlignment="1">
      <alignment horizontal="center"/>
    </xf>
    <xf numFmtId="1" fontId="0" fillId="0" borderId="14" xfId="0" applyNumberFormat="1" applyBorder="1" applyAlignment="1">
      <alignment horizontal="center"/>
    </xf>
    <xf numFmtId="43" fontId="0" fillId="0" borderId="14" xfId="1" applyFont="1" applyBorder="1" applyAlignment="1">
      <alignment horizontal="center"/>
    </xf>
    <xf numFmtId="165" fontId="0" fillId="0" borderId="14" xfId="1" applyNumberFormat="1" applyFont="1" applyBorder="1" applyAlignment="1">
      <alignment horizontal="center"/>
    </xf>
    <xf numFmtId="43" fontId="0" fillId="0" borderId="14" xfId="1" applyFont="1" applyBorder="1"/>
    <xf numFmtId="164" fontId="0" fillId="0" borderId="14" xfId="1" applyNumberFormat="1" applyFont="1" applyBorder="1" applyAlignment="1">
      <alignment horizontal="center"/>
    </xf>
    <xf numFmtId="14" fontId="0" fillId="0" borderId="14" xfId="0" applyNumberFormat="1" applyBorder="1" applyAlignment="1">
      <alignment horizontal="center"/>
    </xf>
    <xf numFmtId="43" fontId="0" fillId="0" borderId="0" xfId="1" quotePrefix="1" applyFont="1" applyFill="1"/>
    <xf numFmtId="0" fontId="3" fillId="0" borderId="15" xfId="0" applyFont="1" applyBorder="1"/>
    <xf numFmtId="0" fontId="3" fillId="0" borderId="16" xfId="0" applyFont="1" applyBorder="1" applyAlignment="1">
      <alignment horizontal="center"/>
    </xf>
    <xf numFmtId="0" fontId="3" fillId="0" borderId="16" xfId="0" applyFont="1" applyBorder="1"/>
    <xf numFmtId="1" fontId="3" fillId="0" borderId="16" xfId="0" applyNumberFormat="1" applyFont="1" applyBorder="1" applyAlignment="1">
      <alignment horizontal="center"/>
    </xf>
    <xf numFmtId="43" fontId="3" fillId="0" borderId="16" xfId="0" applyNumberFormat="1" applyFont="1" applyBorder="1" applyAlignment="1">
      <alignment horizontal="center"/>
    </xf>
    <xf numFmtId="164" fontId="3" fillId="0" borderId="16" xfId="0" applyNumberFormat="1" applyFont="1" applyBorder="1"/>
    <xf numFmtId="43" fontId="3" fillId="0" borderId="16" xfId="0" applyNumberFormat="1" applyFont="1" applyBorder="1"/>
    <xf numFmtId="14" fontId="3" fillId="0" borderId="16" xfId="0" applyNumberFormat="1" applyFont="1" applyBorder="1" applyAlignment="1">
      <alignment horizontal="center"/>
    </xf>
    <xf numFmtId="0" fontId="3" fillId="0" borderId="17" xfId="0" applyFont="1" applyBorder="1"/>
  </cellXfs>
  <cellStyles count="4">
    <cellStyle name="Comma" xfId="1" builtinId="3"/>
    <cellStyle name="Comma 2" xfId="2" xr:uid="{CF40F6EE-E46C-4828-898A-3802CD97FEA8}"/>
    <cellStyle name="Normal" xfId="0" builtinId="0"/>
    <cellStyle name="Normal 2" xfId="3" xr:uid="{EFE005B2-D906-465A-A20C-03BF92077199}"/>
  </cellStyles>
  <dxfs count="14"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137DBA-4ADB-4C3B-AB84-3EEDEE4ECA06}">
  <dimension ref="A1:Q5"/>
  <sheetViews>
    <sheetView tabSelected="1" workbookViewId="0">
      <selection activeCell="Q22" sqref="Q22"/>
    </sheetView>
  </sheetViews>
  <sheetFormatPr defaultRowHeight="13.5" x14ac:dyDescent="0.25"/>
  <cols>
    <col min="1" max="1" width="14.85546875" style="9" bestFit="1" customWidth="1"/>
    <col min="2" max="2" width="9" style="9" bestFit="1" customWidth="1"/>
    <col min="3" max="3" width="11.140625" style="9" bestFit="1" customWidth="1"/>
    <col min="4" max="4" width="5.7109375" style="9" bestFit="1" customWidth="1"/>
    <col min="5" max="5" width="8.85546875" style="9" bestFit="1" customWidth="1"/>
    <col min="6" max="6" width="7.85546875" style="9" bestFit="1" customWidth="1"/>
    <col min="7" max="7" width="8" style="9" bestFit="1" customWidth="1"/>
    <col min="8" max="8" width="9" style="9" bestFit="1" customWidth="1"/>
    <col min="9" max="10" width="8.85546875" style="9" bestFit="1" customWidth="1"/>
    <col min="11" max="11" width="9.7109375" style="9" bestFit="1" customWidth="1"/>
    <col min="12" max="12" width="13.140625" style="9" bestFit="1" customWidth="1"/>
    <col min="13" max="13" width="14.7109375" style="9" bestFit="1" customWidth="1"/>
    <col min="14" max="14" width="9" style="9" bestFit="1" customWidth="1"/>
    <col min="15" max="15" width="8.140625" style="9" bestFit="1" customWidth="1"/>
    <col min="16" max="16" width="9" style="9" bestFit="1" customWidth="1"/>
    <col min="17" max="17" width="8" style="9" bestFit="1" customWidth="1"/>
    <col min="18" max="16384" width="9.140625" style="9"/>
  </cols>
  <sheetData>
    <row r="1" spans="1:17" ht="41.25" thickBot="1" x14ac:dyDescent="0.3">
      <c r="A1" s="1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4" t="s">
        <v>5</v>
      </c>
      <c r="G1" s="4" t="s">
        <v>6</v>
      </c>
      <c r="H1" s="2" t="s">
        <v>11</v>
      </c>
      <c r="I1" s="2" t="s">
        <v>12</v>
      </c>
      <c r="J1" s="2" t="s">
        <v>13</v>
      </c>
      <c r="K1" s="5" t="s">
        <v>14</v>
      </c>
      <c r="L1" s="6" t="s">
        <v>15</v>
      </c>
      <c r="M1" s="7" t="s">
        <v>16</v>
      </c>
      <c r="N1" s="6" t="s">
        <v>17</v>
      </c>
      <c r="O1" s="6" t="s">
        <v>18</v>
      </c>
      <c r="P1" s="8" t="s">
        <v>19</v>
      </c>
      <c r="Q1" s="8" t="s">
        <v>20</v>
      </c>
    </row>
    <row r="2" spans="1:17" x14ac:dyDescent="0.25">
      <c r="A2" s="10" t="s">
        <v>21</v>
      </c>
      <c r="B2" s="11">
        <v>20060004</v>
      </c>
      <c r="C2" s="12" t="s">
        <v>22</v>
      </c>
      <c r="D2" s="13" t="s">
        <v>23</v>
      </c>
      <c r="E2" s="14" t="s">
        <v>24</v>
      </c>
      <c r="F2" s="15">
        <v>1823.3999999999996</v>
      </c>
      <c r="G2" s="15">
        <v>73263.25</v>
      </c>
      <c r="H2" s="16">
        <v>66908</v>
      </c>
      <c r="I2" s="16">
        <v>0</v>
      </c>
      <c r="J2" s="16">
        <v>0</v>
      </c>
      <c r="K2" s="17" t="s">
        <v>25</v>
      </c>
      <c r="L2" s="18" t="s">
        <v>26</v>
      </c>
      <c r="M2" s="13" t="s">
        <v>27</v>
      </c>
      <c r="N2" s="19">
        <v>6350</v>
      </c>
      <c r="O2" s="19">
        <v>0</v>
      </c>
      <c r="P2" s="19">
        <v>6350</v>
      </c>
      <c r="Q2" s="20">
        <v>0</v>
      </c>
    </row>
    <row r="3" spans="1:17" x14ac:dyDescent="0.25">
      <c r="A3" s="10" t="s">
        <v>28</v>
      </c>
      <c r="B3" s="11">
        <v>20090015</v>
      </c>
      <c r="C3" s="12" t="s">
        <v>29</v>
      </c>
      <c r="D3" s="13" t="s">
        <v>23</v>
      </c>
      <c r="E3" s="14" t="s">
        <v>24</v>
      </c>
      <c r="F3" s="15">
        <v>440.88</v>
      </c>
      <c r="G3" s="15">
        <v>16305.139999999998</v>
      </c>
      <c r="H3" s="16">
        <v>15028</v>
      </c>
      <c r="I3" s="16">
        <v>0</v>
      </c>
      <c r="J3" s="16">
        <v>0</v>
      </c>
      <c r="K3" s="17" t="s">
        <v>25</v>
      </c>
      <c r="L3" s="18" t="s">
        <v>26</v>
      </c>
      <c r="M3" s="13" t="s">
        <v>27</v>
      </c>
      <c r="N3" s="19">
        <v>1270</v>
      </c>
      <c r="O3" s="19">
        <v>623</v>
      </c>
      <c r="P3" s="19">
        <v>647</v>
      </c>
      <c r="Q3" s="20">
        <v>0</v>
      </c>
    </row>
    <row r="4" spans="1:17" x14ac:dyDescent="0.25">
      <c r="A4" s="10" t="s">
        <v>28</v>
      </c>
      <c r="B4" s="11">
        <v>20090020</v>
      </c>
      <c r="C4" s="12" t="s">
        <v>30</v>
      </c>
      <c r="D4" s="13" t="s">
        <v>23</v>
      </c>
      <c r="E4" s="14" t="s">
        <v>24</v>
      </c>
      <c r="F4" s="15">
        <v>1135</v>
      </c>
      <c r="G4" s="15">
        <v>42390.649999999994</v>
      </c>
      <c r="H4" s="16">
        <v>37268</v>
      </c>
      <c r="I4" s="16">
        <v>0</v>
      </c>
      <c r="J4" s="16">
        <v>0</v>
      </c>
      <c r="K4" s="17" t="s">
        <v>25</v>
      </c>
      <c r="L4" s="18" t="s">
        <v>26</v>
      </c>
      <c r="M4" s="13" t="s">
        <v>27</v>
      </c>
      <c r="N4" s="19">
        <v>0</v>
      </c>
      <c r="O4" s="19">
        <v>0</v>
      </c>
      <c r="P4" s="19">
        <v>0</v>
      </c>
      <c r="Q4" s="20">
        <v>0</v>
      </c>
    </row>
    <row r="5" spans="1:17" ht="14.25" thickBot="1" x14ac:dyDescent="0.3">
      <c r="A5" s="21"/>
      <c r="B5" s="22"/>
      <c r="C5" s="23" t="s">
        <v>31</v>
      </c>
      <c r="D5" s="24"/>
      <c r="E5" s="24">
        <v>133</v>
      </c>
      <c r="F5" s="25">
        <v>3399.2799999999997</v>
      </c>
      <c r="G5" s="25">
        <v>131959.03999999998</v>
      </c>
      <c r="H5" s="26">
        <v>119204</v>
      </c>
      <c r="I5" s="26">
        <v>0</v>
      </c>
      <c r="J5" s="26">
        <v>0</v>
      </c>
      <c r="K5" s="26">
        <v>2</v>
      </c>
      <c r="L5" s="27">
        <v>0</v>
      </c>
      <c r="M5" s="27">
        <v>0</v>
      </c>
      <c r="N5" s="27">
        <v>7620</v>
      </c>
      <c r="O5" s="27">
        <v>623</v>
      </c>
      <c r="P5" s="27">
        <v>6997</v>
      </c>
      <c r="Q5" s="28">
        <v>0</v>
      </c>
    </row>
  </sheetData>
  <conditionalFormatting sqref="B5 B1">
    <cfRule type="duplicateValues" dxfId="13" priority="13" stopIfTrue="1"/>
  </conditionalFormatting>
  <conditionalFormatting sqref="B2:B4">
    <cfRule type="duplicateValues" dxfId="12" priority="10"/>
  </conditionalFormatting>
  <conditionalFormatting sqref="B2:B4">
    <cfRule type="duplicateValues" dxfId="11" priority="11"/>
  </conditionalFormatting>
  <conditionalFormatting sqref="D2:D4">
    <cfRule type="containsText" dxfId="10" priority="7" operator="containsText" text="RMC">
      <formula>NOT(ISERROR(SEARCH("RMC",D2)))</formula>
    </cfRule>
  </conditionalFormatting>
  <conditionalFormatting sqref="E2:E4">
    <cfRule type="containsText" dxfId="9" priority="6" operator="containsText" text="Indirect">
      <formula>NOT(ISERROR(SEARCH("Indirect",E2)))</formula>
    </cfRule>
  </conditionalFormatting>
  <conditionalFormatting sqref="C5">
    <cfRule type="duplicateValues" dxfId="8" priority="5" stopIfTrue="1"/>
  </conditionalFormatting>
  <conditionalFormatting sqref="D5">
    <cfRule type="duplicateValues" dxfId="7" priority="4" stopIfTrue="1"/>
  </conditionalFormatting>
  <conditionalFormatting sqref="E5">
    <cfRule type="duplicateValues" dxfId="6" priority="3" stopIfTrue="1"/>
  </conditionalFormatting>
  <conditionalFormatting sqref="F5">
    <cfRule type="duplicateValues" dxfId="5" priority="2" stopIfTrue="1"/>
  </conditionalFormatting>
  <conditionalFormatting sqref="G5">
    <cfRule type="duplicateValues" dxfId="4" priority="1" stopIfTrue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24A342-2535-4A24-BA06-B9206AAC486F}">
  <dimension ref="A1:X48"/>
  <sheetViews>
    <sheetView topLeftCell="A13" workbookViewId="0">
      <selection activeCell="O48" sqref="O48"/>
    </sheetView>
  </sheetViews>
  <sheetFormatPr defaultRowHeight="15" x14ac:dyDescent="0.25"/>
  <cols>
    <col min="1" max="1" width="13.140625" bestFit="1" customWidth="1"/>
    <col min="2" max="2" width="14.85546875" bestFit="1" customWidth="1"/>
    <col min="3" max="3" width="11.140625" bestFit="1" customWidth="1"/>
    <col min="4" max="4" width="9" bestFit="1" customWidth="1"/>
    <col min="5" max="5" width="8.28515625" bestFit="1" customWidth="1"/>
    <col min="6" max="6" width="5.85546875" bestFit="1" customWidth="1"/>
    <col min="7" max="7" width="5.7109375" bestFit="1" customWidth="1"/>
    <col min="8" max="8" width="8" bestFit="1" customWidth="1"/>
    <col min="9" max="9" width="7.7109375" bestFit="1" customWidth="1"/>
    <col min="10" max="10" width="8.85546875" bestFit="1" customWidth="1"/>
    <col min="11" max="11" width="5.85546875" bestFit="1" customWidth="1"/>
    <col min="12" max="12" width="10" bestFit="1" customWidth="1"/>
    <col min="13" max="13" width="8.140625" bestFit="1" customWidth="1"/>
    <col min="14" max="14" width="9.7109375" bestFit="1" customWidth="1"/>
    <col min="15" max="15" width="8" bestFit="1" customWidth="1"/>
    <col min="17" max="17" width="22.28515625" bestFit="1" customWidth="1"/>
    <col min="18" max="18" width="17.28515625" bestFit="1" customWidth="1"/>
    <col min="19" max="19" width="13.28515625" bestFit="1" customWidth="1"/>
    <col min="20" max="20" width="23.42578125" bestFit="1" customWidth="1"/>
    <col min="21" max="21" width="10.42578125" bestFit="1" customWidth="1"/>
    <col min="22" max="22" width="6.5703125" bestFit="1" customWidth="1"/>
    <col min="24" max="24" width="12.5703125" bestFit="1" customWidth="1"/>
  </cols>
  <sheetData>
    <row r="1" spans="1:24" ht="60.75" thickBot="1" x14ac:dyDescent="0.3">
      <c r="A1" s="29" t="s">
        <v>32</v>
      </c>
      <c r="B1" s="30" t="s">
        <v>33</v>
      </c>
      <c r="C1" s="30" t="s">
        <v>34</v>
      </c>
      <c r="D1" s="31" t="s">
        <v>35</v>
      </c>
      <c r="E1" s="32" t="s">
        <v>36</v>
      </c>
      <c r="F1" s="31" t="s">
        <v>37</v>
      </c>
      <c r="G1" s="32" t="s">
        <v>38</v>
      </c>
      <c r="H1" s="32" t="s">
        <v>39</v>
      </c>
      <c r="I1" s="33" t="s">
        <v>7</v>
      </c>
      <c r="J1" s="33" t="s">
        <v>8</v>
      </c>
      <c r="K1" s="33" t="s">
        <v>40</v>
      </c>
      <c r="L1" s="33" t="s">
        <v>9</v>
      </c>
      <c r="M1" s="33" t="s">
        <v>10</v>
      </c>
      <c r="N1" s="33" t="s">
        <v>14</v>
      </c>
      <c r="O1" s="33" t="s">
        <v>41</v>
      </c>
      <c r="P1" s="34" t="s">
        <v>42</v>
      </c>
      <c r="Q1" s="35" t="s">
        <v>43</v>
      </c>
      <c r="R1" s="35" t="s">
        <v>44</v>
      </c>
      <c r="S1" s="35" t="s">
        <v>45</v>
      </c>
      <c r="T1" s="35" t="s">
        <v>46</v>
      </c>
      <c r="U1" s="36" t="s">
        <v>47</v>
      </c>
      <c r="V1" s="35" t="s">
        <v>48</v>
      </c>
      <c r="W1" s="35" t="s">
        <v>49</v>
      </c>
      <c r="X1" s="35" t="s">
        <v>15</v>
      </c>
    </row>
    <row r="2" spans="1:24" x14ac:dyDescent="0.25">
      <c r="A2" s="37" t="s">
        <v>50</v>
      </c>
      <c r="B2" s="38" t="s">
        <v>21</v>
      </c>
      <c r="C2" s="39" t="s">
        <v>22</v>
      </c>
      <c r="D2" s="40">
        <v>20060004</v>
      </c>
      <c r="E2" s="40" t="s">
        <v>51</v>
      </c>
      <c r="F2" s="38">
        <v>13</v>
      </c>
      <c r="G2" s="41">
        <v>381.7</v>
      </c>
      <c r="H2" s="41">
        <v>16734.490000000002</v>
      </c>
      <c r="I2" s="42">
        <v>0</v>
      </c>
      <c r="J2" s="43">
        <v>0</v>
      </c>
      <c r="K2" s="42">
        <v>0</v>
      </c>
      <c r="L2" s="42">
        <v>6350</v>
      </c>
      <c r="M2" s="44">
        <v>0</v>
      </c>
      <c r="N2" s="42" t="s">
        <v>25</v>
      </c>
      <c r="O2" s="45">
        <v>10384</v>
      </c>
      <c r="P2" s="39" t="s">
        <v>24</v>
      </c>
      <c r="Q2" s="39" t="s">
        <v>52</v>
      </c>
      <c r="R2" s="39" t="s">
        <v>53</v>
      </c>
      <c r="S2" s="39" t="s">
        <v>54</v>
      </c>
      <c r="T2" s="39" t="s">
        <v>55</v>
      </c>
      <c r="U2" s="46">
        <v>45556</v>
      </c>
      <c r="V2" s="39">
        <v>1</v>
      </c>
      <c r="W2" s="39" t="s">
        <v>56</v>
      </c>
      <c r="X2" s="47" t="s">
        <v>57</v>
      </c>
    </row>
    <row r="3" spans="1:24" x14ac:dyDescent="0.25">
      <c r="A3" s="37" t="s">
        <v>58</v>
      </c>
      <c r="B3" s="38" t="s">
        <v>21</v>
      </c>
      <c r="C3" s="39" t="s">
        <v>22</v>
      </c>
      <c r="D3" s="40">
        <v>20060004</v>
      </c>
      <c r="E3" s="40" t="s">
        <v>59</v>
      </c>
      <c r="F3" s="38">
        <v>3</v>
      </c>
      <c r="G3" s="41">
        <v>5.22</v>
      </c>
      <c r="H3" s="41">
        <v>168.17000000000002</v>
      </c>
      <c r="I3" s="42">
        <v>0</v>
      </c>
      <c r="J3" s="43">
        <v>0</v>
      </c>
      <c r="K3" s="42">
        <v>0</v>
      </c>
      <c r="L3" s="42">
        <v>0</v>
      </c>
      <c r="M3" s="44">
        <v>0</v>
      </c>
      <c r="N3" s="42" t="s">
        <v>25</v>
      </c>
      <c r="O3" s="45">
        <v>168</v>
      </c>
      <c r="P3" s="39" t="s">
        <v>24</v>
      </c>
      <c r="Q3" s="39" t="s">
        <v>60</v>
      </c>
      <c r="R3" s="39" t="s">
        <v>61</v>
      </c>
      <c r="S3" s="39" t="s">
        <v>62</v>
      </c>
      <c r="T3" s="39" t="s">
        <v>63</v>
      </c>
      <c r="U3" s="46">
        <v>45556</v>
      </c>
      <c r="V3" s="39">
        <v>1</v>
      </c>
      <c r="W3" s="39" t="s">
        <v>56</v>
      </c>
      <c r="X3" s="47" t="s">
        <v>57</v>
      </c>
    </row>
    <row r="4" spans="1:24" x14ac:dyDescent="0.25">
      <c r="A4" s="37" t="s">
        <v>64</v>
      </c>
      <c r="B4" s="38" t="s">
        <v>21</v>
      </c>
      <c r="C4" s="39" t="s">
        <v>22</v>
      </c>
      <c r="D4" s="40">
        <v>20060004</v>
      </c>
      <c r="E4" s="40" t="s">
        <v>65</v>
      </c>
      <c r="F4" s="38">
        <v>7</v>
      </c>
      <c r="G4" s="41">
        <v>20.740000000000002</v>
      </c>
      <c r="H4" s="41">
        <v>943.61</v>
      </c>
      <c r="I4" s="42">
        <v>0</v>
      </c>
      <c r="J4" s="43">
        <v>0</v>
      </c>
      <c r="K4" s="42">
        <v>0</v>
      </c>
      <c r="L4" s="42">
        <v>0</v>
      </c>
      <c r="M4" s="44">
        <v>0</v>
      </c>
      <c r="N4" s="42" t="s">
        <v>25</v>
      </c>
      <c r="O4" s="45">
        <v>944</v>
      </c>
      <c r="P4" s="39" t="s">
        <v>24</v>
      </c>
      <c r="Q4" s="39" t="s">
        <v>66</v>
      </c>
      <c r="R4" s="39" t="s">
        <v>67</v>
      </c>
      <c r="S4" s="39" t="s">
        <v>54</v>
      </c>
      <c r="T4" s="39" t="s">
        <v>55</v>
      </c>
      <c r="U4" s="46">
        <v>45556</v>
      </c>
      <c r="V4" s="39">
        <v>1</v>
      </c>
      <c r="W4" s="39" t="s">
        <v>56</v>
      </c>
      <c r="X4" s="47" t="s">
        <v>57</v>
      </c>
    </row>
    <row r="5" spans="1:24" x14ac:dyDescent="0.25">
      <c r="A5" s="37" t="s">
        <v>68</v>
      </c>
      <c r="B5" s="38" t="s">
        <v>21</v>
      </c>
      <c r="C5" s="39" t="s">
        <v>22</v>
      </c>
      <c r="D5" s="40">
        <v>20060004</v>
      </c>
      <c r="E5" s="40" t="s">
        <v>69</v>
      </c>
      <c r="F5" s="38">
        <v>12</v>
      </c>
      <c r="G5" s="41">
        <v>68.48</v>
      </c>
      <c r="H5" s="41">
        <v>2917.7899999999995</v>
      </c>
      <c r="I5" s="42">
        <v>0</v>
      </c>
      <c r="J5" s="43">
        <v>0</v>
      </c>
      <c r="K5" s="42">
        <v>0</v>
      </c>
      <c r="L5" s="42">
        <v>0</v>
      </c>
      <c r="M5" s="44">
        <v>0</v>
      </c>
      <c r="N5" s="42" t="s">
        <v>25</v>
      </c>
      <c r="O5" s="45">
        <v>2918</v>
      </c>
      <c r="P5" s="39" t="s">
        <v>24</v>
      </c>
      <c r="Q5" s="39" t="s">
        <v>70</v>
      </c>
      <c r="R5" s="39" t="s">
        <v>71</v>
      </c>
      <c r="S5" s="39" t="s">
        <v>54</v>
      </c>
      <c r="T5" s="39" t="s">
        <v>55</v>
      </c>
      <c r="U5" s="46">
        <v>45556</v>
      </c>
      <c r="V5" s="39">
        <v>1</v>
      </c>
      <c r="W5" s="39" t="s">
        <v>56</v>
      </c>
      <c r="X5" s="47" t="s">
        <v>57</v>
      </c>
    </row>
    <row r="6" spans="1:24" x14ac:dyDescent="0.25">
      <c r="A6" s="37" t="s">
        <v>72</v>
      </c>
      <c r="B6" s="38" t="s">
        <v>21</v>
      </c>
      <c r="C6" s="39" t="s">
        <v>22</v>
      </c>
      <c r="D6" s="40">
        <v>20060004</v>
      </c>
      <c r="E6" s="40" t="s">
        <v>73</v>
      </c>
      <c r="F6" s="38">
        <v>14</v>
      </c>
      <c r="G6" s="41">
        <v>49.440000000000005</v>
      </c>
      <c r="H6" s="41">
        <v>2121.2099999999996</v>
      </c>
      <c r="I6" s="42">
        <v>0</v>
      </c>
      <c r="J6" s="43">
        <v>0</v>
      </c>
      <c r="K6" s="42">
        <v>0</v>
      </c>
      <c r="L6" s="42">
        <v>0</v>
      </c>
      <c r="M6" s="44">
        <v>0</v>
      </c>
      <c r="N6" s="42" t="s">
        <v>25</v>
      </c>
      <c r="O6" s="45">
        <v>2121</v>
      </c>
      <c r="P6" s="39" t="s">
        <v>24</v>
      </c>
      <c r="Q6" s="39" t="s">
        <v>74</v>
      </c>
      <c r="R6" s="39" t="s">
        <v>75</v>
      </c>
      <c r="S6" s="39" t="s">
        <v>76</v>
      </c>
      <c r="T6" s="39" t="s">
        <v>77</v>
      </c>
      <c r="U6" s="46">
        <v>45642</v>
      </c>
      <c r="V6" s="39">
        <v>1</v>
      </c>
      <c r="W6" s="39" t="s">
        <v>56</v>
      </c>
      <c r="X6" s="47" t="s">
        <v>57</v>
      </c>
    </row>
    <row r="7" spans="1:24" x14ac:dyDescent="0.25">
      <c r="A7" s="37" t="s">
        <v>78</v>
      </c>
      <c r="B7" s="38" t="s">
        <v>21</v>
      </c>
      <c r="C7" s="39" t="s">
        <v>22</v>
      </c>
      <c r="D7" s="40">
        <v>20060004</v>
      </c>
      <c r="E7" s="40" t="s">
        <v>79</v>
      </c>
      <c r="F7" s="38">
        <v>14</v>
      </c>
      <c r="G7" s="41">
        <v>32.379999999999995</v>
      </c>
      <c r="H7" s="41">
        <v>1008.2299999999999</v>
      </c>
      <c r="I7" s="42">
        <v>0</v>
      </c>
      <c r="J7" s="43">
        <v>0</v>
      </c>
      <c r="K7" s="42">
        <v>0</v>
      </c>
      <c r="L7" s="42">
        <v>0</v>
      </c>
      <c r="M7" s="44">
        <v>0</v>
      </c>
      <c r="N7" s="42" t="s">
        <v>25</v>
      </c>
      <c r="O7" s="45">
        <v>1008</v>
      </c>
      <c r="P7" s="39" t="s">
        <v>24</v>
      </c>
      <c r="Q7" s="39" t="s">
        <v>80</v>
      </c>
      <c r="R7" s="39" t="s">
        <v>81</v>
      </c>
      <c r="S7" s="39" t="s">
        <v>82</v>
      </c>
      <c r="T7" s="39" t="s">
        <v>63</v>
      </c>
      <c r="U7" s="46">
        <v>45642</v>
      </c>
      <c r="V7" s="39">
        <v>1</v>
      </c>
      <c r="W7" s="39" t="s">
        <v>56</v>
      </c>
      <c r="X7" s="47" t="s">
        <v>57</v>
      </c>
    </row>
    <row r="8" spans="1:24" x14ac:dyDescent="0.25">
      <c r="A8" s="37" t="s">
        <v>83</v>
      </c>
      <c r="B8" s="38" t="s">
        <v>21</v>
      </c>
      <c r="C8" s="39" t="s">
        <v>22</v>
      </c>
      <c r="D8" s="40">
        <v>20060004</v>
      </c>
      <c r="E8" s="40" t="s">
        <v>84</v>
      </c>
      <c r="F8" s="38">
        <v>1</v>
      </c>
      <c r="G8" s="41">
        <v>1.6</v>
      </c>
      <c r="H8" s="41">
        <v>56.13</v>
      </c>
      <c r="I8" s="42">
        <v>0</v>
      </c>
      <c r="J8" s="43">
        <v>0</v>
      </c>
      <c r="K8" s="42">
        <v>0</v>
      </c>
      <c r="L8" s="42">
        <v>0</v>
      </c>
      <c r="M8" s="44">
        <v>0</v>
      </c>
      <c r="N8" s="42" t="s">
        <v>25</v>
      </c>
      <c r="O8" s="45">
        <v>56</v>
      </c>
      <c r="P8" s="39" t="s">
        <v>24</v>
      </c>
      <c r="Q8" s="39" t="s">
        <v>85</v>
      </c>
      <c r="R8" s="39" t="s">
        <v>86</v>
      </c>
      <c r="S8" s="39" t="s">
        <v>62</v>
      </c>
      <c r="T8" s="39" t="s">
        <v>63</v>
      </c>
      <c r="U8" s="46">
        <v>45642</v>
      </c>
      <c r="V8" s="39">
        <v>1</v>
      </c>
      <c r="W8" s="39" t="s">
        <v>56</v>
      </c>
      <c r="X8" s="47" t="s">
        <v>57</v>
      </c>
    </row>
    <row r="9" spans="1:24" x14ac:dyDescent="0.25">
      <c r="A9" s="37" t="s">
        <v>87</v>
      </c>
      <c r="B9" s="38" t="s">
        <v>21</v>
      </c>
      <c r="C9" s="39" t="s">
        <v>22</v>
      </c>
      <c r="D9" s="40">
        <v>20060004</v>
      </c>
      <c r="E9" s="40" t="s">
        <v>88</v>
      </c>
      <c r="F9" s="38">
        <v>7</v>
      </c>
      <c r="G9" s="41">
        <v>67.36</v>
      </c>
      <c r="H9" s="41">
        <v>2894.5899999999997</v>
      </c>
      <c r="I9" s="42">
        <v>0</v>
      </c>
      <c r="J9" s="43">
        <v>0</v>
      </c>
      <c r="K9" s="42">
        <v>0</v>
      </c>
      <c r="L9" s="42">
        <v>0</v>
      </c>
      <c r="M9" s="44">
        <v>0</v>
      </c>
      <c r="N9" s="42" t="s">
        <v>25</v>
      </c>
      <c r="O9" s="45">
        <v>2895</v>
      </c>
      <c r="P9" s="39" t="s">
        <v>24</v>
      </c>
      <c r="Q9" s="39" t="s">
        <v>89</v>
      </c>
      <c r="R9" s="39" t="s">
        <v>90</v>
      </c>
      <c r="S9" s="39" t="s">
        <v>54</v>
      </c>
      <c r="T9" s="39" t="s">
        <v>55</v>
      </c>
      <c r="U9" s="46">
        <v>45565</v>
      </c>
      <c r="V9" s="39">
        <v>1</v>
      </c>
      <c r="W9" s="39" t="s">
        <v>56</v>
      </c>
      <c r="X9" s="47" t="s">
        <v>57</v>
      </c>
    </row>
    <row r="10" spans="1:24" x14ac:dyDescent="0.25">
      <c r="A10" s="37" t="s">
        <v>91</v>
      </c>
      <c r="B10" s="38" t="s">
        <v>21</v>
      </c>
      <c r="C10" s="39" t="s">
        <v>22</v>
      </c>
      <c r="D10" s="40">
        <v>20060004</v>
      </c>
      <c r="E10" s="40" t="s">
        <v>92</v>
      </c>
      <c r="F10" s="38">
        <v>14</v>
      </c>
      <c r="G10" s="41">
        <v>74.84</v>
      </c>
      <c r="H10" s="41">
        <v>2549.7199999999998</v>
      </c>
      <c r="I10" s="42">
        <v>0</v>
      </c>
      <c r="J10" s="43">
        <v>0</v>
      </c>
      <c r="K10" s="42">
        <v>0</v>
      </c>
      <c r="L10" s="42">
        <v>0</v>
      </c>
      <c r="M10" s="44">
        <v>0</v>
      </c>
      <c r="N10" s="42" t="s">
        <v>25</v>
      </c>
      <c r="O10" s="45">
        <v>2550</v>
      </c>
      <c r="P10" s="39" t="s">
        <v>24</v>
      </c>
      <c r="Q10" s="39" t="s">
        <v>93</v>
      </c>
      <c r="R10" s="39" t="s">
        <v>94</v>
      </c>
      <c r="S10" s="39" t="s">
        <v>54</v>
      </c>
      <c r="T10" s="39" t="s">
        <v>55</v>
      </c>
      <c r="U10" s="46">
        <v>45565</v>
      </c>
      <c r="V10" s="39">
        <v>1</v>
      </c>
      <c r="W10" s="39" t="s">
        <v>56</v>
      </c>
      <c r="X10" s="47" t="s">
        <v>57</v>
      </c>
    </row>
    <row r="11" spans="1:24" x14ac:dyDescent="0.25">
      <c r="A11" s="37" t="s">
        <v>95</v>
      </c>
      <c r="B11" s="38" t="s">
        <v>21</v>
      </c>
      <c r="C11" s="39" t="s">
        <v>22</v>
      </c>
      <c r="D11" s="40">
        <v>20060004</v>
      </c>
      <c r="E11" s="40" t="s">
        <v>96</v>
      </c>
      <c r="F11" s="38">
        <v>14</v>
      </c>
      <c r="G11" s="41">
        <v>134.67999999999998</v>
      </c>
      <c r="H11" s="41">
        <v>5274.6600000000008</v>
      </c>
      <c r="I11" s="42">
        <v>0</v>
      </c>
      <c r="J11" s="43">
        <v>0</v>
      </c>
      <c r="K11" s="42">
        <v>0</v>
      </c>
      <c r="L11" s="42">
        <v>0</v>
      </c>
      <c r="M11" s="44">
        <v>0</v>
      </c>
      <c r="N11" s="42" t="s">
        <v>25</v>
      </c>
      <c r="O11" s="45">
        <v>5275</v>
      </c>
      <c r="P11" s="39" t="s">
        <v>24</v>
      </c>
      <c r="Q11" s="39" t="s">
        <v>97</v>
      </c>
      <c r="R11" s="39" t="s">
        <v>98</v>
      </c>
      <c r="S11" s="39" t="s">
        <v>82</v>
      </c>
      <c r="T11" s="39" t="s">
        <v>99</v>
      </c>
      <c r="U11" s="46">
        <v>45565</v>
      </c>
      <c r="V11" s="39">
        <v>1</v>
      </c>
      <c r="W11" s="39" t="s">
        <v>56</v>
      </c>
      <c r="X11" s="47" t="s">
        <v>57</v>
      </c>
    </row>
    <row r="12" spans="1:24" x14ac:dyDescent="0.25">
      <c r="A12" s="37" t="s">
        <v>100</v>
      </c>
      <c r="B12" s="38" t="s">
        <v>21</v>
      </c>
      <c r="C12" s="39" t="s">
        <v>22</v>
      </c>
      <c r="D12" s="40">
        <v>20060004</v>
      </c>
      <c r="E12" s="40" t="s">
        <v>101</v>
      </c>
      <c r="F12" s="38">
        <v>8</v>
      </c>
      <c r="G12" s="41">
        <v>71.14</v>
      </c>
      <c r="H12" s="41">
        <v>2744.06</v>
      </c>
      <c r="I12" s="42">
        <v>0</v>
      </c>
      <c r="J12" s="43">
        <v>0</v>
      </c>
      <c r="K12" s="42">
        <v>0</v>
      </c>
      <c r="L12" s="42">
        <v>0</v>
      </c>
      <c r="M12" s="44">
        <v>0</v>
      </c>
      <c r="N12" s="42" t="s">
        <v>25</v>
      </c>
      <c r="O12" s="45">
        <v>2744</v>
      </c>
      <c r="P12" s="39" t="s">
        <v>24</v>
      </c>
      <c r="Q12" s="39" t="s">
        <v>102</v>
      </c>
      <c r="R12" s="39" t="s">
        <v>103</v>
      </c>
      <c r="S12" s="39" t="s">
        <v>54</v>
      </c>
      <c r="T12" s="39" t="s">
        <v>55</v>
      </c>
      <c r="U12" s="46">
        <v>45565</v>
      </c>
      <c r="V12" s="39">
        <v>1</v>
      </c>
      <c r="W12" s="39" t="s">
        <v>56</v>
      </c>
      <c r="X12" s="47" t="s">
        <v>57</v>
      </c>
    </row>
    <row r="13" spans="1:24" x14ac:dyDescent="0.25">
      <c r="A13" s="37" t="s">
        <v>104</v>
      </c>
      <c r="B13" s="38" t="s">
        <v>21</v>
      </c>
      <c r="C13" s="39" t="s">
        <v>22</v>
      </c>
      <c r="D13" s="40">
        <v>20060004</v>
      </c>
      <c r="E13" s="40" t="s">
        <v>105</v>
      </c>
      <c r="F13" s="38">
        <v>14</v>
      </c>
      <c r="G13" s="41">
        <v>111.97999999999999</v>
      </c>
      <c r="H13" s="41">
        <v>5050.6100000000006</v>
      </c>
      <c r="I13" s="42">
        <v>0</v>
      </c>
      <c r="J13" s="43">
        <v>0</v>
      </c>
      <c r="K13" s="42">
        <v>0</v>
      </c>
      <c r="L13" s="42">
        <v>0</v>
      </c>
      <c r="M13" s="44">
        <v>0</v>
      </c>
      <c r="N13" s="42" t="s">
        <v>25</v>
      </c>
      <c r="O13" s="45">
        <v>5051</v>
      </c>
      <c r="P13" s="39" t="s">
        <v>24</v>
      </c>
      <c r="Q13" s="39" t="s">
        <v>106</v>
      </c>
      <c r="R13" s="39" t="s">
        <v>107</v>
      </c>
      <c r="S13" s="39" t="s">
        <v>54</v>
      </c>
      <c r="T13" s="39" t="s">
        <v>55</v>
      </c>
      <c r="U13" s="46">
        <v>45572</v>
      </c>
      <c r="V13" s="39">
        <v>1</v>
      </c>
      <c r="W13" s="39" t="s">
        <v>56</v>
      </c>
      <c r="X13" s="47" t="s">
        <v>57</v>
      </c>
    </row>
    <row r="14" spans="1:24" x14ac:dyDescent="0.25">
      <c r="A14" s="37" t="s">
        <v>108</v>
      </c>
      <c r="B14" s="38" t="s">
        <v>21</v>
      </c>
      <c r="C14" s="39" t="s">
        <v>22</v>
      </c>
      <c r="D14" s="40">
        <v>20060004</v>
      </c>
      <c r="E14" s="40" t="s">
        <v>109</v>
      </c>
      <c r="F14" s="38">
        <v>10</v>
      </c>
      <c r="G14" s="41">
        <v>24.439999999999998</v>
      </c>
      <c r="H14" s="41">
        <v>965.29000000000019</v>
      </c>
      <c r="I14" s="42">
        <v>0</v>
      </c>
      <c r="J14" s="43">
        <v>0</v>
      </c>
      <c r="K14" s="42">
        <v>0</v>
      </c>
      <c r="L14" s="42">
        <v>0</v>
      </c>
      <c r="M14" s="44">
        <v>0</v>
      </c>
      <c r="N14" s="42" t="s">
        <v>25</v>
      </c>
      <c r="O14" s="45">
        <v>965</v>
      </c>
      <c r="P14" s="39" t="s">
        <v>24</v>
      </c>
      <c r="Q14" s="39" t="s">
        <v>110</v>
      </c>
      <c r="R14" s="39" t="s">
        <v>111</v>
      </c>
      <c r="S14" s="39" t="s">
        <v>54</v>
      </c>
      <c r="T14" s="39" t="s">
        <v>55</v>
      </c>
      <c r="U14" s="46">
        <v>45586</v>
      </c>
      <c r="V14" s="39">
        <v>1</v>
      </c>
      <c r="W14" s="39" t="s">
        <v>56</v>
      </c>
      <c r="X14" s="47" t="s">
        <v>57</v>
      </c>
    </row>
    <row r="15" spans="1:24" x14ac:dyDescent="0.25">
      <c r="A15" s="37" t="s">
        <v>112</v>
      </c>
      <c r="B15" s="38" t="s">
        <v>21</v>
      </c>
      <c r="C15" s="39" t="s">
        <v>22</v>
      </c>
      <c r="D15" s="40">
        <v>20060004</v>
      </c>
      <c r="E15" s="40" t="s">
        <v>113</v>
      </c>
      <c r="F15" s="38">
        <v>14</v>
      </c>
      <c r="G15" s="41">
        <v>137.62</v>
      </c>
      <c r="H15" s="41">
        <v>5735.55</v>
      </c>
      <c r="I15" s="42">
        <v>0</v>
      </c>
      <c r="J15" s="43">
        <v>0</v>
      </c>
      <c r="K15" s="42">
        <v>0</v>
      </c>
      <c r="L15" s="42">
        <v>0</v>
      </c>
      <c r="M15" s="44">
        <v>0</v>
      </c>
      <c r="N15" s="42" t="s">
        <v>25</v>
      </c>
      <c r="O15" s="45">
        <v>5736</v>
      </c>
      <c r="P15" s="39" t="s">
        <v>24</v>
      </c>
      <c r="Q15" s="39" t="s">
        <v>114</v>
      </c>
      <c r="R15" s="39" t="s">
        <v>115</v>
      </c>
      <c r="S15" s="39" t="s">
        <v>54</v>
      </c>
      <c r="T15" s="39" t="s">
        <v>55</v>
      </c>
      <c r="U15" s="46">
        <v>45586</v>
      </c>
      <c r="V15" s="39">
        <v>1</v>
      </c>
      <c r="W15" s="39" t="s">
        <v>56</v>
      </c>
      <c r="X15" s="47" t="s">
        <v>57</v>
      </c>
    </row>
    <row r="16" spans="1:24" x14ac:dyDescent="0.25">
      <c r="A16" s="37" t="s">
        <v>116</v>
      </c>
      <c r="B16" s="38" t="s">
        <v>21</v>
      </c>
      <c r="C16" s="39" t="s">
        <v>22</v>
      </c>
      <c r="D16" s="40">
        <v>20060004</v>
      </c>
      <c r="E16" s="40" t="s">
        <v>117</v>
      </c>
      <c r="F16" s="38">
        <v>12</v>
      </c>
      <c r="G16" s="41">
        <v>28.400000000000002</v>
      </c>
      <c r="H16" s="41">
        <v>1201.98</v>
      </c>
      <c r="I16" s="42">
        <v>0</v>
      </c>
      <c r="J16" s="43">
        <v>0</v>
      </c>
      <c r="K16" s="42">
        <v>0</v>
      </c>
      <c r="L16" s="42">
        <v>0</v>
      </c>
      <c r="M16" s="44">
        <v>0</v>
      </c>
      <c r="N16" s="42" t="s">
        <v>25</v>
      </c>
      <c r="O16" s="45">
        <v>1202</v>
      </c>
      <c r="P16" s="39" t="s">
        <v>24</v>
      </c>
      <c r="Q16" s="39" t="s">
        <v>118</v>
      </c>
      <c r="R16" s="39" t="s">
        <v>119</v>
      </c>
      <c r="S16" s="39" t="s">
        <v>120</v>
      </c>
      <c r="T16" s="39" t="s">
        <v>121</v>
      </c>
      <c r="U16" s="46">
        <v>45600</v>
      </c>
      <c r="V16" s="39">
        <v>1</v>
      </c>
      <c r="W16" s="39" t="s">
        <v>56</v>
      </c>
      <c r="X16" s="47" t="s">
        <v>57</v>
      </c>
    </row>
    <row r="17" spans="1:24" x14ac:dyDescent="0.25">
      <c r="A17" s="37" t="s">
        <v>122</v>
      </c>
      <c r="B17" s="38" t="s">
        <v>21</v>
      </c>
      <c r="C17" s="39" t="s">
        <v>22</v>
      </c>
      <c r="D17" s="40">
        <v>20060004</v>
      </c>
      <c r="E17" s="40" t="s">
        <v>123</v>
      </c>
      <c r="F17" s="38">
        <v>7</v>
      </c>
      <c r="G17" s="41">
        <v>25.659999999999997</v>
      </c>
      <c r="H17" s="41">
        <v>945.04</v>
      </c>
      <c r="I17" s="42">
        <v>0</v>
      </c>
      <c r="J17" s="43">
        <v>0</v>
      </c>
      <c r="K17" s="42">
        <v>0</v>
      </c>
      <c r="L17" s="42">
        <v>0</v>
      </c>
      <c r="M17" s="44">
        <v>0</v>
      </c>
      <c r="N17" s="42" t="s">
        <v>25</v>
      </c>
      <c r="O17" s="45">
        <v>945</v>
      </c>
      <c r="P17" s="39" t="s">
        <v>24</v>
      </c>
      <c r="Q17" s="39" t="s">
        <v>124</v>
      </c>
      <c r="R17" s="39" t="s">
        <v>125</v>
      </c>
      <c r="S17" s="39" t="s">
        <v>54</v>
      </c>
      <c r="T17" s="39" t="s">
        <v>55</v>
      </c>
      <c r="U17" s="46">
        <v>45614</v>
      </c>
      <c r="V17" s="39">
        <v>1</v>
      </c>
      <c r="W17" s="39" t="s">
        <v>56</v>
      </c>
      <c r="X17" s="47" t="s">
        <v>57</v>
      </c>
    </row>
    <row r="18" spans="1:24" x14ac:dyDescent="0.25">
      <c r="A18" s="37" t="s">
        <v>126</v>
      </c>
      <c r="B18" s="38" t="s">
        <v>21</v>
      </c>
      <c r="C18" s="39" t="s">
        <v>22</v>
      </c>
      <c r="D18" s="40">
        <v>20060004</v>
      </c>
      <c r="E18" s="40" t="s">
        <v>127</v>
      </c>
      <c r="F18" s="38">
        <v>7</v>
      </c>
      <c r="G18" s="41">
        <v>61.419999999999995</v>
      </c>
      <c r="H18" s="41">
        <v>2128.38</v>
      </c>
      <c r="I18" s="42">
        <v>0</v>
      </c>
      <c r="J18" s="43">
        <v>0</v>
      </c>
      <c r="K18" s="42">
        <v>0</v>
      </c>
      <c r="L18" s="42">
        <v>0</v>
      </c>
      <c r="M18" s="44">
        <v>0</v>
      </c>
      <c r="N18" s="42" t="s">
        <v>25</v>
      </c>
      <c r="O18" s="45">
        <v>2128</v>
      </c>
      <c r="P18" s="39" t="s">
        <v>24</v>
      </c>
      <c r="Q18" s="39" t="s">
        <v>128</v>
      </c>
      <c r="R18" s="39" t="s">
        <v>129</v>
      </c>
      <c r="S18" s="39" t="s">
        <v>130</v>
      </c>
      <c r="T18" s="39" t="s">
        <v>63</v>
      </c>
      <c r="U18" s="46">
        <v>45619</v>
      </c>
      <c r="V18" s="39">
        <v>1</v>
      </c>
      <c r="W18" s="39" t="s">
        <v>56</v>
      </c>
      <c r="X18" s="47" t="s">
        <v>57</v>
      </c>
    </row>
    <row r="19" spans="1:24" x14ac:dyDescent="0.25">
      <c r="A19" s="37" t="s">
        <v>131</v>
      </c>
      <c r="B19" s="38" t="s">
        <v>21</v>
      </c>
      <c r="C19" s="39" t="s">
        <v>22</v>
      </c>
      <c r="D19" s="40">
        <v>20060004</v>
      </c>
      <c r="E19" s="40" t="s">
        <v>132</v>
      </c>
      <c r="F19" s="38">
        <v>14</v>
      </c>
      <c r="G19" s="41">
        <v>56.76</v>
      </c>
      <c r="H19" s="41">
        <v>2265.0300000000002</v>
      </c>
      <c r="I19" s="42">
        <v>0</v>
      </c>
      <c r="J19" s="43">
        <v>0</v>
      </c>
      <c r="K19" s="42">
        <v>0</v>
      </c>
      <c r="L19" s="42">
        <v>0</v>
      </c>
      <c r="M19" s="44">
        <v>0</v>
      </c>
      <c r="N19" s="42" t="s">
        <v>25</v>
      </c>
      <c r="O19" s="45">
        <v>2265</v>
      </c>
      <c r="P19" s="39" t="s">
        <v>24</v>
      </c>
      <c r="Q19" s="39" t="s">
        <v>133</v>
      </c>
      <c r="R19" s="39" t="s">
        <v>134</v>
      </c>
      <c r="S19" s="39" t="s">
        <v>54</v>
      </c>
      <c r="T19" s="39" t="s">
        <v>55</v>
      </c>
      <c r="U19" s="46">
        <v>45619</v>
      </c>
      <c r="V19" s="39">
        <v>1</v>
      </c>
      <c r="W19" s="39" t="s">
        <v>56</v>
      </c>
      <c r="X19" s="47" t="s">
        <v>57</v>
      </c>
    </row>
    <row r="20" spans="1:24" x14ac:dyDescent="0.25">
      <c r="A20" s="37" t="s">
        <v>135</v>
      </c>
      <c r="B20" s="38" t="s">
        <v>21</v>
      </c>
      <c r="C20" s="39" t="s">
        <v>22</v>
      </c>
      <c r="D20" s="40">
        <v>20060004</v>
      </c>
      <c r="E20" s="40" t="s">
        <v>136</v>
      </c>
      <c r="F20" s="38">
        <v>2</v>
      </c>
      <c r="G20" s="41">
        <v>5.7799999999999994</v>
      </c>
      <c r="H20" s="41">
        <v>274.20999999999998</v>
      </c>
      <c r="I20" s="42">
        <v>0</v>
      </c>
      <c r="J20" s="43">
        <v>0</v>
      </c>
      <c r="K20" s="42">
        <v>0</v>
      </c>
      <c r="L20" s="42">
        <v>0</v>
      </c>
      <c r="M20" s="44">
        <v>0</v>
      </c>
      <c r="N20" s="42" t="s">
        <v>25</v>
      </c>
      <c r="O20" s="45">
        <v>274</v>
      </c>
      <c r="P20" s="39" t="s">
        <v>24</v>
      </c>
      <c r="Q20" s="39" t="s">
        <v>137</v>
      </c>
      <c r="R20" s="39" t="s">
        <v>138</v>
      </c>
      <c r="S20" s="39" t="s">
        <v>62</v>
      </c>
      <c r="T20" s="39" t="s">
        <v>63</v>
      </c>
      <c r="U20" s="46">
        <v>45642</v>
      </c>
      <c r="V20" s="39">
        <v>1</v>
      </c>
      <c r="W20" s="39" t="s">
        <v>56</v>
      </c>
      <c r="X20" s="47" t="s">
        <v>57</v>
      </c>
    </row>
    <row r="21" spans="1:24" x14ac:dyDescent="0.25">
      <c r="A21" s="37" t="s">
        <v>139</v>
      </c>
      <c r="B21" s="38" t="s">
        <v>21</v>
      </c>
      <c r="C21" s="39" t="s">
        <v>22</v>
      </c>
      <c r="D21" s="40">
        <v>20060004</v>
      </c>
      <c r="E21" s="40" t="s">
        <v>140</v>
      </c>
      <c r="F21" s="38">
        <v>5</v>
      </c>
      <c r="G21" s="41">
        <v>19.16</v>
      </c>
      <c r="H21" s="41">
        <v>738.16</v>
      </c>
      <c r="I21" s="42">
        <v>0</v>
      </c>
      <c r="J21" s="43">
        <v>0</v>
      </c>
      <c r="K21" s="42">
        <v>0</v>
      </c>
      <c r="L21" s="42">
        <v>0</v>
      </c>
      <c r="M21" s="44">
        <v>0</v>
      </c>
      <c r="N21" s="42" t="s">
        <v>25</v>
      </c>
      <c r="O21" s="45">
        <v>738</v>
      </c>
      <c r="P21" s="39" t="s">
        <v>24</v>
      </c>
      <c r="Q21" s="39" t="s">
        <v>141</v>
      </c>
      <c r="R21" s="39" t="s">
        <v>142</v>
      </c>
      <c r="S21" s="39" t="s">
        <v>54</v>
      </c>
      <c r="T21" s="39" t="s">
        <v>55</v>
      </c>
      <c r="U21" s="46">
        <v>45663</v>
      </c>
      <c r="V21" s="39">
        <v>1</v>
      </c>
      <c r="W21" s="39" t="s">
        <v>56</v>
      </c>
      <c r="X21" s="47" t="s">
        <v>57</v>
      </c>
    </row>
    <row r="22" spans="1:24" x14ac:dyDescent="0.25">
      <c r="A22" s="37" t="s">
        <v>143</v>
      </c>
      <c r="B22" s="38" t="s">
        <v>21</v>
      </c>
      <c r="C22" s="39" t="s">
        <v>22</v>
      </c>
      <c r="D22" s="40">
        <v>20060004</v>
      </c>
      <c r="E22" s="40" t="s">
        <v>144</v>
      </c>
      <c r="F22" s="38">
        <v>4</v>
      </c>
      <c r="G22" s="41">
        <v>26.18</v>
      </c>
      <c r="H22" s="41">
        <v>902.62</v>
      </c>
      <c r="I22" s="42">
        <v>0</v>
      </c>
      <c r="J22" s="43">
        <v>0</v>
      </c>
      <c r="K22" s="42">
        <v>0</v>
      </c>
      <c r="L22" s="42">
        <v>0</v>
      </c>
      <c r="M22" s="44">
        <v>0</v>
      </c>
      <c r="N22" s="42" t="s">
        <v>25</v>
      </c>
      <c r="O22" s="45">
        <v>903</v>
      </c>
      <c r="P22" s="39" t="s">
        <v>24</v>
      </c>
      <c r="Q22" s="39" t="s">
        <v>145</v>
      </c>
      <c r="R22" s="39" t="s">
        <v>146</v>
      </c>
      <c r="S22" s="39" t="s">
        <v>54</v>
      </c>
      <c r="T22" s="39">
        <v>0</v>
      </c>
      <c r="U22" s="46">
        <v>0</v>
      </c>
      <c r="V22" s="39">
        <v>1</v>
      </c>
      <c r="W22" s="39" t="s">
        <v>56</v>
      </c>
      <c r="X22" s="47" t="s">
        <v>57</v>
      </c>
    </row>
    <row r="23" spans="1:24" x14ac:dyDescent="0.25">
      <c r="A23" s="37" t="s">
        <v>147</v>
      </c>
      <c r="B23" s="38" t="s">
        <v>21</v>
      </c>
      <c r="C23" s="39" t="s">
        <v>22</v>
      </c>
      <c r="D23" s="40">
        <v>20060004</v>
      </c>
      <c r="E23" s="40" t="s">
        <v>148</v>
      </c>
      <c r="F23" s="38">
        <v>14</v>
      </c>
      <c r="G23" s="41">
        <v>42.699999999999996</v>
      </c>
      <c r="H23" s="41">
        <v>2005.52</v>
      </c>
      <c r="I23" s="42">
        <v>0</v>
      </c>
      <c r="J23" s="43">
        <v>0</v>
      </c>
      <c r="K23" s="42">
        <v>0</v>
      </c>
      <c r="L23" s="42">
        <v>0</v>
      </c>
      <c r="M23" s="44">
        <v>0</v>
      </c>
      <c r="N23" s="42" t="s">
        <v>25</v>
      </c>
      <c r="O23" s="45">
        <v>2006</v>
      </c>
      <c r="P23" s="39" t="s">
        <v>24</v>
      </c>
      <c r="Q23" s="39" t="s">
        <v>149</v>
      </c>
      <c r="R23" s="39" t="s">
        <v>150</v>
      </c>
      <c r="S23" s="39" t="s">
        <v>151</v>
      </c>
      <c r="T23" s="39">
        <v>0</v>
      </c>
      <c r="U23" s="46">
        <v>0</v>
      </c>
      <c r="V23" s="39">
        <v>1</v>
      </c>
      <c r="W23" s="39" t="s">
        <v>56</v>
      </c>
      <c r="X23" s="47" t="s">
        <v>57</v>
      </c>
    </row>
    <row r="24" spans="1:24" x14ac:dyDescent="0.25">
      <c r="A24" s="37" t="s">
        <v>152</v>
      </c>
      <c r="B24" s="38" t="s">
        <v>21</v>
      </c>
      <c r="C24" s="39" t="s">
        <v>22</v>
      </c>
      <c r="D24" s="40">
        <v>20060004</v>
      </c>
      <c r="E24" s="40" t="s">
        <v>153</v>
      </c>
      <c r="F24" s="38">
        <v>11</v>
      </c>
      <c r="G24" s="41">
        <v>78.100000000000009</v>
      </c>
      <c r="H24" s="41">
        <v>2897.78</v>
      </c>
      <c r="I24" s="42">
        <v>0</v>
      </c>
      <c r="J24" s="43">
        <v>0</v>
      </c>
      <c r="K24" s="42">
        <v>0</v>
      </c>
      <c r="L24" s="42">
        <v>0</v>
      </c>
      <c r="M24" s="44">
        <v>0</v>
      </c>
      <c r="N24" s="42" t="s">
        <v>25</v>
      </c>
      <c r="O24" s="45">
        <v>2898</v>
      </c>
      <c r="P24" s="39" t="s">
        <v>24</v>
      </c>
      <c r="Q24" s="39" t="s">
        <v>154</v>
      </c>
      <c r="R24" s="39" t="s">
        <v>155</v>
      </c>
      <c r="S24" s="39" t="s">
        <v>54</v>
      </c>
      <c r="T24" s="39">
        <v>0</v>
      </c>
      <c r="U24" s="46">
        <v>0</v>
      </c>
      <c r="V24" s="39">
        <v>1</v>
      </c>
      <c r="W24" s="39" t="s">
        <v>56</v>
      </c>
      <c r="X24" s="47" t="s">
        <v>57</v>
      </c>
    </row>
    <row r="25" spans="1:24" x14ac:dyDescent="0.25">
      <c r="A25" s="37" t="s">
        <v>156</v>
      </c>
      <c r="B25" s="38" t="s">
        <v>21</v>
      </c>
      <c r="C25" s="39" t="s">
        <v>22</v>
      </c>
      <c r="D25" s="40">
        <v>20060004</v>
      </c>
      <c r="E25" s="40" t="s">
        <v>157</v>
      </c>
      <c r="F25" s="38">
        <v>7</v>
      </c>
      <c r="G25" s="41">
        <v>12.08</v>
      </c>
      <c r="H25" s="41">
        <v>461.15999999999997</v>
      </c>
      <c r="I25" s="42">
        <v>0</v>
      </c>
      <c r="J25" s="43">
        <v>0</v>
      </c>
      <c r="K25" s="42">
        <v>0</v>
      </c>
      <c r="L25" s="42">
        <v>0</v>
      </c>
      <c r="M25" s="44">
        <v>0</v>
      </c>
      <c r="N25" s="42" t="s">
        <v>25</v>
      </c>
      <c r="O25" s="45">
        <v>461</v>
      </c>
      <c r="P25" s="39" t="s">
        <v>24</v>
      </c>
      <c r="Q25" s="39" t="s">
        <v>158</v>
      </c>
      <c r="R25" s="39" t="s">
        <v>159</v>
      </c>
      <c r="S25" s="39" t="s">
        <v>54</v>
      </c>
      <c r="T25" s="39">
        <v>0</v>
      </c>
      <c r="U25" s="46">
        <v>0</v>
      </c>
      <c r="V25" s="39">
        <v>1</v>
      </c>
      <c r="W25" s="39" t="s">
        <v>56</v>
      </c>
      <c r="X25" s="47" t="s">
        <v>57</v>
      </c>
    </row>
    <row r="26" spans="1:24" x14ac:dyDescent="0.25">
      <c r="A26" s="37" t="s">
        <v>160</v>
      </c>
      <c r="B26" s="38" t="s">
        <v>21</v>
      </c>
      <c r="C26" s="39" t="s">
        <v>22</v>
      </c>
      <c r="D26" s="40">
        <v>20060004</v>
      </c>
      <c r="E26" s="40" t="s">
        <v>161</v>
      </c>
      <c r="F26" s="38">
        <v>1</v>
      </c>
      <c r="G26" s="41">
        <v>3.38</v>
      </c>
      <c r="H26" s="41">
        <v>133.91999999999999</v>
      </c>
      <c r="I26" s="42">
        <v>0</v>
      </c>
      <c r="J26" s="43">
        <v>0</v>
      </c>
      <c r="K26" s="42">
        <v>0</v>
      </c>
      <c r="L26" s="42">
        <v>0</v>
      </c>
      <c r="M26" s="44">
        <v>0</v>
      </c>
      <c r="N26" s="42" t="s">
        <v>25</v>
      </c>
      <c r="O26" s="45">
        <v>134</v>
      </c>
      <c r="P26" s="39" t="s">
        <v>24</v>
      </c>
      <c r="Q26" s="39" t="s">
        <v>162</v>
      </c>
      <c r="R26" s="39" t="s">
        <v>163</v>
      </c>
      <c r="S26" s="39" t="s">
        <v>164</v>
      </c>
      <c r="T26" s="39">
        <v>0</v>
      </c>
      <c r="U26" s="46">
        <v>0</v>
      </c>
      <c r="V26" s="39">
        <v>1</v>
      </c>
      <c r="W26" s="39" t="s">
        <v>56</v>
      </c>
      <c r="X26" s="47" t="s">
        <v>57</v>
      </c>
    </row>
    <row r="27" spans="1:24" x14ac:dyDescent="0.25">
      <c r="A27" s="37" t="s">
        <v>165</v>
      </c>
      <c r="B27" s="38" t="s">
        <v>21</v>
      </c>
      <c r="C27" s="39" t="s">
        <v>22</v>
      </c>
      <c r="D27" s="40">
        <v>20060004</v>
      </c>
      <c r="E27" s="40" t="s">
        <v>166</v>
      </c>
      <c r="F27" s="38">
        <v>5</v>
      </c>
      <c r="G27" s="41">
        <v>44.84</v>
      </c>
      <c r="H27" s="41">
        <v>1418.0099999999998</v>
      </c>
      <c r="I27" s="42">
        <v>0</v>
      </c>
      <c r="J27" s="43">
        <v>0</v>
      </c>
      <c r="K27" s="42">
        <v>0</v>
      </c>
      <c r="L27" s="42">
        <v>0</v>
      </c>
      <c r="M27" s="44">
        <v>0</v>
      </c>
      <c r="N27" s="42" t="s">
        <v>25</v>
      </c>
      <c r="O27" s="45">
        <v>1418</v>
      </c>
      <c r="P27" s="39" t="s">
        <v>24</v>
      </c>
      <c r="Q27" s="39" t="s">
        <v>167</v>
      </c>
      <c r="R27" s="39" t="s">
        <v>168</v>
      </c>
      <c r="S27" s="39" t="s">
        <v>151</v>
      </c>
      <c r="T27" s="39">
        <v>0</v>
      </c>
      <c r="U27" s="46">
        <v>45843</v>
      </c>
      <c r="V27" s="39">
        <v>1</v>
      </c>
      <c r="W27" s="39" t="s">
        <v>56</v>
      </c>
      <c r="X27" s="47" t="s">
        <v>57</v>
      </c>
    </row>
    <row r="28" spans="1:24" x14ac:dyDescent="0.25">
      <c r="A28" s="37" t="s">
        <v>169</v>
      </c>
      <c r="B28" s="38" t="s">
        <v>21</v>
      </c>
      <c r="C28" s="39" t="s">
        <v>22</v>
      </c>
      <c r="D28" s="40">
        <v>20060004</v>
      </c>
      <c r="E28" s="40" t="s">
        <v>170</v>
      </c>
      <c r="F28" s="38">
        <v>5</v>
      </c>
      <c r="G28" s="41">
        <v>14.239999999999998</v>
      </c>
      <c r="H28" s="41">
        <v>566.97</v>
      </c>
      <c r="I28" s="42">
        <v>0</v>
      </c>
      <c r="J28" s="43">
        <v>0</v>
      </c>
      <c r="K28" s="42">
        <v>0</v>
      </c>
      <c r="L28" s="42">
        <v>0</v>
      </c>
      <c r="M28" s="44">
        <v>0</v>
      </c>
      <c r="N28" s="42" t="s">
        <v>25</v>
      </c>
      <c r="O28" s="45">
        <v>567</v>
      </c>
      <c r="P28" s="39" t="s">
        <v>24</v>
      </c>
      <c r="Q28" s="39" t="s">
        <v>171</v>
      </c>
      <c r="R28" s="39" t="s">
        <v>172</v>
      </c>
      <c r="S28" s="39" t="s">
        <v>54</v>
      </c>
      <c r="T28" s="39">
        <v>0</v>
      </c>
      <c r="U28" s="46">
        <v>45916</v>
      </c>
      <c r="V28" s="39">
        <v>1</v>
      </c>
      <c r="W28" s="39" t="s">
        <v>56</v>
      </c>
      <c r="X28" s="47" t="s">
        <v>57</v>
      </c>
    </row>
    <row r="29" spans="1:24" x14ac:dyDescent="0.25">
      <c r="A29" s="37" t="s">
        <v>173</v>
      </c>
      <c r="B29" s="38" t="s">
        <v>21</v>
      </c>
      <c r="C29" s="39" t="s">
        <v>22</v>
      </c>
      <c r="D29" s="40">
        <v>20060004</v>
      </c>
      <c r="E29" s="40" t="s">
        <v>174</v>
      </c>
      <c r="F29" s="38">
        <v>2</v>
      </c>
      <c r="G29" s="41">
        <v>13.52</v>
      </c>
      <c r="H29" s="41">
        <v>470.63</v>
      </c>
      <c r="I29" s="42">
        <v>0</v>
      </c>
      <c r="J29" s="43">
        <v>0</v>
      </c>
      <c r="K29" s="42">
        <v>0</v>
      </c>
      <c r="L29" s="42">
        <v>0</v>
      </c>
      <c r="M29" s="44">
        <v>0</v>
      </c>
      <c r="N29" s="42" t="s">
        <v>25</v>
      </c>
      <c r="O29" s="45">
        <v>471</v>
      </c>
      <c r="P29" s="39" t="s">
        <v>24</v>
      </c>
      <c r="Q29" s="39" t="s">
        <v>175</v>
      </c>
      <c r="R29" s="39" t="s">
        <v>176</v>
      </c>
      <c r="S29" s="39" t="s">
        <v>177</v>
      </c>
      <c r="T29" s="39">
        <v>0</v>
      </c>
      <c r="U29" s="46">
        <v>45867</v>
      </c>
      <c r="V29" s="39">
        <v>1</v>
      </c>
      <c r="W29" s="39" t="s">
        <v>56</v>
      </c>
      <c r="X29" s="47" t="s">
        <v>57</v>
      </c>
    </row>
    <row r="30" spans="1:24" x14ac:dyDescent="0.25">
      <c r="A30" s="37" t="s">
        <v>178</v>
      </c>
      <c r="B30" s="38" t="s">
        <v>21</v>
      </c>
      <c r="C30" s="39" t="s">
        <v>22</v>
      </c>
      <c r="D30" s="40">
        <v>20060004</v>
      </c>
      <c r="E30" s="40" t="s">
        <v>179</v>
      </c>
      <c r="F30" s="38">
        <v>10</v>
      </c>
      <c r="G30" s="41">
        <v>19.64</v>
      </c>
      <c r="H30" s="41">
        <v>694.03000000000009</v>
      </c>
      <c r="I30" s="42">
        <v>0</v>
      </c>
      <c r="J30" s="43">
        <v>0</v>
      </c>
      <c r="K30" s="42">
        <v>0</v>
      </c>
      <c r="L30" s="42">
        <v>0</v>
      </c>
      <c r="M30" s="44">
        <v>0</v>
      </c>
      <c r="N30" s="42" t="s">
        <v>25</v>
      </c>
      <c r="O30" s="45">
        <v>694</v>
      </c>
      <c r="P30" s="39" t="s">
        <v>24</v>
      </c>
      <c r="Q30" s="39" t="s">
        <v>180</v>
      </c>
      <c r="R30" s="39" t="s">
        <v>181</v>
      </c>
      <c r="S30" s="39" t="s">
        <v>182</v>
      </c>
      <c r="T30" s="39">
        <v>0</v>
      </c>
      <c r="U30" s="46">
        <v>45895</v>
      </c>
      <c r="V30" s="39">
        <v>1</v>
      </c>
      <c r="W30" s="39" t="s">
        <v>56</v>
      </c>
      <c r="X30" s="47" t="s">
        <v>57</v>
      </c>
    </row>
    <row r="31" spans="1:24" x14ac:dyDescent="0.25">
      <c r="A31" s="37" t="s">
        <v>183</v>
      </c>
      <c r="B31" s="38" t="s">
        <v>21</v>
      </c>
      <c r="C31" s="39" t="s">
        <v>22</v>
      </c>
      <c r="D31" s="40">
        <v>20060004</v>
      </c>
      <c r="E31" s="40" t="s">
        <v>184</v>
      </c>
      <c r="F31" s="38">
        <v>14</v>
      </c>
      <c r="G31" s="41">
        <v>90.120000000000019</v>
      </c>
      <c r="H31" s="41">
        <v>3790.9100000000003</v>
      </c>
      <c r="I31" s="42">
        <v>0</v>
      </c>
      <c r="J31" s="43">
        <v>0</v>
      </c>
      <c r="K31" s="42">
        <v>0</v>
      </c>
      <c r="L31" s="42">
        <v>0</v>
      </c>
      <c r="M31" s="44">
        <v>0</v>
      </c>
      <c r="N31" s="42" t="s">
        <v>25</v>
      </c>
      <c r="O31" s="45">
        <v>3791</v>
      </c>
      <c r="P31" s="39" t="s">
        <v>24</v>
      </c>
      <c r="Q31" s="39" t="s">
        <v>185</v>
      </c>
      <c r="R31" s="39" t="s">
        <v>186</v>
      </c>
      <c r="S31" s="39" t="s">
        <v>187</v>
      </c>
      <c r="T31" s="39">
        <v>0</v>
      </c>
      <c r="U31" s="46">
        <v>0</v>
      </c>
      <c r="V31" s="39">
        <v>1</v>
      </c>
      <c r="W31" s="39" t="s">
        <v>56</v>
      </c>
      <c r="X31" s="47" t="s">
        <v>57</v>
      </c>
    </row>
    <row r="32" spans="1:24" x14ac:dyDescent="0.25">
      <c r="A32" s="37" t="s">
        <v>188</v>
      </c>
      <c r="B32" s="38" t="s">
        <v>21</v>
      </c>
      <c r="C32" s="39" t="s">
        <v>22</v>
      </c>
      <c r="D32" s="40">
        <v>20060004</v>
      </c>
      <c r="E32" s="40" t="s">
        <v>189</v>
      </c>
      <c r="F32" s="38">
        <v>5</v>
      </c>
      <c r="G32" s="41">
        <v>9.16</v>
      </c>
      <c r="H32" s="41">
        <v>375.6</v>
      </c>
      <c r="I32" s="42">
        <v>0</v>
      </c>
      <c r="J32" s="43">
        <v>0</v>
      </c>
      <c r="K32" s="42">
        <v>0</v>
      </c>
      <c r="L32" s="42">
        <v>0</v>
      </c>
      <c r="M32" s="44">
        <v>0</v>
      </c>
      <c r="N32" s="42" t="s">
        <v>25</v>
      </c>
      <c r="O32" s="45">
        <v>376</v>
      </c>
      <c r="P32" s="39" t="s">
        <v>24</v>
      </c>
      <c r="Q32" s="39" t="s">
        <v>190</v>
      </c>
      <c r="R32" s="39" t="s">
        <v>191</v>
      </c>
      <c r="S32" s="39" t="s">
        <v>54</v>
      </c>
      <c r="T32" s="39">
        <v>0</v>
      </c>
      <c r="U32" s="46">
        <v>46175</v>
      </c>
      <c r="V32" s="39">
        <v>1</v>
      </c>
      <c r="W32" s="39" t="s">
        <v>56</v>
      </c>
      <c r="X32" s="47" t="s">
        <v>57</v>
      </c>
    </row>
    <row r="33" spans="1:24" x14ac:dyDescent="0.25">
      <c r="A33" s="37" t="s">
        <v>192</v>
      </c>
      <c r="B33" s="38" t="s">
        <v>21</v>
      </c>
      <c r="C33" s="39" t="s">
        <v>22</v>
      </c>
      <c r="D33" s="40">
        <v>20060004</v>
      </c>
      <c r="E33" s="40" t="s">
        <v>193</v>
      </c>
      <c r="F33" s="38">
        <v>13</v>
      </c>
      <c r="G33" s="41">
        <v>82.02000000000001</v>
      </c>
      <c r="H33" s="41">
        <v>2598.5</v>
      </c>
      <c r="I33" s="42">
        <v>0</v>
      </c>
      <c r="J33" s="43">
        <v>0</v>
      </c>
      <c r="K33" s="42">
        <v>0</v>
      </c>
      <c r="L33" s="42">
        <v>0</v>
      </c>
      <c r="M33" s="44">
        <v>0</v>
      </c>
      <c r="N33" s="42" t="s">
        <v>25</v>
      </c>
      <c r="O33" s="45">
        <v>2599</v>
      </c>
      <c r="P33" s="39" t="s">
        <v>24</v>
      </c>
      <c r="Q33" s="39" t="s">
        <v>194</v>
      </c>
      <c r="R33" s="39" t="s">
        <v>195</v>
      </c>
      <c r="S33" s="39" t="s">
        <v>54</v>
      </c>
      <c r="T33" s="39">
        <v>0</v>
      </c>
      <c r="U33" s="46">
        <v>46195</v>
      </c>
      <c r="V33" s="39">
        <v>1</v>
      </c>
      <c r="W33" s="39" t="s">
        <v>56</v>
      </c>
      <c r="X33" s="47" t="s">
        <v>57</v>
      </c>
    </row>
    <row r="34" spans="1:24" x14ac:dyDescent="0.25">
      <c r="A34" s="37" t="s">
        <v>196</v>
      </c>
      <c r="B34" s="38" t="s">
        <v>21</v>
      </c>
      <c r="C34" s="39" t="s">
        <v>22</v>
      </c>
      <c r="D34" s="40">
        <v>20060004</v>
      </c>
      <c r="E34" s="40" t="s">
        <v>197</v>
      </c>
      <c r="F34" s="38">
        <v>2</v>
      </c>
      <c r="G34" s="41">
        <v>6.18</v>
      </c>
      <c r="H34" s="41">
        <v>222.8</v>
      </c>
      <c r="I34" s="42">
        <v>0</v>
      </c>
      <c r="J34" s="43">
        <v>0</v>
      </c>
      <c r="K34" s="42">
        <v>0</v>
      </c>
      <c r="L34" s="42">
        <v>0</v>
      </c>
      <c r="M34" s="44">
        <v>0</v>
      </c>
      <c r="N34" s="42" t="s">
        <v>25</v>
      </c>
      <c r="O34" s="45">
        <v>223</v>
      </c>
      <c r="P34" s="39" t="s">
        <v>24</v>
      </c>
      <c r="Q34" s="39" t="s">
        <v>198</v>
      </c>
      <c r="R34" s="39" t="s">
        <v>199</v>
      </c>
      <c r="S34" s="39" t="s">
        <v>200</v>
      </c>
      <c r="T34" s="39">
        <v>0</v>
      </c>
      <c r="U34" s="46">
        <v>46195</v>
      </c>
      <c r="V34" s="39">
        <v>1</v>
      </c>
      <c r="W34" s="39" t="s">
        <v>56</v>
      </c>
      <c r="X34" s="47" t="s">
        <v>57</v>
      </c>
    </row>
    <row r="35" spans="1:24" x14ac:dyDescent="0.25">
      <c r="A35" s="37" t="s">
        <v>201</v>
      </c>
      <c r="B35" s="38" t="s">
        <v>28</v>
      </c>
      <c r="C35" s="39" t="s">
        <v>29</v>
      </c>
      <c r="D35" s="40">
        <v>20090015</v>
      </c>
      <c r="E35" s="40" t="s">
        <v>51</v>
      </c>
      <c r="F35" s="38">
        <v>4</v>
      </c>
      <c r="G35" s="41">
        <v>4.38</v>
      </c>
      <c r="H35" s="41">
        <v>158.66</v>
      </c>
      <c r="I35" s="42">
        <v>0</v>
      </c>
      <c r="J35" s="43">
        <v>0</v>
      </c>
      <c r="K35" s="42">
        <v>0</v>
      </c>
      <c r="L35" s="42">
        <v>0</v>
      </c>
      <c r="M35" s="44">
        <v>0</v>
      </c>
      <c r="N35" s="42" t="s">
        <v>25</v>
      </c>
      <c r="O35" s="45">
        <v>159</v>
      </c>
      <c r="P35" s="39" t="s">
        <v>24</v>
      </c>
      <c r="Q35" s="39" t="s">
        <v>202</v>
      </c>
      <c r="R35" s="39" t="s">
        <v>203</v>
      </c>
      <c r="S35" s="39" t="s">
        <v>204</v>
      </c>
      <c r="T35" s="39">
        <v>0</v>
      </c>
      <c r="U35" s="46">
        <v>45923</v>
      </c>
      <c r="V35" s="39">
        <v>1</v>
      </c>
      <c r="W35" s="39" t="s">
        <v>56</v>
      </c>
      <c r="X35" s="47" t="s">
        <v>57</v>
      </c>
    </row>
    <row r="36" spans="1:24" x14ac:dyDescent="0.25">
      <c r="A36" s="37" t="s">
        <v>205</v>
      </c>
      <c r="B36" s="38" t="s">
        <v>28</v>
      </c>
      <c r="C36" s="39" t="s">
        <v>29</v>
      </c>
      <c r="D36" s="40">
        <v>20090015</v>
      </c>
      <c r="E36" s="40" t="s">
        <v>69</v>
      </c>
      <c r="F36" s="38">
        <v>14</v>
      </c>
      <c r="G36" s="41">
        <v>75.739999999999995</v>
      </c>
      <c r="H36" s="41">
        <v>2599.77</v>
      </c>
      <c r="I36" s="42">
        <v>0</v>
      </c>
      <c r="J36" s="43">
        <v>0</v>
      </c>
      <c r="K36" s="42">
        <v>0</v>
      </c>
      <c r="L36" s="42">
        <v>100</v>
      </c>
      <c r="M36" s="44">
        <v>0</v>
      </c>
      <c r="N36" s="42" t="s">
        <v>25</v>
      </c>
      <c r="O36" s="45">
        <v>2500</v>
      </c>
      <c r="P36" s="39" t="s">
        <v>24</v>
      </c>
      <c r="Q36" s="39" t="s">
        <v>206</v>
      </c>
      <c r="R36" s="39" t="s">
        <v>207</v>
      </c>
      <c r="S36" s="39" t="s">
        <v>204</v>
      </c>
      <c r="T36" s="39">
        <v>0</v>
      </c>
      <c r="U36" s="46">
        <v>45923</v>
      </c>
      <c r="V36" s="39">
        <v>1</v>
      </c>
      <c r="W36" s="39" t="s">
        <v>56</v>
      </c>
      <c r="X36" s="47" t="s">
        <v>57</v>
      </c>
    </row>
    <row r="37" spans="1:24" x14ac:dyDescent="0.25">
      <c r="A37" s="37" t="s">
        <v>208</v>
      </c>
      <c r="B37" s="38" t="s">
        <v>28</v>
      </c>
      <c r="C37" s="39" t="s">
        <v>29</v>
      </c>
      <c r="D37" s="40">
        <v>20090015</v>
      </c>
      <c r="E37" s="40" t="s">
        <v>209</v>
      </c>
      <c r="F37" s="38">
        <v>12</v>
      </c>
      <c r="G37" s="41">
        <v>82.08</v>
      </c>
      <c r="H37" s="41">
        <v>2982.4700000000003</v>
      </c>
      <c r="I37" s="42">
        <v>0</v>
      </c>
      <c r="J37" s="43">
        <v>0</v>
      </c>
      <c r="K37" s="42">
        <v>0</v>
      </c>
      <c r="L37" s="42">
        <v>200</v>
      </c>
      <c r="M37" s="44">
        <v>0</v>
      </c>
      <c r="N37" s="42" t="s">
        <v>25</v>
      </c>
      <c r="O37" s="45">
        <v>2782</v>
      </c>
      <c r="P37" s="39" t="s">
        <v>24</v>
      </c>
      <c r="Q37" s="39" t="s">
        <v>210</v>
      </c>
      <c r="R37" s="39" t="s">
        <v>211</v>
      </c>
      <c r="S37" s="39" t="s">
        <v>212</v>
      </c>
      <c r="T37" s="39">
        <v>0</v>
      </c>
      <c r="U37" s="46">
        <v>45923</v>
      </c>
      <c r="V37" s="39">
        <v>1</v>
      </c>
      <c r="W37" s="39" t="s">
        <v>56</v>
      </c>
      <c r="X37" s="47" t="s">
        <v>57</v>
      </c>
    </row>
    <row r="38" spans="1:24" x14ac:dyDescent="0.25">
      <c r="A38" s="37" t="s">
        <v>213</v>
      </c>
      <c r="B38" s="38" t="s">
        <v>28</v>
      </c>
      <c r="C38" s="39" t="s">
        <v>29</v>
      </c>
      <c r="D38" s="40">
        <v>20090015</v>
      </c>
      <c r="E38" s="40" t="s">
        <v>214</v>
      </c>
      <c r="F38" s="38">
        <v>13</v>
      </c>
      <c r="G38" s="41">
        <v>47.98</v>
      </c>
      <c r="H38" s="41">
        <v>1823.9199999999998</v>
      </c>
      <c r="I38" s="42">
        <v>0</v>
      </c>
      <c r="J38" s="43">
        <v>0</v>
      </c>
      <c r="K38" s="42">
        <v>0</v>
      </c>
      <c r="L38" s="42">
        <v>100</v>
      </c>
      <c r="M38" s="44">
        <v>0</v>
      </c>
      <c r="N38" s="42" t="s">
        <v>25</v>
      </c>
      <c r="O38" s="45">
        <v>1724</v>
      </c>
      <c r="P38" s="39" t="s">
        <v>24</v>
      </c>
      <c r="Q38" s="39" t="s">
        <v>215</v>
      </c>
      <c r="R38" s="39" t="s">
        <v>216</v>
      </c>
      <c r="S38" s="39" t="s">
        <v>204</v>
      </c>
      <c r="T38" s="39">
        <v>0</v>
      </c>
      <c r="U38" s="46">
        <v>45923</v>
      </c>
      <c r="V38" s="39">
        <v>1</v>
      </c>
      <c r="W38" s="39" t="s">
        <v>56</v>
      </c>
      <c r="X38" s="47" t="s">
        <v>57</v>
      </c>
    </row>
    <row r="39" spans="1:24" x14ac:dyDescent="0.25">
      <c r="A39" s="37" t="s">
        <v>217</v>
      </c>
      <c r="B39" s="38" t="s">
        <v>28</v>
      </c>
      <c r="C39" s="39" t="s">
        <v>29</v>
      </c>
      <c r="D39" s="40">
        <v>20090015</v>
      </c>
      <c r="E39" s="40" t="s">
        <v>79</v>
      </c>
      <c r="F39" s="38">
        <v>7</v>
      </c>
      <c r="G39" s="41">
        <v>13.990000000000002</v>
      </c>
      <c r="H39" s="41">
        <v>589.98</v>
      </c>
      <c r="I39" s="42">
        <v>0</v>
      </c>
      <c r="J39" s="43">
        <v>0</v>
      </c>
      <c r="K39" s="42">
        <v>0</v>
      </c>
      <c r="L39" s="42">
        <v>0</v>
      </c>
      <c r="M39" s="44">
        <v>0</v>
      </c>
      <c r="N39" s="42" t="s">
        <v>25</v>
      </c>
      <c r="O39" s="45">
        <v>590</v>
      </c>
      <c r="P39" s="39" t="s">
        <v>24</v>
      </c>
      <c r="Q39" s="39" t="s">
        <v>218</v>
      </c>
      <c r="R39" s="39" t="s">
        <v>219</v>
      </c>
      <c r="S39" s="39" t="s">
        <v>204</v>
      </c>
      <c r="T39" s="39">
        <v>0</v>
      </c>
      <c r="U39" s="46">
        <v>45978</v>
      </c>
      <c r="V39" s="39">
        <v>1</v>
      </c>
      <c r="W39" s="39" t="s">
        <v>56</v>
      </c>
      <c r="X39" s="47" t="s">
        <v>57</v>
      </c>
    </row>
    <row r="40" spans="1:24" x14ac:dyDescent="0.25">
      <c r="A40" s="37" t="s">
        <v>220</v>
      </c>
      <c r="B40" s="38" t="s">
        <v>28</v>
      </c>
      <c r="C40" s="39" t="s">
        <v>29</v>
      </c>
      <c r="D40" s="40">
        <v>20090015</v>
      </c>
      <c r="E40" s="40" t="s">
        <v>92</v>
      </c>
      <c r="F40" s="38">
        <v>11</v>
      </c>
      <c r="G40" s="41">
        <v>17.759999999999998</v>
      </c>
      <c r="H40" s="41">
        <v>646.68000000000006</v>
      </c>
      <c r="I40" s="42">
        <v>0</v>
      </c>
      <c r="J40" s="43">
        <v>0</v>
      </c>
      <c r="K40" s="42">
        <v>0</v>
      </c>
      <c r="L40" s="42">
        <v>647</v>
      </c>
      <c r="M40" s="44">
        <v>0</v>
      </c>
      <c r="N40" s="42" t="s">
        <v>25</v>
      </c>
      <c r="O40" s="45">
        <v>0</v>
      </c>
      <c r="P40" s="39" t="s">
        <v>24</v>
      </c>
      <c r="Q40" s="39" t="s">
        <v>221</v>
      </c>
      <c r="R40" s="39" t="s">
        <v>222</v>
      </c>
      <c r="S40" s="39" t="s">
        <v>204</v>
      </c>
      <c r="T40" s="39">
        <v>0</v>
      </c>
      <c r="U40" s="46">
        <v>45923</v>
      </c>
      <c r="V40" s="39">
        <v>1</v>
      </c>
      <c r="W40" s="39" t="s">
        <v>56</v>
      </c>
      <c r="X40" s="47" t="s">
        <v>57</v>
      </c>
    </row>
    <row r="41" spans="1:24" x14ac:dyDescent="0.25">
      <c r="A41" s="37" t="s">
        <v>223</v>
      </c>
      <c r="B41" s="38" t="s">
        <v>28</v>
      </c>
      <c r="C41" s="39" t="s">
        <v>29</v>
      </c>
      <c r="D41" s="40">
        <v>20090015</v>
      </c>
      <c r="E41" s="40" t="s">
        <v>113</v>
      </c>
      <c r="F41" s="38">
        <v>7</v>
      </c>
      <c r="G41" s="41">
        <v>35.409999999999997</v>
      </c>
      <c r="H41" s="41">
        <v>2007.89</v>
      </c>
      <c r="I41" s="42">
        <v>0</v>
      </c>
      <c r="J41" s="43">
        <v>0</v>
      </c>
      <c r="K41" s="42">
        <v>0</v>
      </c>
      <c r="L41" s="42">
        <v>0</v>
      </c>
      <c r="M41" s="44">
        <v>0</v>
      </c>
      <c r="N41" s="42" t="s">
        <v>25</v>
      </c>
      <c r="O41" s="45">
        <v>2008</v>
      </c>
      <c r="P41" s="39" t="s">
        <v>24</v>
      </c>
      <c r="Q41" s="39" t="s">
        <v>224</v>
      </c>
      <c r="R41" s="39" t="s">
        <v>225</v>
      </c>
      <c r="S41" s="39" t="s">
        <v>204</v>
      </c>
      <c r="T41" s="39">
        <v>0</v>
      </c>
      <c r="U41" s="46">
        <v>46013</v>
      </c>
      <c r="V41" s="39">
        <v>1</v>
      </c>
      <c r="W41" s="39" t="s">
        <v>56</v>
      </c>
      <c r="X41" s="47" t="s">
        <v>57</v>
      </c>
    </row>
    <row r="42" spans="1:24" x14ac:dyDescent="0.25">
      <c r="A42" s="37" t="s">
        <v>226</v>
      </c>
      <c r="B42" s="38" t="s">
        <v>28</v>
      </c>
      <c r="C42" s="39" t="s">
        <v>29</v>
      </c>
      <c r="D42" s="40">
        <v>20090015</v>
      </c>
      <c r="E42" s="40" t="s">
        <v>227</v>
      </c>
      <c r="F42" s="38">
        <v>14</v>
      </c>
      <c r="G42" s="41">
        <v>78.23</v>
      </c>
      <c r="H42" s="41">
        <v>2827.99</v>
      </c>
      <c r="I42" s="42">
        <v>0</v>
      </c>
      <c r="J42" s="43">
        <v>0</v>
      </c>
      <c r="K42" s="42">
        <v>0</v>
      </c>
      <c r="L42" s="42">
        <v>123</v>
      </c>
      <c r="M42" s="44">
        <v>0</v>
      </c>
      <c r="N42" s="42" t="s">
        <v>25</v>
      </c>
      <c r="O42" s="45">
        <v>2705</v>
      </c>
      <c r="P42" s="39" t="s">
        <v>24</v>
      </c>
      <c r="Q42" s="39" t="s">
        <v>228</v>
      </c>
      <c r="R42" s="39" t="s">
        <v>229</v>
      </c>
      <c r="S42" s="39" t="s">
        <v>204</v>
      </c>
      <c r="T42" s="39">
        <v>0</v>
      </c>
      <c r="U42" s="46">
        <v>46013</v>
      </c>
      <c r="V42" s="39">
        <v>1</v>
      </c>
      <c r="W42" s="39" t="s">
        <v>56</v>
      </c>
      <c r="X42" s="47" t="s">
        <v>57</v>
      </c>
    </row>
    <row r="43" spans="1:24" x14ac:dyDescent="0.25">
      <c r="A43" s="37" t="s">
        <v>230</v>
      </c>
      <c r="B43" s="38" t="s">
        <v>28</v>
      </c>
      <c r="C43" s="39" t="s">
        <v>29</v>
      </c>
      <c r="D43" s="40">
        <v>20090015</v>
      </c>
      <c r="E43" s="40" t="s">
        <v>231</v>
      </c>
      <c r="F43" s="38">
        <v>9</v>
      </c>
      <c r="G43" s="41">
        <v>16.740000000000002</v>
      </c>
      <c r="H43" s="41">
        <v>633.82999999999993</v>
      </c>
      <c r="I43" s="42">
        <v>0</v>
      </c>
      <c r="J43" s="43">
        <v>0</v>
      </c>
      <c r="K43" s="42">
        <v>0</v>
      </c>
      <c r="L43" s="42">
        <v>0</v>
      </c>
      <c r="M43" s="44">
        <v>0</v>
      </c>
      <c r="N43" s="42" t="s">
        <v>25</v>
      </c>
      <c r="O43" s="45">
        <v>634</v>
      </c>
      <c r="P43" s="39" t="s">
        <v>24</v>
      </c>
      <c r="Q43" s="39" t="s">
        <v>232</v>
      </c>
      <c r="R43" s="39" t="s">
        <v>233</v>
      </c>
      <c r="S43" s="39" t="s">
        <v>204</v>
      </c>
      <c r="T43" s="39">
        <v>0</v>
      </c>
      <c r="U43" s="46">
        <v>46013</v>
      </c>
      <c r="V43" s="39">
        <v>1</v>
      </c>
      <c r="W43" s="39" t="s">
        <v>56</v>
      </c>
      <c r="X43" s="47" t="s">
        <v>57</v>
      </c>
    </row>
    <row r="44" spans="1:24" x14ac:dyDescent="0.25">
      <c r="A44" s="37" t="s">
        <v>234</v>
      </c>
      <c r="B44" s="38" t="s">
        <v>28</v>
      </c>
      <c r="C44" s="39" t="s">
        <v>29</v>
      </c>
      <c r="D44" s="40">
        <v>20090015</v>
      </c>
      <c r="E44" s="40" t="s">
        <v>235</v>
      </c>
      <c r="F44" s="38">
        <v>6</v>
      </c>
      <c r="G44" s="41">
        <v>12.77</v>
      </c>
      <c r="H44" s="41">
        <v>470.15000000000003</v>
      </c>
      <c r="I44" s="42">
        <v>0</v>
      </c>
      <c r="J44" s="43">
        <v>0</v>
      </c>
      <c r="K44" s="42">
        <v>0</v>
      </c>
      <c r="L44" s="42">
        <v>0</v>
      </c>
      <c r="M44" s="44">
        <v>0</v>
      </c>
      <c r="N44" s="42" t="s">
        <v>25</v>
      </c>
      <c r="O44" s="45">
        <v>470</v>
      </c>
      <c r="P44" s="39" t="s">
        <v>24</v>
      </c>
      <c r="Q44" s="39" t="s">
        <v>236</v>
      </c>
      <c r="R44" s="39" t="s">
        <v>237</v>
      </c>
      <c r="S44" s="39" t="s">
        <v>204</v>
      </c>
      <c r="T44" s="39">
        <v>0</v>
      </c>
      <c r="U44" s="46">
        <v>46062</v>
      </c>
      <c r="V44" s="39">
        <v>1</v>
      </c>
      <c r="W44" s="39" t="s">
        <v>56</v>
      </c>
      <c r="X44" s="47" t="s">
        <v>57</v>
      </c>
    </row>
    <row r="45" spans="1:24" x14ac:dyDescent="0.25">
      <c r="A45" s="37" t="s">
        <v>238</v>
      </c>
      <c r="B45" s="38" t="s">
        <v>28</v>
      </c>
      <c r="C45" s="39" t="s">
        <v>29</v>
      </c>
      <c r="D45" s="40">
        <v>20090015</v>
      </c>
      <c r="E45" s="40" t="s">
        <v>117</v>
      </c>
      <c r="F45" s="38">
        <v>14</v>
      </c>
      <c r="G45" s="41">
        <v>41.820000000000007</v>
      </c>
      <c r="H45" s="41">
        <v>1555.83</v>
      </c>
      <c r="I45" s="42">
        <v>0</v>
      </c>
      <c r="J45" s="43">
        <v>0</v>
      </c>
      <c r="K45" s="42">
        <v>0</v>
      </c>
      <c r="L45" s="42">
        <v>100</v>
      </c>
      <c r="M45" s="44">
        <v>0</v>
      </c>
      <c r="N45" s="42" t="s">
        <v>25</v>
      </c>
      <c r="O45" s="45">
        <v>1456</v>
      </c>
      <c r="P45" s="39" t="s">
        <v>24</v>
      </c>
      <c r="Q45" s="39" t="s">
        <v>239</v>
      </c>
      <c r="R45" s="39" t="s">
        <v>240</v>
      </c>
      <c r="S45" s="39" t="s">
        <v>204</v>
      </c>
      <c r="T45" s="39">
        <v>0</v>
      </c>
      <c r="U45" s="46">
        <v>46195</v>
      </c>
      <c r="V45" s="39">
        <v>1</v>
      </c>
      <c r="W45" s="39" t="s">
        <v>56</v>
      </c>
      <c r="X45" s="47" t="s">
        <v>57</v>
      </c>
    </row>
    <row r="46" spans="1:24" x14ac:dyDescent="0.25">
      <c r="A46" s="37" t="s">
        <v>241</v>
      </c>
      <c r="B46" s="38" t="s">
        <v>28</v>
      </c>
      <c r="C46" s="39" t="s">
        <v>30</v>
      </c>
      <c r="D46" s="40">
        <v>20090020</v>
      </c>
      <c r="E46" s="40" t="s">
        <v>51</v>
      </c>
      <c r="F46" s="38">
        <v>8</v>
      </c>
      <c r="G46" s="41">
        <v>597.73</v>
      </c>
      <c r="H46" s="41">
        <v>25908.49</v>
      </c>
      <c r="I46" s="42">
        <v>0</v>
      </c>
      <c r="J46" s="43">
        <v>0</v>
      </c>
      <c r="K46" s="42">
        <v>0</v>
      </c>
      <c r="L46" s="42">
        <v>2540</v>
      </c>
      <c r="M46" s="44">
        <v>0</v>
      </c>
      <c r="N46" s="42" t="s">
        <v>25</v>
      </c>
      <c r="O46" s="45">
        <v>23368</v>
      </c>
      <c r="P46" s="39" t="s">
        <v>24</v>
      </c>
      <c r="Q46" s="39" t="s">
        <v>242</v>
      </c>
      <c r="R46" s="39" t="s">
        <v>243</v>
      </c>
      <c r="S46" s="39" t="s">
        <v>244</v>
      </c>
      <c r="T46" s="39">
        <v>0</v>
      </c>
      <c r="U46" s="46">
        <v>45949</v>
      </c>
      <c r="V46" s="39">
        <v>1</v>
      </c>
      <c r="W46" s="39" t="s">
        <v>56</v>
      </c>
      <c r="X46" s="47" t="s">
        <v>57</v>
      </c>
    </row>
    <row r="47" spans="1:24" ht="15.75" thickBot="1" x14ac:dyDescent="0.3">
      <c r="A47" s="37" t="s">
        <v>245</v>
      </c>
      <c r="B47" s="38" t="s">
        <v>28</v>
      </c>
      <c r="C47" s="39" t="s">
        <v>30</v>
      </c>
      <c r="D47" s="40">
        <v>20090020</v>
      </c>
      <c r="E47" s="40" t="s">
        <v>59</v>
      </c>
      <c r="F47" s="38">
        <v>9</v>
      </c>
      <c r="G47" s="41">
        <v>425.57</v>
      </c>
      <c r="H47" s="41">
        <v>16440.189999999999</v>
      </c>
      <c r="I47" s="42">
        <v>0</v>
      </c>
      <c r="J47" s="43">
        <v>0</v>
      </c>
      <c r="K47" s="42">
        <v>0</v>
      </c>
      <c r="L47" s="42">
        <v>2540</v>
      </c>
      <c r="M47" s="44">
        <v>0</v>
      </c>
      <c r="N47" s="42" t="s">
        <v>25</v>
      </c>
      <c r="O47" s="45">
        <v>13900</v>
      </c>
      <c r="P47" s="39" t="s">
        <v>24</v>
      </c>
      <c r="Q47" s="39" t="s">
        <v>246</v>
      </c>
      <c r="R47" s="39" t="s">
        <v>247</v>
      </c>
      <c r="S47" s="39" t="s">
        <v>248</v>
      </c>
      <c r="T47" s="39">
        <v>0</v>
      </c>
      <c r="U47" s="46">
        <v>46104</v>
      </c>
      <c r="V47" s="39">
        <v>1</v>
      </c>
      <c r="W47" s="39" t="s">
        <v>56</v>
      </c>
      <c r="X47" s="47" t="s">
        <v>57</v>
      </c>
    </row>
    <row r="48" spans="1:24" ht="15.75" thickTop="1" x14ac:dyDescent="0.25">
      <c r="A48" s="48"/>
      <c r="B48" s="49"/>
      <c r="C48" s="50" t="s">
        <v>249</v>
      </c>
      <c r="D48" s="49"/>
      <c r="E48" s="49"/>
      <c r="F48" s="49"/>
      <c r="G48" s="51">
        <v>3271.1600000000008</v>
      </c>
      <c r="H48" s="51">
        <v>131901.21000000002</v>
      </c>
      <c r="I48" s="52">
        <v>0</v>
      </c>
      <c r="J48" s="52">
        <v>0</v>
      </c>
      <c r="K48" s="53">
        <v>0</v>
      </c>
      <c r="L48" s="54">
        <v>12700</v>
      </c>
      <c r="M48" s="54">
        <v>0</v>
      </c>
      <c r="N48" s="50"/>
      <c r="O48" s="51">
        <f>SUM(O2:O47)</f>
        <v>119204</v>
      </c>
      <c r="P48" s="50"/>
      <c r="Q48" s="50"/>
      <c r="R48" s="50"/>
      <c r="S48" s="50"/>
      <c r="T48" s="50"/>
      <c r="U48" s="55"/>
      <c r="V48" s="50"/>
      <c r="W48" s="50"/>
      <c r="X48" s="56"/>
    </row>
  </sheetData>
  <conditionalFormatting sqref="R1">
    <cfRule type="duplicateValues" dxfId="3" priority="4"/>
  </conditionalFormatting>
  <conditionalFormatting sqref="A2:A47">
    <cfRule type="duplicateValues" dxfId="2" priority="3"/>
  </conditionalFormatting>
  <conditionalFormatting sqref="E2:E48">
    <cfRule type="containsText" dxfId="1" priority="2" operator="containsText" text="0001">
      <formula>NOT(ISERROR(SEARCH("0001",E2)))</formula>
    </cfRule>
  </conditionalFormatting>
  <conditionalFormatting sqref="O2:O47">
    <cfRule type="cellIs" dxfId="0" priority="1" operator="lessThan">
      <formula>-1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MPG</vt:lpstr>
      <vt:lpstr>Farmer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RAHUL PANDIT</dc:creator>
  <cp:lastModifiedBy>RAHUL PANDIT</cp:lastModifiedBy>
  <dcterms:created xsi:type="dcterms:W3CDTF">2026-07-30T05:52:02Z</dcterms:created>
  <dcterms:modified xsi:type="dcterms:W3CDTF">2026-07-30T05:56:16Z</dcterms:modified>
</cp:coreProperties>
</file>