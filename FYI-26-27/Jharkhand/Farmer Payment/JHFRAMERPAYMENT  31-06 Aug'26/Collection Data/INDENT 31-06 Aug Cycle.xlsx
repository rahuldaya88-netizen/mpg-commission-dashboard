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31-06 Aug'26\Collection Data\"/>
    </mc:Choice>
  </mc:AlternateContent>
  <xr:revisionPtr revIDLastSave="0" documentId="13_ncr:1_{63D873D0-6296-46E7-A424-72945DB67B5F}" xr6:coauthVersionLast="47" xr6:coauthVersionMax="47" xr10:uidLastSave="{00000000-0000-0000-0000-000000000000}"/>
  <bookViews>
    <workbookView xWindow="-120" yWindow="-120" windowWidth="29040" windowHeight="15720" activeTab="1" xr2:uid="{48B08D5D-0179-4205-9C58-B21629A66BE9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5" i="1" l="1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L27" i="2" l="1"/>
  <c r="T25" i="1"/>
</calcChain>
</file>

<file path=xl/sharedStrings.xml><?xml version="1.0" encoding="utf-8"?>
<sst xmlns="http://schemas.openxmlformats.org/spreadsheetml/2006/main" count="330" uniqueCount="87">
  <si>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</si>
  <si>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</si>
  <si>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</si>
  <si>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</si>
  <si>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</si>
  <si>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</si>
  <si>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</si>
  <si>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</si>
  <si>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</si>
  <si>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</si>
  <si>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</si>
  <si>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</si>
  <si>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</si>
  <si>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</si>
  <si>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</si>
  <si>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</si>
  <si>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</si>
  <si>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</si>
  <si>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</si>
  <si>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Gomukh Gold 50KG</t>
  </si>
  <si>
    <t>200600030002</t>
  </si>
  <si>
    <t>DUMARDAGA</t>
  </si>
  <si>
    <t>0002</t>
  </si>
  <si>
    <t>ORMANJHI</t>
  </si>
  <si>
    <t>Daya Society</t>
  </si>
  <si>
    <t>Chanho</t>
  </si>
  <si>
    <t>PAKARIYO</t>
  </si>
  <si>
    <t>200900150022</t>
  </si>
  <si>
    <t>0022</t>
  </si>
  <si>
    <t>200100540012</t>
  </si>
  <si>
    <t>NARKOPI</t>
  </si>
  <si>
    <t>0012</t>
  </si>
  <si>
    <t>200900170003</t>
  </si>
  <si>
    <t>NAWATAND</t>
  </si>
  <si>
    <t>0003</t>
  </si>
  <si>
    <t>Itki</t>
  </si>
  <si>
    <t>Vikash</t>
  </si>
  <si>
    <t>Paali</t>
  </si>
  <si>
    <t>0005</t>
  </si>
  <si>
    <t>Amar sahu</t>
  </si>
  <si>
    <t>200900080005</t>
  </si>
  <si>
    <t>GANESHPUR</t>
  </si>
  <si>
    <t>KOKAR</t>
  </si>
  <si>
    <t>200900200002</t>
  </si>
  <si>
    <t>PAKARIYO 2</t>
  </si>
  <si>
    <t>200900200005</t>
  </si>
  <si>
    <t>200900230002</t>
  </si>
  <si>
    <t>CHOREYA</t>
  </si>
  <si>
    <t>0021</t>
  </si>
  <si>
    <t>DUMRI</t>
  </si>
  <si>
    <t>0008</t>
  </si>
  <si>
    <t>UCHARI</t>
  </si>
  <si>
    <t>0015</t>
  </si>
  <si>
    <t>200400010008</t>
  </si>
  <si>
    <t>200400010010</t>
  </si>
  <si>
    <t>0010</t>
  </si>
  <si>
    <t>200900040021</t>
  </si>
  <si>
    <t>200900140015</t>
  </si>
  <si>
    <t>HUTAR</t>
  </si>
  <si>
    <t>200400010003</t>
  </si>
  <si>
    <t>GARRI</t>
  </si>
  <si>
    <t>200500030050</t>
  </si>
  <si>
    <t>0050</t>
  </si>
  <si>
    <t>200200270003</t>
  </si>
  <si>
    <t>200200270009</t>
  </si>
  <si>
    <t>0009</t>
  </si>
  <si>
    <t>200200290018</t>
  </si>
  <si>
    <t>Murma</t>
  </si>
  <si>
    <t>0018</t>
  </si>
  <si>
    <t>200100520002</t>
  </si>
  <si>
    <t>Kumbatoli</t>
  </si>
  <si>
    <t>31-07-2026 to 06-08-2026</t>
  </si>
  <si>
    <t>200900150032</t>
  </si>
  <si>
    <t>0032</t>
  </si>
  <si>
    <t>200700240008</t>
  </si>
  <si>
    <t>MURPA</t>
  </si>
  <si>
    <t>PIRAGUTU</t>
  </si>
  <si>
    <t>200700240003</t>
  </si>
  <si>
    <t>200700240002</t>
  </si>
  <si>
    <t>Jitendra kumar patel</t>
  </si>
  <si>
    <t>Type</t>
  </si>
  <si>
    <t>Direct</t>
  </si>
  <si>
    <t>Deduction</t>
  </si>
  <si>
    <t>Grand Total</t>
  </si>
  <si>
    <t>Direct Total</t>
  </si>
  <si>
    <t>Total</t>
  </si>
  <si>
    <t>Sum of 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</si>
</sst>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right" vertical="center"/>
    </xf>
    <xf numFmtId="0" fontId="2" fillId="2" borderId="8" xfId="0" quotePrefix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0" fillId="4" borderId="0" xfId="0" applyFill="1"/>
    <xf numFmtId="0" fontId="0" fillId="0" borderId="9" xfId="0" applyBorder="1"/>
    <xf numFmtId="0" fontId="0" fillId="0" borderId="7" xfId="0" applyBorder="1"/>
    <xf numFmtId="0" fontId="2" fillId="2" borderId="6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0" fillId="0" borderId="0" xfId="0" pivotButton="1"/>
    <xf numFmtId="0" fontId="4" fillId="5" borderId="10" xfId="0" applyFont="1" applyFill="1" applyBorder="1"/>
    <xf numFmtId="0" fontId="4" fillId="0" borderId="0" xfId="0" applyFont="1"/>
    <xf numFmtId="0" fontId="4" fillId="0" borderId="10" xfId="0" applyFont="1" applyBorder="1"/>
    <xf numFmtId="0" fontId="4" fillId="0" borderId="11" xfId="0" applyFont="1" applyBorder="1"/>
    <xf numFmtId="0" fontId="0" fillId="0" borderId="8" xfId="0" applyBorder="1"/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D4034187-0568-48E0-BEFB-994D0DB1B602}">
      <tableStyleElement type="wholeTable" size="0" dxfId="50"/>
      <tableStyleElement type="headerRow" dxfId="49"/>
      <tableStyleElement type="firstRowStripe" dxfId="48"/>
      <tableStyleElement type="secondRowStrip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4.659361574071" createdVersion="8" refreshedVersion="8" minRefreshableVersion="3" recordCount="23" xr:uid="{935AA0E4-664C-4661-ADE2-C1ECD5352F2D}">
  <cacheSource type="worksheet">
    <worksheetSource name="Table7"/>
  </cacheSource>
  <cacheFields count="21">
    <cacheField name="Timestamp" numFmtId="164">
      <sharedItems containsSemiMixedTypes="0" containsNonDate="0" containsDate="1" containsString="0" minDate="2026-08-08T13:46:29" maxDate="2026-08-08T14:42:00"/>
    </cacheField>
    <cacheField name="User Name" numFmtId="0">
      <sharedItems/>
    </cacheField>
    <cacheField name="Order Date" numFmtId="165">
      <sharedItems containsSemiMixedTypes="0" containsNonDate="0" containsDate="1" containsString="0" minDate="2026-08-08T00:00:00" maxDate="2026-08-09T00:00:00"/>
    </cacheField>
    <cacheField name="Deduction Cycle" numFmtId="0">
      <sharedItems/>
    </cacheField>
    <cacheField name="Item Name" numFmtId="0">
      <sharedItems/>
    </cacheField>
    <cacheField name="ID" numFmtId="49">
      <sharedItems/>
    </cacheField>
    <cacheField name="MPG Code" numFmtId="0">
      <sharedItems containsSemiMixedTypes="0" containsString="0" containsNumber="1" containsInteger="1" minValue="20010052" maxValue="20090023" count="15">
        <n v="20040001"/>
        <n v="20090004"/>
        <n v="20090008"/>
        <n v="20010054"/>
        <n v="20090017"/>
        <n v="20090014"/>
        <n v="20090015"/>
        <n v="20090020"/>
        <n v="20090023"/>
        <n v="20020027"/>
        <n v="20070024"/>
        <n v="20050003"/>
        <n v="20010052"/>
        <n v="20060003"/>
        <n v="20020029"/>
      </sharedItems>
    </cacheField>
    <cacheField name="Type" numFmtId="0">
      <sharedItems count="1">
        <s v="Direct"/>
      </sharedItems>
    </cacheField>
    <cacheField name="MPG Name" numFmtId="0">
      <sharedItems/>
    </cacheField>
    <cacheField name="Farmer code" numFmtId="0">
      <sharedItems count="13">
        <s v="0003"/>
        <s v="0008"/>
        <s v="0010"/>
        <s v="0021"/>
        <s v="0005"/>
        <s v="0012"/>
        <s v="0015"/>
        <s v="0022"/>
        <s v="0032"/>
        <s v="0002"/>
        <s v="0009"/>
        <s v="0050"/>
        <s v="0018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30"/>
    </cacheField>
    <cacheField name="Rate" numFmtId="0">
      <sharedItems containsSemiMixedTypes="0" containsString="0" containsNumber="1" containsInteger="1" minValue="1270" maxValue="1270"/>
    </cacheField>
    <cacheField name="Total Amount" numFmtId="0">
      <sharedItems containsSemiMixedTypes="0" containsString="0" containsNumber="1" containsInteger="1" minValue="0" maxValue="38100"/>
    </cacheField>
    <cacheField name="Other Due Amt" numFmtId="0">
      <sharedItems containsSemiMixedTypes="0" containsString="0" containsNumber="1" containsInteger="1" minValue="0" maxValue="872"/>
    </cacheField>
    <cacheField name="Total Amount (Proposed)" numFmtId="0">
      <sharedItems containsSemiMixedTypes="0" containsString="0" containsNumber="1" containsInteger="1" minValue="109" maxValue="38100"/>
    </cacheField>
    <cacheField name="Final Qty" numFmtId="0">
      <sharedItems containsSemiMixedTypes="0" containsString="0" containsNumber="1" containsInteger="1" minValue="0" maxValue="30"/>
    </cacheField>
    <cacheField name="Final Amount" numFmtId="0">
      <sharedItems containsSemiMixedTypes="0" containsString="0" containsNumber="1" containsInteger="1" minValue="109" maxValue="38100"/>
    </cacheField>
    <cacheField name="Deduction" numFmtId="0">
      <sharedItems containsNonDate="0" containsString="0" containsBlank="1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d v="2026-08-08T13:46:29"/>
    <s v="Amar sahu"/>
    <d v="2026-08-08T00:00:00"/>
    <s v="31-07-2026 to 06-08-2026"/>
    <s v="Gomukh Gold 50KG"/>
    <s v="200400010003"/>
    <x v="0"/>
    <x v="0"/>
    <s v="CHOREYA"/>
    <x v="0"/>
    <s v="CHOREYA"/>
    <s v="Daya Society"/>
    <n v="1"/>
    <n v="1270"/>
    <n v="1270"/>
    <n v="0"/>
    <n v="1270"/>
    <n v="1"/>
    <n v="1270"/>
    <m/>
    <m/>
  </r>
  <r>
    <d v="2026-08-08T13:47:13"/>
    <s v="Amar sahu"/>
    <d v="2026-08-08T00:00:00"/>
    <s v="31-07-2026 to 06-08-2026"/>
    <s v="Gomukh Gold 50KG"/>
    <s v="200400010008"/>
    <x v="0"/>
    <x v="0"/>
    <s v="CHOREYA"/>
    <x v="1"/>
    <s v="CHOREYA"/>
    <s v="Daya Society"/>
    <n v="1"/>
    <n v="1270"/>
    <n v="1270"/>
    <n v="0"/>
    <n v="1270"/>
    <n v="1"/>
    <n v="1270"/>
    <m/>
    <m/>
  </r>
  <r>
    <d v="2026-08-08T13:47:36"/>
    <s v="Amar sahu"/>
    <d v="2026-08-08T00:00:00"/>
    <s v="31-07-2026 to 06-08-2026"/>
    <s v="Gomukh Gold 50KG"/>
    <s v="200400010010"/>
    <x v="0"/>
    <x v="0"/>
    <s v="CHOREYA"/>
    <x v="2"/>
    <s v="CHOREYA"/>
    <s v="Daya Society"/>
    <n v="1"/>
    <n v="1270"/>
    <n v="1270"/>
    <n v="0"/>
    <n v="1270"/>
    <n v="1"/>
    <n v="1270"/>
    <m/>
    <m/>
  </r>
  <r>
    <d v="2026-08-08T13:48:08"/>
    <s v="Amar sahu"/>
    <d v="2026-08-08T00:00:00"/>
    <s v="31-07-2026 to 06-08-2026"/>
    <s v="Gomukh Gold 50KG"/>
    <s v="200900040021"/>
    <x v="1"/>
    <x v="0"/>
    <s v="DUMRI"/>
    <x v="3"/>
    <s v="Chanho"/>
    <s v="Daya Society"/>
    <n v="0"/>
    <n v="1270"/>
    <n v="0"/>
    <n v="635"/>
    <n v="635"/>
    <n v="0"/>
    <n v="635"/>
    <m/>
    <m/>
  </r>
  <r>
    <d v="2026-08-08T13:48:32"/>
    <s v="Amar sahu"/>
    <d v="2026-08-08T00:00:00"/>
    <s v="31-07-2026 to 06-08-2026"/>
    <s v="Gomukh Gold 50KG"/>
    <s v="200900080005"/>
    <x v="2"/>
    <x v="0"/>
    <s v="GANESHPUR"/>
    <x v="4"/>
    <s v="Chanho"/>
    <s v="Daya Society"/>
    <n v="0"/>
    <n v="1270"/>
    <n v="0"/>
    <n v="635"/>
    <n v="635"/>
    <n v="0"/>
    <n v="635"/>
    <m/>
    <m/>
  </r>
  <r>
    <d v="2026-08-08T13:48:53"/>
    <s v="Amar sahu"/>
    <d v="2026-08-08T00:00:00"/>
    <s v="31-07-2026 to 06-08-2026"/>
    <s v="Gomukh Gold 50KG"/>
    <s v="200100540012"/>
    <x v="3"/>
    <x v="0"/>
    <s v="NARKOPI"/>
    <x v="5"/>
    <s v="Chanho"/>
    <s v="Daya Society"/>
    <n v="1"/>
    <n v="1270"/>
    <n v="1270"/>
    <n v="0"/>
    <n v="1270"/>
    <n v="1"/>
    <n v="1270"/>
    <m/>
    <m/>
  </r>
  <r>
    <d v="2026-08-08T13:49:13"/>
    <s v="Amar sahu"/>
    <d v="2026-08-08T00:00:00"/>
    <s v="31-07-2026 to 06-08-2026"/>
    <s v="Gomukh Gold 50KG"/>
    <s v="200900170003"/>
    <x v="4"/>
    <x v="0"/>
    <s v="NAWATAND"/>
    <x v="0"/>
    <s v="Chanho"/>
    <s v="Daya Society"/>
    <n v="3"/>
    <n v="1270"/>
    <n v="3810"/>
    <n v="0"/>
    <n v="3810"/>
    <n v="3"/>
    <n v="3810"/>
    <m/>
    <m/>
  </r>
  <r>
    <d v="2026-08-08T13:49:38"/>
    <s v="Amar sahu"/>
    <d v="2026-08-08T00:00:00"/>
    <s v="31-07-2026 to 06-08-2026"/>
    <s v="Gomukh Gold 50KG"/>
    <s v="200900140015"/>
    <x v="5"/>
    <x v="0"/>
    <s v="HUTAR"/>
    <x v="6"/>
    <s v="Chanho"/>
    <s v="Daya Society"/>
    <n v="9"/>
    <n v="1270"/>
    <n v="11430"/>
    <n v="0"/>
    <n v="11430"/>
    <n v="9"/>
    <n v="11430"/>
    <m/>
    <m/>
  </r>
  <r>
    <d v="2026-08-08T13:50:02"/>
    <s v="Amar sahu"/>
    <d v="2026-08-08T00:00:00"/>
    <s v="31-07-2026 to 06-08-2026"/>
    <s v="Gomukh Gold 50KG"/>
    <s v="200900150022"/>
    <x v="6"/>
    <x v="0"/>
    <s v="PAKARIYO"/>
    <x v="7"/>
    <s v="Chanho"/>
    <s v="Daya Society"/>
    <n v="0"/>
    <n v="1270"/>
    <n v="0"/>
    <n v="872"/>
    <n v="872"/>
    <n v="0"/>
    <n v="872"/>
    <m/>
    <m/>
  </r>
  <r>
    <d v="2026-08-08T13:50:17"/>
    <s v="Amar sahu"/>
    <d v="2026-08-08T00:00:00"/>
    <s v="31-07-2026 to 06-08-2026"/>
    <s v="Gomukh Gold 50KG"/>
    <s v="200900150032"/>
    <x v="6"/>
    <x v="0"/>
    <s v="PAKARIYO"/>
    <x v="8"/>
    <s v="Chanho"/>
    <s v="Daya Society"/>
    <n v="1"/>
    <n v="1270"/>
    <n v="1270"/>
    <n v="0"/>
    <n v="1270"/>
    <n v="1"/>
    <n v="1270"/>
    <m/>
    <m/>
  </r>
  <r>
    <d v="2026-08-08T13:51:01"/>
    <s v="Amar sahu"/>
    <d v="2026-08-08T00:00:00"/>
    <s v="31-07-2026 to 06-08-2026"/>
    <s v="Gomukh Gold 50KG"/>
    <s v="200900200005"/>
    <x v="7"/>
    <x v="0"/>
    <s v="PAKARIYO 2"/>
    <x v="4"/>
    <s v="Chanho"/>
    <s v="Daya Society"/>
    <n v="2"/>
    <n v="1270"/>
    <n v="2540"/>
    <n v="0"/>
    <n v="2540"/>
    <n v="2"/>
    <n v="2540"/>
    <m/>
    <m/>
  </r>
  <r>
    <d v="2026-08-08T13:51:19"/>
    <s v="Amar sahu"/>
    <d v="2026-08-08T00:00:00"/>
    <s v="31-07-2026 to 06-08-2026"/>
    <s v="Gomukh Gold 50KG"/>
    <s v="200900200002"/>
    <x v="7"/>
    <x v="0"/>
    <s v="PAKARIYO 2"/>
    <x v="9"/>
    <s v="Chanho"/>
    <s v="Daya Society"/>
    <n v="2"/>
    <n v="1270"/>
    <n v="2540"/>
    <n v="0"/>
    <n v="2540"/>
    <n v="2"/>
    <n v="2540"/>
    <m/>
    <m/>
  </r>
  <r>
    <d v="2026-08-08T13:51:42"/>
    <s v="Amar sahu"/>
    <d v="2026-08-08T00:00:00"/>
    <s v="31-07-2026 to 06-08-2026"/>
    <s v="Gomukh Gold 50KG"/>
    <s v="200900230002"/>
    <x v="8"/>
    <x v="0"/>
    <s v="KOKAR"/>
    <x v="9"/>
    <s v="Chanho"/>
    <s v="Daya Society"/>
    <n v="0"/>
    <n v="1270"/>
    <n v="0"/>
    <n v="635"/>
    <n v="635"/>
    <n v="0"/>
    <n v="635"/>
    <m/>
    <m/>
  </r>
  <r>
    <d v="2026-08-08T14:30:47"/>
    <s v="Vikash"/>
    <d v="2026-08-08T00:00:00"/>
    <s v="31-07-2026 to 06-08-2026"/>
    <s v="Gomukh Gold 50KG"/>
    <s v="200200270003"/>
    <x v="9"/>
    <x v="0"/>
    <s v="GARRI"/>
    <x v="0"/>
    <s v="Paali"/>
    <s v="Daya Society"/>
    <n v="0"/>
    <n v="1270"/>
    <n v="0"/>
    <n v="109"/>
    <n v="109"/>
    <n v="0"/>
    <n v="109"/>
    <m/>
    <m/>
  </r>
  <r>
    <d v="2026-08-08T14:31:10"/>
    <s v="Vikash"/>
    <d v="2026-08-08T00:00:00"/>
    <s v="31-07-2026 to 06-08-2026"/>
    <s v="Gomukh Gold 50KG"/>
    <s v="200200270009"/>
    <x v="9"/>
    <x v="0"/>
    <s v="GARRI"/>
    <x v="10"/>
    <s v="Paali"/>
    <s v="Daya Society"/>
    <n v="2"/>
    <n v="1270"/>
    <n v="2540"/>
    <n v="0"/>
    <n v="2540"/>
    <n v="2"/>
    <n v="2540"/>
    <m/>
    <m/>
  </r>
  <r>
    <d v="2026-08-08T14:34:29"/>
    <s v="Vikash"/>
    <d v="2026-08-08T00:00:00"/>
    <s v="31-07-2026 to 06-08-2026"/>
    <s v="Gomukh Gold 50KG"/>
    <s v="200700240008"/>
    <x v="10"/>
    <x v="0"/>
    <s v="MURPA"/>
    <x v="1"/>
    <s v="PIRAGUTU"/>
    <s v="Daya Society"/>
    <n v="2"/>
    <n v="1270"/>
    <n v="2540"/>
    <n v="0"/>
    <n v="2540"/>
    <n v="2"/>
    <n v="2540"/>
    <m/>
    <m/>
  </r>
  <r>
    <d v="2026-08-08T14:35:03"/>
    <s v="Vikash"/>
    <d v="2026-08-08T00:00:00"/>
    <s v="31-07-2026 to 06-08-2026"/>
    <s v="Gomukh Gold 50KG"/>
    <s v="200700240003"/>
    <x v="10"/>
    <x v="0"/>
    <s v="MURPA"/>
    <x v="0"/>
    <s v="PIRAGUTU"/>
    <s v="Daya Society"/>
    <n v="1"/>
    <n v="1270"/>
    <n v="1270"/>
    <n v="0"/>
    <n v="1270"/>
    <n v="1"/>
    <n v="1270"/>
    <m/>
    <m/>
  </r>
  <r>
    <d v="2026-08-08T14:35:26"/>
    <s v="Vikash"/>
    <d v="2026-08-08T00:00:00"/>
    <s v="31-07-2026 to 06-08-2026"/>
    <s v="Gomukh Gold 50KG"/>
    <s v="200700240002"/>
    <x v="10"/>
    <x v="0"/>
    <s v="MURPA"/>
    <x v="9"/>
    <s v="PIRAGUTU"/>
    <s v="Daya Society"/>
    <n v="2"/>
    <n v="1270"/>
    <n v="2540"/>
    <n v="0"/>
    <n v="2540"/>
    <n v="2"/>
    <n v="2540"/>
    <m/>
    <m/>
  </r>
  <r>
    <d v="2026-08-08T14:37:13"/>
    <s v="Vikash"/>
    <d v="2026-08-08T00:00:00"/>
    <s v="31-07-2026 to 06-08-2026"/>
    <s v="Gomukh Gold 50KG"/>
    <s v="200500030050"/>
    <x v="11"/>
    <x v="0"/>
    <s v="UCHARI"/>
    <x v="11"/>
    <s v="Paali"/>
    <s v="Daya Society"/>
    <n v="0"/>
    <n v="1270"/>
    <n v="0"/>
    <n v="607"/>
    <n v="607"/>
    <n v="0"/>
    <n v="607"/>
    <m/>
    <m/>
  </r>
  <r>
    <d v="2026-08-08T14:37:50"/>
    <s v="Jitendra kumar patel"/>
    <d v="2026-08-08T00:00:00"/>
    <s v="31-07-2026 to 06-08-2026"/>
    <s v="Gomukh Gold 50KG"/>
    <s v="200100520002"/>
    <x v="12"/>
    <x v="0"/>
    <s v="Kumbatoli"/>
    <x v="9"/>
    <s v="Itki"/>
    <s v="Daya Society"/>
    <n v="20"/>
    <n v="1270"/>
    <n v="25400"/>
    <n v="0"/>
    <n v="25400"/>
    <n v="20"/>
    <n v="25400"/>
    <m/>
    <m/>
  </r>
  <r>
    <d v="2026-08-08T14:38:33"/>
    <s v="Jitendra kumar patel"/>
    <d v="2026-08-08T00:00:00"/>
    <s v="31-07-2026 to 06-08-2026"/>
    <s v="Gomukh Gold 50KG"/>
    <s v="200600030002"/>
    <x v="13"/>
    <x v="0"/>
    <s v="DUMARDAGA"/>
    <x v="9"/>
    <s v="ORMANJHI"/>
    <s v="Daya Society"/>
    <n v="30"/>
    <n v="1270"/>
    <n v="38100"/>
    <n v="0"/>
    <n v="38100"/>
    <n v="30"/>
    <n v="38100"/>
    <m/>
    <m/>
  </r>
  <r>
    <d v="2026-08-08T14:38:58"/>
    <s v="Vikash"/>
    <d v="2026-08-08T00:00:00"/>
    <s v="31-07-2026 to 06-08-2026"/>
    <s v="Gomukh Gold 50KG"/>
    <s v="200200290018"/>
    <x v="14"/>
    <x v="0"/>
    <s v="Murma"/>
    <x v="12"/>
    <s v="Paali"/>
    <s v="Daya Society"/>
    <n v="1"/>
    <n v="1270"/>
    <n v="1270"/>
    <n v="0"/>
    <n v="1270"/>
    <n v="1"/>
    <n v="1270"/>
    <m/>
    <m/>
  </r>
  <r>
    <d v="2026-08-08T14:42:00"/>
    <s v="Vikash"/>
    <d v="2026-08-08T00:00:00"/>
    <s v="31-07-2026 to 06-08-2026"/>
    <s v="Gomukh Gold 50KG"/>
    <s v="200200290018"/>
    <x v="14"/>
    <x v="0"/>
    <s v="Murma"/>
    <x v="12"/>
    <s v="Paali"/>
    <s v="Daya Society"/>
    <n v="1"/>
    <n v="1270"/>
    <n v="1270"/>
    <n v="0"/>
    <n v="1270"/>
    <n v="1"/>
    <n v="127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CCCB0-EE7E-4D96-8B02-62B336A2E82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28" firstHeaderRow="2" firstDataRow="2" firstDataCol="3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12"/>
        <item x="3"/>
        <item x="9"/>
        <item x="14"/>
        <item x="0"/>
        <item x="11"/>
        <item x="13"/>
        <item x="10"/>
        <item x="1"/>
        <item x="2"/>
        <item x="5"/>
        <item x="6"/>
        <item x="4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4">
        <item x="9"/>
        <item x="0"/>
        <item x="4"/>
        <item x="1"/>
        <item x="10"/>
        <item x="2"/>
        <item x="5"/>
        <item x="6"/>
        <item x="12"/>
        <item x="3"/>
        <item x="7"/>
        <item x="8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24">
    <i>
      <x/>
      <x/>
      <x/>
    </i>
    <i r="1">
      <x v="1"/>
      <x v="6"/>
    </i>
    <i r="1">
      <x v="2"/>
      <x v="1"/>
    </i>
    <i r="2">
      <x v="4"/>
    </i>
    <i r="1">
      <x v="3"/>
      <x v="8"/>
    </i>
    <i r="1">
      <x v="4"/>
      <x v="1"/>
    </i>
    <i r="2">
      <x v="3"/>
    </i>
    <i r="2">
      <x v="5"/>
    </i>
    <i r="1">
      <x v="5"/>
      <x v="12"/>
    </i>
    <i r="1">
      <x v="6"/>
      <x/>
    </i>
    <i r="1">
      <x v="7"/>
      <x/>
    </i>
    <i r="2">
      <x v="1"/>
    </i>
    <i r="2">
      <x v="3"/>
    </i>
    <i r="1">
      <x v="8"/>
      <x v="9"/>
    </i>
    <i r="1">
      <x v="9"/>
      <x v="2"/>
    </i>
    <i r="1">
      <x v="10"/>
      <x v="7"/>
    </i>
    <i r="1">
      <x v="11"/>
      <x v="10"/>
    </i>
    <i r="2">
      <x v="11"/>
    </i>
    <i r="1">
      <x v="12"/>
      <x v="1"/>
    </i>
    <i r="1">
      <x v="13"/>
      <x/>
    </i>
    <i r="2">
      <x v="2"/>
    </i>
    <i r="1">
      <x v="14"/>
      <x/>
    </i>
    <i t="default">
      <x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40424-A86D-461D-9109-2D9388783D4A}" name="Table7" displayName="Table7" ref="A1:U25" totalsRowCount="1" headerRowDxfId="46" totalsRowDxfId="43" headerRowBorderDxfId="45" tableBorderDxfId="44">
  <autoFilter ref="A1:U24" xr:uid="{D6140424-A86D-461D-9109-2D9388783D4A}"/>
  <tableColumns count="21">
    <tableColumn id="1" xr3:uid="{78F40B45-0DAD-46FF-8400-F2E809A9D013}" name="Timestamp" dataDxfId="42" totalsRowDxfId="41"/>
    <tableColumn id="2" xr3:uid="{9482AC93-E76C-436D-B0C9-B0907CA7061A}" name="User Name" dataDxfId="40" totalsRowDxfId="39"/>
    <tableColumn id="3" xr3:uid="{9E553EEB-5993-49EF-832E-98648FE7C247}" name="Order Date" dataDxfId="38" totalsRowDxfId="37"/>
    <tableColumn id="4" xr3:uid="{5E8AD649-B8D8-4254-A743-9D235B3929CB}" name="Deduction Cycle" dataDxfId="36" totalsRowDxfId="35"/>
    <tableColumn id="5" xr3:uid="{A1B30A88-62E1-40E8-97A4-BCE79465C57F}" name="Item Name" dataDxfId="34" totalsRowDxfId="33"/>
    <tableColumn id="6" xr3:uid="{7C4ECBC1-EDDD-4624-AF94-674A66638145}" name="ID" dataDxfId="32" totalsRowDxfId="31"/>
    <tableColumn id="7" xr3:uid="{1D7893E1-7641-411D-B9B5-039B9CB19BB9}" name="MPG Code" dataDxfId="30" totalsRowDxfId="29"/>
    <tableColumn id="20" xr3:uid="{DEB1C656-ADD0-4B6D-8D37-3B069DA4069C}" name="Type" dataDxfId="28" totalsRowDxfId="27"/>
    <tableColumn id="8" xr3:uid="{B0B00BB2-A8CB-47AE-AE64-C2D6BEB06454}" name="MPG Name" dataDxfId="26" totalsRowDxfId="25"/>
    <tableColumn id="9" xr3:uid="{10A2852A-8622-4B67-9244-DA9F4937FB23}" name="Farmer code" dataDxfId="24" totalsRowDxfId="23"/>
    <tableColumn id="10" xr3:uid="{5AA33BE1-492B-447F-BCF4-721E25091122}" name="BMC Name" dataDxfId="22" totalsRowDxfId="21"/>
    <tableColumn id="11" xr3:uid="{5AE704A7-F3D1-49D0-B2AF-912B056E3175}" name="CSP" dataDxfId="20" totalsRowDxfId="19"/>
    <tableColumn id="12" xr3:uid="{9A7A9D83-1A2D-4EE0-92E0-C79ED4F2C1A3}" name="Qty" dataDxfId="18" totalsRowDxfId="17"/>
    <tableColumn id="13" xr3:uid="{1E3004FF-DCC3-4550-8A8B-C6044D6953A2}" name="Rate" dataDxfId="16" totalsRowDxfId="15"/>
    <tableColumn id="14" xr3:uid="{6587B5C5-FB40-43D9-86D5-CFF2ABBC514C}" name="Total Amount" dataDxfId="14" totalsRowDxfId="13"/>
    <tableColumn id="15" xr3:uid="{1E33A718-958B-49B5-BC86-5DE0409C6F26}" name="Other Due Amt" dataDxfId="12" totalsRowDxfId="11"/>
    <tableColumn id="16" xr3:uid="{7C23740A-F675-4143-AB84-F8BB345B5976}" name="Total Amount (Proposed)" dataDxfId="10" totalsRowDxfId="9"/>
    <tableColumn id="17" xr3:uid="{A1FB0EF6-824E-45F6-A07D-D1A66B730855}" name="Final Qty" dataDxfId="8" totalsRowDxfId="7"/>
    <tableColumn id="18" xr3:uid="{078CECF1-F7FF-4C80-A4AC-021ACB199F88}" name="Final Amount" totalsRowFunction="sum" dataDxfId="6" totalsRowDxfId="5"/>
    <tableColumn id="21" xr3:uid="{C16C375B-9C02-49EF-AC53-EBA23119D94B}" name="Deduction" totalsRowFunction="sum" dataDxfId="4" totalsRowDxfId="3"/>
    <tableColumn id="19" xr3:uid="{FE428A11-C6F8-40ED-B3B5-B118068427A3}" name="Milk Amonnt" dataDxfId="2" totalsRowDxfId="1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5779-84B7-4552-9BEC-10BA267D54FA}">
  <dimension ref="A3:L28"/>
  <sheetViews>
    <sheetView topLeftCell="A4" workbookViewId="0">
      <selection activeCell="L26" sqref="L5:L26"/>
    </sheetView>
  </sheetViews>
  <sheetFormatPr defaultRowHeight="15" x14ac:dyDescent="0.25"/>
  <cols>
    <col min="1" max="2" width="12.7109375" bestFit="1" customWidth="1"/>
    <col min="3" max="3" width="14.28515625" bestFit="1" customWidth="1"/>
    <col min="4" max="4" width="7" bestFit="1" customWidth="1"/>
  </cols>
  <sheetData>
    <row r="3" spans="1:12" x14ac:dyDescent="0.25">
      <c r="A3" s="25" t="s">
        <v>86</v>
      </c>
    </row>
    <row r="4" spans="1:12" x14ac:dyDescent="0.25">
      <c r="A4" s="25" t="s">
        <v>80</v>
      </c>
      <c r="B4" s="25" t="s">
        <v>6</v>
      </c>
      <c r="C4" s="25" t="s">
        <v>8</v>
      </c>
      <c r="D4" t="s">
        <v>85</v>
      </c>
      <c r="G4" s="26" t="s">
        <v>5</v>
      </c>
      <c r="H4" s="26" t="s">
        <v>80</v>
      </c>
      <c r="I4" s="26" t="s">
        <v>6</v>
      </c>
      <c r="J4" s="26" t="s">
        <v>8</v>
      </c>
      <c r="K4" s="26" t="s">
        <v>85</v>
      </c>
      <c r="L4" s="26" t="s">
        <v>82</v>
      </c>
    </row>
    <row r="5" spans="1:12" x14ac:dyDescent="0.25">
      <c r="A5" t="s">
        <v>81</v>
      </c>
      <c r="B5">
        <v>20010052</v>
      </c>
      <c r="C5" t="s">
        <v>22</v>
      </c>
      <c r="D5">
        <v>25400</v>
      </c>
      <c r="G5" t="str">
        <f>CONCATENATE(I5,J5)</f>
        <v>200100520002</v>
      </c>
      <c r="H5" s="27" t="s">
        <v>81</v>
      </c>
      <c r="I5" s="27">
        <v>20010052</v>
      </c>
      <c r="J5" t="s">
        <v>22</v>
      </c>
      <c r="K5">
        <v>25400</v>
      </c>
      <c r="L5">
        <v>16634</v>
      </c>
    </row>
    <row r="6" spans="1:12" x14ac:dyDescent="0.25">
      <c r="A6" t="s">
        <v>81</v>
      </c>
      <c r="B6">
        <v>20010054</v>
      </c>
      <c r="C6" t="s">
        <v>31</v>
      </c>
      <c r="D6">
        <v>1270</v>
      </c>
      <c r="G6" t="str">
        <f t="shared" ref="G6:G26" si="0">CONCATENATE(I6,J6)</f>
        <v>200100540012</v>
      </c>
      <c r="H6" s="27" t="s">
        <v>81</v>
      </c>
      <c r="I6" s="27">
        <v>20010054</v>
      </c>
      <c r="J6" t="s">
        <v>31</v>
      </c>
      <c r="K6">
        <v>1270</v>
      </c>
      <c r="L6">
        <v>1270</v>
      </c>
    </row>
    <row r="7" spans="1:12" x14ac:dyDescent="0.25">
      <c r="A7" t="s">
        <v>81</v>
      </c>
      <c r="B7">
        <v>20020027</v>
      </c>
      <c r="C7" t="s">
        <v>34</v>
      </c>
      <c r="D7">
        <v>109</v>
      </c>
      <c r="G7" t="str">
        <f t="shared" si="0"/>
        <v>200200270003</v>
      </c>
      <c r="H7" s="27" t="s">
        <v>81</v>
      </c>
      <c r="I7" s="27">
        <v>20020027</v>
      </c>
      <c r="J7" t="s">
        <v>34</v>
      </c>
      <c r="K7">
        <v>109</v>
      </c>
      <c r="L7">
        <v>109</v>
      </c>
    </row>
    <row r="8" spans="1:12" x14ac:dyDescent="0.25">
      <c r="A8" t="s">
        <v>81</v>
      </c>
      <c r="B8">
        <v>20020027</v>
      </c>
      <c r="C8" t="s">
        <v>65</v>
      </c>
      <c r="D8">
        <v>2540</v>
      </c>
      <c r="G8" t="str">
        <f t="shared" si="0"/>
        <v>200200270009</v>
      </c>
      <c r="H8" s="27" t="s">
        <v>81</v>
      </c>
      <c r="I8" s="27">
        <v>20020027</v>
      </c>
      <c r="J8" t="s">
        <v>65</v>
      </c>
      <c r="K8">
        <v>2540</v>
      </c>
      <c r="L8">
        <v>2540</v>
      </c>
    </row>
    <row r="9" spans="1:12" x14ac:dyDescent="0.25">
      <c r="A9" t="s">
        <v>81</v>
      </c>
      <c r="B9">
        <v>20020029</v>
      </c>
      <c r="C9" t="s">
        <v>68</v>
      </c>
      <c r="D9">
        <v>2540</v>
      </c>
      <c r="G9" t="str">
        <f t="shared" si="0"/>
        <v>200200290018</v>
      </c>
      <c r="H9" s="27" t="s">
        <v>81</v>
      </c>
      <c r="I9" s="27">
        <v>20020029</v>
      </c>
      <c r="J9" t="s">
        <v>68</v>
      </c>
      <c r="K9">
        <v>2540</v>
      </c>
      <c r="L9">
        <v>1829</v>
      </c>
    </row>
    <row r="10" spans="1:12" x14ac:dyDescent="0.25">
      <c r="A10" t="s">
        <v>81</v>
      </c>
      <c r="B10">
        <v>20040001</v>
      </c>
      <c r="C10" t="s">
        <v>34</v>
      </c>
      <c r="D10">
        <v>1270</v>
      </c>
      <c r="G10" t="str">
        <f t="shared" si="0"/>
        <v>200400010003</v>
      </c>
      <c r="H10" s="27" t="s">
        <v>81</v>
      </c>
      <c r="I10" s="27">
        <v>20040001</v>
      </c>
      <c r="J10" t="s">
        <v>34</v>
      </c>
      <c r="K10">
        <v>1270</v>
      </c>
      <c r="L10">
        <v>1270</v>
      </c>
    </row>
    <row r="11" spans="1:12" x14ac:dyDescent="0.25">
      <c r="A11" t="s">
        <v>81</v>
      </c>
      <c r="B11">
        <v>20040001</v>
      </c>
      <c r="C11" t="s">
        <v>50</v>
      </c>
      <c r="D11">
        <v>1270</v>
      </c>
      <c r="G11" t="str">
        <f t="shared" si="0"/>
        <v>200400010008</v>
      </c>
      <c r="H11" s="27" t="s">
        <v>81</v>
      </c>
      <c r="I11" s="27">
        <v>20040001</v>
      </c>
      <c r="J11" t="s">
        <v>50</v>
      </c>
      <c r="K11">
        <v>1270</v>
      </c>
      <c r="L11">
        <v>1270</v>
      </c>
    </row>
    <row r="12" spans="1:12" x14ac:dyDescent="0.25">
      <c r="A12" t="s">
        <v>81</v>
      </c>
      <c r="B12">
        <v>20040001</v>
      </c>
      <c r="C12" t="s">
        <v>55</v>
      </c>
      <c r="D12">
        <v>1270</v>
      </c>
      <c r="G12" t="str">
        <f t="shared" si="0"/>
        <v>200400010010</v>
      </c>
      <c r="H12" s="27" t="s">
        <v>81</v>
      </c>
      <c r="I12" s="27">
        <v>20040001</v>
      </c>
      <c r="J12" t="s">
        <v>55</v>
      </c>
      <c r="K12">
        <v>1270</v>
      </c>
      <c r="L12">
        <v>1270</v>
      </c>
    </row>
    <row r="13" spans="1:12" x14ac:dyDescent="0.25">
      <c r="A13" t="s">
        <v>81</v>
      </c>
      <c r="B13">
        <v>20050003</v>
      </c>
      <c r="C13" t="s">
        <v>62</v>
      </c>
      <c r="D13">
        <v>607</v>
      </c>
      <c r="G13" t="str">
        <f t="shared" si="0"/>
        <v>200500030050</v>
      </c>
      <c r="H13" s="27" t="s">
        <v>81</v>
      </c>
      <c r="I13" s="27">
        <v>20050003</v>
      </c>
      <c r="J13" t="s">
        <v>62</v>
      </c>
      <c r="K13">
        <v>607</v>
      </c>
      <c r="L13">
        <v>48</v>
      </c>
    </row>
    <row r="14" spans="1:12" x14ac:dyDescent="0.25">
      <c r="A14" t="s">
        <v>81</v>
      </c>
      <c r="B14">
        <v>20060003</v>
      </c>
      <c r="C14" t="s">
        <v>22</v>
      </c>
      <c r="D14">
        <v>38100</v>
      </c>
      <c r="G14" t="str">
        <f t="shared" si="0"/>
        <v>200600030002</v>
      </c>
      <c r="H14" s="27" t="s">
        <v>81</v>
      </c>
      <c r="I14" s="27">
        <v>20060003</v>
      </c>
      <c r="J14" t="s">
        <v>22</v>
      </c>
      <c r="K14">
        <v>38100</v>
      </c>
      <c r="L14">
        <v>33814</v>
      </c>
    </row>
    <row r="15" spans="1:12" x14ac:dyDescent="0.25">
      <c r="A15" t="s">
        <v>81</v>
      </c>
      <c r="B15">
        <v>20070024</v>
      </c>
      <c r="C15" t="s">
        <v>22</v>
      </c>
      <c r="D15">
        <v>2540</v>
      </c>
      <c r="G15" t="str">
        <f t="shared" si="0"/>
        <v>200700240002</v>
      </c>
      <c r="H15" s="27" t="s">
        <v>81</v>
      </c>
      <c r="I15" s="27">
        <v>20070024</v>
      </c>
      <c r="J15" t="s">
        <v>22</v>
      </c>
      <c r="K15">
        <v>2540</v>
      </c>
      <c r="L15">
        <v>2540</v>
      </c>
    </row>
    <row r="16" spans="1:12" x14ac:dyDescent="0.25">
      <c r="A16" t="s">
        <v>81</v>
      </c>
      <c r="B16">
        <v>20070024</v>
      </c>
      <c r="C16" t="s">
        <v>34</v>
      </c>
      <c r="D16">
        <v>1270</v>
      </c>
      <c r="G16" t="str">
        <f t="shared" si="0"/>
        <v>200700240003</v>
      </c>
      <c r="H16" s="27" t="s">
        <v>81</v>
      </c>
      <c r="I16" s="27">
        <v>20070024</v>
      </c>
      <c r="J16" t="s">
        <v>34</v>
      </c>
      <c r="K16">
        <v>1270</v>
      </c>
      <c r="L16">
        <v>189</v>
      </c>
    </row>
    <row r="17" spans="1:12" x14ac:dyDescent="0.25">
      <c r="A17" t="s">
        <v>81</v>
      </c>
      <c r="B17">
        <v>20070024</v>
      </c>
      <c r="C17" t="s">
        <v>50</v>
      </c>
      <c r="D17">
        <v>2540</v>
      </c>
      <c r="G17" t="str">
        <f t="shared" si="0"/>
        <v>200700240008</v>
      </c>
      <c r="H17" s="27" t="s">
        <v>81</v>
      </c>
      <c r="I17" s="27">
        <v>20070024</v>
      </c>
      <c r="J17" t="s">
        <v>50</v>
      </c>
      <c r="K17">
        <v>2540</v>
      </c>
      <c r="L17">
        <v>381</v>
      </c>
    </row>
    <row r="18" spans="1:12" x14ac:dyDescent="0.25">
      <c r="A18" t="s">
        <v>81</v>
      </c>
      <c r="B18">
        <v>20090004</v>
      </c>
      <c r="C18" t="s">
        <v>48</v>
      </c>
      <c r="D18">
        <v>635</v>
      </c>
      <c r="G18" t="str">
        <f t="shared" si="0"/>
        <v>200900040021</v>
      </c>
      <c r="H18" s="27" t="s">
        <v>81</v>
      </c>
      <c r="I18" s="27">
        <v>20090004</v>
      </c>
      <c r="J18" t="s">
        <v>48</v>
      </c>
      <c r="K18">
        <v>635</v>
      </c>
      <c r="L18">
        <v>635</v>
      </c>
    </row>
    <row r="19" spans="1:12" x14ac:dyDescent="0.25">
      <c r="A19" t="s">
        <v>81</v>
      </c>
      <c r="B19">
        <v>20090008</v>
      </c>
      <c r="C19" t="s">
        <v>38</v>
      </c>
      <c r="D19">
        <v>635</v>
      </c>
      <c r="G19" t="str">
        <f t="shared" si="0"/>
        <v>200900080005</v>
      </c>
      <c r="H19" s="27" t="s">
        <v>81</v>
      </c>
      <c r="I19" s="27">
        <v>20090008</v>
      </c>
      <c r="J19" t="s">
        <v>38</v>
      </c>
      <c r="K19">
        <v>635</v>
      </c>
      <c r="L19">
        <v>635</v>
      </c>
    </row>
    <row r="20" spans="1:12" x14ac:dyDescent="0.25">
      <c r="A20" t="s">
        <v>81</v>
      </c>
      <c r="B20">
        <v>20090014</v>
      </c>
      <c r="C20" t="s">
        <v>52</v>
      </c>
      <c r="D20">
        <v>11430</v>
      </c>
      <c r="G20" t="str">
        <f t="shared" si="0"/>
        <v>200900140015</v>
      </c>
      <c r="H20" s="27" t="s">
        <v>81</v>
      </c>
      <c r="I20" s="27">
        <v>20090014</v>
      </c>
      <c r="J20" t="s">
        <v>52</v>
      </c>
      <c r="K20">
        <v>11430</v>
      </c>
      <c r="L20">
        <v>11430</v>
      </c>
    </row>
    <row r="21" spans="1:12" x14ac:dyDescent="0.25">
      <c r="A21" t="s">
        <v>81</v>
      </c>
      <c r="B21">
        <v>20090015</v>
      </c>
      <c r="C21" t="s">
        <v>28</v>
      </c>
      <c r="D21">
        <v>872</v>
      </c>
      <c r="G21" t="str">
        <f t="shared" si="0"/>
        <v>200900150022</v>
      </c>
      <c r="H21" s="27" t="s">
        <v>81</v>
      </c>
      <c r="I21" s="27">
        <v>20090015</v>
      </c>
      <c r="J21" t="s">
        <v>28</v>
      </c>
      <c r="K21">
        <v>872</v>
      </c>
      <c r="L21">
        <v>872</v>
      </c>
    </row>
    <row r="22" spans="1:12" x14ac:dyDescent="0.25">
      <c r="A22" t="s">
        <v>81</v>
      </c>
      <c r="B22">
        <v>20090015</v>
      </c>
      <c r="C22" t="s">
        <v>73</v>
      </c>
      <c r="D22">
        <v>1270</v>
      </c>
      <c r="G22" t="str">
        <f t="shared" si="0"/>
        <v>200900150032</v>
      </c>
      <c r="H22" s="27" t="s">
        <v>81</v>
      </c>
      <c r="I22" s="27">
        <v>20090015</v>
      </c>
      <c r="J22" t="s">
        <v>73</v>
      </c>
      <c r="K22">
        <v>1270</v>
      </c>
      <c r="L22">
        <v>1270</v>
      </c>
    </row>
    <row r="23" spans="1:12" x14ac:dyDescent="0.25">
      <c r="A23" t="s">
        <v>81</v>
      </c>
      <c r="B23">
        <v>20090017</v>
      </c>
      <c r="C23" t="s">
        <v>34</v>
      </c>
      <c r="D23">
        <v>3810</v>
      </c>
      <c r="G23" t="str">
        <f t="shared" si="0"/>
        <v>200900170003</v>
      </c>
      <c r="H23" s="27" t="s">
        <v>81</v>
      </c>
      <c r="I23" s="27">
        <v>20090017</v>
      </c>
      <c r="J23" t="s">
        <v>34</v>
      </c>
      <c r="K23">
        <v>3810</v>
      </c>
      <c r="L23">
        <v>3810</v>
      </c>
    </row>
    <row r="24" spans="1:12" x14ac:dyDescent="0.25">
      <c r="A24" t="s">
        <v>81</v>
      </c>
      <c r="B24">
        <v>20090020</v>
      </c>
      <c r="C24" t="s">
        <v>22</v>
      </c>
      <c r="D24">
        <v>2540</v>
      </c>
      <c r="G24" t="str">
        <f t="shared" si="0"/>
        <v>200900200002</v>
      </c>
      <c r="H24" s="27" t="s">
        <v>81</v>
      </c>
      <c r="I24" s="27">
        <v>20090020</v>
      </c>
      <c r="J24" t="s">
        <v>22</v>
      </c>
      <c r="K24">
        <v>2540</v>
      </c>
      <c r="L24">
        <v>2540</v>
      </c>
    </row>
    <row r="25" spans="1:12" x14ac:dyDescent="0.25">
      <c r="A25" t="s">
        <v>81</v>
      </c>
      <c r="B25">
        <v>20090020</v>
      </c>
      <c r="C25" t="s">
        <v>38</v>
      </c>
      <c r="D25">
        <v>2540</v>
      </c>
      <c r="G25" t="str">
        <f t="shared" si="0"/>
        <v>200900200005</v>
      </c>
      <c r="H25" s="27" t="s">
        <v>81</v>
      </c>
      <c r="I25" s="27">
        <v>20090020</v>
      </c>
      <c r="J25" t="s">
        <v>38</v>
      </c>
      <c r="K25">
        <v>2540</v>
      </c>
      <c r="L25">
        <v>2540</v>
      </c>
    </row>
    <row r="26" spans="1:12" x14ac:dyDescent="0.25">
      <c r="A26" t="s">
        <v>81</v>
      </c>
      <c r="B26">
        <v>20090023</v>
      </c>
      <c r="C26" t="s">
        <v>22</v>
      </c>
      <c r="D26">
        <v>635</v>
      </c>
      <c r="G26" t="str">
        <f t="shared" si="0"/>
        <v>200900230002</v>
      </c>
      <c r="H26" s="28" t="s">
        <v>81</v>
      </c>
      <c r="I26" s="27">
        <v>20090023</v>
      </c>
      <c r="J26" t="s">
        <v>22</v>
      </c>
      <c r="K26">
        <v>635</v>
      </c>
      <c r="L26">
        <v>635</v>
      </c>
    </row>
    <row r="27" spans="1:12" x14ac:dyDescent="0.25">
      <c r="A27" t="s">
        <v>84</v>
      </c>
      <c r="D27">
        <v>105093</v>
      </c>
      <c r="G27" s="29" t="s">
        <v>84</v>
      </c>
      <c r="H27" s="29"/>
      <c r="I27" s="29"/>
      <c r="J27" s="29"/>
      <c r="K27" s="29">
        <v>105093</v>
      </c>
      <c r="L27" s="29">
        <f>SUM(L5:L26)</f>
        <v>87531</v>
      </c>
    </row>
    <row r="28" spans="1:12" x14ac:dyDescent="0.25">
      <c r="A28" t="s">
        <v>83</v>
      </c>
      <c r="D28">
        <v>105093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5101-3B9F-415A-A5BD-DEBD791C6A02}">
  <dimension ref="A1:U25"/>
  <sheetViews>
    <sheetView tabSelected="1" topLeftCell="B1" workbookViewId="0">
      <selection activeCell="S32" sqref="S32"/>
    </sheetView>
  </sheetViews>
  <sheetFormatPr defaultRowHeight="15" x14ac:dyDescent="0.25"/>
  <cols>
    <col min="1" max="1" width="16.85546875" bestFit="1" customWidth="1"/>
    <col min="2" max="2" width="18.5703125" bestFit="1" customWidth="1"/>
    <col min="3" max="3" width="11" bestFit="1" customWidth="1"/>
    <col min="4" max="4" width="24" bestFit="1" customWidth="1"/>
    <col min="5" max="5" width="22.7109375" bestFit="1" customWidth="1"/>
    <col min="6" max="6" width="14.42578125" bestFit="1" customWidth="1"/>
    <col min="7" max="7" width="10.140625" bestFit="1" customWidth="1"/>
    <col min="8" max="8" width="10.140625" customWidth="1"/>
    <col min="9" max="9" width="15.42578125" bestFit="1" customWidth="1"/>
    <col min="11" max="11" width="16.7109375" bestFit="1" customWidth="1"/>
    <col min="12" max="12" width="11.7109375" bestFit="1" customWidth="1"/>
    <col min="21" max="21" width="11.28515625" bestFit="1" customWidth="1"/>
  </cols>
  <sheetData>
    <row r="1" spans="1:21" s="20" customForma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80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9" t="s">
        <v>82</v>
      </c>
      <c r="U1" s="19" t="s">
        <v>18</v>
      </c>
    </row>
    <row r="2" spans="1:21" x14ac:dyDescent="0.25">
      <c r="A2" s="1">
        <v>46242.573951319442</v>
      </c>
      <c r="B2" s="2" t="s">
        <v>39</v>
      </c>
      <c r="C2" s="3">
        <v>46242</v>
      </c>
      <c r="D2" s="8" t="s">
        <v>71</v>
      </c>
      <c r="E2" s="2" t="s">
        <v>19</v>
      </c>
      <c r="F2" s="4" t="s">
        <v>59</v>
      </c>
      <c r="G2" s="5">
        <v>20040001</v>
      </c>
      <c r="H2" s="5" t="s">
        <v>81</v>
      </c>
      <c r="I2" s="2" t="s">
        <v>47</v>
      </c>
      <c r="J2" s="6" t="s">
        <v>34</v>
      </c>
      <c r="K2" s="2" t="s">
        <v>47</v>
      </c>
      <c r="L2" s="2" t="s">
        <v>24</v>
      </c>
      <c r="M2" s="5">
        <v>1</v>
      </c>
      <c r="N2" s="5">
        <v>1270</v>
      </c>
      <c r="O2" s="5">
        <v>1270</v>
      </c>
      <c r="P2" s="5">
        <v>0</v>
      </c>
      <c r="Q2" s="5">
        <v>1270</v>
      </c>
      <c r="R2" s="5">
        <v>1</v>
      </c>
      <c r="S2" s="5">
        <v>1270</v>
      </c>
      <c r="T2" s="23">
        <v>1270</v>
      </c>
      <c r="U2" s="7"/>
    </row>
    <row r="3" spans="1:21" x14ac:dyDescent="0.25">
      <c r="A3" s="1">
        <v>46242.574454375004</v>
      </c>
      <c r="B3" s="2" t="s">
        <v>39</v>
      </c>
      <c r="C3" s="3">
        <v>46242</v>
      </c>
      <c r="D3" s="8" t="s">
        <v>71</v>
      </c>
      <c r="E3" s="2" t="s">
        <v>19</v>
      </c>
      <c r="F3" s="4" t="s">
        <v>53</v>
      </c>
      <c r="G3" s="5">
        <v>20040001</v>
      </c>
      <c r="H3" s="5" t="s">
        <v>81</v>
      </c>
      <c r="I3" s="2" t="s">
        <v>47</v>
      </c>
      <c r="J3" s="6" t="s">
        <v>50</v>
      </c>
      <c r="K3" s="2" t="s">
        <v>47</v>
      </c>
      <c r="L3" s="2" t="s">
        <v>24</v>
      </c>
      <c r="M3" s="5">
        <v>1</v>
      </c>
      <c r="N3" s="5">
        <v>1270</v>
      </c>
      <c r="O3" s="5">
        <v>1270</v>
      </c>
      <c r="P3" s="5">
        <v>0</v>
      </c>
      <c r="Q3" s="5">
        <v>1270</v>
      </c>
      <c r="R3" s="5">
        <v>1</v>
      </c>
      <c r="S3" s="5">
        <v>1270</v>
      </c>
      <c r="T3" s="23">
        <v>1270</v>
      </c>
      <c r="U3" s="7"/>
    </row>
    <row r="4" spans="1:21" x14ac:dyDescent="0.25">
      <c r="A4" s="1">
        <v>46242.574726273146</v>
      </c>
      <c r="B4" s="2" t="s">
        <v>39</v>
      </c>
      <c r="C4" s="3">
        <v>46242</v>
      </c>
      <c r="D4" s="8" t="s">
        <v>71</v>
      </c>
      <c r="E4" s="2" t="s">
        <v>19</v>
      </c>
      <c r="F4" s="4" t="s">
        <v>54</v>
      </c>
      <c r="G4" s="5">
        <v>20040001</v>
      </c>
      <c r="H4" s="5" t="s">
        <v>81</v>
      </c>
      <c r="I4" s="2" t="s">
        <v>47</v>
      </c>
      <c r="J4" s="6" t="s">
        <v>55</v>
      </c>
      <c r="K4" s="2" t="s">
        <v>47</v>
      </c>
      <c r="L4" s="2" t="s">
        <v>24</v>
      </c>
      <c r="M4" s="5">
        <v>1</v>
      </c>
      <c r="N4" s="5">
        <v>1270</v>
      </c>
      <c r="O4" s="5">
        <v>1270</v>
      </c>
      <c r="P4" s="5">
        <v>0</v>
      </c>
      <c r="Q4" s="5">
        <v>1270</v>
      </c>
      <c r="R4" s="5">
        <v>1</v>
      </c>
      <c r="S4" s="5">
        <v>1270</v>
      </c>
      <c r="T4" s="23">
        <v>1270</v>
      </c>
      <c r="U4" s="7"/>
    </row>
    <row r="5" spans="1:21" x14ac:dyDescent="0.25">
      <c r="A5" s="1">
        <v>46242.575093391206</v>
      </c>
      <c r="B5" s="2" t="s">
        <v>39</v>
      </c>
      <c r="C5" s="3">
        <v>46242</v>
      </c>
      <c r="D5" s="8" t="s">
        <v>71</v>
      </c>
      <c r="E5" s="2" t="s">
        <v>19</v>
      </c>
      <c r="F5" s="4" t="s">
        <v>56</v>
      </c>
      <c r="G5" s="5">
        <v>20090004</v>
      </c>
      <c r="H5" s="5" t="s">
        <v>81</v>
      </c>
      <c r="I5" s="2" t="s">
        <v>49</v>
      </c>
      <c r="J5" s="6" t="s">
        <v>48</v>
      </c>
      <c r="K5" s="2" t="s">
        <v>25</v>
      </c>
      <c r="L5" s="2" t="s">
        <v>24</v>
      </c>
      <c r="M5" s="5">
        <v>0</v>
      </c>
      <c r="N5" s="5">
        <v>1270</v>
      </c>
      <c r="O5" s="5">
        <v>0</v>
      </c>
      <c r="P5" s="5">
        <v>635</v>
      </c>
      <c r="Q5" s="5">
        <v>635</v>
      </c>
      <c r="R5" s="5">
        <v>0</v>
      </c>
      <c r="S5" s="5">
        <v>635</v>
      </c>
      <c r="T5" s="23">
        <v>635</v>
      </c>
      <c r="U5" s="7"/>
    </row>
    <row r="6" spans="1:21" x14ac:dyDescent="0.25">
      <c r="A6" s="1">
        <v>46242.575365196761</v>
      </c>
      <c r="B6" s="2" t="s">
        <v>39</v>
      </c>
      <c r="C6" s="3">
        <v>46242</v>
      </c>
      <c r="D6" s="8" t="s">
        <v>71</v>
      </c>
      <c r="E6" s="2" t="s">
        <v>19</v>
      </c>
      <c r="F6" s="4" t="s">
        <v>40</v>
      </c>
      <c r="G6" s="5">
        <v>20090008</v>
      </c>
      <c r="H6" s="5" t="s">
        <v>81</v>
      </c>
      <c r="I6" s="2" t="s">
        <v>41</v>
      </c>
      <c r="J6" s="6" t="s">
        <v>38</v>
      </c>
      <c r="K6" s="2" t="s">
        <v>25</v>
      </c>
      <c r="L6" s="2" t="s">
        <v>24</v>
      </c>
      <c r="M6" s="5">
        <v>0</v>
      </c>
      <c r="N6" s="5">
        <v>1270</v>
      </c>
      <c r="O6" s="5">
        <v>0</v>
      </c>
      <c r="P6" s="5">
        <v>635</v>
      </c>
      <c r="Q6" s="5">
        <v>635</v>
      </c>
      <c r="R6" s="5">
        <v>0</v>
      </c>
      <c r="S6" s="5">
        <v>635</v>
      </c>
      <c r="T6" s="23">
        <v>635</v>
      </c>
      <c r="U6" s="7"/>
    </row>
    <row r="7" spans="1:21" x14ac:dyDescent="0.25">
      <c r="A7" s="1">
        <v>46242.575607812498</v>
      </c>
      <c r="B7" s="2" t="s">
        <v>39</v>
      </c>
      <c r="C7" s="3">
        <v>46242</v>
      </c>
      <c r="D7" s="8" t="s">
        <v>71</v>
      </c>
      <c r="E7" s="2" t="s">
        <v>19</v>
      </c>
      <c r="F7" s="4" t="s">
        <v>29</v>
      </c>
      <c r="G7" s="5">
        <v>20010054</v>
      </c>
      <c r="H7" s="5" t="s">
        <v>81</v>
      </c>
      <c r="I7" s="2" t="s">
        <v>30</v>
      </c>
      <c r="J7" s="6" t="s">
        <v>31</v>
      </c>
      <c r="K7" s="2" t="s">
        <v>25</v>
      </c>
      <c r="L7" s="2" t="s">
        <v>24</v>
      </c>
      <c r="M7" s="5">
        <v>1</v>
      </c>
      <c r="N7" s="5">
        <v>1270</v>
      </c>
      <c r="O7" s="5">
        <v>1270</v>
      </c>
      <c r="P7" s="5">
        <v>0</v>
      </c>
      <c r="Q7" s="5">
        <v>1270</v>
      </c>
      <c r="R7" s="5">
        <v>1</v>
      </c>
      <c r="S7" s="5">
        <v>1270</v>
      </c>
      <c r="T7" s="23">
        <v>1270</v>
      </c>
      <c r="U7" s="7"/>
    </row>
    <row r="8" spans="1:21" x14ac:dyDescent="0.25">
      <c r="A8" s="1">
        <v>46242.575843287035</v>
      </c>
      <c r="B8" s="2" t="s">
        <v>39</v>
      </c>
      <c r="C8" s="3">
        <v>46242</v>
      </c>
      <c r="D8" s="8" t="s">
        <v>71</v>
      </c>
      <c r="E8" s="2" t="s">
        <v>19</v>
      </c>
      <c r="F8" s="4" t="s">
        <v>32</v>
      </c>
      <c r="G8" s="5">
        <v>20090017</v>
      </c>
      <c r="H8" s="5" t="s">
        <v>81</v>
      </c>
      <c r="I8" s="2" t="s">
        <v>33</v>
      </c>
      <c r="J8" s="6" t="s">
        <v>34</v>
      </c>
      <c r="K8" s="2" t="s">
        <v>25</v>
      </c>
      <c r="L8" s="2" t="s">
        <v>24</v>
      </c>
      <c r="M8" s="5">
        <v>3</v>
      </c>
      <c r="N8" s="5">
        <v>1270</v>
      </c>
      <c r="O8" s="5">
        <v>3810</v>
      </c>
      <c r="P8" s="5">
        <v>0</v>
      </c>
      <c r="Q8" s="5">
        <v>3810</v>
      </c>
      <c r="R8" s="5">
        <v>3</v>
      </c>
      <c r="S8" s="5">
        <v>3810</v>
      </c>
      <c r="T8" s="23">
        <v>3810</v>
      </c>
      <c r="U8" s="7"/>
    </row>
    <row r="9" spans="1:21" x14ac:dyDescent="0.25">
      <c r="A9" s="1">
        <v>46242.576137696757</v>
      </c>
      <c r="B9" s="2" t="s">
        <v>39</v>
      </c>
      <c r="C9" s="3">
        <v>46242</v>
      </c>
      <c r="D9" s="8" t="s">
        <v>71</v>
      </c>
      <c r="E9" s="2" t="s">
        <v>19</v>
      </c>
      <c r="F9" s="4" t="s">
        <v>57</v>
      </c>
      <c r="G9" s="5">
        <v>20090014</v>
      </c>
      <c r="H9" s="5" t="s">
        <v>81</v>
      </c>
      <c r="I9" s="2" t="s">
        <v>58</v>
      </c>
      <c r="J9" s="6" t="s">
        <v>52</v>
      </c>
      <c r="K9" s="2" t="s">
        <v>25</v>
      </c>
      <c r="L9" s="2" t="s">
        <v>24</v>
      </c>
      <c r="M9" s="5">
        <v>9</v>
      </c>
      <c r="N9" s="5">
        <v>1270</v>
      </c>
      <c r="O9" s="5">
        <v>11430</v>
      </c>
      <c r="P9" s="5">
        <v>0</v>
      </c>
      <c r="Q9" s="5">
        <v>11430</v>
      </c>
      <c r="R9" s="5">
        <v>9</v>
      </c>
      <c r="S9" s="5">
        <v>11430</v>
      </c>
      <c r="T9" s="23">
        <v>11430</v>
      </c>
      <c r="U9" s="7"/>
    </row>
    <row r="10" spans="1:21" x14ac:dyDescent="0.25">
      <c r="A10" s="1">
        <v>46242.576406469903</v>
      </c>
      <c r="B10" s="2" t="s">
        <v>39</v>
      </c>
      <c r="C10" s="3">
        <v>46242</v>
      </c>
      <c r="D10" s="8" t="s">
        <v>71</v>
      </c>
      <c r="E10" s="2" t="s">
        <v>19</v>
      </c>
      <c r="F10" s="4" t="s">
        <v>27</v>
      </c>
      <c r="G10" s="5">
        <v>20090015</v>
      </c>
      <c r="H10" s="5" t="s">
        <v>81</v>
      </c>
      <c r="I10" s="2" t="s">
        <v>26</v>
      </c>
      <c r="J10" s="6" t="s">
        <v>28</v>
      </c>
      <c r="K10" s="2" t="s">
        <v>25</v>
      </c>
      <c r="L10" s="2" t="s">
        <v>24</v>
      </c>
      <c r="M10" s="5">
        <v>0</v>
      </c>
      <c r="N10" s="5">
        <v>1270</v>
      </c>
      <c r="O10" s="5">
        <v>0</v>
      </c>
      <c r="P10" s="5">
        <v>872</v>
      </c>
      <c r="Q10" s="5">
        <v>872</v>
      </c>
      <c r="R10" s="5">
        <v>0</v>
      </c>
      <c r="S10" s="5">
        <v>872</v>
      </c>
      <c r="T10" s="23">
        <v>872</v>
      </c>
      <c r="U10" s="7"/>
    </row>
    <row r="11" spans="1:21" x14ac:dyDescent="0.25">
      <c r="A11" s="1">
        <v>46242.576585856485</v>
      </c>
      <c r="B11" s="2" t="s">
        <v>39</v>
      </c>
      <c r="C11" s="3">
        <v>46242</v>
      </c>
      <c r="D11" s="8" t="s">
        <v>71</v>
      </c>
      <c r="E11" s="2" t="s">
        <v>19</v>
      </c>
      <c r="F11" s="4" t="s">
        <v>72</v>
      </c>
      <c r="G11" s="5">
        <v>20090015</v>
      </c>
      <c r="H11" s="5" t="s">
        <v>81</v>
      </c>
      <c r="I11" s="2" t="s">
        <v>26</v>
      </c>
      <c r="J11" s="6" t="s">
        <v>73</v>
      </c>
      <c r="K11" s="2" t="s">
        <v>25</v>
      </c>
      <c r="L11" s="2" t="s">
        <v>24</v>
      </c>
      <c r="M11" s="5">
        <v>1</v>
      </c>
      <c r="N11" s="5">
        <v>1270</v>
      </c>
      <c r="O11" s="5">
        <v>1270</v>
      </c>
      <c r="P11" s="5">
        <v>0</v>
      </c>
      <c r="Q11" s="5">
        <v>1270</v>
      </c>
      <c r="R11" s="5">
        <v>1</v>
      </c>
      <c r="S11" s="5">
        <v>1270</v>
      </c>
      <c r="T11" s="23">
        <v>1270</v>
      </c>
      <c r="U11" s="7"/>
    </row>
    <row r="12" spans="1:21" x14ac:dyDescent="0.25">
      <c r="A12" s="1">
        <v>46242.577096817127</v>
      </c>
      <c r="B12" s="2" t="s">
        <v>39</v>
      </c>
      <c r="C12" s="3">
        <v>46242</v>
      </c>
      <c r="D12" s="8" t="s">
        <v>71</v>
      </c>
      <c r="E12" s="2" t="s">
        <v>19</v>
      </c>
      <c r="F12" s="4" t="s">
        <v>45</v>
      </c>
      <c r="G12" s="5">
        <v>20090020</v>
      </c>
      <c r="H12" s="5" t="s">
        <v>81</v>
      </c>
      <c r="I12" s="2" t="s">
        <v>44</v>
      </c>
      <c r="J12" s="6" t="s">
        <v>38</v>
      </c>
      <c r="K12" s="2" t="s">
        <v>25</v>
      </c>
      <c r="L12" s="2" t="s">
        <v>24</v>
      </c>
      <c r="M12" s="5">
        <v>2</v>
      </c>
      <c r="N12" s="5">
        <v>1270</v>
      </c>
      <c r="O12" s="5">
        <v>2540</v>
      </c>
      <c r="P12" s="5">
        <v>0</v>
      </c>
      <c r="Q12" s="5">
        <v>2540</v>
      </c>
      <c r="R12" s="5">
        <v>2</v>
      </c>
      <c r="S12" s="5">
        <v>2540</v>
      </c>
      <c r="T12" s="23">
        <v>2540</v>
      </c>
      <c r="U12" s="7"/>
    </row>
    <row r="13" spans="1:21" x14ac:dyDescent="0.25">
      <c r="A13" s="1">
        <v>46242.577304606486</v>
      </c>
      <c r="B13" s="2" t="s">
        <v>39</v>
      </c>
      <c r="C13" s="3">
        <v>46242</v>
      </c>
      <c r="D13" s="8" t="s">
        <v>71</v>
      </c>
      <c r="E13" s="2" t="s">
        <v>19</v>
      </c>
      <c r="F13" s="4" t="s">
        <v>43</v>
      </c>
      <c r="G13" s="5">
        <v>20090020</v>
      </c>
      <c r="H13" s="5" t="s">
        <v>81</v>
      </c>
      <c r="I13" s="2" t="s">
        <v>44</v>
      </c>
      <c r="J13" s="6" t="s">
        <v>22</v>
      </c>
      <c r="K13" s="2" t="s">
        <v>25</v>
      </c>
      <c r="L13" s="2" t="s">
        <v>24</v>
      </c>
      <c r="M13" s="5">
        <v>2</v>
      </c>
      <c r="N13" s="5">
        <v>1270</v>
      </c>
      <c r="O13" s="5">
        <v>2540</v>
      </c>
      <c r="P13" s="5">
        <v>0</v>
      </c>
      <c r="Q13" s="5">
        <v>2540</v>
      </c>
      <c r="R13" s="5">
        <v>2</v>
      </c>
      <c r="S13" s="5">
        <v>2540</v>
      </c>
      <c r="T13" s="23">
        <v>2540</v>
      </c>
      <c r="U13" s="7"/>
    </row>
    <row r="14" spans="1:21" x14ac:dyDescent="0.25">
      <c r="A14" s="1">
        <v>46242.577565370375</v>
      </c>
      <c r="B14" s="2" t="s">
        <v>39</v>
      </c>
      <c r="C14" s="3">
        <v>46242</v>
      </c>
      <c r="D14" s="8" t="s">
        <v>71</v>
      </c>
      <c r="E14" s="2" t="s">
        <v>19</v>
      </c>
      <c r="F14" s="4" t="s">
        <v>46</v>
      </c>
      <c r="G14" s="5">
        <v>20090023</v>
      </c>
      <c r="H14" s="5" t="s">
        <v>81</v>
      </c>
      <c r="I14" s="2" t="s">
        <v>42</v>
      </c>
      <c r="J14" s="6" t="s">
        <v>22</v>
      </c>
      <c r="K14" s="2" t="s">
        <v>25</v>
      </c>
      <c r="L14" s="2" t="s">
        <v>24</v>
      </c>
      <c r="M14" s="5">
        <v>0</v>
      </c>
      <c r="N14" s="5">
        <v>1270</v>
      </c>
      <c r="O14" s="5">
        <v>0</v>
      </c>
      <c r="P14" s="5">
        <v>635</v>
      </c>
      <c r="Q14" s="5">
        <v>635</v>
      </c>
      <c r="R14" s="5">
        <v>0</v>
      </c>
      <c r="S14" s="5">
        <v>635</v>
      </c>
      <c r="T14" s="23">
        <v>635</v>
      </c>
      <c r="U14" s="7"/>
    </row>
    <row r="15" spans="1:21" x14ac:dyDescent="0.25">
      <c r="A15" s="1">
        <v>46242.604706585647</v>
      </c>
      <c r="B15" s="2" t="s">
        <v>36</v>
      </c>
      <c r="C15" s="3">
        <v>46242</v>
      </c>
      <c r="D15" s="8" t="s">
        <v>71</v>
      </c>
      <c r="E15" s="2" t="s">
        <v>19</v>
      </c>
      <c r="F15" s="4" t="s">
        <v>63</v>
      </c>
      <c r="G15" s="5">
        <v>20020027</v>
      </c>
      <c r="H15" s="5" t="s">
        <v>81</v>
      </c>
      <c r="I15" s="2" t="s">
        <v>60</v>
      </c>
      <c r="J15" s="6" t="s">
        <v>34</v>
      </c>
      <c r="K15" s="2" t="s">
        <v>37</v>
      </c>
      <c r="L15" s="2" t="s">
        <v>24</v>
      </c>
      <c r="M15" s="5">
        <v>0</v>
      </c>
      <c r="N15" s="5">
        <v>1270</v>
      </c>
      <c r="O15" s="5">
        <v>0</v>
      </c>
      <c r="P15" s="5">
        <v>109</v>
      </c>
      <c r="Q15" s="5">
        <v>109</v>
      </c>
      <c r="R15" s="5">
        <v>0</v>
      </c>
      <c r="S15" s="5">
        <v>109</v>
      </c>
      <c r="T15" s="23">
        <v>109</v>
      </c>
      <c r="U15" s="7"/>
    </row>
    <row r="16" spans="1:21" x14ac:dyDescent="0.25">
      <c r="A16" s="1">
        <v>46242.604974803238</v>
      </c>
      <c r="B16" s="2" t="s">
        <v>36</v>
      </c>
      <c r="C16" s="3">
        <v>46242</v>
      </c>
      <c r="D16" s="8" t="s">
        <v>71</v>
      </c>
      <c r="E16" s="2" t="s">
        <v>19</v>
      </c>
      <c r="F16" s="4" t="s">
        <v>64</v>
      </c>
      <c r="G16" s="5">
        <v>20020027</v>
      </c>
      <c r="H16" s="5" t="s">
        <v>81</v>
      </c>
      <c r="I16" s="2" t="s">
        <v>60</v>
      </c>
      <c r="J16" s="6" t="s">
        <v>65</v>
      </c>
      <c r="K16" s="2" t="s">
        <v>37</v>
      </c>
      <c r="L16" s="2" t="s">
        <v>24</v>
      </c>
      <c r="M16" s="5">
        <v>2</v>
      </c>
      <c r="N16" s="5">
        <v>1270</v>
      </c>
      <c r="O16" s="5">
        <v>2540</v>
      </c>
      <c r="P16" s="5">
        <v>0</v>
      </c>
      <c r="Q16" s="5">
        <v>2540</v>
      </c>
      <c r="R16" s="5">
        <v>2</v>
      </c>
      <c r="S16" s="5">
        <v>2540</v>
      </c>
      <c r="T16" s="23">
        <v>2540</v>
      </c>
      <c r="U16" s="7"/>
    </row>
    <row r="17" spans="1:21" x14ac:dyDescent="0.25">
      <c r="A17" s="1">
        <v>46242.607276331022</v>
      </c>
      <c r="B17" s="2" t="s">
        <v>36</v>
      </c>
      <c r="C17" s="3">
        <v>46242</v>
      </c>
      <c r="D17" s="8" t="s">
        <v>71</v>
      </c>
      <c r="E17" s="2" t="s">
        <v>19</v>
      </c>
      <c r="F17" s="4" t="s">
        <v>74</v>
      </c>
      <c r="G17" s="5">
        <v>20070024</v>
      </c>
      <c r="H17" s="5" t="s">
        <v>81</v>
      </c>
      <c r="I17" s="2" t="s">
        <v>75</v>
      </c>
      <c r="J17" s="6" t="s">
        <v>50</v>
      </c>
      <c r="K17" s="2" t="s">
        <v>76</v>
      </c>
      <c r="L17" s="2" t="s">
        <v>24</v>
      </c>
      <c r="M17" s="5">
        <v>2</v>
      </c>
      <c r="N17" s="5">
        <v>1270</v>
      </c>
      <c r="O17" s="5">
        <v>2540</v>
      </c>
      <c r="P17" s="5">
        <v>0</v>
      </c>
      <c r="Q17" s="5">
        <v>2540</v>
      </c>
      <c r="R17" s="5">
        <v>2</v>
      </c>
      <c r="S17" s="5">
        <v>2540</v>
      </c>
      <c r="T17" s="23">
        <v>381</v>
      </c>
      <c r="U17" s="7"/>
    </row>
    <row r="18" spans="1:21" x14ac:dyDescent="0.25">
      <c r="A18" s="1">
        <v>46242.607670729165</v>
      </c>
      <c r="B18" s="2" t="s">
        <v>36</v>
      </c>
      <c r="C18" s="3">
        <v>46242</v>
      </c>
      <c r="D18" s="8" t="s">
        <v>71</v>
      </c>
      <c r="E18" s="2" t="s">
        <v>19</v>
      </c>
      <c r="F18" s="4" t="s">
        <v>77</v>
      </c>
      <c r="G18" s="5">
        <v>20070024</v>
      </c>
      <c r="H18" s="5" t="s">
        <v>81</v>
      </c>
      <c r="I18" s="2" t="s">
        <v>75</v>
      </c>
      <c r="J18" s="6" t="s">
        <v>34</v>
      </c>
      <c r="K18" s="2" t="s">
        <v>76</v>
      </c>
      <c r="L18" s="2" t="s">
        <v>24</v>
      </c>
      <c r="M18" s="5">
        <v>1</v>
      </c>
      <c r="N18" s="5">
        <v>1270</v>
      </c>
      <c r="O18" s="5">
        <v>1270</v>
      </c>
      <c r="P18" s="5">
        <v>0</v>
      </c>
      <c r="Q18" s="5">
        <v>1270</v>
      </c>
      <c r="R18" s="5">
        <v>1</v>
      </c>
      <c r="S18" s="5">
        <v>1270</v>
      </c>
      <c r="T18" s="23">
        <v>189</v>
      </c>
      <c r="U18" s="7"/>
    </row>
    <row r="19" spans="1:21" x14ac:dyDescent="0.25">
      <c r="A19" s="1">
        <v>46242.607936574073</v>
      </c>
      <c r="B19" s="2" t="s">
        <v>36</v>
      </c>
      <c r="C19" s="3">
        <v>46242</v>
      </c>
      <c r="D19" s="8" t="s">
        <v>71</v>
      </c>
      <c r="E19" s="2" t="s">
        <v>19</v>
      </c>
      <c r="F19" s="4" t="s">
        <v>78</v>
      </c>
      <c r="G19" s="5">
        <v>20070024</v>
      </c>
      <c r="H19" s="5" t="s">
        <v>81</v>
      </c>
      <c r="I19" s="2" t="s">
        <v>75</v>
      </c>
      <c r="J19" s="6" t="s">
        <v>22</v>
      </c>
      <c r="K19" s="2" t="s">
        <v>76</v>
      </c>
      <c r="L19" s="2" t="s">
        <v>24</v>
      </c>
      <c r="M19" s="5">
        <v>2</v>
      </c>
      <c r="N19" s="5">
        <v>1270</v>
      </c>
      <c r="O19" s="5">
        <v>2540</v>
      </c>
      <c r="P19" s="5">
        <v>0</v>
      </c>
      <c r="Q19" s="5">
        <v>2540</v>
      </c>
      <c r="R19" s="5">
        <v>2</v>
      </c>
      <c r="S19" s="5">
        <v>2540</v>
      </c>
      <c r="T19" s="23">
        <v>2540</v>
      </c>
      <c r="U19" s="7"/>
    </row>
    <row r="20" spans="1:21" x14ac:dyDescent="0.25">
      <c r="A20" s="1">
        <v>46242.609182002314</v>
      </c>
      <c r="B20" s="2" t="s">
        <v>36</v>
      </c>
      <c r="C20" s="3">
        <v>46242</v>
      </c>
      <c r="D20" s="8" t="s">
        <v>71</v>
      </c>
      <c r="E20" s="2" t="s">
        <v>19</v>
      </c>
      <c r="F20" s="4" t="s">
        <v>61</v>
      </c>
      <c r="G20" s="5">
        <v>20050003</v>
      </c>
      <c r="H20" s="5" t="s">
        <v>81</v>
      </c>
      <c r="I20" s="2" t="s">
        <v>51</v>
      </c>
      <c r="J20" s="6" t="s">
        <v>62</v>
      </c>
      <c r="K20" s="2" t="s">
        <v>37</v>
      </c>
      <c r="L20" s="2" t="s">
        <v>24</v>
      </c>
      <c r="M20" s="5">
        <v>0</v>
      </c>
      <c r="N20" s="5">
        <v>1270</v>
      </c>
      <c r="O20" s="5">
        <v>0</v>
      </c>
      <c r="P20" s="5">
        <v>607</v>
      </c>
      <c r="Q20" s="5">
        <v>607</v>
      </c>
      <c r="R20" s="5">
        <v>0</v>
      </c>
      <c r="S20" s="5">
        <v>607</v>
      </c>
      <c r="T20" s="23">
        <v>48</v>
      </c>
      <c r="U20" s="7"/>
    </row>
    <row r="21" spans="1:21" x14ac:dyDescent="0.25">
      <c r="A21" s="1">
        <v>46242.609603449077</v>
      </c>
      <c r="B21" s="2" t="s">
        <v>79</v>
      </c>
      <c r="C21" s="3">
        <v>46242</v>
      </c>
      <c r="D21" s="8" t="s">
        <v>71</v>
      </c>
      <c r="E21" s="2" t="s">
        <v>19</v>
      </c>
      <c r="F21" s="4" t="s">
        <v>69</v>
      </c>
      <c r="G21" s="5">
        <v>20010052</v>
      </c>
      <c r="H21" s="5" t="s">
        <v>81</v>
      </c>
      <c r="I21" s="2" t="s">
        <v>70</v>
      </c>
      <c r="J21" s="6" t="s">
        <v>22</v>
      </c>
      <c r="K21" s="2" t="s">
        <v>35</v>
      </c>
      <c r="L21" s="2" t="s">
        <v>24</v>
      </c>
      <c r="M21" s="5">
        <v>20</v>
      </c>
      <c r="N21" s="5">
        <v>1270</v>
      </c>
      <c r="O21" s="5">
        <v>25400</v>
      </c>
      <c r="P21" s="5">
        <v>0</v>
      </c>
      <c r="Q21" s="5">
        <v>25400</v>
      </c>
      <c r="R21" s="5">
        <v>20</v>
      </c>
      <c r="S21" s="5">
        <v>25400</v>
      </c>
      <c r="T21" s="23">
        <v>16634</v>
      </c>
      <c r="U21" s="7"/>
    </row>
    <row r="22" spans="1:21" x14ac:dyDescent="0.25">
      <c r="A22" s="1">
        <v>46242.61010928241</v>
      </c>
      <c r="B22" s="2" t="s">
        <v>79</v>
      </c>
      <c r="C22" s="3">
        <v>46242</v>
      </c>
      <c r="D22" s="8" t="s">
        <v>71</v>
      </c>
      <c r="E22" s="2" t="s">
        <v>19</v>
      </c>
      <c r="F22" s="4" t="s">
        <v>20</v>
      </c>
      <c r="G22" s="5">
        <v>20060003</v>
      </c>
      <c r="H22" s="5" t="s">
        <v>81</v>
      </c>
      <c r="I22" s="2" t="s">
        <v>21</v>
      </c>
      <c r="J22" s="6" t="s">
        <v>22</v>
      </c>
      <c r="K22" s="2" t="s">
        <v>23</v>
      </c>
      <c r="L22" s="2" t="s">
        <v>24</v>
      </c>
      <c r="M22" s="5">
        <v>30</v>
      </c>
      <c r="N22" s="5">
        <v>1270</v>
      </c>
      <c r="O22" s="5">
        <v>38100</v>
      </c>
      <c r="P22" s="5">
        <v>0</v>
      </c>
      <c r="Q22" s="5">
        <v>38100</v>
      </c>
      <c r="R22" s="5">
        <v>30</v>
      </c>
      <c r="S22" s="5">
        <v>38100</v>
      </c>
      <c r="T22" s="23">
        <v>33814</v>
      </c>
      <c r="U22" s="7"/>
    </row>
    <row r="23" spans="1:21" x14ac:dyDescent="0.25">
      <c r="A23" s="1">
        <v>46242.610393449075</v>
      </c>
      <c r="B23" s="2" t="s">
        <v>36</v>
      </c>
      <c r="C23" s="3">
        <v>46242</v>
      </c>
      <c r="D23" s="8" t="s">
        <v>71</v>
      </c>
      <c r="E23" s="2" t="s">
        <v>19</v>
      </c>
      <c r="F23" s="4" t="s">
        <v>66</v>
      </c>
      <c r="G23" s="5">
        <v>20020029</v>
      </c>
      <c r="H23" s="5" t="s">
        <v>81</v>
      </c>
      <c r="I23" s="2" t="s">
        <v>67</v>
      </c>
      <c r="J23" s="6" t="s">
        <v>68</v>
      </c>
      <c r="K23" s="2" t="s">
        <v>37</v>
      </c>
      <c r="L23" s="2" t="s">
        <v>24</v>
      </c>
      <c r="M23" s="5">
        <v>1</v>
      </c>
      <c r="N23" s="5">
        <v>1270</v>
      </c>
      <c r="O23" s="5">
        <v>1270</v>
      </c>
      <c r="P23" s="5">
        <v>0</v>
      </c>
      <c r="Q23" s="5">
        <v>1270</v>
      </c>
      <c r="R23" s="5">
        <v>1</v>
      </c>
      <c r="S23" s="5">
        <v>1270</v>
      </c>
      <c r="T23" s="23">
        <v>1270</v>
      </c>
      <c r="U23" s="7"/>
    </row>
    <row r="24" spans="1:21" x14ac:dyDescent="0.25">
      <c r="A24" s="9">
        <v>46242.612494479166</v>
      </c>
      <c r="B24" s="10" t="s">
        <v>36</v>
      </c>
      <c r="C24" s="11">
        <v>46242</v>
      </c>
      <c r="D24" s="12" t="s">
        <v>71</v>
      </c>
      <c r="E24" s="10" t="s">
        <v>19</v>
      </c>
      <c r="F24" s="13" t="s">
        <v>66</v>
      </c>
      <c r="G24" s="14">
        <v>20020029</v>
      </c>
      <c r="H24" s="14" t="s">
        <v>81</v>
      </c>
      <c r="I24" s="10" t="s">
        <v>67</v>
      </c>
      <c r="J24" s="15" t="s">
        <v>68</v>
      </c>
      <c r="K24" s="10" t="s">
        <v>37</v>
      </c>
      <c r="L24" s="10" t="s">
        <v>24</v>
      </c>
      <c r="M24" s="14">
        <v>1</v>
      </c>
      <c r="N24" s="14">
        <v>1270</v>
      </c>
      <c r="O24" s="14">
        <v>1270</v>
      </c>
      <c r="P24" s="14">
        <v>0</v>
      </c>
      <c r="Q24" s="14">
        <v>1270</v>
      </c>
      <c r="R24" s="14">
        <v>1</v>
      </c>
      <c r="S24" s="14">
        <v>1270</v>
      </c>
      <c r="T24" s="24">
        <v>559</v>
      </c>
      <c r="U24" s="16"/>
    </row>
    <row r="25" spans="1:21" x14ac:dyDescent="0.25">
      <c r="A25" s="22"/>
      <c r="B25" s="30"/>
      <c r="C25" s="30"/>
      <c r="D25" s="30"/>
      <c r="E25" s="30"/>
      <c r="F25" s="30"/>
      <c r="G25" s="30"/>
      <c r="H25" s="14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>
        <f>SUBTOTAL(109,Table7[Final Amount])</f>
        <v>105093</v>
      </c>
      <c r="T25" s="24">
        <f>SUBTOTAL(109,Table7[Deduction])</f>
        <v>87531</v>
      </c>
      <c r="U25" s="21"/>
    </row>
  </sheetData>
  <conditionalFormatting sqref="F2:F24">
    <cfRule type="duplicateValues" dxfId="0" priority="1"/>
  </conditionalFormatting>
  <dataValidations count="2">
    <dataValidation type="list" allowBlank="1" sqref="E2:E24" xr:uid="{0A1DA038-5959-42C5-B8A7-513F2E662517}">
      <formula1>#REF!</formula1>
    </dataValidation>
    <dataValidation allowBlank="1" showDropDown="1" sqref="F2:F24" xr:uid="{45D5BEBF-9ECF-436C-8252-FE9475A826B1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2026-08-08T09:37:12Z</dcterms:created>
  <dcterms:modified xsi:type="dcterms:W3CDTF">2026-08-14T08:45:21Z</dcterms:modified>
</cp:coreProperties>
</file>